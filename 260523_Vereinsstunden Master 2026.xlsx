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link-juliane\Desktop\"/>
    </mc:Choice>
  </mc:AlternateContent>
  <xr:revisionPtr revIDLastSave="0" documentId="13_ncr:1_{0C0D931E-EE31-4A9C-AF98-CDD82DFBF62E}" xr6:coauthVersionLast="36" xr6:coauthVersionMax="47" xr10:uidLastSave="{00000000-0000-0000-0000-000000000000}"/>
  <bookViews>
    <workbookView xWindow="0" yWindow="0" windowWidth="17256" windowHeight="6720" tabRatio="706" firstSheet="1" activeTab="1" xr2:uid="{00000000-000D-0000-FFFF-FFFF00000000}"/>
  </bookViews>
  <sheets>
    <sheet name="offen_aus_25" sheetId="1" r:id="rId1"/>
    <sheet name="Gesamtstunden_26" sheetId="2" r:id="rId2"/>
    <sheet name="Oeffentlichkeitsarbeit" sheetId="3" r:id="rId3"/>
    <sheet name="Fairteiler" sheetId="4" r:id="rId4"/>
    <sheet name="NP-Betrieb" sheetId="5" r:id="rId5"/>
    <sheet name="Fairteilungen" sheetId="6" r:id="rId6"/>
    <sheet name="Anlieferung" sheetId="7" r:id="rId7"/>
    <sheet name="Probeabholungen" sheetId="8" r:id="rId8"/>
    <sheet name="Betriebe" sheetId="9" r:id="rId9"/>
    <sheet name="Farbcodes" sheetId="10" r:id="rId10"/>
  </sheets>
  <definedNames>
    <definedName name="_xlnm._FilterDatabase" localSheetId="6" hidden="1">Anlieferung!$A$1:$E$1</definedName>
    <definedName name="_xlnm._FilterDatabase" localSheetId="8" hidden="1">Betriebe!$A$1:$P$64</definedName>
    <definedName name="_xlnm._FilterDatabase" localSheetId="3" hidden="1">Fairteiler!$A$1:$E$1</definedName>
    <definedName name="_xlnm._FilterDatabase" localSheetId="1" hidden="1">Gesamtstunden_26!$A$1:$O$813</definedName>
    <definedName name="_xlnm._FilterDatabase" localSheetId="4" hidden="1">'NP-Betrieb'!$A$1:$E$2487</definedName>
    <definedName name="_xlnm._FilterDatabase" localSheetId="0" hidden="1">offen_aus_25!$A$1:$F$1</definedName>
    <definedName name="_xlnm._FilterDatabase" localSheetId="7" hidden="1">Probeabholungen!$A$1:$C$1</definedName>
    <definedName name="ExterneDaten_1_1">0</definedName>
    <definedName name="ExterneDaten_1_10">0</definedName>
    <definedName name="ExterneDaten_1_11">0</definedName>
    <definedName name="ExterneDaten_1_12">0</definedName>
    <definedName name="ExterneDaten_1_13">0</definedName>
    <definedName name="ExterneDaten_1_2">0</definedName>
    <definedName name="ExterneDaten_1_3">0</definedName>
    <definedName name="ExterneDaten_1_4">0</definedName>
    <definedName name="ExterneDaten_1_5">0</definedName>
    <definedName name="ExterneDaten_1_6">0</definedName>
    <definedName name="ExterneDaten_1_7">0</definedName>
    <definedName name="ExterneDaten_1_8">0</definedName>
    <definedName name="ExterneDaten_1_9">0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695" i="2" l="1"/>
  <c r="O852" i="2"/>
  <c r="O853" i="2"/>
  <c r="O854" i="2"/>
  <c r="O855" i="2"/>
  <c r="O856" i="2"/>
  <c r="O857" i="2"/>
  <c r="O858" i="2"/>
  <c r="O859" i="2"/>
  <c r="O860" i="2"/>
  <c r="O850" i="2"/>
  <c r="O851" i="2"/>
  <c r="N852" i="2"/>
  <c r="N853" i="2"/>
  <c r="N854" i="2"/>
  <c r="N855" i="2"/>
  <c r="N856" i="2"/>
  <c r="N857" i="2"/>
  <c r="N858" i="2"/>
  <c r="N859" i="2"/>
  <c r="N860" i="2"/>
  <c r="N850" i="2"/>
  <c r="N851" i="2"/>
  <c r="M852" i="2"/>
  <c r="M853" i="2"/>
  <c r="M854" i="2"/>
  <c r="M855" i="2"/>
  <c r="M856" i="2"/>
  <c r="M857" i="2"/>
  <c r="M858" i="2"/>
  <c r="M859" i="2"/>
  <c r="M860" i="2"/>
  <c r="M850" i="2"/>
  <c r="M851" i="2"/>
  <c r="L852" i="2"/>
  <c r="L853" i="2"/>
  <c r="L854" i="2"/>
  <c r="L855" i="2"/>
  <c r="L856" i="2"/>
  <c r="L857" i="2"/>
  <c r="L858" i="2"/>
  <c r="L859" i="2"/>
  <c r="L860" i="2"/>
  <c r="L850" i="2"/>
  <c r="L851" i="2"/>
  <c r="K852" i="2"/>
  <c r="K853" i="2"/>
  <c r="K854" i="2"/>
  <c r="K855" i="2"/>
  <c r="K856" i="2"/>
  <c r="K857" i="2"/>
  <c r="K858" i="2"/>
  <c r="K859" i="2"/>
  <c r="K860" i="2"/>
  <c r="K850" i="2"/>
  <c r="K851" i="2"/>
  <c r="J852" i="2"/>
  <c r="J853" i="2"/>
  <c r="J854" i="2"/>
  <c r="I854" i="2" s="1"/>
  <c r="H854" i="2" s="1"/>
  <c r="G854" i="2" s="1"/>
  <c r="J855" i="2"/>
  <c r="J856" i="2"/>
  <c r="J857" i="2"/>
  <c r="J858" i="2"/>
  <c r="J859" i="2"/>
  <c r="J860" i="2"/>
  <c r="J850" i="2"/>
  <c r="J851" i="2"/>
  <c r="I852" i="2"/>
  <c r="H852" i="2" s="1"/>
  <c r="G852" i="2" s="1"/>
  <c r="I853" i="2"/>
  <c r="H853" i="2" s="1"/>
  <c r="G853" i="2" s="1"/>
  <c r="I856" i="2"/>
  <c r="H856" i="2" s="1"/>
  <c r="G856" i="2" s="1"/>
  <c r="I857" i="2"/>
  <c r="H857" i="2" s="1"/>
  <c r="G857" i="2" s="1"/>
  <c r="I858" i="2" l="1"/>
  <c r="H858" i="2" s="1"/>
  <c r="G858" i="2" s="1"/>
  <c r="I860" i="2"/>
  <c r="H860" i="2" s="1"/>
  <c r="G860" i="2" s="1"/>
  <c r="I859" i="2"/>
  <c r="H859" i="2" s="1"/>
  <c r="G859" i="2" s="1"/>
  <c r="I855" i="2"/>
  <c r="H855" i="2" s="1"/>
  <c r="G855" i="2" s="1"/>
  <c r="I851" i="2"/>
  <c r="H851" i="2" s="1"/>
  <c r="G851" i="2" s="1"/>
  <c r="I850" i="2"/>
  <c r="H850" i="2" s="1"/>
  <c r="G850" i="2" s="1"/>
  <c r="J137" i="2"/>
  <c r="K137" i="2"/>
  <c r="L137" i="2"/>
  <c r="M137" i="2"/>
  <c r="N137" i="2"/>
  <c r="O137" i="2"/>
  <c r="J457" i="2"/>
  <c r="K457" i="2"/>
  <c r="L457" i="2"/>
  <c r="M457" i="2"/>
  <c r="N457" i="2"/>
  <c r="O457" i="2"/>
  <c r="J326" i="2"/>
  <c r="K326" i="2"/>
  <c r="L326" i="2"/>
  <c r="M326" i="2"/>
  <c r="N326" i="2"/>
  <c r="O326" i="2"/>
  <c r="J331" i="2"/>
  <c r="K331" i="2"/>
  <c r="L331" i="2"/>
  <c r="M331" i="2"/>
  <c r="N331" i="2"/>
  <c r="O331" i="2"/>
  <c r="J607" i="2"/>
  <c r="K607" i="2"/>
  <c r="L607" i="2"/>
  <c r="M607" i="2"/>
  <c r="N607" i="2"/>
  <c r="O607" i="2"/>
  <c r="J246" i="2"/>
  <c r="K246" i="2"/>
  <c r="L246" i="2"/>
  <c r="M246" i="2"/>
  <c r="N246" i="2"/>
  <c r="O246" i="2"/>
  <c r="F47" i="3"/>
  <c r="F46" i="3"/>
  <c r="F44" i="3"/>
  <c r="O849" i="2"/>
  <c r="N849" i="2"/>
  <c r="M849" i="2"/>
  <c r="L849" i="2"/>
  <c r="K849" i="2"/>
  <c r="J849" i="2"/>
  <c r="O848" i="2"/>
  <c r="N848" i="2"/>
  <c r="M848" i="2"/>
  <c r="L848" i="2"/>
  <c r="K848" i="2"/>
  <c r="J848" i="2"/>
  <c r="O847" i="2"/>
  <c r="N847" i="2"/>
  <c r="M847" i="2"/>
  <c r="L847" i="2"/>
  <c r="K847" i="2"/>
  <c r="J847" i="2"/>
  <c r="O846" i="2"/>
  <c r="N846" i="2"/>
  <c r="M846" i="2"/>
  <c r="L846" i="2"/>
  <c r="K846" i="2"/>
  <c r="J846" i="2"/>
  <c r="O845" i="2"/>
  <c r="N845" i="2"/>
  <c r="M845" i="2"/>
  <c r="L845" i="2"/>
  <c r="K845" i="2"/>
  <c r="J845" i="2"/>
  <c r="O844" i="2"/>
  <c r="N844" i="2"/>
  <c r="M844" i="2"/>
  <c r="L844" i="2"/>
  <c r="K844" i="2"/>
  <c r="J844" i="2"/>
  <c r="O843" i="2"/>
  <c r="N843" i="2"/>
  <c r="M843" i="2"/>
  <c r="L843" i="2"/>
  <c r="K843" i="2"/>
  <c r="J843" i="2"/>
  <c r="O842" i="2"/>
  <c r="N842" i="2"/>
  <c r="M842" i="2"/>
  <c r="L842" i="2"/>
  <c r="K842" i="2"/>
  <c r="J842" i="2"/>
  <c r="O841" i="2"/>
  <c r="N841" i="2"/>
  <c r="M841" i="2"/>
  <c r="L841" i="2"/>
  <c r="K841" i="2"/>
  <c r="J841" i="2"/>
  <c r="O840" i="2"/>
  <c r="N840" i="2"/>
  <c r="M840" i="2"/>
  <c r="L840" i="2"/>
  <c r="K840" i="2"/>
  <c r="J840" i="2"/>
  <c r="O839" i="2"/>
  <c r="N839" i="2"/>
  <c r="M839" i="2"/>
  <c r="L839" i="2"/>
  <c r="K839" i="2"/>
  <c r="J839" i="2"/>
  <c r="O838" i="2"/>
  <c r="N838" i="2"/>
  <c r="M838" i="2"/>
  <c r="L838" i="2"/>
  <c r="K838" i="2"/>
  <c r="J838" i="2"/>
  <c r="O837" i="2"/>
  <c r="N837" i="2"/>
  <c r="M837" i="2"/>
  <c r="L837" i="2"/>
  <c r="K837" i="2"/>
  <c r="J837" i="2"/>
  <c r="O836" i="2"/>
  <c r="N836" i="2"/>
  <c r="M836" i="2"/>
  <c r="L836" i="2"/>
  <c r="K836" i="2"/>
  <c r="J836" i="2"/>
  <c r="O835" i="2"/>
  <c r="N835" i="2"/>
  <c r="M835" i="2"/>
  <c r="L835" i="2"/>
  <c r="K835" i="2"/>
  <c r="J835" i="2"/>
  <c r="O834" i="2"/>
  <c r="N834" i="2"/>
  <c r="M834" i="2"/>
  <c r="L834" i="2"/>
  <c r="K834" i="2"/>
  <c r="J834" i="2"/>
  <c r="O833" i="2"/>
  <c r="N833" i="2"/>
  <c r="M833" i="2"/>
  <c r="L833" i="2"/>
  <c r="K833" i="2"/>
  <c r="J833" i="2"/>
  <c r="O832" i="2"/>
  <c r="N832" i="2"/>
  <c r="M832" i="2"/>
  <c r="L832" i="2"/>
  <c r="K832" i="2"/>
  <c r="J832" i="2"/>
  <c r="O831" i="2"/>
  <c r="N831" i="2"/>
  <c r="M831" i="2"/>
  <c r="L831" i="2"/>
  <c r="K831" i="2"/>
  <c r="J831" i="2"/>
  <c r="O830" i="2"/>
  <c r="N830" i="2"/>
  <c r="M830" i="2"/>
  <c r="L830" i="2"/>
  <c r="K830" i="2"/>
  <c r="J830" i="2"/>
  <c r="O829" i="2"/>
  <c r="N829" i="2"/>
  <c r="M829" i="2"/>
  <c r="L829" i="2"/>
  <c r="K829" i="2"/>
  <c r="J829" i="2"/>
  <c r="O828" i="2"/>
  <c r="N828" i="2"/>
  <c r="M828" i="2"/>
  <c r="L828" i="2"/>
  <c r="K828" i="2"/>
  <c r="J828" i="2"/>
  <c r="O827" i="2"/>
  <c r="N827" i="2"/>
  <c r="M827" i="2"/>
  <c r="L827" i="2"/>
  <c r="K827" i="2"/>
  <c r="J827" i="2"/>
  <c r="O826" i="2"/>
  <c r="N826" i="2"/>
  <c r="M826" i="2"/>
  <c r="L826" i="2"/>
  <c r="K826" i="2"/>
  <c r="J826" i="2"/>
  <c r="O825" i="2"/>
  <c r="N825" i="2"/>
  <c r="M825" i="2"/>
  <c r="L825" i="2"/>
  <c r="K825" i="2"/>
  <c r="J825" i="2"/>
  <c r="O824" i="2"/>
  <c r="N824" i="2"/>
  <c r="M824" i="2"/>
  <c r="L824" i="2"/>
  <c r="K824" i="2"/>
  <c r="J824" i="2"/>
  <c r="O823" i="2"/>
  <c r="N823" i="2"/>
  <c r="M823" i="2"/>
  <c r="L823" i="2"/>
  <c r="K823" i="2"/>
  <c r="J823" i="2"/>
  <c r="O822" i="2"/>
  <c r="N822" i="2"/>
  <c r="M822" i="2"/>
  <c r="L822" i="2"/>
  <c r="K822" i="2"/>
  <c r="J822" i="2"/>
  <c r="O821" i="2"/>
  <c r="N821" i="2"/>
  <c r="M821" i="2"/>
  <c r="L821" i="2"/>
  <c r="K821" i="2"/>
  <c r="J821" i="2"/>
  <c r="O820" i="2"/>
  <c r="N820" i="2"/>
  <c r="M820" i="2"/>
  <c r="L820" i="2"/>
  <c r="K820" i="2"/>
  <c r="J820" i="2"/>
  <c r="O819" i="2"/>
  <c r="N819" i="2"/>
  <c r="M819" i="2"/>
  <c r="L819" i="2"/>
  <c r="K819" i="2"/>
  <c r="J819" i="2"/>
  <c r="O818" i="2"/>
  <c r="N818" i="2"/>
  <c r="M818" i="2"/>
  <c r="L818" i="2"/>
  <c r="K818" i="2"/>
  <c r="J818" i="2"/>
  <c r="O817" i="2"/>
  <c r="N817" i="2"/>
  <c r="M817" i="2"/>
  <c r="L817" i="2"/>
  <c r="K817" i="2"/>
  <c r="J817" i="2"/>
  <c r="O816" i="2"/>
  <c r="N816" i="2"/>
  <c r="M816" i="2"/>
  <c r="L816" i="2"/>
  <c r="K816" i="2"/>
  <c r="J816" i="2"/>
  <c r="O815" i="2"/>
  <c r="N815" i="2"/>
  <c r="M815" i="2"/>
  <c r="L815" i="2"/>
  <c r="K815" i="2"/>
  <c r="J815" i="2"/>
  <c r="O814" i="2"/>
  <c r="N814" i="2"/>
  <c r="M814" i="2"/>
  <c r="L814" i="2"/>
  <c r="K814" i="2"/>
  <c r="J814" i="2"/>
  <c r="O813" i="2"/>
  <c r="N813" i="2"/>
  <c r="M813" i="2"/>
  <c r="L813" i="2"/>
  <c r="K813" i="2"/>
  <c r="J813" i="2"/>
  <c r="O812" i="2"/>
  <c r="N812" i="2"/>
  <c r="M812" i="2"/>
  <c r="L812" i="2"/>
  <c r="K812" i="2"/>
  <c r="J812" i="2"/>
  <c r="O811" i="2"/>
  <c r="N811" i="2"/>
  <c r="M811" i="2"/>
  <c r="L811" i="2"/>
  <c r="K811" i="2"/>
  <c r="J811" i="2"/>
  <c r="O810" i="2"/>
  <c r="N810" i="2"/>
  <c r="M810" i="2"/>
  <c r="L810" i="2"/>
  <c r="K810" i="2"/>
  <c r="J810" i="2"/>
  <c r="O809" i="2"/>
  <c r="N809" i="2"/>
  <c r="M809" i="2"/>
  <c r="L809" i="2"/>
  <c r="K809" i="2"/>
  <c r="J809" i="2"/>
  <c r="O808" i="2"/>
  <c r="N808" i="2"/>
  <c r="M808" i="2"/>
  <c r="L808" i="2"/>
  <c r="K808" i="2"/>
  <c r="J808" i="2"/>
  <c r="O807" i="2"/>
  <c r="N807" i="2"/>
  <c r="M807" i="2"/>
  <c r="L807" i="2"/>
  <c r="K807" i="2"/>
  <c r="J807" i="2"/>
  <c r="O806" i="2"/>
  <c r="N806" i="2"/>
  <c r="M806" i="2"/>
  <c r="L806" i="2"/>
  <c r="K806" i="2"/>
  <c r="J806" i="2"/>
  <c r="O805" i="2"/>
  <c r="N805" i="2"/>
  <c r="M805" i="2"/>
  <c r="L805" i="2"/>
  <c r="K805" i="2"/>
  <c r="J805" i="2"/>
  <c r="O804" i="2"/>
  <c r="N804" i="2"/>
  <c r="M804" i="2"/>
  <c r="L804" i="2"/>
  <c r="K804" i="2"/>
  <c r="J804" i="2"/>
  <c r="O803" i="2"/>
  <c r="N803" i="2"/>
  <c r="M803" i="2"/>
  <c r="L803" i="2"/>
  <c r="K803" i="2"/>
  <c r="J803" i="2"/>
  <c r="O802" i="2"/>
  <c r="N802" i="2"/>
  <c r="M802" i="2"/>
  <c r="L802" i="2"/>
  <c r="K802" i="2"/>
  <c r="J802" i="2"/>
  <c r="O801" i="2"/>
  <c r="N801" i="2"/>
  <c r="M801" i="2"/>
  <c r="L801" i="2"/>
  <c r="K801" i="2"/>
  <c r="J801" i="2"/>
  <c r="O800" i="2"/>
  <c r="N800" i="2"/>
  <c r="M800" i="2"/>
  <c r="L800" i="2"/>
  <c r="K800" i="2"/>
  <c r="J800" i="2"/>
  <c r="O799" i="2"/>
  <c r="N799" i="2"/>
  <c r="M799" i="2"/>
  <c r="L799" i="2"/>
  <c r="K799" i="2"/>
  <c r="J799" i="2"/>
  <c r="O798" i="2"/>
  <c r="N798" i="2"/>
  <c r="M798" i="2"/>
  <c r="L798" i="2"/>
  <c r="K798" i="2"/>
  <c r="J798" i="2"/>
  <c r="O797" i="2"/>
  <c r="N797" i="2"/>
  <c r="M797" i="2"/>
  <c r="L797" i="2"/>
  <c r="K797" i="2"/>
  <c r="J797" i="2"/>
  <c r="O796" i="2"/>
  <c r="N796" i="2"/>
  <c r="M796" i="2"/>
  <c r="L796" i="2"/>
  <c r="K796" i="2"/>
  <c r="J796" i="2"/>
  <c r="O795" i="2"/>
  <c r="N795" i="2"/>
  <c r="M795" i="2"/>
  <c r="L795" i="2"/>
  <c r="K795" i="2"/>
  <c r="J795" i="2"/>
  <c r="O794" i="2"/>
  <c r="N794" i="2"/>
  <c r="M794" i="2"/>
  <c r="L794" i="2"/>
  <c r="K794" i="2"/>
  <c r="J794" i="2"/>
  <c r="O793" i="2"/>
  <c r="N793" i="2"/>
  <c r="M793" i="2"/>
  <c r="L793" i="2"/>
  <c r="K793" i="2"/>
  <c r="J793" i="2"/>
  <c r="O792" i="2"/>
  <c r="N792" i="2"/>
  <c r="M792" i="2"/>
  <c r="L792" i="2"/>
  <c r="K792" i="2"/>
  <c r="J792" i="2"/>
  <c r="O791" i="2"/>
  <c r="N791" i="2"/>
  <c r="M791" i="2"/>
  <c r="L791" i="2"/>
  <c r="K791" i="2"/>
  <c r="J791" i="2"/>
  <c r="O790" i="2"/>
  <c r="N790" i="2"/>
  <c r="M790" i="2"/>
  <c r="L790" i="2"/>
  <c r="K790" i="2"/>
  <c r="J790" i="2"/>
  <c r="O789" i="2"/>
  <c r="N789" i="2"/>
  <c r="M789" i="2"/>
  <c r="L789" i="2"/>
  <c r="K789" i="2"/>
  <c r="J789" i="2"/>
  <c r="O788" i="2"/>
  <c r="N788" i="2"/>
  <c r="M788" i="2"/>
  <c r="L788" i="2"/>
  <c r="K788" i="2"/>
  <c r="J788" i="2"/>
  <c r="O787" i="2"/>
  <c r="N787" i="2"/>
  <c r="M787" i="2"/>
  <c r="L787" i="2"/>
  <c r="K787" i="2"/>
  <c r="J787" i="2"/>
  <c r="O786" i="2"/>
  <c r="N786" i="2"/>
  <c r="M786" i="2"/>
  <c r="L786" i="2"/>
  <c r="K786" i="2"/>
  <c r="J786" i="2"/>
  <c r="O785" i="2"/>
  <c r="N785" i="2"/>
  <c r="M785" i="2"/>
  <c r="L785" i="2"/>
  <c r="K785" i="2"/>
  <c r="J785" i="2"/>
  <c r="O784" i="2"/>
  <c r="N784" i="2"/>
  <c r="M784" i="2"/>
  <c r="L784" i="2"/>
  <c r="K784" i="2"/>
  <c r="J784" i="2"/>
  <c r="O783" i="2"/>
  <c r="N783" i="2"/>
  <c r="M783" i="2"/>
  <c r="L783" i="2"/>
  <c r="K783" i="2"/>
  <c r="J783" i="2"/>
  <c r="O782" i="2"/>
  <c r="N782" i="2"/>
  <c r="M782" i="2"/>
  <c r="L782" i="2"/>
  <c r="K782" i="2"/>
  <c r="J782" i="2"/>
  <c r="O781" i="2"/>
  <c r="N781" i="2"/>
  <c r="M781" i="2"/>
  <c r="L781" i="2"/>
  <c r="K781" i="2"/>
  <c r="J781" i="2"/>
  <c r="O780" i="2"/>
  <c r="N780" i="2"/>
  <c r="M780" i="2"/>
  <c r="L780" i="2"/>
  <c r="K780" i="2"/>
  <c r="J780" i="2"/>
  <c r="O779" i="2"/>
  <c r="N779" i="2"/>
  <c r="M779" i="2"/>
  <c r="L779" i="2"/>
  <c r="K779" i="2"/>
  <c r="J779" i="2"/>
  <c r="O778" i="2"/>
  <c r="N778" i="2"/>
  <c r="M778" i="2"/>
  <c r="L778" i="2"/>
  <c r="K778" i="2"/>
  <c r="J778" i="2"/>
  <c r="O777" i="2"/>
  <c r="N777" i="2"/>
  <c r="M777" i="2"/>
  <c r="L777" i="2"/>
  <c r="K777" i="2"/>
  <c r="J777" i="2"/>
  <c r="O776" i="2"/>
  <c r="N776" i="2"/>
  <c r="M776" i="2"/>
  <c r="L776" i="2"/>
  <c r="K776" i="2"/>
  <c r="J776" i="2"/>
  <c r="O775" i="2"/>
  <c r="N775" i="2"/>
  <c r="M775" i="2"/>
  <c r="L775" i="2"/>
  <c r="K775" i="2"/>
  <c r="J775" i="2"/>
  <c r="O774" i="2"/>
  <c r="N774" i="2"/>
  <c r="M774" i="2"/>
  <c r="L774" i="2"/>
  <c r="K774" i="2"/>
  <c r="J774" i="2"/>
  <c r="O773" i="2"/>
  <c r="N773" i="2"/>
  <c r="M773" i="2"/>
  <c r="L773" i="2"/>
  <c r="K773" i="2"/>
  <c r="J773" i="2"/>
  <c r="O772" i="2"/>
  <c r="N772" i="2"/>
  <c r="M772" i="2"/>
  <c r="L772" i="2"/>
  <c r="K772" i="2"/>
  <c r="J772" i="2"/>
  <c r="O771" i="2"/>
  <c r="N771" i="2"/>
  <c r="M771" i="2"/>
  <c r="L771" i="2"/>
  <c r="K771" i="2"/>
  <c r="J771" i="2"/>
  <c r="O770" i="2"/>
  <c r="N770" i="2"/>
  <c r="M770" i="2"/>
  <c r="L770" i="2"/>
  <c r="K770" i="2"/>
  <c r="J770" i="2"/>
  <c r="O769" i="2"/>
  <c r="N769" i="2"/>
  <c r="M769" i="2"/>
  <c r="L769" i="2"/>
  <c r="K769" i="2"/>
  <c r="J769" i="2"/>
  <c r="O768" i="2"/>
  <c r="N768" i="2"/>
  <c r="M768" i="2"/>
  <c r="L768" i="2"/>
  <c r="K768" i="2"/>
  <c r="J768" i="2"/>
  <c r="O767" i="2"/>
  <c r="N767" i="2"/>
  <c r="M767" i="2"/>
  <c r="L767" i="2"/>
  <c r="K767" i="2"/>
  <c r="J767" i="2"/>
  <c r="O766" i="2"/>
  <c r="N766" i="2"/>
  <c r="M766" i="2"/>
  <c r="L766" i="2"/>
  <c r="K766" i="2"/>
  <c r="J766" i="2"/>
  <c r="O765" i="2"/>
  <c r="N765" i="2"/>
  <c r="M765" i="2"/>
  <c r="L765" i="2"/>
  <c r="K765" i="2"/>
  <c r="J765" i="2"/>
  <c r="O764" i="2"/>
  <c r="N764" i="2"/>
  <c r="M764" i="2"/>
  <c r="L764" i="2"/>
  <c r="K764" i="2"/>
  <c r="J764" i="2"/>
  <c r="O763" i="2"/>
  <c r="N763" i="2"/>
  <c r="M763" i="2"/>
  <c r="L763" i="2"/>
  <c r="K763" i="2"/>
  <c r="J763" i="2"/>
  <c r="O762" i="2"/>
  <c r="N762" i="2"/>
  <c r="M762" i="2"/>
  <c r="L762" i="2"/>
  <c r="K762" i="2"/>
  <c r="J762" i="2"/>
  <c r="O761" i="2"/>
  <c r="N761" i="2"/>
  <c r="M761" i="2"/>
  <c r="L761" i="2"/>
  <c r="K761" i="2"/>
  <c r="J761" i="2"/>
  <c r="O760" i="2"/>
  <c r="N760" i="2"/>
  <c r="M760" i="2"/>
  <c r="L760" i="2"/>
  <c r="K760" i="2"/>
  <c r="J760" i="2"/>
  <c r="O759" i="2"/>
  <c r="N759" i="2"/>
  <c r="M759" i="2"/>
  <c r="L759" i="2"/>
  <c r="K759" i="2"/>
  <c r="J759" i="2"/>
  <c r="O758" i="2"/>
  <c r="N758" i="2"/>
  <c r="M758" i="2"/>
  <c r="L758" i="2"/>
  <c r="K758" i="2"/>
  <c r="J758" i="2"/>
  <c r="O757" i="2"/>
  <c r="N757" i="2"/>
  <c r="M757" i="2"/>
  <c r="L757" i="2"/>
  <c r="K757" i="2"/>
  <c r="J757" i="2"/>
  <c r="O756" i="2"/>
  <c r="N756" i="2"/>
  <c r="M756" i="2"/>
  <c r="L756" i="2"/>
  <c r="K756" i="2"/>
  <c r="J756" i="2"/>
  <c r="O755" i="2"/>
  <c r="N755" i="2"/>
  <c r="M755" i="2"/>
  <c r="L755" i="2"/>
  <c r="K755" i="2"/>
  <c r="J755" i="2"/>
  <c r="O754" i="2"/>
  <c r="N754" i="2"/>
  <c r="M754" i="2"/>
  <c r="L754" i="2"/>
  <c r="K754" i="2"/>
  <c r="J754" i="2"/>
  <c r="O753" i="2"/>
  <c r="N753" i="2"/>
  <c r="M753" i="2"/>
  <c r="L753" i="2"/>
  <c r="K753" i="2"/>
  <c r="J753" i="2"/>
  <c r="O752" i="2"/>
  <c r="N752" i="2"/>
  <c r="M752" i="2"/>
  <c r="L752" i="2"/>
  <c r="K752" i="2"/>
  <c r="J752" i="2"/>
  <c r="O751" i="2"/>
  <c r="N751" i="2"/>
  <c r="M751" i="2"/>
  <c r="L751" i="2"/>
  <c r="K751" i="2"/>
  <c r="J751" i="2"/>
  <c r="O750" i="2"/>
  <c r="N750" i="2"/>
  <c r="M750" i="2"/>
  <c r="L750" i="2"/>
  <c r="K750" i="2"/>
  <c r="J750" i="2"/>
  <c r="O749" i="2"/>
  <c r="N749" i="2"/>
  <c r="M749" i="2"/>
  <c r="L749" i="2"/>
  <c r="K749" i="2"/>
  <c r="J749" i="2"/>
  <c r="O748" i="2"/>
  <c r="N748" i="2"/>
  <c r="M748" i="2"/>
  <c r="L748" i="2"/>
  <c r="K748" i="2"/>
  <c r="J748" i="2"/>
  <c r="O747" i="2"/>
  <c r="N747" i="2"/>
  <c r="M747" i="2"/>
  <c r="L747" i="2"/>
  <c r="K747" i="2"/>
  <c r="J747" i="2"/>
  <c r="O746" i="2"/>
  <c r="N746" i="2"/>
  <c r="M746" i="2"/>
  <c r="L746" i="2"/>
  <c r="K746" i="2"/>
  <c r="J746" i="2"/>
  <c r="O745" i="2"/>
  <c r="N745" i="2"/>
  <c r="M745" i="2"/>
  <c r="L745" i="2"/>
  <c r="K745" i="2"/>
  <c r="J745" i="2"/>
  <c r="O744" i="2"/>
  <c r="N744" i="2"/>
  <c r="M744" i="2"/>
  <c r="L744" i="2"/>
  <c r="K744" i="2"/>
  <c r="J744" i="2"/>
  <c r="O743" i="2"/>
  <c r="N743" i="2"/>
  <c r="M743" i="2"/>
  <c r="L743" i="2"/>
  <c r="K743" i="2"/>
  <c r="J743" i="2"/>
  <c r="O742" i="2"/>
  <c r="N742" i="2"/>
  <c r="M742" i="2"/>
  <c r="L742" i="2"/>
  <c r="K742" i="2"/>
  <c r="J742" i="2"/>
  <c r="O741" i="2"/>
  <c r="N741" i="2"/>
  <c r="M741" i="2"/>
  <c r="L741" i="2"/>
  <c r="K741" i="2"/>
  <c r="J741" i="2"/>
  <c r="O740" i="2"/>
  <c r="N740" i="2"/>
  <c r="M740" i="2"/>
  <c r="L740" i="2"/>
  <c r="K740" i="2"/>
  <c r="J740" i="2"/>
  <c r="O739" i="2"/>
  <c r="N739" i="2"/>
  <c r="M739" i="2"/>
  <c r="L739" i="2"/>
  <c r="K739" i="2"/>
  <c r="J739" i="2"/>
  <c r="O738" i="2"/>
  <c r="N738" i="2"/>
  <c r="M738" i="2"/>
  <c r="L738" i="2"/>
  <c r="K738" i="2"/>
  <c r="J738" i="2"/>
  <c r="O737" i="2"/>
  <c r="N737" i="2"/>
  <c r="M737" i="2"/>
  <c r="L737" i="2"/>
  <c r="K737" i="2"/>
  <c r="J737" i="2"/>
  <c r="O736" i="2"/>
  <c r="N736" i="2"/>
  <c r="M736" i="2"/>
  <c r="L736" i="2"/>
  <c r="K736" i="2"/>
  <c r="J736" i="2"/>
  <c r="O735" i="2"/>
  <c r="N735" i="2"/>
  <c r="M735" i="2"/>
  <c r="L735" i="2"/>
  <c r="K735" i="2"/>
  <c r="J735" i="2"/>
  <c r="O734" i="2"/>
  <c r="N734" i="2"/>
  <c r="M734" i="2"/>
  <c r="L734" i="2"/>
  <c r="K734" i="2"/>
  <c r="J734" i="2"/>
  <c r="O733" i="2"/>
  <c r="N733" i="2"/>
  <c r="M733" i="2"/>
  <c r="L733" i="2"/>
  <c r="K733" i="2"/>
  <c r="J733" i="2"/>
  <c r="O732" i="2"/>
  <c r="N732" i="2"/>
  <c r="M732" i="2"/>
  <c r="L732" i="2"/>
  <c r="K732" i="2"/>
  <c r="J732" i="2"/>
  <c r="O731" i="2"/>
  <c r="N731" i="2"/>
  <c r="M731" i="2"/>
  <c r="L731" i="2"/>
  <c r="K731" i="2"/>
  <c r="J731" i="2"/>
  <c r="O730" i="2"/>
  <c r="N730" i="2"/>
  <c r="M730" i="2"/>
  <c r="L730" i="2"/>
  <c r="K730" i="2"/>
  <c r="J730" i="2"/>
  <c r="O729" i="2"/>
  <c r="N729" i="2"/>
  <c r="M729" i="2"/>
  <c r="L729" i="2"/>
  <c r="K729" i="2"/>
  <c r="J729" i="2"/>
  <c r="O728" i="2"/>
  <c r="N728" i="2"/>
  <c r="M728" i="2"/>
  <c r="L728" i="2"/>
  <c r="K728" i="2"/>
  <c r="J728" i="2"/>
  <c r="O727" i="2"/>
  <c r="N727" i="2"/>
  <c r="M727" i="2"/>
  <c r="L727" i="2"/>
  <c r="K727" i="2"/>
  <c r="J727" i="2"/>
  <c r="O726" i="2"/>
  <c r="N726" i="2"/>
  <c r="M726" i="2"/>
  <c r="L726" i="2"/>
  <c r="K726" i="2"/>
  <c r="J726" i="2"/>
  <c r="O725" i="2"/>
  <c r="N725" i="2"/>
  <c r="M725" i="2"/>
  <c r="L725" i="2"/>
  <c r="K725" i="2"/>
  <c r="J725" i="2"/>
  <c r="O724" i="2"/>
  <c r="N724" i="2"/>
  <c r="M724" i="2"/>
  <c r="L724" i="2"/>
  <c r="K724" i="2"/>
  <c r="J724" i="2"/>
  <c r="O723" i="2"/>
  <c r="N723" i="2"/>
  <c r="M723" i="2"/>
  <c r="L723" i="2"/>
  <c r="K723" i="2"/>
  <c r="J723" i="2"/>
  <c r="O722" i="2"/>
  <c r="N722" i="2"/>
  <c r="M722" i="2"/>
  <c r="L722" i="2"/>
  <c r="K722" i="2"/>
  <c r="J722" i="2"/>
  <c r="O721" i="2"/>
  <c r="N721" i="2"/>
  <c r="M721" i="2"/>
  <c r="L721" i="2"/>
  <c r="K721" i="2"/>
  <c r="J721" i="2"/>
  <c r="O720" i="2"/>
  <c r="N720" i="2"/>
  <c r="M720" i="2"/>
  <c r="L720" i="2"/>
  <c r="K720" i="2"/>
  <c r="J720" i="2"/>
  <c r="O719" i="2"/>
  <c r="N719" i="2"/>
  <c r="M719" i="2"/>
  <c r="L719" i="2"/>
  <c r="K719" i="2"/>
  <c r="J719" i="2"/>
  <c r="O718" i="2"/>
  <c r="N718" i="2"/>
  <c r="M718" i="2"/>
  <c r="L718" i="2"/>
  <c r="K718" i="2"/>
  <c r="J718" i="2"/>
  <c r="O717" i="2"/>
  <c r="N717" i="2"/>
  <c r="M717" i="2"/>
  <c r="L717" i="2"/>
  <c r="K717" i="2"/>
  <c r="J717" i="2"/>
  <c r="O716" i="2"/>
  <c r="N716" i="2"/>
  <c r="M716" i="2"/>
  <c r="L716" i="2"/>
  <c r="K716" i="2"/>
  <c r="J716" i="2"/>
  <c r="O715" i="2"/>
  <c r="N715" i="2"/>
  <c r="M715" i="2"/>
  <c r="L715" i="2"/>
  <c r="K715" i="2"/>
  <c r="J715" i="2"/>
  <c r="O714" i="2"/>
  <c r="N714" i="2"/>
  <c r="M714" i="2"/>
  <c r="L714" i="2"/>
  <c r="K714" i="2"/>
  <c r="J714" i="2"/>
  <c r="O713" i="2"/>
  <c r="N713" i="2"/>
  <c r="M713" i="2"/>
  <c r="L713" i="2"/>
  <c r="K713" i="2"/>
  <c r="J713" i="2"/>
  <c r="O712" i="2"/>
  <c r="N712" i="2"/>
  <c r="M712" i="2"/>
  <c r="L712" i="2"/>
  <c r="K712" i="2"/>
  <c r="J712" i="2"/>
  <c r="O711" i="2"/>
  <c r="N711" i="2"/>
  <c r="M711" i="2"/>
  <c r="L711" i="2"/>
  <c r="K711" i="2"/>
  <c r="J711" i="2"/>
  <c r="O710" i="2"/>
  <c r="N710" i="2"/>
  <c r="M710" i="2"/>
  <c r="L710" i="2"/>
  <c r="K710" i="2"/>
  <c r="J710" i="2"/>
  <c r="O709" i="2"/>
  <c r="N709" i="2"/>
  <c r="M709" i="2"/>
  <c r="L709" i="2"/>
  <c r="K709" i="2"/>
  <c r="J709" i="2"/>
  <c r="O708" i="2"/>
  <c r="N708" i="2"/>
  <c r="M708" i="2"/>
  <c r="L708" i="2"/>
  <c r="K708" i="2"/>
  <c r="J708" i="2"/>
  <c r="O707" i="2"/>
  <c r="N707" i="2"/>
  <c r="M707" i="2"/>
  <c r="L707" i="2"/>
  <c r="K707" i="2"/>
  <c r="J707" i="2"/>
  <c r="O706" i="2"/>
  <c r="N706" i="2"/>
  <c r="M706" i="2"/>
  <c r="L706" i="2"/>
  <c r="K706" i="2"/>
  <c r="J706" i="2"/>
  <c r="O705" i="2"/>
  <c r="N705" i="2"/>
  <c r="M705" i="2"/>
  <c r="L705" i="2"/>
  <c r="K705" i="2"/>
  <c r="J705" i="2"/>
  <c r="O704" i="2"/>
  <c r="N704" i="2"/>
  <c r="M704" i="2"/>
  <c r="L704" i="2"/>
  <c r="K704" i="2"/>
  <c r="J704" i="2"/>
  <c r="O703" i="2"/>
  <c r="N703" i="2"/>
  <c r="M703" i="2"/>
  <c r="L703" i="2"/>
  <c r="K703" i="2"/>
  <c r="J703" i="2"/>
  <c r="O702" i="2"/>
  <c r="N702" i="2"/>
  <c r="M702" i="2"/>
  <c r="L702" i="2"/>
  <c r="K702" i="2"/>
  <c r="J702" i="2"/>
  <c r="O701" i="2"/>
  <c r="N701" i="2"/>
  <c r="M701" i="2"/>
  <c r="L701" i="2"/>
  <c r="K701" i="2"/>
  <c r="J701" i="2"/>
  <c r="O700" i="2"/>
  <c r="N700" i="2"/>
  <c r="M700" i="2"/>
  <c r="L700" i="2"/>
  <c r="K700" i="2"/>
  <c r="J700" i="2"/>
  <c r="O699" i="2"/>
  <c r="N699" i="2"/>
  <c r="M699" i="2"/>
  <c r="L699" i="2"/>
  <c r="K699" i="2"/>
  <c r="J699" i="2"/>
  <c r="O698" i="2"/>
  <c r="N698" i="2"/>
  <c r="M698" i="2"/>
  <c r="L698" i="2"/>
  <c r="K698" i="2"/>
  <c r="J698" i="2"/>
  <c r="O697" i="2"/>
  <c r="N697" i="2"/>
  <c r="M697" i="2"/>
  <c r="L697" i="2"/>
  <c r="K697" i="2"/>
  <c r="J697" i="2"/>
  <c r="O696" i="2"/>
  <c r="N696" i="2"/>
  <c r="M696" i="2"/>
  <c r="L696" i="2"/>
  <c r="K696" i="2"/>
  <c r="J696" i="2"/>
  <c r="O695" i="2"/>
  <c r="N695" i="2"/>
  <c r="M695" i="2"/>
  <c r="L695" i="2"/>
  <c r="K695" i="2"/>
  <c r="J695" i="2"/>
  <c r="O694" i="2"/>
  <c r="N694" i="2"/>
  <c r="M694" i="2"/>
  <c r="L694" i="2"/>
  <c r="K694" i="2"/>
  <c r="J694" i="2"/>
  <c r="O693" i="2"/>
  <c r="N693" i="2"/>
  <c r="M693" i="2"/>
  <c r="L693" i="2"/>
  <c r="K693" i="2"/>
  <c r="J693" i="2"/>
  <c r="O692" i="2"/>
  <c r="N692" i="2"/>
  <c r="M692" i="2"/>
  <c r="L692" i="2"/>
  <c r="K692" i="2"/>
  <c r="J692" i="2"/>
  <c r="O691" i="2"/>
  <c r="N691" i="2"/>
  <c r="M691" i="2"/>
  <c r="L691" i="2"/>
  <c r="K691" i="2"/>
  <c r="J691" i="2"/>
  <c r="O690" i="2"/>
  <c r="N690" i="2"/>
  <c r="M690" i="2"/>
  <c r="L690" i="2"/>
  <c r="K690" i="2"/>
  <c r="J690" i="2"/>
  <c r="O689" i="2"/>
  <c r="N689" i="2"/>
  <c r="M689" i="2"/>
  <c r="L689" i="2"/>
  <c r="K689" i="2"/>
  <c r="J689" i="2"/>
  <c r="O688" i="2"/>
  <c r="N688" i="2"/>
  <c r="M688" i="2"/>
  <c r="L688" i="2"/>
  <c r="K688" i="2"/>
  <c r="J688" i="2"/>
  <c r="O687" i="2"/>
  <c r="N687" i="2"/>
  <c r="M687" i="2"/>
  <c r="L687" i="2"/>
  <c r="K687" i="2"/>
  <c r="J687" i="2"/>
  <c r="O686" i="2"/>
  <c r="N686" i="2"/>
  <c r="M686" i="2"/>
  <c r="L686" i="2"/>
  <c r="K686" i="2"/>
  <c r="J686" i="2"/>
  <c r="O685" i="2"/>
  <c r="N685" i="2"/>
  <c r="M685" i="2"/>
  <c r="L685" i="2"/>
  <c r="K685" i="2"/>
  <c r="J685" i="2"/>
  <c r="O684" i="2"/>
  <c r="N684" i="2"/>
  <c r="M684" i="2"/>
  <c r="L684" i="2"/>
  <c r="K684" i="2"/>
  <c r="J684" i="2"/>
  <c r="O683" i="2"/>
  <c r="N683" i="2"/>
  <c r="M683" i="2"/>
  <c r="L683" i="2"/>
  <c r="K683" i="2"/>
  <c r="J683" i="2"/>
  <c r="O682" i="2"/>
  <c r="N682" i="2"/>
  <c r="M682" i="2"/>
  <c r="L682" i="2"/>
  <c r="K682" i="2"/>
  <c r="J682" i="2"/>
  <c r="O681" i="2"/>
  <c r="N681" i="2"/>
  <c r="M681" i="2"/>
  <c r="L681" i="2"/>
  <c r="K681" i="2"/>
  <c r="J681" i="2"/>
  <c r="O680" i="2"/>
  <c r="N680" i="2"/>
  <c r="M680" i="2"/>
  <c r="L680" i="2"/>
  <c r="K680" i="2"/>
  <c r="J680" i="2"/>
  <c r="O679" i="2"/>
  <c r="N679" i="2"/>
  <c r="M679" i="2"/>
  <c r="L679" i="2"/>
  <c r="K679" i="2"/>
  <c r="J679" i="2"/>
  <c r="O678" i="2"/>
  <c r="N678" i="2"/>
  <c r="M678" i="2"/>
  <c r="L678" i="2"/>
  <c r="K678" i="2"/>
  <c r="J678" i="2"/>
  <c r="O677" i="2"/>
  <c r="N677" i="2"/>
  <c r="M677" i="2"/>
  <c r="L677" i="2"/>
  <c r="K677" i="2"/>
  <c r="J677" i="2"/>
  <c r="O676" i="2"/>
  <c r="N676" i="2"/>
  <c r="M676" i="2"/>
  <c r="L676" i="2"/>
  <c r="K676" i="2"/>
  <c r="J676" i="2"/>
  <c r="O675" i="2"/>
  <c r="N675" i="2"/>
  <c r="M675" i="2"/>
  <c r="L675" i="2"/>
  <c r="K675" i="2"/>
  <c r="J675" i="2"/>
  <c r="O674" i="2"/>
  <c r="N674" i="2"/>
  <c r="M674" i="2"/>
  <c r="L674" i="2"/>
  <c r="K674" i="2"/>
  <c r="J674" i="2"/>
  <c r="O673" i="2"/>
  <c r="N673" i="2"/>
  <c r="M673" i="2"/>
  <c r="L673" i="2"/>
  <c r="K673" i="2"/>
  <c r="J673" i="2"/>
  <c r="O672" i="2"/>
  <c r="N672" i="2"/>
  <c r="M672" i="2"/>
  <c r="L672" i="2"/>
  <c r="K672" i="2"/>
  <c r="J672" i="2"/>
  <c r="O671" i="2"/>
  <c r="N671" i="2"/>
  <c r="M671" i="2"/>
  <c r="L671" i="2"/>
  <c r="K671" i="2"/>
  <c r="J671" i="2"/>
  <c r="O670" i="2"/>
  <c r="N670" i="2"/>
  <c r="M670" i="2"/>
  <c r="L670" i="2"/>
  <c r="K670" i="2"/>
  <c r="J670" i="2"/>
  <c r="O669" i="2"/>
  <c r="N669" i="2"/>
  <c r="M669" i="2"/>
  <c r="L669" i="2"/>
  <c r="K669" i="2"/>
  <c r="J669" i="2"/>
  <c r="O668" i="2"/>
  <c r="N668" i="2"/>
  <c r="M668" i="2"/>
  <c r="L668" i="2"/>
  <c r="K668" i="2"/>
  <c r="J668" i="2"/>
  <c r="O667" i="2"/>
  <c r="N667" i="2"/>
  <c r="M667" i="2"/>
  <c r="L667" i="2"/>
  <c r="K667" i="2"/>
  <c r="J667" i="2"/>
  <c r="O666" i="2"/>
  <c r="N666" i="2"/>
  <c r="M666" i="2"/>
  <c r="L666" i="2"/>
  <c r="K666" i="2"/>
  <c r="J666" i="2"/>
  <c r="O665" i="2"/>
  <c r="N665" i="2"/>
  <c r="M665" i="2"/>
  <c r="L665" i="2"/>
  <c r="K665" i="2"/>
  <c r="J665" i="2"/>
  <c r="O664" i="2"/>
  <c r="N664" i="2"/>
  <c r="M664" i="2"/>
  <c r="L664" i="2"/>
  <c r="K664" i="2"/>
  <c r="J664" i="2"/>
  <c r="O663" i="2"/>
  <c r="N663" i="2"/>
  <c r="M663" i="2"/>
  <c r="L663" i="2"/>
  <c r="K663" i="2"/>
  <c r="J663" i="2"/>
  <c r="O662" i="2"/>
  <c r="N662" i="2"/>
  <c r="M662" i="2"/>
  <c r="L662" i="2"/>
  <c r="K662" i="2"/>
  <c r="J662" i="2"/>
  <c r="O661" i="2"/>
  <c r="N661" i="2"/>
  <c r="M661" i="2"/>
  <c r="L661" i="2"/>
  <c r="K661" i="2"/>
  <c r="J661" i="2"/>
  <c r="O660" i="2"/>
  <c r="N660" i="2"/>
  <c r="M660" i="2"/>
  <c r="L660" i="2"/>
  <c r="K660" i="2"/>
  <c r="J660" i="2"/>
  <c r="O659" i="2"/>
  <c r="N659" i="2"/>
  <c r="M659" i="2"/>
  <c r="L659" i="2"/>
  <c r="K659" i="2"/>
  <c r="J659" i="2"/>
  <c r="O658" i="2"/>
  <c r="N658" i="2"/>
  <c r="M658" i="2"/>
  <c r="L658" i="2"/>
  <c r="K658" i="2"/>
  <c r="J658" i="2"/>
  <c r="O657" i="2"/>
  <c r="N657" i="2"/>
  <c r="M657" i="2"/>
  <c r="L657" i="2"/>
  <c r="K657" i="2"/>
  <c r="J657" i="2"/>
  <c r="O656" i="2"/>
  <c r="N656" i="2"/>
  <c r="M656" i="2"/>
  <c r="L656" i="2"/>
  <c r="K656" i="2"/>
  <c r="J656" i="2"/>
  <c r="O655" i="2"/>
  <c r="N655" i="2"/>
  <c r="M655" i="2"/>
  <c r="L655" i="2"/>
  <c r="K655" i="2"/>
  <c r="J655" i="2"/>
  <c r="O654" i="2"/>
  <c r="N654" i="2"/>
  <c r="M654" i="2"/>
  <c r="L654" i="2"/>
  <c r="K654" i="2"/>
  <c r="J654" i="2"/>
  <c r="O653" i="2"/>
  <c r="N653" i="2"/>
  <c r="M653" i="2"/>
  <c r="L653" i="2"/>
  <c r="K653" i="2"/>
  <c r="J653" i="2"/>
  <c r="O652" i="2"/>
  <c r="N652" i="2"/>
  <c r="M652" i="2"/>
  <c r="L652" i="2"/>
  <c r="K652" i="2"/>
  <c r="J652" i="2"/>
  <c r="O651" i="2"/>
  <c r="N651" i="2"/>
  <c r="M651" i="2"/>
  <c r="L651" i="2"/>
  <c r="K651" i="2"/>
  <c r="J651" i="2"/>
  <c r="O650" i="2"/>
  <c r="N650" i="2"/>
  <c r="M650" i="2"/>
  <c r="L650" i="2"/>
  <c r="K650" i="2"/>
  <c r="J650" i="2"/>
  <c r="O649" i="2"/>
  <c r="N649" i="2"/>
  <c r="M649" i="2"/>
  <c r="L649" i="2"/>
  <c r="K649" i="2"/>
  <c r="J649" i="2"/>
  <c r="O648" i="2"/>
  <c r="N648" i="2"/>
  <c r="M648" i="2"/>
  <c r="L648" i="2"/>
  <c r="K648" i="2"/>
  <c r="J648" i="2"/>
  <c r="O647" i="2"/>
  <c r="N647" i="2"/>
  <c r="M647" i="2"/>
  <c r="L647" i="2"/>
  <c r="K647" i="2"/>
  <c r="J647" i="2"/>
  <c r="O646" i="2"/>
  <c r="N646" i="2"/>
  <c r="M646" i="2"/>
  <c r="L646" i="2"/>
  <c r="K646" i="2"/>
  <c r="J646" i="2"/>
  <c r="O645" i="2"/>
  <c r="N645" i="2"/>
  <c r="M645" i="2"/>
  <c r="L645" i="2"/>
  <c r="K645" i="2"/>
  <c r="J645" i="2"/>
  <c r="O644" i="2"/>
  <c r="N644" i="2"/>
  <c r="M644" i="2"/>
  <c r="L644" i="2"/>
  <c r="K644" i="2"/>
  <c r="J644" i="2"/>
  <c r="O643" i="2"/>
  <c r="N643" i="2"/>
  <c r="M643" i="2"/>
  <c r="L643" i="2"/>
  <c r="K643" i="2"/>
  <c r="J643" i="2"/>
  <c r="O642" i="2"/>
  <c r="N642" i="2"/>
  <c r="M642" i="2"/>
  <c r="L642" i="2"/>
  <c r="K642" i="2"/>
  <c r="J642" i="2"/>
  <c r="O641" i="2"/>
  <c r="N641" i="2"/>
  <c r="M641" i="2"/>
  <c r="L641" i="2"/>
  <c r="K641" i="2"/>
  <c r="J641" i="2"/>
  <c r="O640" i="2"/>
  <c r="N640" i="2"/>
  <c r="M640" i="2"/>
  <c r="L640" i="2"/>
  <c r="K640" i="2"/>
  <c r="J640" i="2"/>
  <c r="O639" i="2"/>
  <c r="N639" i="2"/>
  <c r="M639" i="2"/>
  <c r="L639" i="2"/>
  <c r="K639" i="2"/>
  <c r="J639" i="2"/>
  <c r="O638" i="2"/>
  <c r="N638" i="2"/>
  <c r="M638" i="2"/>
  <c r="L638" i="2"/>
  <c r="K638" i="2"/>
  <c r="J638" i="2"/>
  <c r="O637" i="2"/>
  <c r="N637" i="2"/>
  <c r="M637" i="2"/>
  <c r="L637" i="2"/>
  <c r="K637" i="2"/>
  <c r="J637" i="2"/>
  <c r="O636" i="2"/>
  <c r="N636" i="2"/>
  <c r="M636" i="2"/>
  <c r="L636" i="2"/>
  <c r="K636" i="2"/>
  <c r="J636" i="2"/>
  <c r="O635" i="2"/>
  <c r="N635" i="2"/>
  <c r="M635" i="2"/>
  <c r="L635" i="2"/>
  <c r="K635" i="2"/>
  <c r="J635" i="2"/>
  <c r="O634" i="2"/>
  <c r="N634" i="2"/>
  <c r="M634" i="2"/>
  <c r="L634" i="2"/>
  <c r="K634" i="2"/>
  <c r="J634" i="2"/>
  <c r="O633" i="2"/>
  <c r="N633" i="2"/>
  <c r="M633" i="2"/>
  <c r="L633" i="2"/>
  <c r="K633" i="2"/>
  <c r="J633" i="2"/>
  <c r="O632" i="2"/>
  <c r="N632" i="2"/>
  <c r="M632" i="2"/>
  <c r="L632" i="2"/>
  <c r="K632" i="2"/>
  <c r="J632" i="2"/>
  <c r="O631" i="2"/>
  <c r="N631" i="2"/>
  <c r="M631" i="2"/>
  <c r="L631" i="2"/>
  <c r="K631" i="2"/>
  <c r="J631" i="2"/>
  <c r="O630" i="2"/>
  <c r="N630" i="2"/>
  <c r="M630" i="2"/>
  <c r="L630" i="2"/>
  <c r="K630" i="2"/>
  <c r="J630" i="2"/>
  <c r="O629" i="2"/>
  <c r="N629" i="2"/>
  <c r="M629" i="2"/>
  <c r="L629" i="2"/>
  <c r="K629" i="2"/>
  <c r="J629" i="2"/>
  <c r="O628" i="2"/>
  <c r="N628" i="2"/>
  <c r="M628" i="2"/>
  <c r="L628" i="2"/>
  <c r="K628" i="2"/>
  <c r="J628" i="2"/>
  <c r="O627" i="2"/>
  <c r="N627" i="2"/>
  <c r="M627" i="2"/>
  <c r="L627" i="2"/>
  <c r="K627" i="2"/>
  <c r="J627" i="2"/>
  <c r="O626" i="2"/>
  <c r="N626" i="2"/>
  <c r="M626" i="2"/>
  <c r="L626" i="2"/>
  <c r="K626" i="2"/>
  <c r="J626" i="2"/>
  <c r="O625" i="2"/>
  <c r="N625" i="2"/>
  <c r="M625" i="2"/>
  <c r="L625" i="2"/>
  <c r="K625" i="2"/>
  <c r="J625" i="2"/>
  <c r="O624" i="2"/>
  <c r="N624" i="2"/>
  <c r="M624" i="2"/>
  <c r="L624" i="2"/>
  <c r="K624" i="2"/>
  <c r="J624" i="2"/>
  <c r="O623" i="2"/>
  <c r="N623" i="2"/>
  <c r="M623" i="2"/>
  <c r="L623" i="2"/>
  <c r="K623" i="2"/>
  <c r="J623" i="2"/>
  <c r="O622" i="2"/>
  <c r="N622" i="2"/>
  <c r="M622" i="2"/>
  <c r="L622" i="2"/>
  <c r="K622" i="2"/>
  <c r="J622" i="2"/>
  <c r="O621" i="2"/>
  <c r="N621" i="2"/>
  <c r="M621" i="2"/>
  <c r="L621" i="2"/>
  <c r="K621" i="2"/>
  <c r="J621" i="2"/>
  <c r="O620" i="2"/>
  <c r="N620" i="2"/>
  <c r="M620" i="2"/>
  <c r="L620" i="2"/>
  <c r="K620" i="2"/>
  <c r="J620" i="2"/>
  <c r="O619" i="2"/>
  <c r="N619" i="2"/>
  <c r="M619" i="2"/>
  <c r="L619" i="2"/>
  <c r="K619" i="2"/>
  <c r="J619" i="2"/>
  <c r="O618" i="2"/>
  <c r="N618" i="2"/>
  <c r="M618" i="2"/>
  <c r="L618" i="2"/>
  <c r="K618" i="2"/>
  <c r="J618" i="2"/>
  <c r="O617" i="2"/>
  <c r="N617" i="2"/>
  <c r="M617" i="2"/>
  <c r="L617" i="2"/>
  <c r="K617" i="2"/>
  <c r="J617" i="2"/>
  <c r="O616" i="2"/>
  <c r="N616" i="2"/>
  <c r="M616" i="2"/>
  <c r="L616" i="2"/>
  <c r="K616" i="2"/>
  <c r="J616" i="2"/>
  <c r="O615" i="2"/>
  <c r="N615" i="2"/>
  <c r="M615" i="2"/>
  <c r="L615" i="2"/>
  <c r="K615" i="2"/>
  <c r="J615" i="2"/>
  <c r="O614" i="2"/>
  <c r="N614" i="2"/>
  <c r="M614" i="2"/>
  <c r="L614" i="2"/>
  <c r="K614" i="2"/>
  <c r="J614" i="2"/>
  <c r="O613" i="2"/>
  <c r="N613" i="2"/>
  <c r="M613" i="2"/>
  <c r="L613" i="2"/>
  <c r="K613" i="2"/>
  <c r="J613" i="2"/>
  <c r="O612" i="2"/>
  <c r="N612" i="2"/>
  <c r="M612" i="2"/>
  <c r="L612" i="2"/>
  <c r="K612" i="2"/>
  <c r="J612" i="2"/>
  <c r="O611" i="2"/>
  <c r="N611" i="2"/>
  <c r="M611" i="2"/>
  <c r="L611" i="2"/>
  <c r="K611" i="2"/>
  <c r="J611" i="2"/>
  <c r="O610" i="2"/>
  <c r="N610" i="2"/>
  <c r="M610" i="2"/>
  <c r="L610" i="2"/>
  <c r="K610" i="2"/>
  <c r="J610" i="2"/>
  <c r="O609" i="2"/>
  <c r="N609" i="2"/>
  <c r="M609" i="2"/>
  <c r="L609" i="2"/>
  <c r="K609" i="2"/>
  <c r="J609" i="2"/>
  <c r="O608" i="2"/>
  <c r="N608" i="2"/>
  <c r="M608" i="2"/>
  <c r="L608" i="2"/>
  <c r="K608" i="2"/>
  <c r="J608" i="2"/>
  <c r="O606" i="2"/>
  <c r="N606" i="2"/>
  <c r="M606" i="2"/>
  <c r="L606" i="2"/>
  <c r="K606" i="2"/>
  <c r="J606" i="2"/>
  <c r="O605" i="2"/>
  <c r="N605" i="2"/>
  <c r="M605" i="2"/>
  <c r="L605" i="2"/>
  <c r="K605" i="2"/>
  <c r="J605" i="2"/>
  <c r="O604" i="2"/>
  <c r="N604" i="2"/>
  <c r="M604" i="2"/>
  <c r="L604" i="2"/>
  <c r="K604" i="2"/>
  <c r="J604" i="2"/>
  <c r="O603" i="2"/>
  <c r="N603" i="2"/>
  <c r="M603" i="2"/>
  <c r="L603" i="2"/>
  <c r="K603" i="2"/>
  <c r="J603" i="2"/>
  <c r="O602" i="2"/>
  <c r="N602" i="2"/>
  <c r="M602" i="2"/>
  <c r="L602" i="2"/>
  <c r="K602" i="2"/>
  <c r="J602" i="2"/>
  <c r="O601" i="2"/>
  <c r="N601" i="2"/>
  <c r="M601" i="2"/>
  <c r="L601" i="2"/>
  <c r="K601" i="2"/>
  <c r="J601" i="2"/>
  <c r="O600" i="2"/>
  <c r="N600" i="2"/>
  <c r="M600" i="2"/>
  <c r="L600" i="2"/>
  <c r="K600" i="2"/>
  <c r="J600" i="2"/>
  <c r="O599" i="2"/>
  <c r="N599" i="2"/>
  <c r="M599" i="2"/>
  <c r="L599" i="2"/>
  <c r="K599" i="2"/>
  <c r="J599" i="2"/>
  <c r="O598" i="2"/>
  <c r="N598" i="2"/>
  <c r="M598" i="2"/>
  <c r="L598" i="2"/>
  <c r="K598" i="2"/>
  <c r="J598" i="2"/>
  <c r="O597" i="2"/>
  <c r="N597" i="2"/>
  <c r="M597" i="2"/>
  <c r="L597" i="2"/>
  <c r="K597" i="2"/>
  <c r="J597" i="2"/>
  <c r="O596" i="2"/>
  <c r="N596" i="2"/>
  <c r="M596" i="2"/>
  <c r="L596" i="2"/>
  <c r="K596" i="2"/>
  <c r="J596" i="2"/>
  <c r="O595" i="2"/>
  <c r="N595" i="2"/>
  <c r="M595" i="2"/>
  <c r="L595" i="2"/>
  <c r="K595" i="2"/>
  <c r="J595" i="2"/>
  <c r="O594" i="2"/>
  <c r="N594" i="2"/>
  <c r="M594" i="2"/>
  <c r="L594" i="2"/>
  <c r="K594" i="2"/>
  <c r="J594" i="2"/>
  <c r="O593" i="2"/>
  <c r="N593" i="2"/>
  <c r="M593" i="2"/>
  <c r="L593" i="2"/>
  <c r="K593" i="2"/>
  <c r="J593" i="2"/>
  <c r="O592" i="2"/>
  <c r="N592" i="2"/>
  <c r="M592" i="2"/>
  <c r="L592" i="2"/>
  <c r="K592" i="2"/>
  <c r="J592" i="2"/>
  <c r="O591" i="2"/>
  <c r="N591" i="2"/>
  <c r="M591" i="2"/>
  <c r="L591" i="2"/>
  <c r="K591" i="2"/>
  <c r="J591" i="2"/>
  <c r="O590" i="2"/>
  <c r="N590" i="2"/>
  <c r="M590" i="2"/>
  <c r="L590" i="2"/>
  <c r="K590" i="2"/>
  <c r="J590" i="2"/>
  <c r="O589" i="2"/>
  <c r="N589" i="2"/>
  <c r="M589" i="2"/>
  <c r="L589" i="2"/>
  <c r="K589" i="2"/>
  <c r="J589" i="2"/>
  <c r="O588" i="2"/>
  <c r="N588" i="2"/>
  <c r="M588" i="2"/>
  <c r="L588" i="2"/>
  <c r="K588" i="2"/>
  <c r="J588" i="2"/>
  <c r="O587" i="2"/>
  <c r="N587" i="2"/>
  <c r="M587" i="2"/>
  <c r="L587" i="2"/>
  <c r="K587" i="2"/>
  <c r="J587" i="2"/>
  <c r="O586" i="2"/>
  <c r="N586" i="2"/>
  <c r="M586" i="2"/>
  <c r="L586" i="2"/>
  <c r="K586" i="2"/>
  <c r="J586" i="2"/>
  <c r="O585" i="2"/>
  <c r="N585" i="2"/>
  <c r="M585" i="2"/>
  <c r="L585" i="2"/>
  <c r="K585" i="2"/>
  <c r="J585" i="2"/>
  <c r="O584" i="2"/>
  <c r="N584" i="2"/>
  <c r="M584" i="2"/>
  <c r="L584" i="2"/>
  <c r="K584" i="2"/>
  <c r="J584" i="2"/>
  <c r="O583" i="2"/>
  <c r="N583" i="2"/>
  <c r="M583" i="2"/>
  <c r="L583" i="2"/>
  <c r="K583" i="2"/>
  <c r="J583" i="2"/>
  <c r="O582" i="2"/>
  <c r="N582" i="2"/>
  <c r="M582" i="2"/>
  <c r="L582" i="2"/>
  <c r="K582" i="2"/>
  <c r="J582" i="2"/>
  <c r="O581" i="2"/>
  <c r="N581" i="2"/>
  <c r="M581" i="2"/>
  <c r="L581" i="2"/>
  <c r="K581" i="2"/>
  <c r="J581" i="2"/>
  <c r="O580" i="2"/>
  <c r="N580" i="2"/>
  <c r="M580" i="2"/>
  <c r="L580" i="2"/>
  <c r="K580" i="2"/>
  <c r="J580" i="2"/>
  <c r="O579" i="2"/>
  <c r="N579" i="2"/>
  <c r="M579" i="2"/>
  <c r="L579" i="2"/>
  <c r="K579" i="2"/>
  <c r="J579" i="2"/>
  <c r="O578" i="2"/>
  <c r="N578" i="2"/>
  <c r="M578" i="2"/>
  <c r="L578" i="2"/>
  <c r="K578" i="2"/>
  <c r="J578" i="2"/>
  <c r="O577" i="2"/>
  <c r="N577" i="2"/>
  <c r="M577" i="2"/>
  <c r="L577" i="2"/>
  <c r="K577" i="2"/>
  <c r="J577" i="2"/>
  <c r="O576" i="2"/>
  <c r="N576" i="2"/>
  <c r="M576" i="2"/>
  <c r="L576" i="2"/>
  <c r="K576" i="2"/>
  <c r="J576" i="2"/>
  <c r="O575" i="2"/>
  <c r="N575" i="2"/>
  <c r="M575" i="2"/>
  <c r="L575" i="2"/>
  <c r="K575" i="2"/>
  <c r="J575" i="2"/>
  <c r="O574" i="2"/>
  <c r="N574" i="2"/>
  <c r="M574" i="2"/>
  <c r="L574" i="2"/>
  <c r="K574" i="2"/>
  <c r="J574" i="2"/>
  <c r="O573" i="2"/>
  <c r="N573" i="2"/>
  <c r="M573" i="2"/>
  <c r="L573" i="2"/>
  <c r="K573" i="2"/>
  <c r="J573" i="2"/>
  <c r="O572" i="2"/>
  <c r="N572" i="2"/>
  <c r="M572" i="2"/>
  <c r="L572" i="2"/>
  <c r="K572" i="2"/>
  <c r="J572" i="2"/>
  <c r="O571" i="2"/>
  <c r="N571" i="2"/>
  <c r="M571" i="2"/>
  <c r="L571" i="2"/>
  <c r="K571" i="2"/>
  <c r="J571" i="2"/>
  <c r="O570" i="2"/>
  <c r="N570" i="2"/>
  <c r="M570" i="2"/>
  <c r="L570" i="2"/>
  <c r="K570" i="2"/>
  <c r="J570" i="2"/>
  <c r="O569" i="2"/>
  <c r="N569" i="2"/>
  <c r="M569" i="2"/>
  <c r="L569" i="2"/>
  <c r="K569" i="2"/>
  <c r="J569" i="2"/>
  <c r="O568" i="2"/>
  <c r="N568" i="2"/>
  <c r="M568" i="2"/>
  <c r="L568" i="2"/>
  <c r="K568" i="2"/>
  <c r="J568" i="2"/>
  <c r="O567" i="2"/>
  <c r="N567" i="2"/>
  <c r="M567" i="2"/>
  <c r="L567" i="2"/>
  <c r="K567" i="2"/>
  <c r="J567" i="2"/>
  <c r="O566" i="2"/>
  <c r="N566" i="2"/>
  <c r="M566" i="2"/>
  <c r="L566" i="2"/>
  <c r="K566" i="2"/>
  <c r="J566" i="2"/>
  <c r="O565" i="2"/>
  <c r="N565" i="2"/>
  <c r="M565" i="2"/>
  <c r="L565" i="2"/>
  <c r="K565" i="2"/>
  <c r="J565" i="2"/>
  <c r="O564" i="2"/>
  <c r="N564" i="2"/>
  <c r="M564" i="2"/>
  <c r="L564" i="2"/>
  <c r="K564" i="2"/>
  <c r="J564" i="2"/>
  <c r="O563" i="2"/>
  <c r="N563" i="2"/>
  <c r="M563" i="2"/>
  <c r="L563" i="2"/>
  <c r="K563" i="2"/>
  <c r="J563" i="2"/>
  <c r="O562" i="2"/>
  <c r="N562" i="2"/>
  <c r="M562" i="2"/>
  <c r="L562" i="2"/>
  <c r="K562" i="2"/>
  <c r="J562" i="2"/>
  <c r="O561" i="2"/>
  <c r="N561" i="2"/>
  <c r="M561" i="2"/>
  <c r="L561" i="2"/>
  <c r="K561" i="2"/>
  <c r="J561" i="2"/>
  <c r="O560" i="2"/>
  <c r="N560" i="2"/>
  <c r="M560" i="2"/>
  <c r="L560" i="2"/>
  <c r="K560" i="2"/>
  <c r="J560" i="2"/>
  <c r="O559" i="2"/>
  <c r="N559" i="2"/>
  <c r="M559" i="2"/>
  <c r="L559" i="2"/>
  <c r="K559" i="2"/>
  <c r="J559" i="2"/>
  <c r="O558" i="2"/>
  <c r="N558" i="2"/>
  <c r="M558" i="2"/>
  <c r="L558" i="2"/>
  <c r="K558" i="2"/>
  <c r="J558" i="2"/>
  <c r="O557" i="2"/>
  <c r="N557" i="2"/>
  <c r="M557" i="2"/>
  <c r="L557" i="2"/>
  <c r="K557" i="2"/>
  <c r="J557" i="2"/>
  <c r="O556" i="2"/>
  <c r="N556" i="2"/>
  <c r="M556" i="2"/>
  <c r="L556" i="2"/>
  <c r="K556" i="2"/>
  <c r="J556" i="2"/>
  <c r="O555" i="2"/>
  <c r="N555" i="2"/>
  <c r="M555" i="2"/>
  <c r="L555" i="2"/>
  <c r="K555" i="2"/>
  <c r="J555" i="2"/>
  <c r="O554" i="2"/>
  <c r="N554" i="2"/>
  <c r="M554" i="2"/>
  <c r="L554" i="2"/>
  <c r="K554" i="2"/>
  <c r="J554" i="2"/>
  <c r="O553" i="2"/>
  <c r="N553" i="2"/>
  <c r="M553" i="2"/>
  <c r="L553" i="2"/>
  <c r="K553" i="2"/>
  <c r="J553" i="2"/>
  <c r="O552" i="2"/>
  <c r="N552" i="2"/>
  <c r="M552" i="2"/>
  <c r="L552" i="2"/>
  <c r="K552" i="2"/>
  <c r="J552" i="2"/>
  <c r="O551" i="2"/>
  <c r="N551" i="2"/>
  <c r="M551" i="2"/>
  <c r="L551" i="2"/>
  <c r="K551" i="2"/>
  <c r="J551" i="2"/>
  <c r="O550" i="2"/>
  <c r="N550" i="2"/>
  <c r="M550" i="2"/>
  <c r="L550" i="2"/>
  <c r="K550" i="2"/>
  <c r="J550" i="2"/>
  <c r="O549" i="2"/>
  <c r="N549" i="2"/>
  <c r="M549" i="2"/>
  <c r="L549" i="2"/>
  <c r="K549" i="2"/>
  <c r="J549" i="2"/>
  <c r="O548" i="2"/>
  <c r="N548" i="2"/>
  <c r="M548" i="2"/>
  <c r="L548" i="2"/>
  <c r="K548" i="2"/>
  <c r="J548" i="2"/>
  <c r="O547" i="2"/>
  <c r="N547" i="2"/>
  <c r="M547" i="2"/>
  <c r="L547" i="2"/>
  <c r="K547" i="2"/>
  <c r="J547" i="2"/>
  <c r="O546" i="2"/>
  <c r="N546" i="2"/>
  <c r="M546" i="2"/>
  <c r="L546" i="2"/>
  <c r="K546" i="2"/>
  <c r="J546" i="2"/>
  <c r="O545" i="2"/>
  <c r="N545" i="2"/>
  <c r="M545" i="2"/>
  <c r="L545" i="2"/>
  <c r="K545" i="2"/>
  <c r="J545" i="2"/>
  <c r="O544" i="2"/>
  <c r="N544" i="2"/>
  <c r="M544" i="2"/>
  <c r="L544" i="2"/>
  <c r="K544" i="2"/>
  <c r="J544" i="2"/>
  <c r="O543" i="2"/>
  <c r="N543" i="2"/>
  <c r="M543" i="2"/>
  <c r="L543" i="2"/>
  <c r="K543" i="2"/>
  <c r="J543" i="2"/>
  <c r="O542" i="2"/>
  <c r="N542" i="2"/>
  <c r="M542" i="2"/>
  <c r="L542" i="2"/>
  <c r="K542" i="2"/>
  <c r="J542" i="2"/>
  <c r="O541" i="2"/>
  <c r="N541" i="2"/>
  <c r="M541" i="2"/>
  <c r="L541" i="2"/>
  <c r="K541" i="2"/>
  <c r="J541" i="2"/>
  <c r="O540" i="2"/>
  <c r="N540" i="2"/>
  <c r="M540" i="2"/>
  <c r="L540" i="2"/>
  <c r="K540" i="2"/>
  <c r="J540" i="2"/>
  <c r="O539" i="2"/>
  <c r="N539" i="2"/>
  <c r="M539" i="2"/>
  <c r="L539" i="2"/>
  <c r="K539" i="2"/>
  <c r="J539" i="2"/>
  <c r="O538" i="2"/>
  <c r="N538" i="2"/>
  <c r="M538" i="2"/>
  <c r="L538" i="2"/>
  <c r="K538" i="2"/>
  <c r="J538" i="2"/>
  <c r="O537" i="2"/>
  <c r="N537" i="2"/>
  <c r="M537" i="2"/>
  <c r="L537" i="2"/>
  <c r="K537" i="2"/>
  <c r="J537" i="2"/>
  <c r="O536" i="2"/>
  <c r="N536" i="2"/>
  <c r="M536" i="2"/>
  <c r="L536" i="2"/>
  <c r="K536" i="2"/>
  <c r="J536" i="2"/>
  <c r="O535" i="2"/>
  <c r="N535" i="2"/>
  <c r="M535" i="2"/>
  <c r="L535" i="2"/>
  <c r="K535" i="2"/>
  <c r="J535" i="2"/>
  <c r="O534" i="2"/>
  <c r="N534" i="2"/>
  <c r="M534" i="2"/>
  <c r="L534" i="2"/>
  <c r="K534" i="2"/>
  <c r="J534" i="2"/>
  <c r="O533" i="2"/>
  <c r="N533" i="2"/>
  <c r="M533" i="2"/>
  <c r="L533" i="2"/>
  <c r="K533" i="2"/>
  <c r="J533" i="2"/>
  <c r="O532" i="2"/>
  <c r="N532" i="2"/>
  <c r="M532" i="2"/>
  <c r="L532" i="2"/>
  <c r="K532" i="2"/>
  <c r="J532" i="2"/>
  <c r="O531" i="2"/>
  <c r="N531" i="2"/>
  <c r="M531" i="2"/>
  <c r="L531" i="2"/>
  <c r="K531" i="2"/>
  <c r="J531" i="2"/>
  <c r="O530" i="2"/>
  <c r="N530" i="2"/>
  <c r="M530" i="2"/>
  <c r="L530" i="2"/>
  <c r="K530" i="2"/>
  <c r="J530" i="2"/>
  <c r="O529" i="2"/>
  <c r="N529" i="2"/>
  <c r="M529" i="2"/>
  <c r="L529" i="2"/>
  <c r="K529" i="2"/>
  <c r="J529" i="2"/>
  <c r="O528" i="2"/>
  <c r="N528" i="2"/>
  <c r="M528" i="2"/>
  <c r="L528" i="2"/>
  <c r="K528" i="2"/>
  <c r="J528" i="2"/>
  <c r="O527" i="2"/>
  <c r="N527" i="2"/>
  <c r="M527" i="2"/>
  <c r="L527" i="2"/>
  <c r="K527" i="2"/>
  <c r="J527" i="2"/>
  <c r="O526" i="2"/>
  <c r="N526" i="2"/>
  <c r="M526" i="2"/>
  <c r="L526" i="2"/>
  <c r="K526" i="2"/>
  <c r="J526" i="2"/>
  <c r="O525" i="2"/>
  <c r="N525" i="2"/>
  <c r="M525" i="2"/>
  <c r="L525" i="2"/>
  <c r="K525" i="2"/>
  <c r="J525" i="2"/>
  <c r="O524" i="2"/>
  <c r="N524" i="2"/>
  <c r="M524" i="2"/>
  <c r="L524" i="2"/>
  <c r="K524" i="2"/>
  <c r="J524" i="2"/>
  <c r="O523" i="2"/>
  <c r="N523" i="2"/>
  <c r="M523" i="2"/>
  <c r="L523" i="2"/>
  <c r="K523" i="2"/>
  <c r="J523" i="2"/>
  <c r="O522" i="2"/>
  <c r="N522" i="2"/>
  <c r="M522" i="2"/>
  <c r="L522" i="2"/>
  <c r="K522" i="2"/>
  <c r="J522" i="2"/>
  <c r="O521" i="2"/>
  <c r="N521" i="2"/>
  <c r="M521" i="2"/>
  <c r="L521" i="2"/>
  <c r="K521" i="2"/>
  <c r="J521" i="2"/>
  <c r="O520" i="2"/>
  <c r="N520" i="2"/>
  <c r="M520" i="2"/>
  <c r="L520" i="2"/>
  <c r="K520" i="2"/>
  <c r="J520" i="2"/>
  <c r="O519" i="2"/>
  <c r="N519" i="2"/>
  <c r="M519" i="2"/>
  <c r="L519" i="2"/>
  <c r="K519" i="2"/>
  <c r="J519" i="2"/>
  <c r="O518" i="2"/>
  <c r="N518" i="2"/>
  <c r="M518" i="2"/>
  <c r="L518" i="2"/>
  <c r="K518" i="2"/>
  <c r="J518" i="2"/>
  <c r="O517" i="2"/>
  <c r="N517" i="2"/>
  <c r="M517" i="2"/>
  <c r="L517" i="2"/>
  <c r="K517" i="2"/>
  <c r="J517" i="2"/>
  <c r="O516" i="2"/>
  <c r="N516" i="2"/>
  <c r="M516" i="2"/>
  <c r="L516" i="2"/>
  <c r="K516" i="2"/>
  <c r="J516" i="2"/>
  <c r="O515" i="2"/>
  <c r="N515" i="2"/>
  <c r="M515" i="2"/>
  <c r="L515" i="2"/>
  <c r="K515" i="2"/>
  <c r="J515" i="2"/>
  <c r="O514" i="2"/>
  <c r="N514" i="2"/>
  <c r="M514" i="2"/>
  <c r="L514" i="2"/>
  <c r="K514" i="2"/>
  <c r="J514" i="2"/>
  <c r="O513" i="2"/>
  <c r="N513" i="2"/>
  <c r="M513" i="2"/>
  <c r="L513" i="2"/>
  <c r="K513" i="2"/>
  <c r="J513" i="2"/>
  <c r="O512" i="2"/>
  <c r="N512" i="2"/>
  <c r="M512" i="2"/>
  <c r="L512" i="2"/>
  <c r="K512" i="2"/>
  <c r="J512" i="2"/>
  <c r="O511" i="2"/>
  <c r="N511" i="2"/>
  <c r="M511" i="2"/>
  <c r="L511" i="2"/>
  <c r="K511" i="2"/>
  <c r="J511" i="2"/>
  <c r="O510" i="2"/>
  <c r="N510" i="2"/>
  <c r="M510" i="2"/>
  <c r="L510" i="2"/>
  <c r="K510" i="2"/>
  <c r="J510" i="2"/>
  <c r="O509" i="2"/>
  <c r="N509" i="2"/>
  <c r="M509" i="2"/>
  <c r="L509" i="2"/>
  <c r="K509" i="2"/>
  <c r="J509" i="2"/>
  <c r="O508" i="2"/>
  <c r="N508" i="2"/>
  <c r="M508" i="2"/>
  <c r="L508" i="2"/>
  <c r="K508" i="2"/>
  <c r="J508" i="2"/>
  <c r="O507" i="2"/>
  <c r="N507" i="2"/>
  <c r="M507" i="2"/>
  <c r="L507" i="2"/>
  <c r="K507" i="2"/>
  <c r="J507" i="2"/>
  <c r="O506" i="2"/>
  <c r="N506" i="2"/>
  <c r="M506" i="2"/>
  <c r="L506" i="2"/>
  <c r="K506" i="2"/>
  <c r="J506" i="2"/>
  <c r="O505" i="2"/>
  <c r="N505" i="2"/>
  <c r="M505" i="2"/>
  <c r="L505" i="2"/>
  <c r="K505" i="2"/>
  <c r="J505" i="2"/>
  <c r="O504" i="2"/>
  <c r="N504" i="2"/>
  <c r="M504" i="2"/>
  <c r="L504" i="2"/>
  <c r="K504" i="2"/>
  <c r="J504" i="2"/>
  <c r="O503" i="2"/>
  <c r="N503" i="2"/>
  <c r="M503" i="2"/>
  <c r="L503" i="2"/>
  <c r="K503" i="2"/>
  <c r="J503" i="2"/>
  <c r="O502" i="2"/>
  <c r="N502" i="2"/>
  <c r="M502" i="2"/>
  <c r="L502" i="2"/>
  <c r="K502" i="2"/>
  <c r="J502" i="2"/>
  <c r="O501" i="2"/>
  <c r="N501" i="2"/>
  <c r="M501" i="2"/>
  <c r="L501" i="2"/>
  <c r="K501" i="2"/>
  <c r="J501" i="2"/>
  <c r="O500" i="2"/>
  <c r="N500" i="2"/>
  <c r="M500" i="2"/>
  <c r="L500" i="2"/>
  <c r="K500" i="2"/>
  <c r="J500" i="2"/>
  <c r="O499" i="2"/>
  <c r="N499" i="2"/>
  <c r="M499" i="2"/>
  <c r="L499" i="2"/>
  <c r="K499" i="2"/>
  <c r="J499" i="2"/>
  <c r="O498" i="2"/>
  <c r="N498" i="2"/>
  <c r="M498" i="2"/>
  <c r="L498" i="2"/>
  <c r="K498" i="2"/>
  <c r="J498" i="2"/>
  <c r="O497" i="2"/>
  <c r="N497" i="2"/>
  <c r="M497" i="2"/>
  <c r="L497" i="2"/>
  <c r="K497" i="2"/>
  <c r="J497" i="2"/>
  <c r="O496" i="2"/>
  <c r="N496" i="2"/>
  <c r="M496" i="2"/>
  <c r="L496" i="2"/>
  <c r="K496" i="2"/>
  <c r="J496" i="2"/>
  <c r="O495" i="2"/>
  <c r="N495" i="2"/>
  <c r="M495" i="2"/>
  <c r="L495" i="2"/>
  <c r="K495" i="2"/>
  <c r="J495" i="2"/>
  <c r="O494" i="2"/>
  <c r="N494" i="2"/>
  <c r="M494" i="2"/>
  <c r="L494" i="2"/>
  <c r="K494" i="2"/>
  <c r="J494" i="2"/>
  <c r="O493" i="2"/>
  <c r="N493" i="2"/>
  <c r="M493" i="2"/>
  <c r="L493" i="2"/>
  <c r="K493" i="2"/>
  <c r="J493" i="2"/>
  <c r="O492" i="2"/>
  <c r="N492" i="2"/>
  <c r="M492" i="2"/>
  <c r="L492" i="2"/>
  <c r="K492" i="2"/>
  <c r="J492" i="2"/>
  <c r="O491" i="2"/>
  <c r="N491" i="2"/>
  <c r="M491" i="2"/>
  <c r="L491" i="2"/>
  <c r="K491" i="2"/>
  <c r="J491" i="2"/>
  <c r="O490" i="2"/>
  <c r="N490" i="2"/>
  <c r="M490" i="2"/>
  <c r="L490" i="2"/>
  <c r="K490" i="2"/>
  <c r="J490" i="2"/>
  <c r="O489" i="2"/>
  <c r="N489" i="2"/>
  <c r="M489" i="2"/>
  <c r="L489" i="2"/>
  <c r="K489" i="2"/>
  <c r="J489" i="2"/>
  <c r="O488" i="2"/>
  <c r="N488" i="2"/>
  <c r="M488" i="2"/>
  <c r="L488" i="2"/>
  <c r="K488" i="2"/>
  <c r="J488" i="2"/>
  <c r="O487" i="2"/>
  <c r="N487" i="2"/>
  <c r="M487" i="2"/>
  <c r="L487" i="2"/>
  <c r="K487" i="2"/>
  <c r="J487" i="2"/>
  <c r="O486" i="2"/>
  <c r="N486" i="2"/>
  <c r="M486" i="2"/>
  <c r="L486" i="2"/>
  <c r="K486" i="2"/>
  <c r="J486" i="2"/>
  <c r="O485" i="2"/>
  <c r="N485" i="2"/>
  <c r="M485" i="2"/>
  <c r="L485" i="2"/>
  <c r="K485" i="2"/>
  <c r="J485" i="2"/>
  <c r="O484" i="2"/>
  <c r="N484" i="2"/>
  <c r="M484" i="2"/>
  <c r="L484" i="2"/>
  <c r="K484" i="2"/>
  <c r="J484" i="2"/>
  <c r="O483" i="2"/>
  <c r="N483" i="2"/>
  <c r="M483" i="2"/>
  <c r="L483" i="2"/>
  <c r="K483" i="2"/>
  <c r="J483" i="2"/>
  <c r="O482" i="2"/>
  <c r="N482" i="2"/>
  <c r="M482" i="2"/>
  <c r="L482" i="2"/>
  <c r="K482" i="2"/>
  <c r="J482" i="2"/>
  <c r="O481" i="2"/>
  <c r="N481" i="2"/>
  <c r="M481" i="2"/>
  <c r="L481" i="2"/>
  <c r="K481" i="2"/>
  <c r="J481" i="2"/>
  <c r="O480" i="2"/>
  <c r="N480" i="2"/>
  <c r="M480" i="2"/>
  <c r="L480" i="2"/>
  <c r="K480" i="2"/>
  <c r="J480" i="2"/>
  <c r="O479" i="2"/>
  <c r="N479" i="2"/>
  <c r="M479" i="2"/>
  <c r="L479" i="2"/>
  <c r="K479" i="2"/>
  <c r="J479" i="2"/>
  <c r="O478" i="2"/>
  <c r="N478" i="2"/>
  <c r="M478" i="2"/>
  <c r="L478" i="2"/>
  <c r="K478" i="2"/>
  <c r="J478" i="2"/>
  <c r="O477" i="2"/>
  <c r="N477" i="2"/>
  <c r="M477" i="2"/>
  <c r="L477" i="2"/>
  <c r="K477" i="2"/>
  <c r="J477" i="2"/>
  <c r="O476" i="2"/>
  <c r="N476" i="2"/>
  <c r="M476" i="2"/>
  <c r="L476" i="2"/>
  <c r="K476" i="2"/>
  <c r="J476" i="2"/>
  <c r="O475" i="2"/>
  <c r="N475" i="2"/>
  <c r="M475" i="2"/>
  <c r="L475" i="2"/>
  <c r="K475" i="2"/>
  <c r="J475" i="2"/>
  <c r="O474" i="2"/>
  <c r="N474" i="2"/>
  <c r="M474" i="2"/>
  <c r="L474" i="2"/>
  <c r="K474" i="2"/>
  <c r="J474" i="2"/>
  <c r="O473" i="2"/>
  <c r="N473" i="2"/>
  <c r="M473" i="2"/>
  <c r="L473" i="2"/>
  <c r="K473" i="2"/>
  <c r="J473" i="2"/>
  <c r="O472" i="2"/>
  <c r="N472" i="2"/>
  <c r="M472" i="2"/>
  <c r="L472" i="2"/>
  <c r="K472" i="2"/>
  <c r="J472" i="2"/>
  <c r="O471" i="2"/>
  <c r="N471" i="2"/>
  <c r="M471" i="2"/>
  <c r="L471" i="2"/>
  <c r="K471" i="2"/>
  <c r="J471" i="2"/>
  <c r="O470" i="2"/>
  <c r="N470" i="2"/>
  <c r="M470" i="2"/>
  <c r="L470" i="2"/>
  <c r="K470" i="2"/>
  <c r="J470" i="2"/>
  <c r="O469" i="2"/>
  <c r="N469" i="2"/>
  <c r="M469" i="2"/>
  <c r="L469" i="2"/>
  <c r="K469" i="2"/>
  <c r="J469" i="2"/>
  <c r="O468" i="2"/>
  <c r="N468" i="2"/>
  <c r="M468" i="2"/>
  <c r="L468" i="2"/>
  <c r="K468" i="2"/>
  <c r="J468" i="2"/>
  <c r="O467" i="2"/>
  <c r="N467" i="2"/>
  <c r="M467" i="2"/>
  <c r="L467" i="2"/>
  <c r="K467" i="2"/>
  <c r="J467" i="2"/>
  <c r="O466" i="2"/>
  <c r="N466" i="2"/>
  <c r="M466" i="2"/>
  <c r="L466" i="2"/>
  <c r="K466" i="2"/>
  <c r="J466" i="2"/>
  <c r="O465" i="2"/>
  <c r="N465" i="2"/>
  <c r="M465" i="2"/>
  <c r="L465" i="2"/>
  <c r="K465" i="2"/>
  <c r="J465" i="2"/>
  <c r="O464" i="2"/>
  <c r="N464" i="2"/>
  <c r="M464" i="2"/>
  <c r="L464" i="2"/>
  <c r="K464" i="2"/>
  <c r="J464" i="2"/>
  <c r="O463" i="2"/>
  <c r="N463" i="2"/>
  <c r="M463" i="2"/>
  <c r="L463" i="2"/>
  <c r="K463" i="2"/>
  <c r="J463" i="2"/>
  <c r="O462" i="2"/>
  <c r="N462" i="2"/>
  <c r="M462" i="2"/>
  <c r="L462" i="2"/>
  <c r="K462" i="2"/>
  <c r="J462" i="2"/>
  <c r="O461" i="2"/>
  <c r="N461" i="2"/>
  <c r="M461" i="2"/>
  <c r="L461" i="2"/>
  <c r="K461" i="2"/>
  <c r="J461" i="2"/>
  <c r="O460" i="2"/>
  <c r="N460" i="2"/>
  <c r="M460" i="2"/>
  <c r="L460" i="2"/>
  <c r="K460" i="2"/>
  <c r="J460" i="2"/>
  <c r="O459" i="2"/>
  <c r="N459" i="2"/>
  <c r="M459" i="2"/>
  <c r="L459" i="2"/>
  <c r="K459" i="2"/>
  <c r="J459" i="2"/>
  <c r="O458" i="2"/>
  <c r="N458" i="2"/>
  <c r="M458" i="2"/>
  <c r="L458" i="2"/>
  <c r="K458" i="2"/>
  <c r="J458" i="2"/>
  <c r="O456" i="2"/>
  <c r="N456" i="2"/>
  <c r="M456" i="2"/>
  <c r="L456" i="2"/>
  <c r="K456" i="2"/>
  <c r="J456" i="2"/>
  <c r="O455" i="2"/>
  <c r="N455" i="2"/>
  <c r="M455" i="2"/>
  <c r="L455" i="2"/>
  <c r="K455" i="2"/>
  <c r="J455" i="2"/>
  <c r="O454" i="2"/>
  <c r="N454" i="2"/>
  <c r="M454" i="2"/>
  <c r="L454" i="2"/>
  <c r="K454" i="2"/>
  <c r="J454" i="2"/>
  <c r="O453" i="2"/>
  <c r="N453" i="2"/>
  <c r="M453" i="2"/>
  <c r="L453" i="2"/>
  <c r="K453" i="2"/>
  <c r="J453" i="2"/>
  <c r="O452" i="2"/>
  <c r="N452" i="2"/>
  <c r="M452" i="2"/>
  <c r="L452" i="2"/>
  <c r="K452" i="2"/>
  <c r="J452" i="2"/>
  <c r="O451" i="2"/>
  <c r="N451" i="2"/>
  <c r="M451" i="2"/>
  <c r="L451" i="2"/>
  <c r="K451" i="2"/>
  <c r="J451" i="2"/>
  <c r="O450" i="2"/>
  <c r="N450" i="2"/>
  <c r="M450" i="2"/>
  <c r="L450" i="2"/>
  <c r="K450" i="2"/>
  <c r="J450" i="2"/>
  <c r="O449" i="2"/>
  <c r="N449" i="2"/>
  <c r="M449" i="2"/>
  <c r="L449" i="2"/>
  <c r="K449" i="2"/>
  <c r="J449" i="2"/>
  <c r="O448" i="2"/>
  <c r="N448" i="2"/>
  <c r="M448" i="2"/>
  <c r="L448" i="2"/>
  <c r="K448" i="2"/>
  <c r="J448" i="2"/>
  <c r="O447" i="2"/>
  <c r="N447" i="2"/>
  <c r="M447" i="2"/>
  <c r="L447" i="2"/>
  <c r="K447" i="2"/>
  <c r="J447" i="2"/>
  <c r="O446" i="2"/>
  <c r="N446" i="2"/>
  <c r="M446" i="2"/>
  <c r="L446" i="2"/>
  <c r="K446" i="2"/>
  <c r="J446" i="2"/>
  <c r="O445" i="2"/>
  <c r="N445" i="2"/>
  <c r="M445" i="2"/>
  <c r="L445" i="2"/>
  <c r="K445" i="2"/>
  <c r="J445" i="2"/>
  <c r="O444" i="2"/>
  <c r="N444" i="2"/>
  <c r="M444" i="2"/>
  <c r="L444" i="2"/>
  <c r="K444" i="2"/>
  <c r="J444" i="2"/>
  <c r="O443" i="2"/>
  <c r="N443" i="2"/>
  <c r="M443" i="2"/>
  <c r="L443" i="2"/>
  <c r="K443" i="2"/>
  <c r="J443" i="2"/>
  <c r="O442" i="2"/>
  <c r="N442" i="2"/>
  <c r="M442" i="2"/>
  <c r="L442" i="2"/>
  <c r="K442" i="2"/>
  <c r="J442" i="2"/>
  <c r="O441" i="2"/>
  <c r="N441" i="2"/>
  <c r="M441" i="2"/>
  <c r="L441" i="2"/>
  <c r="K441" i="2"/>
  <c r="J441" i="2"/>
  <c r="O440" i="2"/>
  <c r="N440" i="2"/>
  <c r="M440" i="2"/>
  <c r="L440" i="2"/>
  <c r="K440" i="2"/>
  <c r="J440" i="2"/>
  <c r="O439" i="2"/>
  <c r="N439" i="2"/>
  <c r="M439" i="2"/>
  <c r="L439" i="2"/>
  <c r="K439" i="2"/>
  <c r="J439" i="2"/>
  <c r="O438" i="2"/>
  <c r="N438" i="2"/>
  <c r="M438" i="2"/>
  <c r="L438" i="2"/>
  <c r="K438" i="2"/>
  <c r="J438" i="2"/>
  <c r="O437" i="2"/>
  <c r="N437" i="2"/>
  <c r="M437" i="2"/>
  <c r="L437" i="2"/>
  <c r="K437" i="2"/>
  <c r="J437" i="2"/>
  <c r="O436" i="2"/>
  <c r="N436" i="2"/>
  <c r="M436" i="2"/>
  <c r="L436" i="2"/>
  <c r="K436" i="2"/>
  <c r="J436" i="2"/>
  <c r="O435" i="2"/>
  <c r="N435" i="2"/>
  <c r="M435" i="2"/>
  <c r="L435" i="2"/>
  <c r="K435" i="2"/>
  <c r="J435" i="2"/>
  <c r="O434" i="2"/>
  <c r="N434" i="2"/>
  <c r="M434" i="2"/>
  <c r="L434" i="2"/>
  <c r="K434" i="2"/>
  <c r="J434" i="2"/>
  <c r="O433" i="2"/>
  <c r="N433" i="2"/>
  <c r="M433" i="2"/>
  <c r="L433" i="2"/>
  <c r="K433" i="2"/>
  <c r="J433" i="2"/>
  <c r="O432" i="2"/>
  <c r="N432" i="2"/>
  <c r="M432" i="2"/>
  <c r="L432" i="2"/>
  <c r="K432" i="2"/>
  <c r="J432" i="2"/>
  <c r="O431" i="2"/>
  <c r="N431" i="2"/>
  <c r="M431" i="2"/>
  <c r="L431" i="2"/>
  <c r="K431" i="2"/>
  <c r="J431" i="2"/>
  <c r="O430" i="2"/>
  <c r="N430" i="2"/>
  <c r="M430" i="2"/>
  <c r="L430" i="2"/>
  <c r="K430" i="2"/>
  <c r="J430" i="2"/>
  <c r="O429" i="2"/>
  <c r="N429" i="2"/>
  <c r="M429" i="2"/>
  <c r="L429" i="2"/>
  <c r="K429" i="2"/>
  <c r="J429" i="2"/>
  <c r="O428" i="2"/>
  <c r="N428" i="2"/>
  <c r="M428" i="2"/>
  <c r="L428" i="2"/>
  <c r="K428" i="2"/>
  <c r="J428" i="2"/>
  <c r="O427" i="2"/>
  <c r="N427" i="2"/>
  <c r="M427" i="2"/>
  <c r="L427" i="2"/>
  <c r="K427" i="2"/>
  <c r="J427" i="2"/>
  <c r="O426" i="2"/>
  <c r="N426" i="2"/>
  <c r="M426" i="2"/>
  <c r="L426" i="2"/>
  <c r="K426" i="2"/>
  <c r="J426" i="2"/>
  <c r="O425" i="2"/>
  <c r="N425" i="2"/>
  <c r="M425" i="2"/>
  <c r="L425" i="2"/>
  <c r="K425" i="2"/>
  <c r="J425" i="2"/>
  <c r="O424" i="2"/>
  <c r="N424" i="2"/>
  <c r="M424" i="2"/>
  <c r="L424" i="2"/>
  <c r="K424" i="2"/>
  <c r="J424" i="2"/>
  <c r="O423" i="2"/>
  <c r="N423" i="2"/>
  <c r="M423" i="2"/>
  <c r="L423" i="2"/>
  <c r="K423" i="2"/>
  <c r="J423" i="2"/>
  <c r="O422" i="2"/>
  <c r="N422" i="2"/>
  <c r="M422" i="2"/>
  <c r="L422" i="2"/>
  <c r="K422" i="2"/>
  <c r="J422" i="2"/>
  <c r="O421" i="2"/>
  <c r="N421" i="2"/>
  <c r="M421" i="2"/>
  <c r="L421" i="2"/>
  <c r="K421" i="2"/>
  <c r="J421" i="2"/>
  <c r="O420" i="2"/>
  <c r="N420" i="2"/>
  <c r="M420" i="2"/>
  <c r="L420" i="2"/>
  <c r="K420" i="2"/>
  <c r="J420" i="2"/>
  <c r="O419" i="2"/>
  <c r="N419" i="2"/>
  <c r="M419" i="2"/>
  <c r="L419" i="2"/>
  <c r="K419" i="2"/>
  <c r="J419" i="2"/>
  <c r="O418" i="2"/>
  <c r="N418" i="2"/>
  <c r="M418" i="2"/>
  <c r="L418" i="2"/>
  <c r="K418" i="2"/>
  <c r="J418" i="2"/>
  <c r="O417" i="2"/>
  <c r="N417" i="2"/>
  <c r="M417" i="2"/>
  <c r="L417" i="2"/>
  <c r="K417" i="2"/>
  <c r="J417" i="2"/>
  <c r="O416" i="2"/>
  <c r="N416" i="2"/>
  <c r="M416" i="2"/>
  <c r="L416" i="2"/>
  <c r="K416" i="2"/>
  <c r="J416" i="2"/>
  <c r="O415" i="2"/>
  <c r="N415" i="2"/>
  <c r="M415" i="2"/>
  <c r="L415" i="2"/>
  <c r="K415" i="2"/>
  <c r="J415" i="2"/>
  <c r="O414" i="2"/>
  <c r="N414" i="2"/>
  <c r="M414" i="2"/>
  <c r="L414" i="2"/>
  <c r="K414" i="2"/>
  <c r="J414" i="2"/>
  <c r="O413" i="2"/>
  <c r="N413" i="2"/>
  <c r="M413" i="2"/>
  <c r="L413" i="2"/>
  <c r="K413" i="2"/>
  <c r="J413" i="2"/>
  <c r="O412" i="2"/>
  <c r="N412" i="2"/>
  <c r="M412" i="2"/>
  <c r="L412" i="2"/>
  <c r="K412" i="2"/>
  <c r="J412" i="2"/>
  <c r="O411" i="2"/>
  <c r="N411" i="2"/>
  <c r="M411" i="2"/>
  <c r="L411" i="2"/>
  <c r="K411" i="2"/>
  <c r="J411" i="2"/>
  <c r="O410" i="2"/>
  <c r="N410" i="2"/>
  <c r="M410" i="2"/>
  <c r="L410" i="2"/>
  <c r="K410" i="2"/>
  <c r="J410" i="2"/>
  <c r="O409" i="2"/>
  <c r="N409" i="2"/>
  <c r="M409" i="2"/>
  <c r="L409" i="2"/>
  <c r="K409" i="2"/>
  <c r="J409" i="2"/>
  <c r="O408" i="2"/>
  <c r="N408" i="2"/>
  <c r="M408" i="2"/>
  <c r="L408" i="2"/>
  <c r="K408" i="2"/>
  <c r="J408" i="2"/>
  <c r="O407" i="2"/>
  <c r="N407" i="2"/>
  <c r="M407" i="2"/>
  <c r="L407" i="2"/>
  <c r="K407" i="2"/>
  <c r="J407" i="2"/>
  <c r="O406" i="2"/>
  <c r="N406" i="2"/>
  <c r="M406" i="2"/>
  <c r="L406" i="2"/>
  <c r="K406" i="2"/>
  <c r="J406" i="2"/>
  <c r="O405" i="2"/>
  <c r="N405" i="2"/>
  <c r="M405" i="2"/>
  <c r="L405" i="2"/>
  <c r="K405" i="2"/>
  <c r="J405" i="2"/>
  <c r="O404" i="2"/>
  <c r="N404" i="2"/>
  <c r="M404" i="2"/>
  <c r="L404" i="2"/>
  <c r="K404" i="2"/>
  <c r="J404" i="2"/>
  <c r="O403" i="2"/>
  <c r="N403" i="2"/>
  <c r="M403" i="2"/>
  <c r="L403" i="2"/>
  <c r="K403" i="2"/>
  <c r="J403" i="2"/>
  <c r="O402" i="2"/>
  <c r="N402" i="2"/>
  <c r="M402" i="2"/>
  <c r="L402" i="2"/>
  <c r="K402" i="2"/>
  <c r="J402" i="2"/>
  <c r="O401" i="2"/>
  <c r="N401" i="2"/>
  <c r="M401" i="2"/>
  <c r="L401" i="2"/>
  <c r="K401" i="2"/>
  <c r="J401" i="2"/>
  <c r="O400" i="2"/>
  <c r="N400" i="2"/>
  <c r="M400" i="2"/>
  <c r="L400" i="2"/>
  <c r="K400" i="2"/>
  <c r="J400" i="2"/>
  <c r="O399" i="2"/>
  <c r="N399" i="2"/>
  <c r="M399" i="2"/>
  <c r="L399" i="2"/>
  <c r="K399" i="2"/>
  <c r="J399" i="2"/>
  <c r="O398" i="2"/>
  <c r="N398" i="2"/>
  <c r="M398" i="2"/>
  <c r="L398" i="2"/>
  <c r="K398" i="2"/>
  <c r="J398" i="2"/>
  <c r="O397" i="2"/>
  <c r="N397" i="2"/>
  <c r="M397" i="2"/>
  <c r="L397" i="2"/>
  <c r="K397" i="2"/>
  <c r="J397" i="2"/>
  <c r="O396" i="2"/>
  <c r="N396" i="2"/>
  <c r="M396" i="2"/>
  <c r="L396" i="2"/>
  <c r="K396" i="2"/>
  <c r="J396" i="2"/>
  <c r="O395" i="2"/>
  <c r="N395" i="2"/>
  <c r="M395" i="2"/>
  <c r="L395" i="2"/>
  <c r="K395" i="2"/>
  <c r="J395" i="2"/>
  <c r="O394" i="2"/>
  <c r="N394" i="2"/>
  <c r="M394" i="2"/>
  <c r="L394" i="2"/>
  <c r="K394" i="2"/>
  <c r="J394" i="2"/>
  <c r="O393" i="2"/>
  <c r="N393" i="2"/>
  <c r="M393" i="2"/>
  <c r="L393" i="2"/>
  <c r="K393" i="2"/>
  <c r="J393" i="2"/>
  <c r="O392" i="2"/>
  <c r="N392" i="2"/>
  <c r="M392" i="2"/>
  <c r="L392" i="2"/>
  <c r="K392" i="2"/>
  <c r="J392" i="2"/>
  <c r="O391" i="2"/>
  <c r="N391" i="2"/>
  <c r="M391" i="2"/>
  <c r="L391" i="2"/>
  <c r="K391" i="2"/>
  <c r="J391" i="2"/>
  <c r="O390" i="2"/>
  <c r="N390" i="2"/>
  <c r="M390" i="2"/>
  <c r="L390" i="2"/>
  <c r="K390" i="2"/>
  <c r="J390" i="2"/>
  <c r="O389" i="2"/>
  <c r="N389" i="2"/>
  <c r="M389" i="2"/>
  <c r="L389" i="2"/>
  <c r="K389" i="2"/>
  <c r="J389" i="2"/>
  <c r="O388" i="2"/>
  <c r="N388" i="2"/>
  <c r="M388" i="2"/>
  <c r="L388" i="2"/>
  <c r="K388" i="2"/>
  <c r="J388" i="2"/>
  <c r="O387" i="2"/>
  <c r="N387" i="2"/>
  <c r="M387" i="2"/>
  <c r="L387" i="2"/>
  <c r="K387" i="2"/>
  <c r="J387" i="2"/>
  <c r="O386" i="2"/>
  <c r="N386" i="2"/>
  <c r="M386" i="2"/>
  <c r="L386" i="2"/>
  <c r="K386" i="2"/>
  <c r="J386" i="2"/>
  <c r="O385" i="2"/>
  <c r="N385" i="2"/>
  <c r="M385" i="2"/>
  <c r="L385" i="2"/>
  <c r="K385" i="2"/>
  <c r="J385" i="2"/>
  <c r="O384" i="2"/>
  <c r="N384" i="2"/>
  <c r="M384" i="2"/>
  <c r="L384" i="2"/>
  <c r="K384" i="2"/>
  <c r="J384" i="2"/>
  <c r="O383" i="2"/>
  <c r="N383" i="2"/>
  <c r="M383" i="2"/>
  <c r="L383" i="2"/>
  <c r="K383" i="2"/>
  <c r="J383" i="2"/>
  <c r="O382" i="2"/>
  <c r="N382" i="2"/>
  <c r="M382" i="2"/>
  <c r="L382" i="2"/>
  <c r="K382" i="2"/>
  <c r="J382" i="2"/>
  <c r="O381" i="2"/>
  <c r="N381" i="2"/>
  <c r="M381" i="2"/>
  <c r="L381" i="2"/>
  <c r="K381" i="2"/>
  <c r="J381" i="2"/>
  <c r="O380" i="2"/>
  <c r="N380" i="2"/>
  <c r="M380" i="2"/>
  <c r="L380" i="2"/>
  <c r="K380" i="2"/>
  <c r="J380" i="2"/>
  <c r="O379" i="2"/>
  <c r="N379" i="2"/>
  <c r="M379" i="2"/>
  <c r="L379" i="2"/>
  <c r="K379" i="2"/>
  <c r="J379" i="2"/>
  <c r="O378" i="2"/>
  <c r="N378" i="2"/>
  <c r="M378" i="2"/>
  <c r="L378" i="2"/>
  <c r="K378" i="2"/>
  <c r="J378" i="2"/>
  <c r="O377" i="2"/>
  <c r="N377" i="2"/>
  <c r="M377" i="2"/>
  <c r="L377" i="2"/>
  <c r="K377" i="2"/>
  <c r="J377" i="2"/>
  <c r="O376" i="2"/>
  <c r="N376" i="2"/>
  <c r="M376" i="2"/>
  <c r="L376" i="2"/>
  <c r="K376" i="2"/>
  <c r="J376" i="2"/>
  <c r="O375" i="2"/>
  <c r="N375" i="2"/>
  <c r="M375" i="2"/>
  <c r="L375" i="2"/>
  <c r="K375" i="2"/>
  <c r="J375" i="2"/>
  <c r="O374" i="2"/>
  <c r="N374" i="2"/>
  <c r="M374" i="2"/>
  <c r="L374" i="2"/>
  <c r="K374" i="2"/>
  <c r="J374" i="2"/>
  <c r="O373" i="2"/>
  <c r="N373" i="2"/>
  <c r="M373" i="2"/>
  <c r="L373" i="2"/>
  <c r="K373" i="2"/>
  <c r="J373" i="2"/>
  <c r="O372" i="2"/>
  <c r="N372" i="2"/>
  <c r="M372" i="2"/>
  <c r="L372" i="2"/>
  <c r="K372" i="2"/>
  <c r="J372" i="2"/>
  <c r="O371" i="2"/>
  <c r="N371" i="2"/>
  <c r="M371" i="2"/>
  <c r="L371" i="2"/>
  <c r="K371" i="2"/>
  <c r="J371" i="2"/>
  <c r="O370" i="2"/>
  <c r="N370" i="2"/>
  <c r="M370" i="2"/>
  <c r="L370" i="2"/>
  <c r="K370" i="2"/>
  <c r="J370" i="2"/>
  <c r="O369" i="2"/>
  <c r="N369" i="2"/>
  <c r="M369" i="2"/>
  <c r="L369" i="2"/>
  <c r="K369" i="2"/>
  <c r="J369" i="2"/>
  <c r="O368" i="2"/>
  <c r="N368" i="2"/>
  <c r="M368" i="2"/>
  <c r="L368" i="2"/>
  <c r="K368" i="2"/>
  <c r="J368" i="2"/>
  <c r="O367" i="2"/>
  <c r="N367" i="2"/>
  <c r="M367" i="2"/>
  <c r="L367" i="2"/>
  <c r="K367" i="2"/>
  <c r="J367" i="2"/>
  <c r="O366" i="2"/>
  <c r="N366" i="2"/>
  <c r="M366" i="2"/>
  <c r="L366" i="2"/>
  <c r="K366" i="2"/>
  <c r="J366" i="2"/>
  <c r="O365" i="2"/>
  <c r="N365" i="2"/>
  <c r="M365" i="2"/>
  <c r="L365" i="2"/>
  <c r="K365" i="2"/>
  <c r="J365" i="2"/>
  <c r="O364" i="2"/>
  <c r="N364" i="2"/>
  <c r="M364" i="2"/>
  <c r="L364" i="2"/>
  <c r="K364" i="2"/>
  <c r="J364" i="2"/>
  <c r="O363" i="2"/>
  <c r="N363" i="2"/>
  <c r="M363" i="2"/>
  <c r="L363" i="2"/>
  <c r="K363" i="2"/>
  <c r="J363" i="2"/>
  <c r="O362" i="2"/>
  <c r="N362" i="2"/>
  <c r="M362" i="2"/>
  <c r="L362" i="2"/>
  <c r="K362" i="2"/>
  <c r="J362" i="2"/>
  <c r="O361" i="2"/>
  <c r="N361" i="2"/>
  <c r="M361" i="2"/>
  <c r="L361" i="2"/>
  <c r="K361" i="2"/>
  <c r="J361" i="2"/>
  <c r="O360" i="2"/>
  <c r="N360" i="2"/>
  <c r="M360" i="2"/>
  <c r="L360" i="2"/>
  <c r="K360" i="2"/>
  <c r="J360" i="2"/>
  <c r="O359" i="2"/>
  <c r="N359" i="2"/>
  <c r="M359" i="2"/>
  <c r="L359" i="2"/>
  <c r="K359" i="2"/>
  <c r="J359" i="2"/>
  <c r="O358" i="2"/>
  <c r="N358" i="2"/>
  <c r="M358" i="2"/>
  <c r="L358" i="2"/>
  <c r="K358" i="2"/>
  <c r="J358" i="2"/>
  <c r="O357" i="2"/>
  <c r="N357" i="2"/>
  <c r="M357" i="2"/>
  <c r="L357" i="2"/>
  <c r="K357" i="2"/>
  <c r="J357" i="2"/>
  <c r="O356" i="2"/>
  <c r="N356" i="2"/>
  <c r="M356" i="2"/>
  <c r="L356" i="2"/>
  <c r="K356" i="2"/>
  <c r="J356" i="2"/>
  <c r="O355" i="2"/>
  <c r="N355" i="2"/>
  <c r="M355" i="2"/>
  <c r="L355" i="2"/>
  <c r="K355" i="2"/>
  <c r="J355" i="2"/>
  <c r="O354" i="2"/>
  <c r="N354" i="2"/>
  <c r="M354" i="2"/>
  <c r="L354" i="2"/>
  <c r="K354" i="2"/>
  <c r="J354" i="2"/>
  <c r="O353" i="2"/>
  <c r="N353" i="2"/>
  <c r="M353" i="2"/>
  <c r="L353" i="2"/>
  <c r="K353" i="2"/>
  <c r="J353" i="2"/>
  <c r="O352" i="2"/>
  <c r="N352" i="2"/>
  <c r="M352" i="2"/>
  <c r="L352" i="2"/>
  <c r="K352" i="2"/>
  <c r="J352" i="2"/>
  <c r="O351" i="2"/>
  <c r="N351" i="2"/>
  <c r="M351" i="2"/>
  <c r="L351" i="2"/>
  <c r="K351" i="2"/>
  <c r="J351" i="2"/>
  <c r="O350" i="2"/>
  <c r="N350" i="2"/>
  <c r="M350" i="2"/>
  <c r="L350" i="2"/>
  <c r="K350" i="2"/>
  <c r="J350" i="2"/>
  <c r="O349" i="2"/>
  <c r="N349" i="2"/>
  <c r="M349" i="2"/>
  <c r="L349" i="2"/>
  <c r="K349" i="2"/>
  <c r="J349" i="2"/>
  <c r="O348" i="2"/>
  <c r="N348" i="2"/>
  <c r="M348" i="2"/>
  <c r="L348" i="2"/>
  <c r="K348" i="2"/>
  <c r="J348" i="2"/>
  <c r="O347" i="2"/>
  <c r="N347" i="2"/>
  <c r="M347" i="2"/>
  <c r="L347" i="2"/>
  <c r="K347" i="2"/>
  <c r="J347" i="2"/>
  <c r="O346" i="2"/>
  <c r="N346" i="2"/>
  <c r="M346" i="2"/>
  <c r="L346" i="2"/>
  <c r="K346" i="2"/>
  <c r="J346" i="2"/>
  <c r="O345" i="2"/>
  <c r="N345" i="2"/>
  <c r="M345" i="2"/>
  <c r="L345" i="2"/>
  <c r="K345" i="2"/>
  <c r="J345" i="2"/>
  <c r="O344" i="2"/>
  <c r="N344" i="2"/>
  <c r="M344" i="2"/>
  <c r="L344" i="2"/>
  <c r="K344" i="2"/>
  <c r="J344" i="2"/>
  <c r="O343" i="2"/>
  <c r="N343" i="2"/>
  <c r="M343" i="2"/>
  <c r="L343" i="2"/>
  <c r="K343" i="2"/>
  <c r="J343" i="2"/>
  <c r="O342" i="2"/>
  <c r="N342" i="2"/>
  <c r="M342" i="2"/>
  <c r="L342" i="2"/>
  <c r="K342" i="2"/>
  <c r="J342" i="2"/>
  <c r="O341" i="2"/>
  <c r="N341" i="2"/>
  <c r="M341" i="2"/>
  <c r="L341" i="2"/>
  <c r="K341" i="2"/>
  <c r="J341" i="2"/>
  <c r="O340" i="2"/>
  <c r="N340" i="2"/>
  <c r="M340" i="2"/>
  <c r="L340" i="2"/>
  <c r="K340" i="2"/>
  <c r="J340" i="2"/>
  <c r="O339" i="2"/>
  <c r="N339" i="2"/>
  <c r="M339" i="2"/>
  <c r="L339" i="2"/>
  <c r="K339" i="2"/>
  <c r="J339" i="2"/>
  <c r="O338" i="2"/>
  <c r="N338" i="2"/>
  <c r="M338" i="2"/>
  <c r="L338" i="2"/>
  <c r="K338" i="2"/>
  <c r="J338" i="2"/>
  <c r="O337" i="2"/>
  <c r="N337" i="2"/>
  <c r="M337" i="2"/>
  <c r="L337" i="2"/>
  <c r="K337" i="2"/>
  <c r="J337" i="2"/>
  <c r="O336" i="2"/>
  <c r="N336" i="2"/>
  <c r="M336" i="2"/>
  <c r="L336" i="2"/>
  <c r="K336" i="2"/>
  <c r="J336" i="2"/>
  <c r="O335" i="2"/>
  <c r="N335" i="2"/>
  <c r="M335" i="2"/>
  <c r="L335" i="2"/>
  <c r="K335" i="2"/>
  <c r="J335" i="2"/>
  <c r="O334" i="2"/>
  <c r="N334" i="2"/>
  <c r="M334" i="2"/>
  <c r="L334" i="2"/>
  <c r="K334" i="2"/>
  <c r="J334" i="2"/>
  <c r="O333" i="2"/>
  <c r="N333" i="2"/>
  <c r="M333" i="2"/>
  <c r="L333" i="2"/>
  <c r="K333" i="2"/>
  <c r="J333" i="2"/>
  <c r="O332" i="2"/>
  <c r="N332" i="2"/>
  <c r="M332" i="2"/>
  <c r="L332" i="2"/>
  <c r="K332" i="2"/>
  <c r="J332" i="2"/>
  <c r="O330" i="2"/>
  <c r="N330" i="2"/>
  <c r="M330" i="2"/>
  <c r="L330" i="2"/>
  <c r="K330" i="2"/>
  <c r="J330" i="2"/>
  <c r="O329" i="2"/>
  <c r="N329" i="2"/>
  <c r="M329" i="2"/>
  <c r="L329" i="2"/>
  <c r="K329" i="2"/>
  <c r="J329" i="2"/>
  <c r="O328" i="2"/>
  <c r="N328" i="2"/>
  <c r="M328" i="2"/>
  <c r="L328" i="2"/>
  <c r="K328" i="2"/>
  <c r="J328" i="2"/>
  <c r="O327" i="2"/>
  <c r="N327" i="2"/>
  <c r="M327" i="2"/>
  <c r="L327" i="2"/>
  <c r="K327" i="2"/>
  <c r="J327" i="2"/>
  <c r="O325" i="2"/>
  <c r="N325" i="2"/>
  <c r="M325" i="2"/>
  <c r="L325" i="2"/>
  <c r="K325" i="2"/>
  <c r="J325" i="2"/>
  <c r="O324" i="2"/>
  <c r="N324" i="2"/>
  <c r="M324" i="2"/>
  <c r="L324" i="2"/>
  <c r="K324" i="2"/>
  <c r="J324" i="2"/>
  <c r="O323" i="2"/>
  <c r="N323" i="2"/>
  <c r="M323" i="2"/>
  <c r="L323" i="2"/>
  <c r="K323" i="2"/>
  <c r="J323" i="2"/>
  <c r="O322" i="2"/>
  <c r="N322" i="2"/>
  <c r="M322" i="2"/>
  <c r="L322" i="2"/>
  <c r="K322" i="2"/>
  <c r="J322" i="2"/>
  <c r="O321" i="2"/>
  <c r="N321" i="2"/>
  <c r="M321" i="2"/>
  <c r="L321" i="2"/>
  <c r="K321" i="2"/>
  <c r="J321" i="2"/>
  <c r="O320" i="2"/>
  <c r="N320" i="2"/>
  <c r="M320" i="2"/>
  <c r="L320" i="2"/>
  <c r="K320" i="2"/>
  <c r="J320" i="2"/>
  <c r="O319" i="2"/>
  <c r="N319" i="2"/>
  <c r="M319" i="2"/>
  <c r="L319" i="2"/>
  <c r="K319" i="2"/>
  <c r="J319" i="2"/>
  <c r="O318" i="2"/>
  <c r="N318" i="2"/>
  <c r="M318" i="2"/>
  <c r="L318" i="2"/>
  <c r="K318" i="2"/>
  <c r="J318" i="2"/>
  <c r="O317" i="2"/>
  <c r="N317" i="2"/>
  <c r="M317" i="2"/>
  <c r="L317" i="2"/>
  <c r="K317" i="2"/>
  <c r="J317" i="2"/>
  <c r="O316" i="2"/>
  <c r="N316" i="2"/>
  <c r="M316" i="2"/>
  <c r="L316" i="2"/>
  <c r="K316" i="2"/>
  <c r="J316" i="2"/>
  <c r="O315" i="2"/>
  <c r="N315" i="2"/>
  <c r="M315" i="2"/>
  <c r="L315" i="2"/>
  <c r="K315" i="2"/>
  <c r="J315" i="2"/>
  <c r="O314" i="2"/>
  <c r="N314" i="2"/>
  <c r="M314" i="2"/>
  <c r="L314" i="2"/>
  <c r="K314" i="2"/>
  <c r="J314" i="2"/>
  <c r="O313" i="2"/>
  <c r="N313" i="2"/>
  <c r="M313" i="2"/>
  <c r="L313" i="2"/>
  <c r="K313" i="2"/>
  <c r="J313" i="2"/>
  <c r="O312" i="2"/>
  <c r="N312" i="2"/>
  <c r="M312" i="2"/>
  <c r="L312" i="2"/>
  <c r="K312" i="2"/>
  <c r="J312" i="2"/>
  <c r="O311" i="2"/>
  <c r="N311" i="2"/>
  <c r="M311" i="2"/>
  <c r="L311" i="2"/>
  <c r="K311" i="2"/>
  <c r="J311" i="2"/>
  <c r="O310" i="2"/>
  <c r="N310" i="2"/>
  <c r="M310" i="2"/>
  <c r="L310" i="2"/>
  <c r="K310" i="2"/>
  <c r="J310" i="2"/>
  <c r="O309" i="2"/>
  <c r="N309" i="2"/>
  <c r="M309" i="2"/>
  <c r="L309" i="2"/>
  <c r="K309" i="2"/>
  <c r="J309" i="2"/>
  <c r="O308" i="2"/>
  <c r="N308" i="2"/>
  <c r="M308" i="2"/>
  <c r="L308" i="2"/>
  <c r="K308" i="2"/>
  <c r="J308" i="2"/>
  <c r="O307" i="2"/>
  <c r="N307" i="2"/>
  <c r="M307" i="2"/>
  <c r="L307" i="2"/>
  <c r="K307" i="2"/>
  <c r="J307" i="2"/>
  <c r="O306" i="2"/>
  <c r="N306" i="2"/>
  <c r="M306" i="2"/>
  <c r="L306" i="2"/>
  <c r="K306" i="2"/>
  <c r="J306" i="2"/>
  <c r="O305" i="2"/>
  <c r="N305" i="2"/>
  <c r="M305" i="2"/>
  <c r="L305" i="2"/>
  <c r="K305" i="2"/>
  <c r="J305" i="2"/>
  <c r="O304" i="2"/>
  <c r="N304" i="2"/>
  <c r="M304" i="2"/>
  <c r="L304" i="2"/>
  <c r="K304" i="2"/>
  <c r="J304" i="2"/>
  <c r="O303" i="2"/>
  <c r="N303" i="2"/>
  <c r="M303" i="2"/>
  <c r="L303" i="2"/>
  <c r="K303" i="2"/>
  <c r="J303" i="2"/>
  <c r="O302" i="2"/>
  <c r="N302" i="2"/>
  <c r="M302" i="2"/>
  <c r="L302" i="2"/>
  <c r="K302" i="2"/>
  <c r="J302" i="2"/>
  <c r="O301" i="2"/>
  <c r="N301" i="2"/>
  <c r="M301" i="2"/>
  <c r="L301" i="2"/>
  <c r="K301" i="2"/>
  <c r="J301" i="2"/>
  <c r="O300" i="2"/>
  <c r="N300" i="2"/>
  <c r="M300" i="2"/>
  <c r="L300" i="2"/>
  <c r="K300" i="2"/>
  <c r="J300" i="2"/>
  <c r="O299" i="2"/>
  <c r="N299" i="2"/>
  <c r="M299" i="2"/>
  <c r="L299" i="2"/>
  <c r="K299" i="2"/>
  <c r="J299" i="2"/>
  <c r="O298" i="2"/>
  <c r="N298" i="2"/>
  <c r="M298" i="2"/>
  <c r="L298" i="2"/>
  <c r="K298" i="2"/>
  <c r="J298" i="2"/>
  <c r="O297" i="2"/>
  <c r="N297" i="2"/>
  <c r="M297" i="2"/>
  <c r="L297" i="2"/>
  <c r="K297" i="2"/>
  <c r="J297" i="2"/>
  <c r="O296" i="2"/>
  <c r="N296" i="2"/>
  <c r="M296" i="2"/>
  <c r="L296" i="2"/>
  <c r="K296" i="2"/>
  <c r="J296" i="2"/>
  <c r="O295" i="2"/>
  <c r="N295" i="2"/>
  <c r="M295" i="2"/>
  <c r="L295" i="2"/>
  <c r="K295" i="2"/>
  <c r="J295" i="2"/>
  <c r="O294" i="2"/>
  <c r="N294" i="2"/>
  <c r="M294" i="2"/>
  <c r="L294" i="2"/>
  <c r="K294" i="2"/>
  <c r="J294" i="2"/>
  <c r="O293" i="2"/>
  <c r="N293" i="2"/>
  <c r="M293" i="2"/>
  <c r="L293" i="2"/>
  <c r="K293" i="2"/>
  <c r="J293" i="2"/>
  <c r="O292" i="2"/>
  <c r="N292" i="2"/>
  <c r="M292" i="2"/>
  <c r="L292" i="2"/>
  <c r="K292" i="2"/>
  <c r="J292" i="2"/>
  <c r="O291" i="2"/>
  <c r="N291" i="2"/>
  <c r="M291" i="2"/>
  <c r="L291" i="2"/>
  <c r="K291" i="2"/>
  <c r="J291" i="2"/>
  <c r="O290" i="2"/>
  <c r="N290" i="2"/>
  <c r="M290" i="2"/>
  <c r="L290" i="2"/>
  <c r="K290" i="2"/>
  <c r="J290" i="2"/>
  <c r="O289" i="2"/>
  <c r="N289" i="2"/>
  <c r="M289" i="2"/>
  <c r="L289" i="2"/>
  <c r="K289" i="2"/>
  <c r="J289" i="2"/>
  <c r="O288" i="2"/>
  <c r="N288" i="2"/>
  <c r="M288" i="2"/>
  <c r="L288" i="2"/>
  <c r="K288" i="2"/>
  <c r="J288" i="2"/>
  <c r="O287" i="2"/>
  <c r="N287" i="2"/>
  <c r="M287" i="2"/>
  <c r="L287" i="2"/>
  <c r="K287" i="2"/>
  <c r="J287" i="2"/>
  <c r="O286" i="2"/>
  <c r="N286" i="2"/>
  <c r="M286" i="2"/>
  <c r="L286" i="2"/>
  <c r="K286" i="2"/>
  <c r="J286" i="2"/>
  <c r="O285" i="2"/>
  <c r="N285" i="2"/>
  <c r="M285" i="2"/>
  <c r="L285" i="2"/>
  <c r="K285" i="2"/>
  <c r="J285" i="2"/>
  <c r="O284" i="2"/>
  <c r="N284" i="2"/>
  <c r="M284" i="2"/>
  <c r="L284" i="2"/>
  <c r="K284" i="2"/>
  <c r="J284" i="2"/>
  <c r="O283" i="2"/>
  <c r="N283" i="2"/>
  <c r="M283" i="2"/>
  <c r="L283" i="2"/>
  <c r="K283" i="2"/>
  <c r="J283" i="2"/>
  <c r="O282" i="2"/>
  <c r="N282" i="2"/>
  <c r="M282" i="2"/>
  <c r="L282" i="2"/>
  <c r="K282" i="2"/>
  <c r="J282" i="2"/>
  <c r="O281" i="2"/>
  <c r="N281" i="2"/>
  <c r="M281" i="2"/>
  <c r="L281" i="2"/>
  <c r="K281" i="2"/>
  <c r="J281" i="2"/>
  <c r="O280" i="2"/>
  <c r="N280" i="2"/>
  <c r="M280" i="2"/>
  <c r="L280" i="2"/>
  <c r="K280" i="2"/>
  <c r="J280" i="2"/>
  <c r="O279" i="2"/>
  <c r="N279" i="2"/>
  <c r="M279" i="2"/>
  <c r="L279" i="2"/>
  <c r="K279" i="2"/>
  <c r="J279" i="2"/>
  <c r="O278" i="2"/>
  <c r="N278" i="2"/>
  <c r="M278" i="2"/>
  <c r="L278" i="2"/>
  <c r="K278" i="2"/>
  <c r="J278" i="2"/>
  <c r="O277" i="2"/>
  <c r="N277" i="2"/>
  <c r="M277" i="2"/>
  <c r="L277" i="2"/>
  <c r="K277" i="2"/>
  <c r="J277" i="2"/>
  <c r="O276" i="2"/>
  <c r="N276" i="2"/>
  <c r="M276" i="2"/>
  <c r="L276" i="2"/>
  <c r="K276" i="2"/>
  <c r="J276" i="2"/>
  <c r="O275" i="2"/>
  <c r="N275" i="2"/>
  <c r="M275" i="2"/>
  <c r="L275" i="2"/>
  <c r="K275" i="2"/>
  <c r="J275" i="2"/>
  <c r="O274" i="2"/>
  <c r="N274" i="2"/>
  <c r="M274" i="2"/>
  <c r="L274" i="2"/>
  <c r="K274" i="2"/>
  <c r="J274" i="2"/>
  <c r="O273" i="2"/>
  <c r="N273" i="2"/>
  <c r="M273" i="2"/>
  <c r="L273" i="2"/>
  <c r="K273" i="2"/>
  <c r="J273" i="2"/>
  <c r="O272" i="2"/>
  <c r="N272" i="2"/>
  <c r="M272" i="2"/>
  <c r="L272" i="2"/>
  <c r="K272" i="2"/>
  <c r="J272" i="2"/>
  <c r="O271" i="2"/>
  <c r="N271" i="2"/>
  <c r="M271" i="2"/>
  <c r="L271" i="2"/>
  <c r="K271" i="2"/>
  <c r="J271" i="2"/>
  <c r="O270" i="2"/>
  <c r="N270" i="2"/>
  <c r="M270" i="2"/>
  <c r="L270" i="2"/>
  <c r="K270" i="2"/>
  <c r="J270" i="2"/>
  <c r="O269" i="2"/>
  <c r="N269" i="2"/>
  <c r="M269" i="2"/>
  <c r="L269" i="2"/>
  <c r="K269" i="2"/>
  <c r="J269" i="2"/>
  <c r="O268" i="2"/>
  <c r="N268" i="2"/>
  <c r="M268" i="2"/>
  <c r="L268" i="2"/>
  <c r="K268" i="2"/>
  <c r="J268" i="2"/>
  <c r="O267" i="2"/>
  <c r="N267" i="2"/>
  <c r="M267" i="2"/>
  <c r="L267" i="2"/>
  <c r="K267" i="2"/>
  <c r="J267" i="2"/>
  <c r="O266" i="2"/>
  <c r="N266" i="2"/>
  <c r="M266" i="2"/>
  <c r="L266" i="2"/>
  <c r="K266" i="2"/>
  <c r="J266" i="2"/>
  <c r="O265" i="2"/>
  <c r="N265" i="2"/>
  <c r="M265" i="2"/>
  <c r="L265" i="2"/>
  <c r="K265" i="2"/>
  <c r="J265" i="2"/>
  <c r="O264" i="2"/>
  <c r="N264" i="2"/>
  <c r="M264" i="2"/>
  <c r="L264" i="2"/>
  <c r="K264" i="2"/>
  <c r="J264" i="2"/>
  <c r="O263" i="2"/>
  <c r="N263" i="2"/>
  <c r="M263" i="2"/>
  <c r="L263" i="2"/>
  <c r="K263" i="2"/>
  <c r="J263" i="2"/>
  <c r="O262" i="2"/>
  <c r="N262" i="2"/>
  <c r="M262" i="2"/>
  <c r="L262" i="2"/>
  <c r="K262" i="2"/>
  <c r="J262" i="2"/>
  <c r="O261" i="2"/>
  <c r="N261" i="2"/>
  <c r="M261" i="2"/>
  <c r="L261" i="2"/>
  <c r="K261" i="2"/>
  <c r="J261" i="2"/>
  <c r="O260" i="2"/>
  <c r="N260" i="2"/>
  <c r="M260" i="2"/>
  <c r="L260" i="2"/>
  <c r="K260" i="2"/>
  <c r="J260" i="2"/>
  <c r="O259" i="2"/>
  <c r="N259" i="2"/>
  <c r="M259" i="2"/>
  <c r="L259" i="2"/>
  <c r="K259" i="2"/>
  <c r="J259" i="2"/>
  <c r="O258" i="2"/>
  <c r="N258" i="2"/>
  <c r="M258" i="2"/>
  <c r="L258" i="2"/>
  <c r="K258" i="2"/>
  <c r="J258" i="2"/>
  <c r="O257" i="2"/>
  <c r="N257" i="2"/>
  <c r="M257" i="2"/>
  <c r="L257" i="2"/>
  <c r="K257" i="2"/>
  <c r="J257" i="2"/>
  <c r="O256" i="2"/>
  <c r="N256" i="2"/>
  <c r="M256" i="2"/>
  <c r="L256" i="2"/>
  <c r="K256" i="2"/>
  <c r="J256" i="2"/>
  <c r="O255" i="2"/>
  <c r="N255" i="2"/>
  <c r="M255" i="2"/>
  <c r="L255" i="2"/>
  <c r="K255" i="2"/>
  <c r="J255" i="2"/>
  <c r="O254" i="2"/>
  <c r="N254" i="2"/>
  <c r="M254" i="2"/>
  <c r="L254" i="2"/>
  <c r="K254" i="2"/>
  <c r="J254" i="2"/>
  <c r="O253" i="2"/>
  <c r="N253" i="2"/>
  <c r="M253" i="2"/>
  <c r="L253" i="2"/>
  <c r="K253" i="2"/>
  <c r="J253" i="2"/>
  <c r="O252" i="2"/>
  <c r="N252" i="2"/>
  <c r="M252" i="2"/>
  <c r="L252" i="2"/>
  <c r="K252" i="2"/>
  <c r="J252" i="2"/>
  <c r="O251" i="2"/>
  <c r="N251" i="2"/>
  <c r="M251" i="2"/>
  <c r="L251" i="2"/>
  <c r="K251" i="2"/>
  <c r="J251" i="2"/>
  <c r="O250" i="2"/>
  <c r="N250" i="2"/>
  <c r="M250" i="2"/>
  <c r="L250" i="2"/>
  <c r="K250" i="2"/>
  <c r="J250" i="2"/>
  <c r="O249" i="2"/>
  <c r="N249" i="2"/>
  <c r="M249" i="2"/>
  <c r="L249" i="2"/>
  <c r="K249" i="2"/>
  <c r="J249" i="2"/>
  <c r="O248" i="2"/>
  <c r="N248" i="2"/>
  <c r="M248" i="2"/>
  <c r="L248" i="2"/>
  <c r="K248" i="2"/>
  <c r="J248" i="2"/>
  <c r="O247" i="2"/>
  <c r="N247" i="2"/>
  <c r="M247" i="2"/>
  <c r="L247" i="2"/>
  <c r="K247" i="2"/>
  <c r="J247" i="2"/>
  <c r="O245" i="2"/>
  <c r="N245" i="2"/>
  <c r="M245" i="2"/>
  <c r="L245" i="2"/>
  <c r="K245" i="2"/>
  <c r="J245" i="2"/>
  <c r="O244" i="2"/>
  <c r="N244" i="2"/>
  <c r="M244" i="2"/>
  <c r="L244" i="2"/>
  <c r="K244" i="2"/>
  <c r="J244" i="2"/>
  <c r="O243" i="2"/>
  <c r="N243" i="2"/>
  <c r="M243" i="2"/>
  <c r="L243" i="2"/>
  <c r="K243" i="2"/>
  <c r="J243" i="2"/>
  <c r="O242" i="2"/>
  <c r="N242" i="2"/>
  <c r="M242" i="2"/>
  <c r="L242" i="2"/>
  <c r="K242" i="2"/>
  <c r="J242" i="2"/>
  <c r="O241" i="2"/>
  <c r="N241" i="2"/>
  <c r="M241" i="2"/>
  <c r="L241" i="2"/>
  <c r="K241" i="2"/>
  <c r="J241" i="2"/>
  <c r="O240" i="2"/>
  <c r="N240" i="2"/>
  <c r="M240" i="2"/>
  <c r="L240" i="2"/>
  <c r="K240" i="2"/>
  <c r="J240" i="2"/>
  <c r="O239" i="2"/>
  <c r="N239" i="2"/>
  <c r="M239" i="2"/>
  <c r="L239" i="2"/>
  <c r="K239" i="2"/>
  <c r="J239" i="2"/>
  <c r="O238" i="2"/>
  <c r="N238" i="2"/>
  <c r="M238" i="2"/>
  <c r="L238" i="2"/>
  <c r="K238" i="2"/>
  <c r="J238" i="2"/>
  <c r="O237" i="2"/>
  <c r="N237" i="2"/>
  <c r="M237" i="2"/>
  <c r="L237" i="2"/>
  <c r="K237" i="2"/>
  <c r="J237" i="2"/>
  <c r="O236" i="2"/>
  <c r="N236" i="2"/>
  <c r="M236" i="2"/>
  <c r="L236" i="2"/>
  <c r="K236" i="2"/>
  <c r="J236" i="2"/>
  <c r="O235" i="2"/>
  <c r="N235" i="2"/>
  <c r="M235" i="2"/>
  <c r="L235" i="2"/>
  <c r="K235" i="2"/>
  <c r="J235" i="2"/>
  <c r="O234" i="2"/>
  <c r="N234" i="2"/>
  <c r="M234" i="2"/>
  <c r="L234" i="2"/>
  <c r="K234" i="2"/>
  <c r="J234" i="2"/>
  <c r="O233" i="2"/>
  <c r="N233" i="2"/>
  <c r="M233" i="2"/>
  <c r="L233" i="2"/>
  <c r="K233" i="2"/>
  <c r="J233" i="2"/>
  <c r="O232" i="2"/>
  <c r="N232" i="2"/>
  <c r="M232" i="2"/>
  <c r="L232" i="2"/>
  <c r="K232" i="2"/>
  <c r="J232" i="2"/>
  <c r="O231" i="2"/>
  <c r="N231" i="2"/>
  <c r="M231" i="2"/>
  <c r="L231" i="2"/>
  <c r="K231" i="2"/>
  <c r="J231" i="2"/>
  <c r="O230" i="2"/>
  <c r="N230" i="2"/>
  <c r="M230" i="2"/>
  <c r="L230" i="2"/>
  <c r="K230" i="2"/>
  <c r="J230" i="2"/>
  <c r="O229" i="2"/>
  <c r="N229" i="2"/>
  <c r="M229" i="2"/>
  <c r="L229" i="2"/>
  <c r="K229" i="2"/>
  <c r="J229" i="2"/>
  <c r="O228" i="2"/>
  <c r="N228" i="2"/>
  <c r="M228" i="2"/>
  <c r="L228" i="2"/>
  <c r="K228" i="2"/>
  <c r="J228" i="2"/>
  <c r="O227" i="2"/>
  <c r="N227" i="2"/>
  <c r="M227" i="2"/>
  <c r="L227" i="2"/>
  <c r="K227" i="2"/>
  <c r="J227" i="2"/>
  <c r="O226" i="2"/>
  <c r="N226" i="2"/>
  <c r="M226" i="2"/>
  <c r="L226" i="2"/>
  <c r="K226" i="2"/>
  <c r="J226" i="2"/>
  <c r="O225" i="2"/>
  <c r="N225" i="2"/>
  <c r="M225" i="2"/>
  <c r="L225" i="2"/>
  <c r="K225" i="2"/>
  <c r="J225" i="2"/>
  <c r="O224" i="2"/>
  <c r="N224" i="2"/>
  <c r="M224" i="2"/>
  <c r="L224" i="2"/>
  <c r="K224" i="2"/>
  <c r="J224" i="2"/>
  <c r="O223" i="2"/>
  <c r="N223" i="2"/>
  <c r="M223" i="2"/>
  <c r="L223" i="2"/>
  <c r="K223" i="2"/>
  <c r="J223" i="2"/>
  <c r="O222" i="2"/>
  <c r="N222" i="2"/>
  <c r="M222" i="2"/>
  <c r="L222" i="2"/>
  <c r="K222" i="2"/>
  <c r="J222" i="2"/>
  <c r="O221" i="2"/>
  <c r="N221" i="2"/>
  <c r="M221" i="2"/>
  <c r="L221" i="2"/>
  <c r="K221" i="2"/>
  <c r="J221" i="2"/>
  <c r="O220" i="2"/>
  <c r="N220" i="2"/>
  <c r="M220" i="2"/>
  <c r="L220" i="2"/>
  <c r="K220" i="2"/>
  <c r="J220" i="2"/>
  <c r="O219" i="2"/>
  <c r="N219" i="2"/>
  <c r="M219" i="2"/>
  <c r="L219" i="2"/>
  <c r="K219" i="2"/>
  <c r="J219" i="2"/>
  <c r="O218" i="2"/>
  <c r="N218" i="2"/>
  <c r="M218" i="2"/>
  <c r="L218" i="2"/>
  <c r="K218" i="2"/>
  <c r="J218" i="2"/>
  <c r="O217" i="2"/>
  <c r="N217" i="2"/>
  <c r="M217" i="2"/>
  <c r="L217" i="2"/>
  <c r="K217" i="2"/>
  <c r="J217" i="2"/>
  <c r="O216" i="2"/>
  <c r="N216" i="2"/>
  <c r="M216" i="2"/>
  <c r="L216" i="2"/>
  <c r="K216" i="2"/>
  <c r="J216" i="2"/>
  <c r="O215" i="2"/>
  <c r="N215" i="2"/>
  <c r="M215" i="2"/>
  <c r="L215" i="2"/>
  <c r="K215" i="2"/>
  <c r="J215" i="2"/>
  <c r="O214" i="2"/>
  <c r="N214" i="2"/>
  <c r="M214" i="2"/>
  <c r="L214" i="2"/>
  <c r="K214" i="2"/>
  <c r="J214" i="2"/>
  <c r="O213" i="2"/>
  <c r="N213" i="2"/>
  <c r="M213" i="2"/>
  <c r="L213" i="2"/>
  <c r="K213" i="2"/>
  <c r="J213" i="2"/>
  <c r="O212" i="2"/>
  <c r="N212" i="2"/>
  <c r="M212" i="2"/>
  <c r="L212" i="2"/>
  <c r="K212" i="2"/>
  <c r="J212" i="2"/>
  <c r="O211" i="2"/>
  <c r="N211" i="2"/>
  <c r="M211" i="2"/>
  <c r="L211" i="2"/>
  <c r="K211" i="2"/>
  <c r="J211" i="2"/>
  <c r="O210" i="2"/>
  <c r="N210" i="2"/>
  <c r="M210" i="2"/>
  <c r="L210" i="2"/>
  <c r="K210" i="2"/>
  <c r="J210" i="2"/>
  <c r="O209" i="2"/>
  <c r="N209" i="2"/>
  <c r="M209" i="2"/>
  <c r="L209" i="2"/>
  <c r="K209" i="2"/>
  <c r="J209" i="2"/>
  <c r="O208" i="2"/>
  <c r="N208" i="2"/>
  <c r="M208" i="2"/>
  <c r="L208" i="2"/>
  <c r="K208" i="2"/>
  <c r="J208" i="2"/>
  <c r="O207" i="2"/>
  <c r="N207" i="2"/>
  <c r="M207" i="2"/>
  <c r="L207" i="2"/>
  <c r="K207" i="2"/>
  <c r="J207" i="2"/>
  <c r="O206" i="2"/>
  <c r="N206" i="2"/>
  <c r="M206" i="2"/>
  <c r="L206" i="2"/>
  <c r="K206" i="2"/>
  <c r="J206" i="2"/>
  <c r="O205" i="2"/>
  <c r="N205" i="2"/>
  <c r="M205" i="2"/>
  <c r="L205" i="2"/>
  <c r="K205" i="2"/>
  <c r="J205" i="2"/>
  <c r="O204" i="2"/>
  <c r="N204" i="2"/>
  <c r="M204" i="2"/>
  <c r="L204" i="2"/>
  <c r="K204" i="2"/>
  <c r="J204" i="2"/>
  <c r="O203" i="2"/>
  <c r="N203" i="2"/>
  <c r="M203" i="2"/>
  <c r="L203" i="2"/>
  <c r="K203" i="2"/>
  <c r="J203" i="2"/>
  <c r="O202" i="2"/>
  <c r="N202" i="2"/>
  <c r="M202" i="2"/>
  <c r="L202" i="2"/>
  <c r="K202" i="2"/>
  <c r="J202" i="2"/>
  <c r="O201" i="2"/>
  <c r="N201" i="2"/>
  <c r="M201" i="2"/>
  <c r="L201" i="2"/>
  <c r="K201" i="2"/>
  <c r="J201" i="2"/>
  <c r="O200" i="2"/>
  <c r="N200" i="2"/>
  <c r="M200" i="2"/>
  <c r="L200" i="2"/>
  <c r="K200" i="2"/>
  <c r="J200" i="2"/>
  <c r="O199" i="2"/>
  <c r="N199" i="2"/>
  <c r="M199" i="2"/>
  <c r="L199" i="2"/>
  <c r="K199" i="2"/>
  <c r="J199" i="2"/>
  <c r="O198" i="2"/>
  <c r="N198" i="2"/>
  <c r="M198" i="2"/>
  <c r="L198" i="2"/>
  <c r="K198" i="2"/>
  <c r="J198" i="2"/>
  <c r="O197" i="2"/>
  <c r="N197" i="2"/>
  <c r="M197" i="2"/>
  <c r="L197" i="2"/>
  <c r="K197" i="2"/>
  <c r="J197" i="2"/>
  <c r="O196" i="2"/>
  <c r="N196" i="2"/>
  <c r="M196" i="2"/>
  <c r="L196" i="2"/>
  <c r="K196" i="2"/>
  <c r="J196" i="2"/>
  <c r="O195" i="2"/>
  <c r="N195" i="2"/>
  <c r="M195" i="2"/>
  <c r="L195" i="2"/>
  <c r="K195" i="2"/>
  <c r="J195" i="2"/>
  <c r="O194" i="2"/>
  <c r="N194" i="2"/>
  <c r="M194" i="2"/>
  <c r="L194" i="2"/>
  <c r="K194" i="2"/>
  <c r="J194" i="2"/>
  <c r="O193" i="2"/>
  <c r="N193" i="2"/>
  <c r="M193" i="2"/>
  <c r="L193" i="2"/>
  <c r="K193" i="2"/>
  <c r="J193" i="2"/>
  <c r="O192" i="2"/>
  <c r="N192" i="2"/>
  <c r="M192" i="2"/>
  <c r="L192" i="2"/>
  <c r="K192" i="2"/>
  <c r="J192" i="2"/>
  <c r="O191" i="2"/>
  <c r="N191" i="2"/>
  <c r="M191" i="2"/>
  <c r="L191" i="2"/>
  <c r="K191" i="2"/>
  <c r="J191" i="2"/>
  <c r="O190" i="2"/>
  <c r="N190" i="2"/>
  <c r="M190" i="2"/>
  <c r="L190" i="2"/>
  <c r="K190" i="2"/>
  <c r="J190" i="2"/>
  <c r="O189" i="2"/>
  <c r="N189" i="2"/>
  <c r="M189" i="2"/>
  <c r="L189" i="2"/>
  <c r="K189" i="2"/>
  <c r="J189" i="2"/>
  <c r="O188" i="2"/>
  <c r="N188" i="2"/>
  <c r="M188" i="2"/>
  <c r="L188" i="2"/>
  <c r="K188" i="2"/>
  <c r="J188" i="2"/>
  <c r="O187" i="2"/>
  <c r="N187" i="2"/>
  <c r="M187" i="2"/>
  <c r="L187" i="2"/>
  <c r="K187" i="2"/>
  <c r="J187" i="2"/>
  <c r="O186" i="2"/>
  <c r="N186" i="2"/>
  <c r="M186" i="2"/>
  <c r="L186" i="2"/>
  <c r="K186" i="2"/>
  <c r="J186" i="2"/>
  <c r="O185" i="2"/>
  <c r="N185" i="2"/>
  <c r="M185" i="2"/>
  <c r="L185" i="2"/>
  <c r="K185" i="2"/>
  <c r="J185" i="2"/>
  <c r="O184" i="2"/>
  <c r="N184" i="2"/>
  <c r="M184" i="2"/>
  <c r="L184" i="2"/>
  <c r="K184" i="2"/>
  <c r="J184" i="2"/>
  <c r="O183" i="2"/>
  <c r="N183" i="2"/>
  <c r="M183" i="2"/>
  <c r="L183" i="2"/>
  <c r="K183" i="2"/>
  <c r="J183" i="2"/>
  <c r="O182" i="2"/>
  <c r="N182" i="2"/>
  <c r="M182" i="2"/>
  <c r="L182" i="2"/>
  <c r="K182" i="2"/>
  <c r="J182" i="2"/>
  <c r="O181" i="2"/>
  <c r="N181" i="2"/>
  <c r="M181" i="2"/>
  <c r="L181" i="2"/>
  <c r="K181" i="2"/>
  <c r="J181" i="2"/>
  <c r="O180" i="2"/>
  <c r="N180" i="2"/>
  <c r="M180" i="2"/>
  <c r="L180" i="2"/>
  <c r="K180" i="2"/>
  <c r="J180" i="2"/>
  <c r="O179" i="2"/>
  <c r="N179" i="2"/>
  <c r="M179" i="2"/>
  <c r="L179" i="2"/>
  <c r="K179" i="2"/>
  <c r="J179" i="2"/>
  <c r="O178" i="2"/>
  <c r="N178" i="2"/>
  <c r="M178" i="2"/>
  <c r="L178" i="2"/>
  <c r="K178" i="2"/>
  <c r="J178" i="2"/>
  <c r="O177" i="2"/>
  <c r="N177" i="2"/>
  <c r="M177" i="2"/>
  <c r="L177" i="2"/>
  <c r="K177" i="2"/>
  <c r="J177" i="2"/>
  <c r="O176" i="2"/>
  <c r="N176" i="2"/>
  <c r="M176" i="2"/>
  <c r="L176" i="2"/>
  <c r="K176" i="2"/>
  <c r="J176" i="2"/>
  <c r="O175" i="2"/>
  <c r="N175" i="2"/>
  <c r="M175" i="2"/>
  <c r="L175" i="2"/>
  <c r="K175" i="2"/>
  <c r="J175" i="2"/>
  <c r="O174" i="2"/>
  <c r="N174" i="2"/>
  <c r="M174" i="2"/>
  <c r="L174" i="2"/>
  <c r="K174" i="2"/>
  <c r="J174" i="2"/>
  <c r="O173" i="2"/>
  <c r="N173" i="2"/>
  <c r="M173" i="2"/>
  <c r="L173" i="2"/>
  <c r="K173" i="2"/>
  <c r="J173" i="2"/>
  <c r="O172" i="2"/>
  <c r="N172" i="2"/>
  <c r="M172" i="2"/>
  <c r="L172" i="2"/>
  <c r="K172" i="2"/>
  <c r="J172" i="2"/>
  <c r="O171" i="2"/>
  <c r="N171" i="2"/>
  <c r="M171" i="2"/>
  <c r="L171" i="2"/>
  <c r="K171" i="2"/>
  <c r="J171" i="2"/>
  <c r="O170" i="2"/>
  <c r="N170" i="2"/>
  <c r="M170" i="2"/>
  <c r="L170" i="2"/>
  <c r="K170" i="2"/>
  <c r="J170" i="2"/>
  <c r="O169" i="2"/>
  <c r="N169" i="2"/>
  <c r="M169" i="2"/>
  <c r="L169" i="2"/>
  <c r="K169" i="2"/>
  <c r="J169" i="2"/>
  <c r="O168" i="2"/>
  <c r="N168" i="2"/>
  <c r="M168" i="2"/>
  <c r="L168" i="2"/>
  <c r="K168" i="2"/>
  <c r="J168" i="2"/>
  <c r="O167" i="2"/>
  <c r="N167" i="2"/>
  <c r="M167" i="2"/>
  <c r="L167" i="2"/>
  <c r="K167" i="2"/>
  <c r="J167" i="2"/>
  <c r="O166" i="2"/>
  <c r="N166" i="2"/>
  <c r="M166" i="2"/>
  <c r="L166" i="2"/>
  <c r="K166" i="2"/>
  <c r="J166" i="2"/>
  <c r="O165" i="2"/>
  <c r="N165" i="2"/>
  <c r="M165" i="2"/>
  <c r="L165" i="2"/>
  <c r="K165" i="2"/>
  <c r="J165" i="2"/>
  <c r="O164" i="2"/>
  <c r="N164" i="2"/>
  <c r="M164" i="2"/>
  <c r="L164" i="2"/>
  <c r="K164" i="2"/>
  <c r="J164" i="2"/>
  <c r="O163" i="2"/>
  <c r="N163" i="2"/>
  <c r="M163" i="2"/>
  <c r="L163" i="2"/>
  <c r="K163" i="2"/>
  <c r="J163" i="2"/>
  <c r="O162" i="2"/>
  <c r="N162" i="2"/>
  <c r="M162" i="2"/>
  <c r="L162" i="2"/>
  <c r="K162" i="2"/>
  <c r="J162" i="2"/>
  <c r="O161" i="2"/>
  <c r="N161" i="2"/>
  <c r="M161" i="2"/>
  <c r="L161" i="2"/>
  <c r="K161" i="2"/>
  <c r="J161" i="2"/>
  <c r="O160" i="2"/>
  <c r="N160" i="2"/>
  <c r="M160" i="2"/>
  <c r="L160" i="2"/>
  <c r="K160" i="2"/>
  <c r="J160" i="2"/>
  <c r="O159" i="2"/>
  <c r="N159" i="2"/>
  <c r="M159" i="2"/>
  <c r="L159" i="2"/>
  <c r="K159" i="2"/>
  <c r="J159" i="2"/>
  <c r="O158" i="2"/>
  <c r="N158" i="2"/>
  <c r="M158" i="2"/>
  <c r="L158" i="2"/>
  <c r="K158" i="2"/>
  <c r="J158" i="2"/>
  <c r="O157" i="2"/>
  <c r="N157" i="2"/>
  <c r="M157" i="2"/>
  <c r="L157" i="2"/>
  <c r="K157" i="2"/>
  <c r="J157" i="2"/>
  <c r="O156" i="2"/>
  <c r="N156" i="2"/>
  <c r="M156" i="2"/>
  <c r="L156" i="2"/>
  <c r="K156" i="2"/>
  <c r="J156" i="2"/>
  <c r="O155" i="2"/>
  <c r="N155" i="2"/>
  <c r="M155" i="2"/>
  <c r="L155" i="2"/>
  <c r="K155" i="2"/>
  <c r="J155" i="2"/>
  <c r="G155" i="2"/>
  <c r="O154" i="2"/>
  <c r="N154" i="2"/>
  <c r="M154" i="2"/>
  <c r="L154" i="2"/>
  <c r="K154" i="2"/>
  <c r="J154" i="2"/>
  <c r="O153" i="2"/>
  <c r="N153" i="2"/>
  <c r="M153" i="2"/>
  <c r="L153" i="2"/>
  <c r="K153" i="2"/>
  <c r="J153" i="2"/>
  <c r="O152" i="2"/>
  <c r="N152" i="2"/>
  <c r="M152" i="2"/>
  <c r="L152" i="2"/>
  <c r="K152" i="2"/>
  <c r="J152" i="2"/>
  <c r="O151" i="2"/>
  <c r="N151" i="2"/>
  <c r="M151" i="2"/>
  <c r="L151" i="2"/>
  <c r="K151" i="2"/>
  <c r="J151" i="2"/>
  <c r="O150" i="2"/>
  <c r="N150" i="2"/>
  <c r="M150" i="2"/>
  <c r="L150" i="2"/>
  <c r="K150" i="2"/>
  <c r="J150" i="2"/>
  <c r="O149" i="2"/>
  <c r="N149" i="2"/>
  <c r="M149" i="2"/>
  <c r="L149" i="2"/>
  <c r="K149" i="2"/>
  <c r="J149" i="2"/>
  <c r="O148" i="2"/>
  <c r="N148" i="2"/>
  <c r="M148" i="2"/>
  <c r="L148" i="2"/>
  <c r="K148" i="2"/>
  <c r="J148" i="2"/>
  <c r="O147" i="2"/>
  <c r="N147" i="2"/>
  <c r="M147" i="2"/>
  <c r="L147" i="2"/>
  <c r="K147" i="2"/>
  <c r="J147" i="2"/>
  <c r="O146" i="2"/>
  <c r="N146" i="2"/>
  <c r="M146" i="2"/>
  <c r="L146" i="2"/>
  <c r="K146" i="2"/>
  <c r="J146" i="2"/>
  <c r="O145" i="2"/>
  <c r="N145" i="2"/>
  <c r="M145" i="2"/>
  <c r="L145" i="2"/>
  <c r="K145" i="2"/>
  <c r="J145" i="2"/>
  <c r="O144" i="2"/>
  <c r="N144" i="2"/>
  <c r="M144" i="2"/>
  <c r="L144" i="2"/>
  <c r="K144" i="2"/>
  <c r="J144" i="2"/>
  <c r="O143" i="2"/>
  <c r="N143" i="2"/>
  <c r="M143" i="2"/>
  <c r="L143" i="2"/>
  <c r="K143" i="2"/>
  <c r="J143" i="2"/>
  <c r="O142" i="2"/>
  <c r="N142" i="2"/>
  <c r="M142" i="2"/>
  <c r="L142" i="2"/>
  <c r="K142" i="2"/>
  <c r="J142" i="2"/>
  <c r="O141" i="2"/>
  <c r="N141" i="2"/>
  <c r="M141" i="2"/>
  <c r="L141" i="2"/>
  <c r="I141" i="2" s="1"/>
  <c r="H141" i="2" s="1"/>
  <c r="G141" i="2" s="1"/>
  <c r="K141" i="2"/>
  <c r="J141" i="2"/>
  <c r="O140" i="2"/>
  <c r="N140" i="2"/>
  <c r="M140" i="2"/>
  <c r="L140" i="2"/>
  <c r="K140" i="2"/>
  <c r="J140" i="2"/>
  <c r="O139" i="2"/>
  <c r="N139" i="2"/>
  <c r="M139" i="2"/>
  <c r="L139" i="2"/>
  <c r="K139" i="2"/>
  <c r="J139" i="2"/>
  <c r="O138" i="2"/>
  <c r="N138" i="2"/>
  <c r="M138" i="2"/>
  <c r="L138" i="2"/>
  <c r="K138" i="2"/>
  <c r="J138" i="2"/>
  <c r="O136" i="2"/>
  <c r="N136" i="2"/>
  <c r="M136" i="2"/>
  <c r="L136" i="2"/>
  <c r="K136" i="2"/>
  <c r="J136" i="2"/>
  <c r="O135" i="2"/>
  <c r="N135" i="2"/>
  <c r="M135" i="2"/>
  <c r="L135" i="2"/>
  <c r="K135" i="2"/>
  <c r="J135" i="2"/>
  <c r="O134" i="2"/>
  <c r="N134" i="2"/>
  <c r="M134" i="2"/>
  <c r="L134" i="2"/>
  <c r="K134" i="2"/>
  <c r="J134" i="2"/>
  <c r="O133" i="2"/>
  <c r="N133" i="2"/>
  <c r="M133" i="2"/>
  <c r="L133" i="2"/>
  <c r="K133" i="2"/>
  <c r="J133" i="2"/>
  <c r="O132" i="2"/>
  <c r="N132" i="2"/>
  <c r="M132" i="2"/>
  <c r="L132" i="2"/>
  <c r="K132" i="2"/>
  <c r="J132" i="2"/>
  <c r="O131" i="2"/>
  <c r="N131" i="2"/>
  <c r="M131" i="2"/>
  <c r="L131" i="2"/>
  <c r="K131" i="2"/>
  <c r="J131" i="2"/>
  <c r="O130" i="2"/>
  <c r="N130" i="2"/>
  <c r="M130" i="2"/>
  <c r="L130" i="2"/>
  <c r="K130" i="2"/>
  <c r="J130" i="2"/>
  <c r="O129" i="2"/>
  <c r="N129" i="2"/>
  <c r="M129" i="2"/>
  <c r="L129" i="2"/>
  <c r="K129" i="2"/>
  <c r="J129" i="2"/>
  <c r="O128" i="2"/>
  <c r="N128" i="2"/>
  <c r="M128" i="2"/>
  <c r="L128" i="2"/>
  <c r="K128" i="2"/>
  <c r="J128" i="2"/>
  <c r="O127" i="2"/>
  <c r="N127" i="2"/>
  <c r="M127" i="2"/>
  <c r="L127" i="2"/>
  <c r="K127" i="2"/>
  <c r="J127" i="2"/>
  <c r="O126" i="2"/>
  <c r="N126" i="2"/>
  <c r="M126" i="2"/>
  <c r="L126" i="2"/>
  <c r="K126" i="2"/>
  <c r="J126" i="2"/>
  <c r="O125" i="2"/>
  <c r="N125" i="2"/>
  <c r="M125" i="2"/>
  <c r="L125" i="2"/>
  <c r="K125" i="2"/>
  <c r="J125" i="2"/>
  <c r="O124" i="2"/>
  <c r="N124" i="2"/>
  <c r="M124" i="2"/>
  <c r="L124" i="2"/>
  <c r="I124" i="2" s="1"/>
  <c r="H124" i="2" s="1"/>
  <c r="G124" i="2" s="1"/>
  <c r="K124" i="2"/>
  <c r="J124" i="2"/>
  <c r="O123" i="2"/>
  <c r="N123" i="2"/>
  <c r="M123" i="2"/>
  <c r="L123" i="2"/>
  <c r="K123" i="2"/>
  <c r="J123" i="2"/>
  <c r="O122" i="2"/>
  <c r="N122" i="2"/>
  <c r="M122" i="2"/>
  <c r="L122" i="2"/>
  <c r="K122" i="2"/>
  <c r="J122" i="2"/>
  <c r="O121" i="2"/>
  <c r="N121" i="2"/>
  <c r="M121" i="2"/>
  <c r="L121" i="2"/>
  <c r="K121" i="2"/>
  <c r="J121" i="2"/>
  <c r="O120" i="2"/>
  <c r="N120" i="2"/>
  <c r="M120" i="2"/>
  <c r="L120" i="2"/>
  <c r="K120" i="2"/>
  <c r="J120" i="2"/>
  <c r="O119" i="2"/>
  <c r="N119" i="2"/>
  <c r="M119" i="2"/>
  <c r="L119" i="2"/>
  <c r="K119" i="2"/>
  <c r="J119" i="2"/>
  <c r="O118" i="2"/>
  <c r="N118" i="2"/>
  <c r="M118" i="2"/>
  <c r="L118" i="2"/>
  <c r="K118" i="2"/>
  <c r="J118" i="2"/>
  <c r="O117" i="2"/>
  <c r="N117" i="2"/>
  <c r="M117" i="2"/>
  <c r="L117" i="2"/>
  <c r="K117" i="2"/>
  <c r="J117" i="2"/>
  <c r="O116" i="2"/>
  <c r="N116" i="2"/>
  <c r="M116" i="2"/>
  <c r="L116" i="2"/>
  <c r="K116" i="2"/>
  <c r="J116" i="2"/>
  <c r="O115" i="2"/>
  <c r="N115" i="2"/>
  <c r="M115" i="2"/>
  <c r="L115" i="2"/>
  <c r="K115" i="2"/>
  <c r="J115" i="2"/>
  <c r="O114" i="2"/>
  <c r="N114" i="2"/>
  <c r="M114" i="2"/>
  <c r="L114" i="2"/>
  <c r="K114" i="2"/>
  <c r="J114" i="2"/>
  <c r="O113" i="2"/>
  <c r="N113" i="2"/>
  <c r="M113" i="2"/>
  <c r="L113" i="2"/>
  <c r="K113" i="2"/>
  <c r="J113" i="2"/>
  <c r="O112" i="2"/>
  <c r="N112" i="2"/>
  <c r="M112" i="2"/>
  <c r="L112" i="2"/>
  <c r="K112" i="2"/>
  <c r="J112" i="2"/>
  <c r="O111" i="2"/>
  <c r="N111" i="2"/>
  <c r="M111" i="2"/>
  <c r="L111" i="2"/>
  <c r="K111" i="2"/>
  <c r="J111" i="2"/>
  <c r="O110" i="2"/>
  <c r="N110" i="2"/>
  <c r="M110" i="2"/>
  <c r="L110" i="2"/>
  <c r="K110" i="2"/>
  <c r="J110" i="2"/>
  <c r="O109" i="2"/>
  <c r="N109" i="2"/>
  <c r="M109" i="2"/>
  <c r="L109" i="2"/>
  <c r="K109" i="2"/>
  <c r="J109" i="2"/>
  <c r="O108" i="2"/>
  <c r="N108" i="2"/>
  <c r="M108" i="2"/>
  <c r="L108" i="2"/>
  <c r="K108" i="2"/>
  <c r="J108" i="2"/>
  <c r="O107" i="2"/>
  <c r="N107" i="2"/>
  <c r="M107" i="2"/>
  <c r="L107" i="2"/>
  <c r="K107" i="2"/>
  <c r="J107" i="2"/>
  <c r="O106" i="2"/>
  <c r="N106" i="2"/>
  <c r="M106" i="2"/>
  <c r="L106" i="2"/>
  <c r="K106" i="2"/>
  <c r="J106" i="2"/>
  <c r="O105" i="2"/>
  <c r="N105" i="2"/>
  <c r="M105" i="2"/>
  <c r="L105" i="2"/>
  <c r="K105" i="2"/>
  <c r="J105" i="2"/>
  <c r="O104" i="2"/>
  <c r="N104" i="2"/>
  <c r="M104" i="2"/>
  <c r="L104" i="2"/>
  <c r="K104" i="2"/>
  <c r="J104" i="2"/>
  <c r="O103" i="2"/>
  <c r="N103" i="2"/>
  <c r="M103" i="2"/>
  <c r="L103" i="2"/>
  <c r="K103" i="2"/>
  <c r="J103" i="2"/>
  <c r="O102" i="2"/>
  <c r="N102" i="2"/>
  <c r="M102" i="2"/>
  <c r="L102" i="2"/>
  <c r="K102" i="2"/>
  <c r="J102" i="2"/>
  <c r="O101" i="2"/>
  <c r="N101" i="2"/>
  <c r="M101" i="2"/>
  <c r="L101" i="2"/>
  <c r="K101" i="2"/>
  <c r="J101" i="2"/>
  <c r="O100" i="2"/>
  <c r="N100" i="2"/>
  <c r="M100" i="2"/>
  <c r="L100" i="2"/>
  <c r="K100" i="2"/>
  <c r="J100" i="2"/>
  <c r="O99" i="2"/>
  <c r="N99" i="2"/>
  <c r="M99" i="2"/>
  <c r="L99" i="2"/>
  <c r="K99" i="2"/>
  <c r="J99" i="2"/>
  <c r="O98" i="2"/>
  <c r="N98" i="2"/>
  <c r="M98" i="2"/>
  <c r="L98" i="2"/>
  <c r="K98" i="2"/>
  <c r="J98" i="2"/>
  <c r="O97" i="2"/>
  <c r="N97" i="2"/>
  <c r="M97" i="2"/>
  <c r="L97" i="2"/>
  <c r="K97" i="2"/>
  <c r="J97" i="2"/>
  <c r="O96" i="2"/>
  <c r="N96" i="2"/>
  <c r="M96" i="2"/>
  <c r="L96" i="2"/>
  <c r="K96" i="2"/>
  <c r="J96" i="2"/>
  <c r="O95" i="2"/>
  <c r="N95" i="2"/>
  <c r="M95" i="2"/>
  <c r="L95" i="2"/>
  <c r="K95" i="2"/>
  <c r="J95" i="2"/>
  <c r="O94" i="2"/>
  <c r="N94" i="2"/>
  <c r="M94" i="2"/>
  <c r="L94" i="2"/>
  <c r="K94" i="2"/>
  <c r="J94" i="2"/>
  <c r="O93" i="2"/>
  <c r="N93" i="2"/>
  <c r="M93" i="2"/>
  <c r="L93" i="2"/>
  <c r="K93" i="2"/>
  <c r="J93" i="2"/>
  <c r="O92" i="2"/>
  <c r="N92" i="2"/>
  <c r="M92" i="2"/>
  <c r="L92" i="2"/>
  <c r="K92" i="2"/>
  <c r="J92" i="2"/>
  <c r="O91" i="2"/>
  <c r="N91" i="2"/>
  <c r="M91" i="2"/>
  <c r="L91" i="2"/>
  <c r="K91" i="2"/>
  <c r="J91" i="2"/>
  <c r="O90" i="2"/>
  <c r="N90" i="2"/>
  <c r="M90" i="2"/>
  <c r="L90" i="2"/>
  <c r="K90" i="2"/>
  <c r="J90" i="2"/>
  <c r="O89" i="2"/>
  <c r="N89" i="2"/>
  <c r="M89" i="2"/>
  <c r="L89" i="2"/>
  <c r="K89" i="2"/>
  <c r="J89" i="2"/>
  <c r="O88" i="2"/>
  <c r="N88" i="2"/>
  <c r="M88" i="2"/>
  <c r="L88" i="2"/>
  <c r="K88" i="2"/>
  <c r="J88" i="2"/>
  <c r="O87" i="2"/>
  <c r="N87" i="2"/>
  <c r="M87" i="2"/>
  <c r="L87" i="2"/>
  <c r="K87" i="2"/>
  <c r="J87" i="2"/>
  <c r="O86" i="2"/>
  <c r="N86" i="2"/>
  <c r="M86" i="2"/>
  <c r="L86" i="2"/>
  <c r="K86" i="2"/>
  <c r="J86" i="2"/>
  <c r="O85" i="2"/>
  <c r="N85" i="2"/>
  <c r="M85" i="2"/>
  <c r="L85" i="2"/>
  <c r="K85" i="2"/>
  <c r="J85" i="2"/>
  <c r="O84" i="2"/>
  <c r="N84" i="2"/>
  <c r="M84" i="2"/>
  <c r="L84" i="2"/>
  <c r="K84" i="2"/>
  <c r="J84" i="2"/>
  <c r="O83" i="2"/>
  <c r="N83" i="2"/>
  <c r="M83" i="2"/>
  <c r="L83" i="2"/>
  <c r="K83" i="2"/>
  <c r="J83" i="2"/>
  <c r="O82" i="2"/>
  <c r="N82" i="2"/>
  <c r="M82" i="2"/>
  <c r="L82" i="2"/>
  <c r="K82" i="2"/>
  <c r="J82" i="2"/>
  <c r="O81" i="2"/>
  <c r="N81" i="2"/>
  <c r="M81" i="2"/>
  <c r="L81" i="2"/>
  <c r="K81" i="2"/>
  <c r="J81" i="2"/>
  <c r="O80" i="2"/>
  <c r="N80" i="2"/>
  <c r="M80" i="2"/>
  <c r="L80" i="2"/>
  <c r="K80" i="2"/>
  <c r="J80" i="2"/>
  <c r="O79" i="2"/>
  <c r="N79" i="2"/>
  <c r="M79" i="2"/>
  <c r="L79" i="2"/>
  <c r="K79" i="2"/>
  <c r="J79" i="2"/>
  <c r="O78" i="2"/>
  <c r="N78" i="2"/>
  <c r="M78" i="2"/>
  <c r="L78" i="2"/>
  <c r="K78" i="2"/>
  <c r="J78" i="2"/>
  <c r="O77" i="2"/>
  <c r="N77" i="2"/>
  <c r="M77" i="2"/>
  <c r="L77" i="2"/>
  <c r="K77" i="2"/>
  <c r="J77" i="2"/>
  <c r="O76" i="2"/>
  <c r="N76" i="2"/>
  <c r="M76" i="2"/>
  <c r="L76" i="2"/>
  <c r="K76" i="2"/>
  <c r="J76" i="2"/>
  <c r="O75" i="2"/>
  <c r="N75" i="2"/>
  <c r="M75" i="2"/>
  <c r="L75" i="2"/>
  <c r="K75" i="2"/>
  <c r="J75" i="2"/>
  <c r="O74" i="2"/>
  <c r="N74" i="2"/>
  <c r="M74" i="2"/>
  <c r="L74" i="2"/>
  <c r="K74" i="2"/>
  <c r="J74" i="2"/>
  <c r="O73" i="2"/>
  <c r="N73" i="2"/>
  <c r="M73" i="2"/>
  <c r="L73" i="2"/>
  <c r="K73" i="2"/>
  <c r="J73" i="2"/>
  <c r="O72" i="2"/>
  <c r="N72" i="2"/>
  <c r="M72" i="2"/>
  <c r="L72" i="2"/>
  <c r="K72" i="2"/>
  <c r="J72" i="2"/>
  <c r="O71" i="2"/>
  <c r="N71" i="2"/>
  <c r="M71" i="2"/>
  <c r="L71" i="2"/>
  <c r="K71" i="2"/>
  <c r="J71" i="2"/>
  <c r="O70" i="2"/>
  <c r="N70" i="2"/>
  <c r="M70" i="2"/>
  <c r="L70" i="2"/>
  <c r="K70" i="2"/>
  <c r="J70" i="2"/>
  <c r="O69" i="2"/>
  <c r="N69" i="2"/>
  <c r="M69" i="2"/>
  <c r="L69" i="2"/>
  <c r="K69" i="2"/>
  <c r="J69" i="2"/>
  <c r="O68" i="2"/>
  <c r="N68" i="2"/>
  <c r="M68" i="2"/>
  <c r="L68" i="2"/>
  <c r="K68" i="2"/>
  <c r="J68" i="2"/>
  <c r="O67" i="2"/>
  <c r="N67" i="2"/>
  <c r="M67" i="2"/>
  <c r="L67" i="2"/>
  <c r="K67" i="2"/>
  <c r="J67" i="2"/>
  <c r="O66" i="2"/>
  <c r="N66" i="2"/>
  <c r="M66" i="2"/>
  <c r="L66" i="2"/>
  <c r="K66" i="2"/>
  <c r="J66" i="2"/>
  <c r="O65" i="2"/>
  <c r="N65" i="2"/>
  <c r="M65" i="2"/>
  <c r="L65" i="2"/>
  <c r="K65" i="2"/>
  <c r="J65" i="2"/>
  <c r="O64" i="2"/>
  <c r="N64" i="2"/>
  <c r="M64" i="2"/>
  <c r="L64" i="2"/>
  <c r="K64" i="2"/>
  <c r="J64" i="2"/>
  <c r="O63" i="2"/>
  <c r="N63" i="2"/>
  <c r="M63" i="2"/>
  <c r="L63" i="2"/>
  <c r="K63" i="2"/>
  <c r="J63" i="2"/>
  <c r="O62" i="2"/>
  <c r="N62" i="2"/>
  <c r="M62" i="2"/>
  <c r="L62" i="2"/>
  <c r="K62" i="2"/>
  <c r="J62" i="2"/>
  <c r="O61" i="2"/>
  <c r="N61" i="2"/>
  <c r="M61" i="2"/>
  <c r="L61" i="2"/>
  <c r="K61" i="2"/>
  <c r="J61" i="2"/>
  <c r="O60" i="2"/>
  <c r="N60" i="2"/>
  <c r="M60" i="2"/>
  <c r="L60" i="2"/>
  <c r="K60" i="2"/>
  <c r="J60" i="2"/>
  <c r="O59" i="2"/>
  <c r="N59" i="2"/>
  <c r="M59" i="2"/>
  <c r="L59" i="2"/>
  <c r="K59" i="2"/>
  <c r="J59" i="2"/>
  <c r="O58" i="2"/>
  <c r="N58" i="2"/>
  <c r="M58" i="2"/>
  <c r="L58" i="2"/>
  <c r="K58" i="2"/>
  <c r="J58" i="2"/>
  <c r="O57" i="2"/>
  <c r="N57" i="2"/>
  <c r="M57" i="2"/>
  <c r="L57" i="2"/>
  <c r="K57" i="2"/>
  <c r="J57" i="2"/>
  <c r="O56" i="2"/>
  <c r="N56" i="2"/>
  <c r="M56" i="2"/>
  <c r="L56" i="2"/>
  <c r="K56" i="2"/>
  <c r="J56" i="2"/>
  <c r="O55" i="2"/>
  <c r="N55" i="2"/>
  <c r="M55" i="2"/>
  <c r="L55" i="2"/>
  <c r="K55" i="2"/>
  <c r="J55" i="2"/>
  <c r="O54" i="2"/>
  <c r="N54" i="2"/>
  <c r="M54" i="2"/>
  <c r="L54" i="2"/>
  <c r="K54" i="2"/>
  <c r="J54" i="2"/>
  <c r="O53" i="2"/>
  <c r="N53" i="2"/>
  <c r="M53" i="2"/>
  <c r="L53" i="2"/>
  <c r="K53" i="2"/>
  <c r="J53" i="2"/>
  <c r="O52" i="2"/>
  <c r="N52" i="2"/>
  <c r="M52" i="2"/>
  <c r="L52" i="2"/>
  <c r="K52" i="2"/>
  <c r="J52" i="2"/>
  <c r="O51" i="2"/>
  <c r="N51" i="2"/>
  <c r="M51" i="2"/>
  <c r="L51" i="2"/>
  <c r="K51" i="2"/>
  <c r="J51" i="2"/>
  <c r="O50" i="2"/>
  <c r="N50" i="2"/>
  <c r="M50" i="2"/>
  <c r="L50" i="2"/>
  <c r="K50" i="2"/>
  <c r="J50" i="2"/>
  <c r="O49" i="2"/>
  <c r="N49" i="2"/>
  <c r="M49" i="2"/>
  <c r="L49" i="2"/>
  <c r="K49" i="2"/>
  <c r="J49" i="2"/>
  <c r="O48" i="2"/>
  <c r="N48" i="2"/>
  <c r="M48" i="2"/>
  <c r="L48" i="2"/>
  <c r="K48" i="2"/>
  <c r="J48" i="2"/>
  <c r="O47" i="2"/>
  <c r="N47" i="2"/>
  <c r="M47" i="2"/>
  <c r="L47" i="2"/>
  <c r="K47" i="2"/>
  <c r="J47" i="2"/>
  <c r="O46" i="2"/>
  <c r="N46" i="2"/>
  <c r="M46" i="2"/>
  <c r="L46" i="2"/>
  <c r="K46" i="2"/>
  <c r="J46" i="2"/>
  <c r="O45" i="2"/>
  <c r="N45" i="2"/>
  <c r="M45" i="2"/>
  <c r="L45" i="2"/>
  <c r="K45" i="2"/>
  <c r="J45" i="2"/>
  <c r="O44" i="2"/>
  <c r="N44" i="2"/>
  <c r="M44" i="2"/>
  <c r="L44" i="2"/>
  <c r="K44" i="2"/>
  <c r="J44" i="2"/>
  <c r="O43" i="2"/>
  <c r="N43" i="2"/>
  <c r="M43" i="2"/>
  <c r="L43" i="2"/>
  <c r="K43" i="2"/>
  <c r="J43" i="2"/>
  <c r="O42" i="2"/>
  <c r="N42" i="2"/>
  <c r="M42" i="2"/>
  <c r="L42" i="2"/>
  <c r="K42" i="2"/>
  <c r="J42" i="2"/>
  <c r="O41" i="2"/>
  <c r="N41" i="2"/>
  <c r="M41" i="2"/>
  <c r="L41" i="2"/>
  <c r="K41" i="2"/>
  <c r="J41" i="2"/>
  <c r="O40" i="2"/>
  <c r="N40" i="2"/>
  <c r="M40" i="2"/>
  <c r="L40" i="2"/>
  <c r="K40" i="2"/>
  <c r="J40" i="2"/>
  <c r="O39" i="2"/>
  <c r="N39" i="2"/>
  <c r="M39" i="2"/>
  <c r="L39" i="2"/>
  <c r="K39" i="2"/>
  <c r="J39" i="2"/>
  <c r="O38" i="2"/>
  <c r="N38" i="2"/>
  <c r="M38" i="2"/>
  <c r="L38" i="2"/>
  <c r="K38" i="2"/>
  <c r="J38" i="2"/>
  <c r="O37" i="2"/>
  <c r="N37" i="2"/>
  <c r="M37" i="2"/>
  <c r="L37" i="2"/>
  <c r="K37" i="2"/>
  <c r="J37" i="2"/>
  <c r="O36" i="2"/>
  <c r="N36" i="2"/>
  <c r="M36" i="2"/>
  <c r="L36" i="2"/>
  <c r="K36" i="2"/>
  <c r="J36" i="2"/>
  <c r="O35" i="2"/>
  <c r="N35" i="2"/>
  <c r="M35" i="2"/>
  <c r="L35" i="2"/>
  <c r="K35" i="2"/>
  <c r="J35" i="2"/>
  <c r="O34" i="2"/>
  <c r="N34" i="2"/>
  <c r="M34" i="2"/>
  <c r="L34" i="2"/>
  <c r="K34" i="2"/>
  <c r="J34" i="2"/>
  <c r="O33" i="2"/>
  <c r="N33" i="2"/>
  <c r="M33" i="2"/>
  <c r="L33" i="2"/>
  <c r="K33" i="2"/>
  <c r="J33" i="2"/>
  <c r="O32" i="2"/>
  <c r="N32" i="2"/>
  <c r="M32" i="2"/>
  <c r="L32" i="2"/>
  <c r="K32" i="2"/>
  <c r="J32" i="2"/>
  <c r="O31" i="2"/>
  <c r="N31" i="2"/>
  <c r="M31" i="2"/>
  <c r="L31" i="2"/>
  <c r="K31" i="2"/>
  <c r="J31" i="2"/>
  <c r="O30" i="2"/>
  <c r="N30" i="2"/>
  <c r="M30" i="2"/>
  <c r="L30" i="2"/>
  <c r="K30" i="2"/>
  <c r="J30" i="2"/>
  <c r="O29" i="2"/>
  <c r="N29" i="2"/>
  <c r="M29" i="2"/>
  <c r="L29" i="2"/>
  <c r="K29" i="2"/>
  <c r="J29" i="2"/>
  <c r="O28" i="2"/>
  <c r="N28" i="2"/>
  <c r="M28" i="2"/>
  <c r="L28" i="2"/>
  <c r="K28" i="2"/>
  <c r="J28" i="2"/>
  <c r="O27" i="2"/>
  <c r="N27" i="2"/>
  <c r="M27" i="2"/>
  <c r="L27" i="2"/>
  <c r="K27" i="2"/>
  <c r="J27" i="2"/>
  <c r="O26" i="2"/>
  <c r="N26" i="2"/>
  <c r="M26" i="2"/>
  <c r="L26" i="2"/>
  <c r="K26" i="2"/>
  <c r="J26" i="2"/>
  <c r="O25" i="2"/>
  <c r="N25" i="2"/>
  <c r="M25" i="2"/>
  <c r="L25" i="2"/>
  <c r="K25" i="2"/>
  <c r="J25" i="2"/>
  <c r="O24" i="2"/>
  <c r="N24" i="2"/>
  <c r="M24" i="2"/>
  <c r="L24" i="2"/>
  <c r="K24" i="2"/>
  <c r="J24" i="2"/>
  <c r="O23" i="2"/>
  <c r="N23" i="2"/>
  <c r="M23" i="2"/>
  <c r="L23" i="2"/>
  <c r="K23" i="2"/>
  <c r="J23" i="2"/>
  <c r="O22" i="2"/>
  <c r="N22" i="2"/>
  <c r="M22" i="2"/>
  <c r="L22" i="2"/>
  <c r="K22" i="2"/>
  <c r="J22" i="2"/>
  <c r="O21" i="2"/>
  <c r="N21" i="2"/>
  <c r="M21" i="2"/>
  <c r="L21" i="2"/>
  <c r="K21" i="2"/>
  <c r="J21" i="2"/>
  <c r="O20" i="2"/>
  <c r="N20" i="2"/>
  <c r="M20" i="2"/>
  <c r="L20" i="2"/>
  <c r="K20" i="2"/>
  <c r="J20" i="2"/>
  <c r="O19" i="2"/>
  <c r="N19" i="2"/>
  <c r="M19" i="2"/>
  <c r="L19" i="2"/>
  <c r="K19" i="2"/>
  <c r="J19" i="2"/>
  <c r="O18" i="2"/>
  <c r="N18" i="2"/>
  <c r="M18" i="2"/>
  <c r="L18" i="2"/>
  <c r="K18" i="2"/>
  <c r="J18" i="2"/>
  <c r="O17" i="2"/>
  <c r="N17" i="2"/>
  <c r="M17" i="2"/>
  <c r="L17" i="2"/>
  <c r="K17" i="2"/>
  <c r="J17" i="2"/>
  <c r="O16" i="2"/>
  <c r="N16" i="2"/>
  <c r="M16" i="2"/>
  <c r="L16" i="2"/>
  <c r="K16" i="2"/>
  <c r="J16" i="2"/>
  <c r="O15" i="2"/>
  <c r="N15" i="2"/>
  <c r="M15" i="2"/>
  <c r="L15" i="2"/>
  <c r="K15" i="2"/>
  <c r="J15" i="2"/>
  <c r="O14" i="2"/>
  <c r="N14" i="2"/>
  <c r="M14" i="2"/>
  <c r="L14" i="2"/>
  <c r="K14" i="2"/>
  <c r="J14" i="2"/>
  <c r="O13" i="2"/>
  <c r="N13" i="2"/>
  <c r="M13" i="2"/>
  <c r="L13" i="2"/>
  <c r="K13" i="2"/>
  <c r="J13" i="2"/>
  <c r="O12" i="2"/>
  <c r="N12" i="2"/>
  <c r="M12" i="2"/>
  <c r="L12" i="2"/>
  <c r="K12" i="2"/>
  <c r="J12" i="2"/>
  <c r="O11" i="2"/>
  <c r="N11" i="2"/>
  <c r="M11" i="2"/>
  <c r="L11" i="2"/>
  <c r="K11" i="2"/>
  <c r="J11" i="2"/>
  <c r="O10" i="2"/>
  <c r="N10" i="2"/>
  <c r="M10" i="2"/>
  <c r="L10" i="2"/>
  <c r="K10" i="2"/>
  <c r="J10" i="2"/>
  <c r="O9" i="2"/>
  <c r="N9" i="2"/>
  <c r="M9" i="2"/>
  <c r="L9" i="2"/>
  <c r="K9" i="2"/>
  <c r="J9" i="2"/>
  <c r="O8" i="2"/>
  <c r="N8" i="2"/>
  <c r="M8" i="2"/>
  <c r="L8" i="2"/>
  <c r="K8" i="2"/>
  <c r="J8" i="2"/>
  <c r="O7" i="2"/>
  <c r="N7" i="2"/>
  <c r="M7" i="2"/>
  <c r="L7" i="2"/>
  <c r="K7" i="2"/>
  <c r="J7" i="2"/>
  <c r="O6" i="2"/>
  <c r="N6" i="2"/>
  <c r="M6" i="2"/>
  <c r="L6" i="2"/>
  <c r="K6" i="2"/>
  <c r="J6" i="2"/>
  <c r="O5" i="2"/>
  <c r="N5" i="2"/>
  <c r="M5" i="2"/>
  <c r="L5" i="2"/>
  <c r="K5" i="2"/>
  <c r="J5" i="2"/>
  <c r="O4" i="2"/>
  <c r="N4" i="2"/>
  <c r="M4" i="2"/>
  <c r="L4" i="2"/>
  <c r="K4" i="2"/>
  <c r="J4" i="2"/>
  <c r="O3" i="2"/>
  <c r="N3" i="2"/>
  <c r="M3" i="2"/>
  <c r="L3" i="2"/>
  <c r="K3" i="2"/>
  <c r="J3" i="2"/>
  <c r="O2" i="2"/>
  <c r="N2" i="2"/>
  <c r="M2" i="2"/>
  <c r="L2" i="2"/>
  <c r="K2" i="2"/>
  <c r="J2" i="2"/>
  <c r="I165" i="2" l="1"/>
  <c r="H165" i="2" s="1"/>
  <c r="G165" i="2" s="1"/>
  <c r="I306" i="2"/>
  <c r="H306" i="2" s="1"/>
  <c r="G306" i="2" s="1"/>
  <c r="I610" i="2"/>
  <c r="I210" i="2"/>
  <c r="H210" i="2" s="1"/>
  <c r="G210" i="2" s="1"/>
  <c r="I222" i="2"/>
  <c r="H222" i="2" s="1"/>
  <c r="G222" i="2" s="1"/>
  <c r="I602" i="2"/>
  <c r="H602" i="2" s="1"/>
  <c r="G602" i="2" s="1"/>
  <c r="I606" i="2"/>
  <c r="H606" i="2" s="1"/>
  <c r="G606" i="2" s="1"/>
  <c r="I813" i="2"/>
  <c r="I845" i="2"/>
  <c r="H845" i="2" s="1"/>
  <c r="G845" i="2" s="1"/>
  <c r="I67" i="2"/>
  <c r="H67" i="2" s="1"/>
  <c r="G67" i="2" s="1"/>
  <c r="E295" i="1"/>
  <c r="F295" i="1" s="1"/>
  <c r="I417" i="2"/>
  <c r="H417" i="2" s="1"/>
  <c r="G417" i="2" s="1"/>
  <c r="E580" i="1"/>
  <c r="F580" i="1" s="1"/>
  <c r="I765" i="2"/>
  <c r="E810" i="1"/>
  <c r="F810" i="1" s="1"/>
  <c r="I44" i="2"/>
  <c r="H44" i="2" s="1"/>
  <c r="G44" i="2" s="1"/>
  <c r="I108" i="2"/>
  <c r="I112" i="2"/>
  <c r="I120" i="2"/>
  <c r="I122" i="2"/>
  <c r="H122" i="2" s="1"/>
  <c r="G122" i="2" s="1"/>
  <c r="H610" i="2"/>
  <c r="G610" i="2" s="1"/>
  <c r="E585" i="1"/>
  <c r="F585" i="1" s="1"/>
  <c r="I144" i="2"/>
  <c r="H144" i="2" s="1"/>
  <c r="G144" i="2" s="1"/>
  <c r="I153" i="2"/>
  <c r="H153" i="2" s="1"/>
  <c r="G153" i="2" s="1"/>
  <c r="I155" i="2"/>
  <c r="E150" i="1" s="1"/>
  <c r="F150" i="1" s="1"/>
  <c r="I157" i="2"/>
  <c r="H157" i="2" s="1"/>
  <c r="G157" i="2" s="1"/>
  <c r="I161" i="2"/>
  <c r="I163" i="2"/>
  <c r="I507" i="2"/>
  <c r="H507" i="2" s="1"/>
  <c r="G507" i="2" s="1"/>
  <c r="I539" i="2"/>
  <c r="I601" i="2"/>
  <c r="H601" i="2" s="1"/>
  <c r="G601" i="2" s="1"/>
  <c r="I605" i="2"/>
  <c r="I229" i="2"/>
  <c r="H229" i="2" s="1"/>
  <c r="G229" i="2" s="1"/>
  <c r="I241" i="2"/>
  <c r="I418" i="2"/>
  <c r="H418" i="2" s="1"/>
  <c r="G418" i="2" s="1"/>
  <c r="I456" i="2"/>
  <c r="H456" i="2" s="1"/>
  <c r="G456" i="2" s="1"/>
  <c r="I487" i="2"/>
  <c r="H487" i="2" s="1"/>
  <c r="G487" i="2" s="1"/>
  <c r="I489" i="2"/>
  <c r="H489" i="2" s="1"/>
  <c r="G489" i="2" s="1"/>
  <c r="I690" i="2"/>
  <c r="E660" i="1" s="1"/>
  <c r="F660" i="1" s="1"/>
  <c r="I734" i="2"/>
  <c r="H765" i="2"/>
  <c r="G765" i="2" s="1"/>
  <c r="E731" i="1"/>
  <c r="F731" i="1" s="1"/>
  <c r="E222" i="1"/>
  <c r="F222" i="1" s="1"/>
  <c r="H734" i="2"/>
  <c r="G734" i="2" s="1"/>
  <c r="E703" i="1"/>
  <c r="F703" i="1" s="1"/>
  <c r="I76" i="2"/>
  <c r="H76" i="2" s="1"/>
  <c r="G76" i="2" s="1"/>
  <c r="I263" i="2"/>
  <c r="I295" i="2"/>
  <c r="I303" i="2"/>
  <c r="E160" i="1"/>
  <c r="F160" i="1" s="1"/>
  <c r="I60" i="2"/>
  <c r="H60" i="2" s="1"/>
  <c r="G60" i="2" s="1"/>
  <c r="I649" i="2"/>
  <c r="I193" i="2"/>
  <c r="I209" i="2"/>
  <c r="I749" i="2"/>
  <c r="I757" i="2"/>
  <c r="I761" i="2"/>
  <c r="I763" i="2"/>
  <c r="E122" i="1"/>
  <c r="F122" i="1" s="1"/>
  <c r="I173" i="2"/>
  <c r="I201" i="2"/>
  <c r="I205" i="2"/>
  <c r="H205" i="2" s="1"/>
  <c r="G205" i="2" s="1"/>
  <c r="I258" i="2"/>
  <c r="I262" i="2"/>
  <c r="I264" i="2"/>
  <c r="I266" i="2"/>
  <c r="I282" i="2"/>
  <c r="I294" i="2"/>
  <c r="H294" i="2" s="1"/>
  <c r="G294" i="2" s="1"/>
  <c r="I296" i="2"/>
  <c r="I298" i="2"/>
  <c r="I302" i="2"/>
  <c r="I322" i="2"/>
  <c r="I352" i="2"/>
  <c r="I781" i="2"/>
  <c r="I338" i="2"/>
  <c r="I348" i="2"/>
  <c r="I440" i="2"/>
  <c r="I450" i="2"/>
  <c r="I491" i="2"/>
  <c r="I493" i="2"/>
  <c r="I499" i="2"/>
  <c r="I797" i="2"/>
  <c r="I140" i="2"/>
  <c r="I561" i="2"/>
  <c r="I662" i="2"/>
  <c r="I666" i="2"/>
  <c r="I670" i="2"/>
  <c r="I678" i="2"/>
  <c r="E204" i="1"/>
  <c r="F204" i="1" s="1"/>
  <c r="I523" i="2"/>
  <c r="I654" i="2"/>
  <c r="I698" i="2"/>
  <c r="I718" i="2"/>
  <c r="I726" i="2"/>
  <c r="I730" i="2"/>
  <c r="I732" i="2"/>
  <c r="E137" i="1"/>
  <c r="F137" i="1" s="1"/>
  <c r="I127" i="2"/>
  <c r="I135" i="2"/>
  <c r="H135" i="2" s="1"/>
  <c r="G135" i="2" s="1"/>
  <c r="I176" i="2"/>
  <c r="I184" i="2"/>
  <c r="I720" i="2"/>
  <c r="E120" i="1"/>
  <c r="F120" i="1" s="1"/>
  <c r="E152" i="1"/>
  <c r="F152" i="1" s="1"/>
  <c r="E216" i="1"/>
  <c r="F216" i="1" s="1"/>
  <c r="E468" i="1"/>
  <c r="F468" i="1" s="1"/>
  <c r="I36" i="2"/>
  <c r="E36" i="1" s="1"/>
  <c r="F36" i="1" s="1"/>
  <c r="I40" i="2"/>
  <c r="H40" i="2" s="1"/>
  <c r="G40" i="2" s="1"/>
  <c r="I158" i="2"/>
  <c r="I323" i="2"/>
  <c r="I325" i="2"/>
  <c r="I377" i="2"/>
  <c r="I389" i="2"/>
  <c r="I401" i="2"/>
  <c r="I409" i="2"/>
  <c r="I413" i="2"/>
  <c r="I415" i="2"/>
  <c r="I702" i="2"/>
  <c r="I788" i="2"/>
  <c r="I804" i="2"/>
  <c r="H804" i="2" s="1"/>
  <c r="G804" i="2" s="1"/>
  <c r="I832" i="2"/>
  <c r="I840" i="2"/>
  <c r="I844" i="2"/>
  <c r="I846" i="2"/>
  <c r="I848" i="2"/>
  <c r="I226" i="2"/>
  <c r="I393" i="2"/>
  <c r="I433" i="2"/>
  <c r="I449" i="2"/>
  <c r="I762" i="2"/>
  <c r="I816" i="2"/>
  <c r="H816" i="2" s="1"/>
  <c r="G816" i="2" s="1"/>
  <c r="I349" i="2"/>
  <c r="I524" i="2"/>
  <c r="I540" i="2"/>
  <c r="I542" i="2"/>
  <c r="I568" i="2"/>
  <c r="I808" i="2"/>
  <c r="H108" i="2"/>
  <c r="G108" i="2" s="1"/>
  <c r="E106" i="1"/>
  <c r="F106" i="1" s="1"/>
  <c r="E44" i="1"/>
  <c r="F44" i="1" s="1"/>
  <c r="E64" i="1"/>
  <c r="F64" i="1" s="1"/>
  <c r="I92" i="2"/>
  <c r="I96" i="2"/>
  <c r="E94" i="1" s="1"/>
  <c r="F94" i="1" s="1"/>
  <c r="I100" i="2"/>
  <c r="I104" i="2"/>
  <c r="E102" i="1" s="1"/>
  <c r="F102" i="1" s="1"/>
  <c r="I106" i="2"/>
  <c r="I109" i="2"/>
  <c r="I136" i="2"/>
  <c r="H136" i="2" s="1"/>
  <c r="G136" i="2" s="1"/>
  <c r="I48" i="2"/>
  <c r="I52" i="2"/>
  <c r="I56" i="2"/>
  <c r="H56" i="2" s="1"/>
  <c r="G56" i="2" s="1"/>
  <c r="I58" i="2"/>
  <c r="I61" i="2"/>
  <c r="I83" i="2"/>
  <c r="I99" i="2"/>
  <c r="I116" i="2"/>
  <c r="E114" i="1" s="1"/>
  <c r="F114" i="1" s="1"/>
  <c r="I126" i="2"/>
  <c r="I31" i="2"/>
  <c r="I32" i="2"/>
  <c r="I35" i="2"/>
  <c r="H35" i="2" s="1"/>
  <c r="G35" i="2" s="1"/>
  <c r="I64" i="2"/>
  <c r="H64" i="2" s="1"/>
  <c r="G64" i="2" s="1"/>
  <c r="I68" i="2"/>
  <c r="I72" i="2"/>
  <c r="H72" i="2" s="1"/>
  <c r="G72" i="2" s="1"/>
  <c r="I74" i="2"/>
  <c r="I77" i="2"/>
  <c r="I278" i="2"/>
  <c r="I279" i="2"/>
  <c r="I280" i="2"/>
  <c r="I307" i="2"/>
  <c r="I309" i="2"/>
  <c r="I315" i="2"/>
  <c r="I332" i="2"/>
  <c r="I372" i="2"/>
  <c r="I381" i="2"/>
  <c r="I397" i="2"/>
  <c r="I399" i="2"/>
  <c r="I402" i="2"/>
  <c r="I424" i="2"/>
  <c r="I437" i="2"/>
  <c r="H437" i="2" s="1"/>
  <c r="G437" i="2" s="1"/>
  <c r="I553" i="2"/>
  <c r="I613" i="2"/>
  <c r="I626" i="2"/>
  <c r="I641" i="2"/>
  <c r="I645" i="2"/>
  <c r="I658" i="2"/>
  <c r="I660" i="2"/>
  <c r="I693" i="2"/>
  <c r="I704" i="2"/>
  <c r="I710" i="2"/>
  <c r="I712" i="2"/>
  <c r="I722" i="2"/>
  <c r="I724" i="2"/>
  <c r="I745" i="2"/>
  <c r="I746" i="2"/>
  <c r="I747" i="2"/>
  <c r="I772" i="2"/>
  <c r="I785" i="2"/>
  <c r="I801" i="2"/>
  <c r="I824" i="2"/>
  <c r="I828" i="2"/>
  <c r="I829" i="2"/>
  <c r="I830" i="2"/>
  <c r="I152" i="2"/>
  <c r="H152" i="2" s="1"/>
  <c r="G152" i="2" s="1"/>
  <c r="I170" i="2"/>
  <c r="I171" i="2"/>
  <c r="I200" i="2"/>
  <c r="I213" i="2"/>
  <c r="H213" i="2" s="1"/>
  <c r="G213" i="2" s="1"/>
  <c r="I221" i="2"/>
  <c r="I225" i="2"/>
  <c r="I233" i="2"/>
  <c r="I238" i="2"/>
  <c r="I239" i="2"/>
  <c r="I274" i="2"/>
  <c r="I276" i="2"/>
  <c r="I286" i="2"/>
  <c r="I341" i="2"/>
  <c r="I458" i="2"/>
  <c r="I460" i="2"/>
  <c r="I464" i="2"/>
  <c r="I474" i="2"/>
  <c r="I476" i="2"/>
  <c r="I480" i="2"/>
  <c r="I503" i="2"/>
  <c r="I505" i="2"/>
  <c r="I515" i="2"/>
  <c r="I807" i="2"/>
  <c r="I809" i="2"/>
  <c r="I51" i="2"/>
  <c r="I80" i="2"/>
  <c r="H80" i="2" s="1"/>
  <c r="G80" i="2" s="1"/>
  <c r="I84" i="2"/>
  <c r="E82" i="1" s="1"/>
  <c r="F82" i="1" s="1"/>
  <c r="I88" i="2"/>
  <c r="H88" i="2" s="1"/>
  <c r="G88" i="2" s="1"/>
  <c r="I90" i="2"/>
  <c r="I93" i="2"/>
  <c r="I115" i="2"/>
  <c r="I128" i="2"/>
  <c r="H128" i="2" s="1"/>
  <c r="G128" i="2" s="1"/>
  <c r="I130" i="2"/>
  <c r="I177" i="2"/>
  <c r="I181" i="2"/>
  <c r="I190" i="2"/>
  <c r="I191" i="2"/>
  <c r="I220" i="2"/>
  <c r="I237" i="2"/>
  <c r="I245" i="2"/>
  <c r="I247" i="2"/>
  <c r="I254" i="2"/>
  <c r="I255" i="2"/>
  <c r="I256" i="2"/>
  <c r="I269" i="2"/>
  <c r="I270" i="2"/>
  <c r="I290" i="2"/>
  <c r="I318" i="2"/>
  <c r="I319" i="2"/>
  <c r="I353" i="2"/>
  <c r="I357" i="2"/>
  <c r="I358" i="2"/>
  <c r="I365" i="2"/>
  <c r="I373" i="2"/>
  <c r="I375" i="2"/>
  <c r="I396" i="2"/>
  <c r="I405" i="2"/>
  <c r="I425" i="2"/>
  <c r="I429" i="2"/>
  <c r="I431" i="2"/>
  <c r="I434" i="2"/>
  <c r="I492" i="2"/>
  <c r="I519" i="2"/>
  <c r="I521" i="2"/>
  <c r="I525" i="2"/>
  <c r="I531" i="2"/>
  <c r="I566" i="2"/>
  <c r="I618" i="2"/>
  <c r="I619" i="2"/>
  <c r="I622" i="2"/>
  <c r="I623" i="2"/>
  <c r="I634" i="2"/>
  <c r="I636" i="2"/>
  <c r="I644" i="2"/>
  <c r="I657" i="2"/>
  <c r="I668" i="2"/>
  <c r="I676" i="2"/>
  <c r="I694" i="2"/>
  <c r="I721" i="2"/>
  <c r="I728" i="2"/>
  <c r="I753" i="2"/>
  <c r="I773" i="2"/>
  <c r="I777" i="2"/>
  <c r="I779" i="2"/>
  <c r="I782" i="2"/>
  <c r="I805" i="2"/>
  <c r="I821" i="2"/>
  <c r="I823" i="2"/>
  <c r="I836" i="2"/>
  <c r="I842" i="2"/>
  <c r="I145" i="2"/>
  <c r="E141" i="1" s="1"/>
  <c r="F141" i="1" s="1"/>
  <c r="I185" i="2"/>
  <c r="H185" i="2" s="1"/>
  <c r="G185" i="2" s="1"/>
  <c r="I206" i="2"/>
  <c r="I207" i="2"/>
  <c r="I236" i="2"/>
  <c r="H236" i="2" s="1"/>
  <c r="G236" i="2" s="1"/>
  <c r="I250" i="2"/>
  <c r="I289" i="2"/>
  <c r="I314" i="2"/>
  <c r="I333" i="2"/>
  <c r="I340" i="2"/>
  <c r="I361" i="2"/>
  <c r="I369" i="2"/>
  <c r="I385" i="2"/>
  <c r="I408" i="2"/>
  <c r="I421" i="2"/>
  <c r="I441" i="2"/>
  <c r="I445" i="2"/>
  <c r="I447" i="2"/>
  <c r="I461" i="2"/>
  <c r="I463" i="2"/>
  <c r="I473" i="2"/>
  <c r="I477" i="2"/>
  <c r="I479" i="2"/>
  <c r="I508" i="2"/>
  <c r="I510" i="2"/>
  <c r="I535" i="2"/>
  <c r="I537" i="2"/>
  <c r="I557" i="2"/>
  <c r="I562" i="2"/>
  <c r="I580" i="2"/>
  <c r="I650" i="2"/>
  <c r="H650" i="2" s="1"/>
  <c r="G650" i="2" s="1"/>
  <c r="I663" i="2"/>
  <c r="I665" i="2"/>
  <c r="I674" i="2"/>
  <c r="I682" i="2"/>
  <c r="I683" i="2"/>
  <c r="I685" i="2"/>
  <c r="I706" i="2"/>
  <c r="I714" i="2"/>
  <c r="I729" i="2"/>
  <c r="I756" i="2"/>
  <c r="I769" i="2"/>
  <c r="I789" i="2"/>
  <c r="I793" i="2"/>
  <c r="I795" i="2"/>
  <c r="I798" i="2"/>
  <c r="I810" i="2"/>
  <c r="I812" i="2"/>
  <c r="I839" i="2"/>
  <c r="I849" i="2"/>
  <c r="H100" i="2"/>
  <c r="G100" i="2" s="1"/>
  <c r="E98" i="1"/>
  <c r="F98" i="1" s="1"/>
  <c r="H104" i="2"/>
  <c r="G104" i="2" s="1"/>
  <c r="H112" i="2"/>
  <c r="G112" i="2" s="1"/>
  <c r="E110" i="1"/>
  <c r="F110" i="1" s="1"/>
  <c r="H120" i="2"/>
  <c r="G120" i="2" s="1"/>
  <c r="E118" i="1"/>
  <c r="F118" i="1" s="1"/>
  <c r="I3" i="2"/>
  <c r="H3" i="2" s="1"/>
  <c r="G3" i="2" s="1"/>
  <c r="I4" i="2"/>
  <c r="H4" i="2" s="1"/>
  <c r="G4" i="2" s="1"/>
  <c r="H116" i="2"/>
  <c r="G116" i="2" s="1"/>
  <c r="I39" i="2"/>
  <c r="I55" i="2"/>
  <c r="H55" i="2" s="1"/>
  <c r="G55" i="2" s="1"/>
  <c r="I62" i="2"/>
  <c r="I65" i="2"/>
  <c r="I71" i="2"/>
  <c r="I78" i="2"/>
  <c r="I81" i="2"/>
  <c r="I87" i="2"/>
  <c r="I94" i="2"/>
  <c r="I97" i="2"/>
  <c r="I103" i="2"/>
  <c r="I110" i="2"/>
  <c r="I113" i="2"/>
  <c r="I119" i="2"/>
  <c r="I162" i="2"/>
  <c r="I182" i="2"/>
  <c r="I197" i="2"/>
  <c r="I198" i="2"/>
  <c r="I208" i="2"/>
  <c r="I217" i="2"/>
  <c r="I218" i="2"/>
  <c r="I34" i="2"/>
  <c r="I43" i="2"/>
  <c r="I59" i="2"/>
  <c r="I66" i="2"/>
  <c r="I69" i="2"/>
  <c r="I75" i="2"/>
  <c r="I82" i="2"/>
  <c r="I85" i="2"/>
  <c r="I91" i="2"/>
  <c r="I98" i="2"/>
  <c r="I101" i="2"/>
  <c r="I107" i="2"/>
  <c r="I114" i="2"/>
  <c r="I117" i="2"/>
  <c r="I121" i="2"/>
  <c r="I123" i="2"/>
  <c r="I131" i="2"/>
  <c r="I132" i="2"/>
  <c r="I139" i="2"/>
  <c r="H139" i="2" s="1"/>
  <c r="G139" i="2" s="1"/>
  <c r="I148" i="2"/>
  <c r="I149" i="2"/>
  <c r="I168" i="2"/>
  <c r="I189" i="2"/>
  <c r="I203" i="2"/>
  <c r="I212" i="2"/>
  <c r="I223" i="2"/>
  <c r="I7" i="2"/>
  <c r="E7" i="1" s="1"/>
  <c r="F7" i="1" s="1"/>
  <c r="I8" i="2"/>
  <c r="E8" i="1" s="1"/>
  <c r="F8" i="1" s="1"/>
  <c r="I11" i="2"/>
  <c r="H11" i="2" s="1"/>
  <c r="G11" i="2" s="1"/>
  <c r="I12" i="2"/>
  <c r="I15" i="2"/>
  <c r="H15" i="2" s="1"/>
  <c r="G15" i="2" s="1"/>
  <c r="I16" i="2"/>
  <c r="H16" i="2" s="1"/>
  <c r="G16" i="2" s="1"/>
  <c r="I19" i="2"/>
  <c r="H19" i="2" s="1"/>
  <c r="G19" i="2" s="1"/>
  <c r="I20" i="2"/>
  <c r="E20" i="1" s="1"/>
  <c r="F20" i="1" s="1"/>
  <c r="I23" i="2"/>
  <c r="H23" i="2" s="1"/>
  <c r="G23" i="2" s="1"/>
  <c r="I24" i="2"/>
  <c r="H24" i="2" s="1"/>
  <c r="G24" i="2" s="1"/>
  <c r="I27" i="2"/>
  <c r="H27" i="2" s="1"/>
  <c r="G27" i="2" s="1"/>
  <c r="I28" i="2"/>
  <c r="E28" i="1" s="1"/>
  <c r="F28" i="1" s="1"/>
  <c r="I47" i="2"/>
  <c r="H47" i="2" s="1"/>
  <c r="G47" i="2" s="1"/>
  <c r="I57" i="2"/>
  <c r="I63" i="2"/>
  <c r="I70" i="2"/>
  <c r="I73" i="2"/>
  <c r="I79" i="2"/>
  <c r="I86" i="2"/>
  <c r="I89" i="2"/>
  <c r="I95" i="2"/>
  <c r="I102" i="2"/>
  <c r="I105" i="2"/>
  <c r="I111" i="2"/>
  <c r="I118" i="2"/>
  <c r="I147" i="2"/>
  <c r="I169" i="2"/>
  <c r="I178" i="2"/>
  <c r="I188" i="2"/>
  <c r="I204" i="2"/>
  <c r="I224" i="2"/>
  <c r="I228" i="2"/>
  <c r="H228" i="2" s="1"/>
  <c r="G228" i="2" s="1"/>
  <c r="I234" i="2"/>
  <c r="I240" i="2"/>
  <c r="I248" i="2"/>
  <c r="I257" i="2"/>
  <c r="I281" i="2"/>
  <c r="I287" i="2"/>
  <c r="I288" i="2"/>
  <c r="I299" i="2"/>
  <c r="I301" i="2"/>
  <c r="I310" i="2"/>
  <c r="I311" i="2"/>
  <c r="I317" i="2"/>
  <c r="I327" i="2"/>
  <c r="I328" i="2"/>
  <c r="I335" i="2"/>
  <c r="I344" i="2"/>
  <c r="I345" i="2"/>
  <c r="I356" i="2"/>
  <c r="I359" i="2"/>
  <c r="I364" i="2"/>
  <c r="I366" i="2"/>
  <c r="I379" i="2"/>
  <c r="I384" i="2"/>
  <c r="I403" i="2"/>
  <c r="I412" i="2"/>
  <c r="I419" i="2"/>
  <c r="I422" i="2"/>
  <c r="I428" i="2"/>
  <c r="I435" i="2"/>
  <c r="H435" i="2" s="1"/>
  <c r="G435" i="2" s="1"/>
  <c r="I438" i="2"/>
  <c r="I444" i="2"/>
  <c r="I451" i="2"/>
  <c r="I454" i="2"/>
  <c r="I468" i="2"/>
  <c r="I471" i="2"/>
  <c r="I485" i="2"/>
  <c r="I495" i="2"/>
  <c r="I497" i="2"/>
  <c r="I500" i="2"/>
  <c r="I502" i="2"/>
  <c r="I517" i="2"/>
  <c r="I527" i="2"/>
  <c r="H527" i="2" s="1"/>
  <c r="G527" i="2" s="1"/>
  <c r="I529" i="2"/>
  <c r="I532" i="2"/>
  <c r="I534" i="2"/>
  <c r="I552" i="2"/>
  <c r="I554" i="2"/>
  <c r="I558" i="2"/>
  <c r="I560" i="2"/>
  <c r="I564" i="2"/>
  <c r="I569" i="2"/>
  <c r="I570" i="2"/>
  <c r="I574" i="2"/>
  <c r="I576" i="2"/>
  <c r="I616" i="2"/>
  <c r="I166" i="2"/>
  <c r="I172" i="2"/>
  <c r="I174" i="2"/>
  <c r="I175" i="2"/>
  <c r="I180" i="2"/>
  <c r="I186" i="2"/>
  <c r="I192" i="2"/>
  <c r="I194" i="2"/>
  <c r="I214" i="2"/>
  <c r="I232" i="2"/>
  <c r="H232" i="2" s="1"/>
  <c r="G232" i="2" s="1"/>
  <c r="I244" i="2"/>
  <c r="I251" i="2"/>
  <c r="I252" i="2"/>
  <c r="I261" i="2"/>
  <c r="I267" i="2"/>
  <c r="I272" i="2"/>
  <c r="I285" i="2"/>
  <c r="I291" i="2"/>
  <c r="I292" i="2"/>
  <c r="I312" i="2"/>
  <c r="I329" i="2"/>
  <c r="I346" i="2"/>
  <c r="I350" i="2"/>
  <c r="I370" i="2"/>
  <c r="I376" i="2"/>
  <c r="I382" i="2"/>
  <c r="I388" i="2"/>
  <c r="I395" i="2"/>
  <c r="I400" i="2"/>
  <c r="H400" i="2" s="1"/>
  <c r="G400" i="2" s="1"/>
  <c r="I406" i="2"/>
  <c r="I407" i="2"/>
  <c r="I410" i="2"/>
  <c r="I416" i="2"/>
  <c r="I423" i="2"/>
  <c r="I426" i="2"/>
  <c r="I432" i="2"/>
  <c r="I439" i="2"/>
  <c r="I442" i="2"/>
  <c r="I448" i="2"/>
  <c r="I452" i="2"/>
  <c r="I459" i="2"/>
  <c r="I465" i="2"/>
  <c r="I467" i="2"/>
  <c r="I469" i="2"/>
  <c r="I475" i="2"/>
  <c r="I481" i="2"/>
  <c r="I494" i="2"/>
  <c r="I509" i="2"/>
  <c r="I526" i="2"/>
  <c r="I541" i="2"/>
  <c r="I550" i="2"/>
  <c r="I577" i="2"/>
  <c r="I642" i="2"/>
  <c r="H642" i="2" s="1"/>
  <c r="G642" i="2" s="1"/>
  <c r="I686" i="2"/>
  <c r="I249" i="2"/>
  <c r="I265" i="2"/>
  <c r="I271" i="2"/>
  <c r="I273" i="2"/>
  <c r="I336" i="2"/>
  <c r="I337" i="2"/>
  <c r="I343" i="2"/>
  <c r="H343" i="2" s="1"/>
  <c r="G343" i="2" s="1"/>
  <c r="I354" i="2"/>
  <c r="I360" i="2"/>
  <c r="I362" i="2"/>
  <c r="I363" i="2"/>
  <c r="I368" i="2"/>
  <c r="I374" i="2"/>
  <c r="I380" i="2"/>
  <c r="I386" i="2"/>
  <c r="I392" i="2"/>
  <c r="I398" i="2"/>
  <c r="I404" i="2"/>
  <c r="I411" i="2"/>
  <c r="I414" i="2"/>
  <c r="I420" i="2"/>
  <c r="H420" i="2" s="1"/>
  <c r="G420" i="2" s="1"/>
  <c r="I427" i="2"/>
  <c r="I430" i="2"/>
  <c r="I436" i="2"/>
  <c r="I443" i="2"/>
  <c r="I446" i="2"/>
  <c r="I455" i="2"/>
  <c r="I472" i="2"/>
  <c r="I486" i="2"/>
  <c r="I501" i="2"/>
  <c r="I511" i="2"/>
  <c r="I513" i="2"/>
  <c r="I516" i="2"/>
  <c r="I518" i="2"/>
  <c r="I533" i="2"/>
  <c r="I543" i="2"/>
  <c r="I545" i="2"/>
  <c r="I547" i="2"/>
  <c r="I563" i="2"/>
  <c r="I565" i="2"/>
  <c r="I630" i="2"/>
  <c r="I196" i="2"/>
  <c r="I202" i="2"/>
  <c r="I216" i="2"/>
  <c r="I230" i="2"/>
  <c r="I242" i="2"/>
  <c r="I243" i="2"/>
  <c r="H243" i="2" s="1"/>
  <c r="G243" i="2" s="1"/>
  <c r="I253" i="2"/>
  <c r="I259" i="2"/>
  <c r="I260" i="2"/>
  <c r="I268" i="2"/>
  <c r="I275" i="2"/>
  <c r="I277" i="2"/>
  <c r="I283" i="2"/>
  <c r="I284" i="2"/>
  <c r="I293" i="2"/>
  <c r="I300" i="2"/>
  <c r="I304" i="2"/>
  <c r="I320" i="2"/>
  <c r="I631" i="2"/>
  <c r="I633" i="2"/>
  <c r="I331" i="2"/>
  <c r="H331" i="2" s="1"/>
  <c r="G331" i="2" s="1"/>
  <c r="I652" i="2"/>
  <c r="I667" i="2"/>
  <c r="I669" i="2"/>
  <c r="I677" i="2"/>
  <c r="I688" i="2"/>
  <c r="I696" i="2"/>
  <c r="I705" i="2"/>
  <c r="I711" i="2"/>
  <c r="I713" i="2"/>
  <c r="I716" i="2"/>
  <c r="I723" i="2"/>
  <c r="I731" i="2"/>
  <c r="I736" i="2"/>
  <c r="I744" i="2"/>
  <c r="I750" i="2"/>
  <c r="I751" i="2"/>
  <c r="I760" i="2"/>
  <c r="H760" i="2" s="1"/>
  <c r="G760" i="2" s="1"/>
  <c r="I766" i="2"/>
  <c r="I767" i="2"/>
  <c r="I770" i="2"/>
  <c r="I776" i="2"/>
  <c r="I783" i="2"/>
  <c r="I786" i="2"/>
  <c r="I792" i="2"/>
  <c r="I799" i="2"/>
  <c r="I802" i="2"/>
  <c r="I806" i="2"/>
  <c r="I811" i="2"/>
  <c r="I817" i="2"/>
  <c r="I820" i="2"/>
  <c r="I827" i="2"/>
  <c r="I833" i="2"/>
  <c r="I834" i="2"/>
  <c r="I843" i="2"/>
  <c r="I483" i="2"/>
  <c r="I548" i="2"/>
  <c r="I556" i="2"/>
  <c r="I573" i="2"/>
  <c r="I578" i="2"/>
  <c r="I608" i="2"/>
  <c r="I611" i="2"/>
  <c r="I624" i="2"/>
  <c r="I627" i="2"/>
  <c r="I643" i="2"/>
  <c r="I648" i="2"/>
  <c r="I651" i="2"/>
  <c r="I653" i="2"/>
  <c r="I661" i="2"/>
  <c r="I672" i="2"/>
  <c r="H672" i="2" s="1"/>
  <c r="G672" i="2" s="1"/>
  <c r="I680" i="2"/>
  <c r="I689" i="2"/>
  <c r="I695" i="2"/>
  <c r="I697" i="2"/>
  <c r="I700" i="2"/>
  <c r="I708" i="2"/>
  <c r="I715" i="2"/>
  <c r="I717" i="2"/>
  <c r="I725" i="2"/>
  <c r="I733" i="2"/>
  <c r="I748" i="2"/>
  <c r="H748" i="2" s="1"/>
  <c r="G748" i="2" s="1"/>
  <c r="I754" i="2"/>
  <c r="I755" i="2"/>
  <c r="I764" i="2"/>
  <c r="I771" i="2"/>
  <c r="I780" i="2"/>
  <c r="I787" i="2"/>
  <c r="I790" i="2"/>
  <c r="I796" i="2"/>
  <c r="I803" i="2"/>
  <c r="I814" i="2"/>
  <c r="I815" i="2"/>
  <c r="I818" i="2"/>
  <c r="I831" i="2"/>
  <c r="I837" i="2"/>
  <c r="I838" i="2"/>
  <c r="H838" i="2" s="1"/>
  <c r="G838" i="2" s="1"/>
  <c r="I847" i="2"/>
  <c r="I246" i="2"/>
  <c r="H246" i="2" s="1"/>
  <c r="G246" i="2" s="1"/>
  <c r="I457" i="2"/>
  <c r="H457" i="2" s="1"/>
  <c r="G457" i="2" s="1"/>
  <c r="I572" i="2"/>
  <c r="I579" i="2"/>
  <c r="I581" i="2"/>
  <c r="I582" i="2"/>
  <c r="I583" i="2"/>
  <c r="I585" i="2"/>
  <c r="I586" i="2"/>
  <c r="I589" i="2"/>
  <c r="I590" i="2"/>
  <c r="I591" i="2"/>
  <c r="I593" i="2"/>
  <c r="I594" i="2"/>
  <c r="I597" i="2"/>
  <c r="I598" i="2"/>
  <c r="I604" i="2"/>
  <c r="H604" i="2" s="1"/>
  <c r="G604" i="2" s="1"/>
  <c r="I614" i="2"/>
  <c r="I615" i="2"/>
  <c r="I621" i="2"/>
  <c r="I629" i="2"/>
  <c r="I632" i="2"/>
  <c r="I635" i="2"/>
  <c r="I637" i="2"/>
  <c r="I638" i="2"/>
  <c r="I646" i="2"/>
  <c r="I656" i="2"/>
  <c r="H656" i="2" s="1"/>
  <c r="G656" i="2" s="1"/>
  <c r="I664" i="2"/>
  <c r="I673" i="2"/>
  <c r="I679" i="2"/>
  <c r="I681" i="2"/>
  <c r="I684" i="2"/>
  <c r="I692" i="2"/>
  <c r="I699" i="2"/>
  <c r="I701" i="2"/>
  <c r="I709" i="2"/>
  <c r="H709" i="2" s="1"/>
  <c r="G709" i="2" s="1"/>
  <c r="I719" i="2"/>
  <c r="I727" i="2"/>
  <c r="I735" i="2"/>
  <c r="I737" i="2"/>
  <c r="I738" i="2"/>
  <c r="I741" i="2"/>
  <c r="I742" i="2"/>
  <c r="I752" i="2"/>
  <c r="I758" i="2"/>
  <c r="I759" i="2"/>
  <c r="H759" i="2" s="1"/>
  <c r="G759" i="2" s="1"/>
  <c r="I768" i="2"/>
  <c r="I774" i="2"/>
  <c r="I775" i="2"/>
  <c r="I778" i="2"/>
  <c r="I784" i="2"/>
  <c r="I791" i="2"/>
  <c r="I794" i="2"/>
  <c r="I800" i="2"/>
  <c r="I819" i="2"/>
  <c r="I822" i="2"/>
  <c r="I825" i="2"/>
  <c r="I826" i="2"/>
  <c r="I835" i="2"/>
  <c r="I841" i="2"/>
  <c r="I607" i="2"/>
  <c r="H607" i="2" s="1"/>
  <c r="G607" i="2" s="1"/>
  <c r="I326" i="2"/>
  <c r="H326" i="2" s="1"/>
  <c r="G326" i="2" s="1"/>
  <c r="I137" i="2"/>
  <c r="H137" i="2" s="1"/>
  <c r="G137" i="2" s="1"/>
  <c r="E4" i="1"/>
  <c r="F4" i="1" s="1"/>
  <c r="E12" i="1"/>
  <c r="F12" i="1" s="1"/>
  <c r="H12" i="2"/>
  <c r="G12" i="2" s="1"/>
  <c r="E16" i="1"/>
  <c r="F16" i="1" s="1"/>
  <c r="E24" i="1"/>
  <c r="F24" i="1" s="1"/>
  <c r="E32" i="1"/>
  <c r="F32" i="1" s="1"/>
  <c r="H32" i="2"/>
  <c r="G32" i="2" s="1"/>
  <c r="I33" i="2"/>
  <c r="I38" i="2"/>
  <c r="I45" i="2"/>
  <c r="I54" i="2"/>
  <c r="I6" i="2"/>
  <c r="I9" i="2"/>
  <c r="I14" i="2"/>
  <c r="I17" i="2"/>
  <c r="I22" i="2"/>
  <c r="I25" i="2"/>
  <c r="I30" i="2"/>
  <c r="I37" i="2"/>
  <c r="I41" i="2"/>
  <c r="I50" i="2"/>
  <c r="I46" i="2"/>
  <c r="I53" i="2"/>
  <c r="I2" i="2"/>
  <c r="I5" i="2"/>
  <c r="I10" i="2"/>
  <c r="I13" i="2"/>
  <c r="I18" i="2"/>
  <c r="I21" i="2"/>
  <c r="I26" i="2"/>
  <c r="I29" i="2"/>
  <c r="I42" i="2"/>
  <c r="I49" i="2"/>
  <c r="I125" i="2"/>
  <c r="I129" i="2"/>
  <c r="I138" i="2"/>
  <c r="I146" i="2"/>
  <c r="I154" i="2"/>
  <c r="I160" i="2"/>
  <c r="I187" i="2"/>
  <c r="I219" i="2"/>
  <c r="I235" i="2"/>
  <c r="I134" i="2"/>
  <c r="I143" i="2"/>
  <c r="I151" i="2"/>
  <c r="I159" i="2"/>
  <c r="I167" i="2"/>
  <c r="I183" i="2"/>
  <c r="I199" i="2"/>
  <c r="I215" i="2"/>
  <c r="I231" i="2"/>
  <c r="I133" i="2"/>
  <c r="I142" i="2"/>
  <c r="I150" i="2"/>
  <c r="I156" i="2"/>
  <c r="I164" i="2"/>
  <c r="I179" i="2"/>
  <c r="I195" i="2"/>
  <c r="I211" i="2"/>
  <c r="I227" i="2"/>
  <c r="I391" i="2"/>
  <c r="I305" i="2"/>
  <c r="I308" i="2"/>
  <c r="I313" i="2"/>
  <c r="I316" i="2"/>
  <c r="I321" i="2"/>
  <c r="I324" i="2"/>
  <c r="I330" i="2"/>
  <c r="I334" i="2"/>
  <c r="I339" i="2"/>
  <c r="I342" i="2"/>
  <c r="I347" i="2"/>
  <c r="I355" i="2"/>
  <c r="I371" i="2"/>
  <c r="I378" i="2"/>
  <c r="I387" i="2"/>
  <c r="I394" i="2"/>
  <c r="I297" i="2"/>
  <c r="I351" i="2"/>
  <c r="I367" i="2"/>
  <c r="I383" i="2"/>
  <c r="I390" i="2"/>
  <c r="H390" i="2" s="1"/>
  <c r="G390" i="2" s="1"/>
  <c r="I462" i="2"/>
  <c r="I478" i="2"/>
  <c r="I484" i="2"/>
  <c r="I466" i="2"/>
  <c r="I482" i="2"/>
  <c r="I490" i="2"/>
  <c r="I498" i="2"/>
  <c r="I506" i="2"/>
  <c r="I514" i="2"/>
  <c r="I522" i="2"/>
  <c r="I530" i="2"/>
  <c r="I538" i="2"/>
  <c r="I546" i="2"/>
  <c r="I453" i="2"/>
  <c r="I470" i="2"/>
  <c r="I488" i="2"/>
  <c r="I496" i="2"/>
  <c r="I504" i="2"/>
  <c r="I512" i="2"/>
  <c r="I520" i="2"/>
  <c r="I528" i="2"/>
  <c r="I536" i="2"/>
  <c r="I544" i="2"/>
  <c r="I549" i="2"/>
  <c r="I551" i="2"/>
  <c r="I567" i="2"/>
  <c r="I588" i="2"/>
  <c r="I596" i="2"/>
  <c r="I599" i="2"/>
  <c r="I555" i="2"/>
  <c r="I571" i="2"/>
  <c r="I587" i="2"/>
  <c r="I595" i="2"/>
  <c r="I559" i="2"/>
  <c r="I575" i="2"/>
  <c r="I584" i="2"/>
  <c r="I592" i="2"/>
  <c r="I600" i="2"/>
  <c r="I603" i="2"/>
  <c r="I609" i="2"/>
  <c r="I612" i="2"/>
  <c r="I617" i="2"/>
  <c r="I620" i="2"/>
  <c r="I625" i="2"/>
  <c r="I628" i="2"/>
  <c r="I640" i="2"/>
  <c r="I659" i="2"/>
  <c r="I675" i="2"/>
  <c r="I691" i="2"/>
  <c r="I707" i="2"/>
  <c r="I639" i="2"/>
  <c r="I647" i="2"/>
  <c r="I655" i="2"/>
  <c r="I671" i="2"/>
  <c r="H671" i="2" s="1"/>
  <c r="G671" i="2" s="1"/>
  <c r="I687" i="2"/>
  <c r="I703" i="2"/>
  <c r="I739" i="2"/>
  <c r="I743" i="2"/>
  <c r="I740" i="2"/>
  <c r="E15" i="1" l="1"/>
  <c r="F15" i="1" s="1"/>
  <c r="H690" i="2"/>
  <c r="G690" i="2" s="1"/>
  <c r="E436" i="1"/>
  <c r="F436" i="1" s="1"/>
  <c r="E148" i="1"/>
  <c r="F148" i="1" s="1"/>
  <c r="E401" i="1"/>
  <c r="F401" i="1" s="1"/>
  <c r="H813" i="2"/>
  <c r="G813" i="2" s="1"/>
  <c r="E779" i="1"/>
  <c r="F779" i="1" s="1"/>
  <c r="E3" i="1"/>
  <c r="F3" i="1" s="1"/>
  <c r="H28" i="2"/>
  <c r="G28" i="2" s="1"/>
  <c r="E54" i="1"/>
  <c r="F54" i="1" s="1"/>
  <c r="E70" i="1"/>
  <c r="F70" i="1" s="1"/>
  <c r="E466" i="1"/>
  <c r="F466" i="1" s="1"/>
  <c r="E140" i="1"/>
  <c r="F140" i="1" s="1"/>
  <c r="H36" i="2"/>
  <c r="G36" i="2" s="1"/>
  <c r="E782" i="1"/>
  <c r="F782" i="1" s="1"/>
  <c r="H163" i="2"/>
  <c r="G163" i="2" s="1"/>
  <c r="E158" i="1"/>
  <c r="F158" i="1" s="1"/>
  <c r="H539" i="2"/>
  <c r="G539" i="2" s="1"/>
  <c r="E517" i="1"/>
  <c r="F517" i="1" s="1"/>
  <c r="H8" i="2"/>
  <c r="G8" i="2" s="1"/>
  <c r="E27" i="1"/>
  <c r="F27" i="1" s="1"/>
  <c r="H7" i="2"/>
  <c r="G7" i="2" s="1"/>
  <c r="E62" i="1"/>
  <c r="F62" i="1" s="1"/>
  <c r="H161" i="2"/>
  <c r="G161" i="2" s="1"/>
  <c r="E156" i="1"/>
  <c r="F156" i="1" s="1"/>
  <c r="E134" i="1"/>
  <c r="F134" i="1" s="1"/>
  <c r="H605" i="2"/>
  <c r="G605" i="2" s="1"/>
  <c r="E582" i="1"/>
  <c r="F582" i="1" s="1"/>
  <c r="E11" i="1"/>
  <c r="F11" i="1" s="1"/>
  <c r="E74" i="1"/>
  <c r="F74" i="1" s="1"/>
  <c r="E579" i="1"/>
  <c r="F579" i="1" s="1"/>
  <c r="E486" i="1"/>
  <c r="F486" i="1" s="1"/>
  <c r="H241" i="2"/>
  <c r="G241" i="2" s="1"/>
  <c r="E232" i="1"/>
  <c r="F232" i="1" s="1"/>
  <c r="H523" i="2"/>
  <c r="G523" i="2" s="1"/>
  <c r="E502" i="1"/>
  <c r="F502" i="1" s="1"/>
  <c r="H325" i="2"/>
  <c r="G325" i="2" s="1"/>
  <c r="E314" i="1"/>
  <c r="F314" i="1" s="1"/>
  <c r="H840" i="2"/>
  <c r="G840" i="2" s="1"/>
  <c r="E805" i="1"/>
  <c r="F805" i="1" s="1"/>
  <c r="H440" i="2"/>
  <c r="G440" i="2" s="1"/>
  <c r="E420" i="1"/>
  <c r="F420" i="1" s="1"/>
  <c r="H158" i="2"/>
  <c r="G158" i="2" s="1"/>
  <c r="E153" i="1"/>
  <c r="F153" i="1" s="1"/>
  <c r="E180" i="1"/>
  <c r="F180" i="1" s="1"/>
  <c r="H349" i="2"/>
  <c r="G349" i="2" s="1"/>
  <c r="E335" i="1"/>
  <c r="F335" i="1" s="1"/>
  <c r="H127" i="2"/>
  <c r="G127" i="2" s="1"/>
  <c r="E125" i="1"/>
  <c r="F125" i="1" s="1"/>
  <c r="E126" i="1"/>
  <c r="F126" i="1" s="1"/>
  <c r="E770" i="1"/>
  <c r="F770" i="1" s="1"/>
  <c r="H788" i="2"/>
  <c r="G788" i="2" s="1"/>
  <c r="E754" i="1"/>
  <c r="F754" i="1" s="1"/>
  <c r="H666" i="2"/>
  <c r="G666" i="2" s="1"/>
  <c r="E638" i="1"/>
  <c r="F638" i="1" s="1"/>
  <c r="H781" i="2"/>
  <c r="G781" i="2" s="1"/>
  <c r="E747" i="1"/>
  <c r="F747" i="1" s="1"/>
  <c r="H491" i="2"/>
  <c r="G491" i="2" s="1"/>
  <c r="E470" i="1"/>
  <c r="F470" i="1" s="1"/>
  <c r="H184" i="2"/>
  <c r="G184" i="2" s="1"/>
  <c r="E179" i="1"/>
  <c r="F179" i="1" s="1"/>
  <c r="H96" i="2"/>
  <c r="G96" i="2" s="1"/>
  <c r="H540" i="2"/>
  <c r="G540" i="2" s="1"/>
  <c r="E518" i="1"/>
  <c r="F518" i="1" s="1"/>
  <c r="H264" i="2"/>
  <c r="G264" i="2" s="1"/>
  <c r="E253" i="1"/>
  <c r="F253" i="1" s="1"/>
  <c r="H524" i="2"/>
  <c r="G524" i="2" s="1"/>
  <c r="E503" i="1"/>
  <c r="F503" i="1" s="1"/>
  <c r="H348" i="2"/>
  <c r="G348" i="2" s="1"/>
  <c r="E334" i="1"/>
  <c r="F334" i="1" s="1"/>
  <c r="H258" i="2"/>
  <c r="G258" i="2" s="1"/>
  <c r="E247" i="1"/>
  <c r="F247" i="1" s="1"/>
  <c r="H762" i="2"/>
  <c r="G762" i="2" s="1"/>
  <c r="E728" i="1"/>
  <c r="F728" i="1" s="1"/>
  <c r="H702" i="2"/>
  <c r="G702" i="2" s="1"/>
  <c r="E672" i="1"/>
  <c r="F672" i="1" s="1"/>
  <c r="H732" i="2"/>
  <c r="G732" i="2" s="1"/>
  <c r="E701" i="1"/>
  <c r="F701" i="1" s="1"/>
  <c r="H662" i="2"/>
  <c r="G662" i="2" s="1"/>
  <c r="E634" i="1"/>
  <c r="F634" i="1" s="1"/>
  <c r="H352" i="2"/>
  <c r="G352" i="2" s="1"/>
  <c r="E338" i="1"/>
  <c r="F338" i="1" s="1"/>
  <c r="H201" i="2"/>
  <c r="G201" i="2" s="1"/>
  <c r="E196" i="1"/>
  <c r="F196" i="1" s="1"/>
  <c r="H303" i="2"/>
  <c r="G303" i="2" s="1"/>
  <c r="E292" i="1"/>
  <c r="F292" i="1" s="1"/>
  <c r="H846" i="2"/>
  <c r="G846" i="2" s="1"/>
  <c r="E811" i="1"/>
  <c r="F811" i="1" s="1"/>
  <c r="H377" i="2"/>
  <c r="G377" i="2" s="1"/>
  <c r="E363" i="1"/>
  <c r="F363" i="1" s="1"/>
  <c r="H282" i="2"/>
  <c r="G282" i="2" s="1"/>
  <c r="E272" i="1"/>
  <c r="F272" i="1" s="1"/>
  <c r="H832" i="2"/>
  <c r="G832" i="2" s="1"/>
  <c r="E798" i="1"/>
  <c r="F798" i="1" s="1"/>
  <c r="H678" i="2"/>
  <c r="G678" i="2" s="1"/>
  <c r="E648" i="1"/>
  <c r="F648" i="1" s="1"/>
  <c r="H145" i="2"/>
  <c r="G145" i="2" s="1"/>
  <c r="E23" i="1"/>
  <c r="F23" i="1" s="1"/>
  <c r="E86" i="1"/>
  <c r="F86" i="1" s="1"/>
  <c r="H449" i="2"/>
  <c r="G449" i="2" s="1"/>
  <c r="E429" i="1"/>
  <c r="F429" i="1" s="1"/>
  <c r="H415" i="2"/>
  <c r="G415" i="2" s="1"/>
  <c r="E399" i="1"/>
  <c r="F399" i="1" s="1"/>
  <c r="H730" i="2"/>
  <c r="G730" i="2" s="1"/>
  <c r="E699" i="1"/>
  <c r="F699" i="1" s="1"/>
  <c r="H561" i="2"/>
  <c r="G561" i="2" s="1"/>
  <c r="E539" i="1"/>
  <c r="F539" i="1" s="1"/>
  <c r="H322" i="2"/>
  <c r="G322" i="2" s="1"/>
  <c r="E311" i="1"/>
  <c r="F311" i="1" s="1"/>
  <c r="H173" i="2"/>
  <c r="G173" i="2" s="1"/>
  <c r="E168" i="1"/>
  <c r="F168" i="1" s="1"/>
  <c r="H295" i="2"/>
  <c r="G295" i="2" s="1"/>
  <c r="E284" i="1"/>
  <c r="F284" i="1" s="1"/>
  <c r="H266" i="2"/>
  <c r="G266" i="2" s="1"/>
  <c r="E255" i="1"/>
  <c r="F255" i="1" s="1"/>
  <c r="H193" i="2"/>
  <c r="G193" i="2" s="1"/>
  <c r="E188" i="1"/>
  <c r="F188" i="1" s="1"/>
  <c r="H649" i="2"/>
  <c r="G649" i="2" s="1"/>
  <c r="E623" i="1"/>
  <c r="F623" i="1" s="1"/>
  <c r="H338" i="2"/>
  <c r="G338" i="2" s="1"/>
  <c r="E325" i="1"/>
  <c r="F325" i="1" s="1"/>
  <c r="E207" i="1"/>
  <c r="F207" i="1" s="1"/>
  <c r="H726" i="2"/>
  <c r="G726" i="2" s="1"/>
  <c r="E695" i="1"/>
  <c r="F695" i="1" s="1"/>
  <c r="H302" i="2"/>
  <c r="G302" i="2" s="1"/>
  <c r="E291" i="1"/>
  <c r="F291" i="1" s="1"/>
  <c r="H263" i="2"/>
  <c r="G263" i="2" s="1"/>
  <c r="E252" i="1"/>
  <c r="F252" i="1" s="1"/>
  <c r="H720" i="2"/>
  <c r="G720" i="2" s="1"/>
  <c r="E689" i="1"/>
  <c r="F689" i="1" s="1"/>
  <c r="H542" i="2"/>
  <c r="G542" i="2" s="1"/>
  <c r="E520" i="1"/>
  <c r="F520" i="1" s="1"/>
  <c r="H844" i="2"/>
  <c r="G844" i="2" s="1"/>
  <c r="E809" i="1"/>
  <c r="F809" i="1" s="1"/>
  <c r="E133" i="1"/>
  <c r="F133" i="1" s="1"/>
  <c r="E58" i="1"/>
  <c r="F58" i="1" s="1"/>
  <c r="H433" i="2"/>
  <c r="G433" i="2" s="1"/>
  <c r="E415" i="1"/>
  <c r="F415" i="1" s="1"/>
  <c r="H413" i="2"/>
  <c r="G413" i="2" s="1"/>
  <c r="E397" i="1"/>
  <c r="F397" i="1" s="1"/>
  <c r="H140" i="2"/>
  <c r="G140" i="2" s="1"/>
  <c r="E136" i="1"/>
  <c r="F136" i="1" s="1"/>
  <c r="H20" i="2"/>
  <c r="G20" i="2" s="1"/>
  <c r="H84" i="2"/>
  <c r="G84" i="2" s="1"/>
  <c r="E40" i="1"/>
  <c r="F40" i="1" s="1"/>
  <c r="H393" i="2"/>
  <c r="G393" i="2" s="1"/>
  <c r="E378" i="1"/>
  <c r="F378" i="1" s="1"/>
  <c r="H409" i="2"/>
  <c r="G409" i="2" s="1"/>
  <c r="E393" i="1"/>
  <c r="F393" i="1" s="1"/>
  <c r="H718" i="2"/>
  <c r="G718" i="2" s="1"/>
  <c r="E687" i="1"/>
  <c r="F687" i="1" s="1"/>
  <c r="H797" i="2"/>
  <c r="G797" i="2" s="1"/>
  <c r="E763" i="1"/>
  <c r="F763" i="1" s="1"/>
  <c r="H298" i="2"/>
  <c r="G298" i="2" s="1"/>
  <c r="E287" i="1"/>
  <c r="F287" i="1" s="1"/>
  <c r="H763" i="2"/>
  <c r="G763" i="2" s="1"/>
  <c r="E729" i="1"/>
  <c r="F729" i="1" s="1"/>
  <c r="H568" i="2"/>
  <c r="G568" i="2" s="1"/>
  <c r="E546" i="1"/>
  <c r="F546" i="1" s="1"/>
  <c r="H749" i="2"/>
  <c r="G749" i="2" s="1"/>
  <c r="E717" i="1"/>
  <c r="F717" i="1" s="1"/>
  <c r="H209" i="2"/>
  <c r="G209" i="2" s="1"/>
  <c r="E203" i="1"/>
  <c r="F203" i="1" s="1"/>
  <c r="H323" i="2"/>
  <c r="G323" i="2" s="1"/>
  <c r="E312" i="1"/>
  <c r="F312" i="1" s="1"/>
  <c r="H176" i="2"/>
  <c r="G176" i="2" s="1"/>
  <c r="E171" i="1"/>
  <c r="F171" i="1" s="1"/>
  <c r="H262" i="2"/>
  <c r="G262" i="2" s="1"/>
  <c r="E251" i="1"/>
  <c r="F251" i="1" s="1"/>
  <c r="E35" i="1"/>
  <c r="F35" i="1" s="1"/>
  <c r="H226" i="2"/>
  <c r="G226" i="2" s="1"/>
  <c r="E220" i="1"/>
  <c r="F220" i="1" s="1"/>
  <c r="H401" i="2"/>
  <c r="G401" i="2" s="1"/>
  <c r="E385" i="1"/>
  <c r="F385" i="1" s="1"/>
  <c r="H698" i="2"/>
  <c r="G698" i="2" s="1"/>
  <c r="E668" i="1"/>
  <c r="F668" i="1" s="1"/>
  <c r="H499" i="2"/>
  <c r="G499" i="2" s="1"/>
  <c r="E478" i="1"/>
  <c r="F478" i="1" s="1"/>
  <c r="H296" i="2"/>
  <c r="G296" i="2" s="1"/>
  <c r="E285" i="1"/>
  <c r="F285" i="1" s="1"/>
  <c r="H761" i="2"/>
  <c r="G761" i="2" s="1"/>
  <c r="E727" i="1"/>
  <c r="F727" i="1" s="1"/>
  <c r="H450" i="2"/>
  <c r="G450" i="2" s="1"/>
  <c r="E430" i="1"/>
  <c r="F430" i="1" s="1"/>
  <c r="H670" i="2"/>
  <c r="G670" i="2" s="1"/>
  <c r="E642" i="1"/>
  <c r="F642" i="1" s="1"/>
  <c r="E78" i="1"/>
  <c r="F78" i="1" s="1"/>
  <c r="E19" i="1"/>
  <c r="F19" i="1" s="1"/>
  <c r="H808" i="2"/>
  <c r="G808" i="2" s="1"/>
  <c r="E774" i="1"/>
  <c r="F774" i="1" s="1"/>
  <c r="H848" i="2"/>
  <c r="G848" i="2" s="1"/>
  <c r="E813" i="1"/>
  <c r="F813" i="1" s="1"/>
  <c r="H389" i="2"/>
  <c r="G389" i="2" s="1"/>
  <c r="E375" i="1"/>
  <c r="F375" i="1" s="1"/>
  <c r="H654" i="2"/>
  <c r="G654" i="2" s="1"/>
  <c r="E627" i="1"/>
  <c r="F627" i="1" s="1"/>
  <c r="H493" i="2"/>
  <c r="G493" i="2" s="1"/>
  <c r="E472" i="1"/>
  <c r="F472" i="1" s="1"/>
  <c r="H757" i="2"/>
  <c r="G757" i="2" s="1"/>
  <c r="E725" i="1"/>
  <c r="F725" i="1" s="1"/>
  <c r="H810" i="2"/>
  <c r="G810" i="2" s="1"/>
  <c r="E776" i="1"/>
  <c r="F776" i="1" s="1"/>
  <c r="H789" i="2"/>
  <c r="G789" i="2" s="1"/>
  <c r="E755" i="1"/>
  <c r="F755" i="1" s="1"/>
  <c r="H714" i="2"/>
  <c r="G714" i="2" s="1"/>
  <c r="E683" i="1"/>
  <c r="F683" i="1" s="1"/>
  <c r="H682" i="2"/>
  <c r="G682" i="2" s="1"/>
  <c r="E652" i="1"/>
  <c r="F652" i="1" s="1"/>
  <c r="H537" i="2"/>
  <c r="G537" i="2" s="1"/>
  <c r="E515" i="1"/>
  <c r="F515" i="1" s="1"/>
  <c r="H479" i="2"/>
  <c r="G479" i="2" s="1"/>
  <c r="E458" i="1"/>
  <c r="F458" i="1" s="1"/>
  <c r="H461" i="2"/>
  <c r="G461" i="2" s="1"/>
  <c r="E440" i="1"/>
  <c r="F440" i="1" s="1"/>
  <c r="H421" i="2"/>
  <c r="G421" i="2" s="1"/>
  <c r="E403" i="1"/>
  <c r="F403" i="1" s="1"/>
  <c r="H361" i="2"/>
  <c r="G361" i="2" s="1"/>
  <c r="E347" i="1"/>
  <c r="F347" i="1" s="1"/>
  <c r="H289" i="2"/>
  <c r="G289" i="2" s="1"/>
  <c r="E279" i="1"/>
  <c r="F279" i="1" s="1"/>
  <c r="H206" i="2"/>
  <c r="G206" i="2" s="1"/>
  <c r="E200" i="1"/>
  <c r="F200" i="1" s="1"/>
  <c r="H836" i="2"/>
  <c r="G836" i="2" s="1"/>
  <c r="E802" i="1"/>
  <c r="F802" i="1" s="1"/>
  <c r="H782" i="2"/>
  <c r="G782" i="2" s="1"/>
  <c r="E748" i="1"/>
  <c r="F748" i="1" s="1"/>
  <c r="H753" i="2"/>
  <c r="G753" i="2" s="1"/>
  <c r="E721" i="1"/>
  <c r="F721" i="1" s="1"/>
  <c r="H676" i="2"/>
  <c r="G676" i="2" s="1"/>
  <c r="E646" i="1"/>
  <c r="F646" i="1" s="1"/>
  <c r="H636" i="2"/>
  <c r="G636" i="2" s="1"/>
  <c r="E611" i="1"/>
  <c r="F611" i="1" s="1"/>
  <c r="H619" i="2"/>
  <c r="G619" i="2" s="1"/>
  <c r="E594" i="1"/>
  <c r="F594" i="1" s="1"/>
  <c r="H525" i="2"/>
  <c r="G525" i="2" s="1"/>
  <c r="E504" i="1"/>
  <c r="F504" i="1" s="1"/>
  <c r="H434" i="2"/>
  <c r="G434" i="2" s="1"/>
  <c r="E416" i="1"/>
  <c r="F416" i="1" s="1"/>
  <c r="H405" i="2"/>
  <c r="G405" i="2" s="1"/>
  <c r="E389" i="1"/>
  <c r="F389" i="1" s="1"/>
  <c r="H365" i="2"/>
  <c r="G365" i="2" s="1"/>
  <c r="E351" i="1"/>
  <c r="F351" i="1" s="1"/>
  <c r="H319" i="2"/>
  <c r="G319" i="2" s="1"/>
  <c r="E308" i="1"/>
  <c r="F308" i="1" s="1"/>
  <c r="H269" i="2"/>
  <c r="G269" i="2" s="1"/>
  <c r="E259" i="1"/>
  <c r="F259" i="1" s="1"/>
  <c r="H247" i="2"/>
  <c r="G247" i="2" s="1"/>
  <c r="E236" i="1"/>
  <c r="F236" i="1" s="1"/>
  <c r="H191" i="2"/>
  <c r="G191" i="2" s="1"/>
  <c r="E186" i="1"/>
  <c r="F186" i="1" s="1"/>
  <c r="H130" i="2"/>
  <c r="G130" i="2" s="1"/>
  <c r="E128" i="1"/>
  <c r="F128" i="1" s="1"/>
  <c r="H90" i="2"/>
  <c r="G90" i="2" s="1"/>
  <c r="E88" i="1"/>
  <c r="F88" i="1" s="1"/>
  <c r="H51" i="2"/>
  <c r="G51" i="2" s="1"/>
  <c r="E50" i="1"/>
  <c r="F50" i="1" s="1"/>
  <c r="H505" i="2"/>
  <c r="G505" i="2" s="1"/>
  <c r="E484" i="1"/>
  <c r="F484" i="1" s="1"/>
  <c r="H474" i="2"/>
  <c r="G474" i="2" s="1"/>
  <c r="E453" i="1"/>
  <c r="F453" i="1" s="1"/>
  <c r="H341" i="2"/>
  <c r="G341" i="2" s="1"/>
  <c r="E328" i="1"/>
  <c r="F328" i="1" s="1"/>
  <c r="H239" i="2"/>
  <c r="G239" i="2" s="1"/>
  <c r="E230" i="1"/>
  <c r="F230" i="1" s="1"/>
  <c r="H221" i="2"/>
  <c r="G221" i="2" s="1"/>
  <c r="E215" i="1"/>
  <c r="F215" i="1" s="1"/>
  <c r="H170" i="2"/>
  <c r="G170" i="2" s="1"/>
  <c r="E165" i="1"/>
  <c r="F165" i="1" s="1"/>
  <c r="H828" i="2"/>
  <c r="G828" i="2" s="1"/>
  <c r="E794" i="1"/>
  <c r="F794" i="1" s="1"/>
  <c r="H772" i="2"/>
  <c r="G772" i="2" s="1"/>
  <c r="E738" i="1"/>
  <c r="F738" i="1" s="1"/>
  <c r="H724" i="2"/>
  <c r="G724" i="2" s="1"/>
  <c r="E693" i="1"/>
  <c r="F693" i="1" s="1"/>
  <c r="H704" i="2"/>
  <c r="G704" i="2" s="1"/>
  <c r="E674" i="1"/>
  <c r="F674" i="1" s="1"/>
  <c r="H645" i="2"/>
  <c r="G645" i="2" s="1"/>
  <c r="E619" i="1"/>
  <c r="F619" i="1" s="1"/>
  <c r="H553" i="2"/>
  <c r="G553" i="2" s="1"/>
  <c r="E531" i="1"/>
  <c r="F531" i="1" s="1"/>
  <c r="H399" i="2"/>
  <c r="G399" i="2" s="1"/>
  <c r="E384" i="1"/>
  <c r="F384" i="1" s="1"/>
  <c r="H332" i="2"/>
  <c r="G332" i="2" s="1"/>
  <c r="E319" i="1"/>
  <c r="F319" i="1" s="1"/>
  <c r="H280" i="2"/>
  <c r="G280" i="2" s="1"/>
  <c r="E270" i="1"/>
  <c r="F270" i="1" s="1"/>
  <c r="H74" i="2"/>
  <c r="G74" i="2" s="1"/>
  <c r="E72" i="1"/>
  <c r="F72" i="1" s="1"/>
  <c r="H83" i="2"/>
  <c r="G83" i="2" s="1"/>
  <c r="E81" i="1"/>
  <c r="F81" i="1" s="1"/>
  <c r="H52" i="2"/>
  <c r="G52" i="2" s="1"/>
  <c r="E51" i="1"/>
  <c r="F51" i="1" s="1"/>
  <c r="H849" i="2"/>
  <c r="G849" i="2" s="1"/>
  <c r="E814" i="1"/>
  <c r="F814" i="1" s="1"/>
  <c r="H798" i="2"/>
  <c r="G798" i="2" s="1"/>
  <c r="E764" i="1"/>
  <c r="F764" i="1" s="1"/>
  <c r="H769" i="2"/>
  <c r="G769" i="2" s="1"/>
  <c r="E735" i="1"/>
  <c r="F735" i="1" s="1"/>
  <c r="H706" i="2"/>
  <c r="G706" i="2" s="1"/>
  <c r="E676" i="1"/>
  <c r="F676" i="1" s="1"/>
  <c r="H674" i="2"/>
  <c r="G674" i="2" s="1"/>
  <c r="E644" i="1"/>
  <c r="F644" i="1" s="1"/>
  <c r="H580" i="2"/>
  <c r="G580" i="2" s="1"/>
  <c r="E558" i="1"/>
  <c r="F558" i="1" s="1"/>
  <c r="H535" i="2"/>
  <c r="G535" i="2" s="1"/>
  <c r="E513" i="1"/>
  <c r="F513" i="1" s="1"/>
  <c r="H477" i="2"/>
  <c r="G477" i="2" s="1"/>
  <c r="E456" i="1"/>
  <c r="F456" i="1" s="1"/>
  <c r="H447" i="2"/>
  <c r="G447" i="2" s="1"/>
  <c r="E427" i="1"/>
  <c r="F427" i="1" s="1"/>
  <c r="H408" i="2"/>
  <c r="G408" i="2" s="1"/>
  <c r="E392" i="1"/>
  <c r="F392" i="1" s="1"/>
  <c r="H340" i="2"/>
  <c r="G340" i="2" s="1"/>
  <c r="E327" i="1"/>
  <c r="F327" i="1" s="1"/>
  <c r="H250" i="2"/>
  <c r="G250" i="2" s="1"/>
  <c r="E239" i="1"/>
  <c r="F239" i="1" s="1"/>
  <c r="H823" i="2"/>
  <c r="G823" i="2" s="1"/>
  <c r="E789" i="1"/>
  <c r="F789" i="1" s="1"/>
  <c r="H779" i="2"/>
  <c r="G779" i="2" s="1"/>
  <c r="E745" i="1"/>
  <c r="F745" i="1" s="1"/>
  <c r="H728" i="2"/>
  <c r="G728" i="2" s="1"/>
  <c r="E697" i="1"/>
  <c r="F697" i="1" s="1"/>
  <c r="H668" i="2"/>
  <c r="G668" i="2" s="1"/>
  <c r="E640" i="1"/>
  <c r="F640" i="1" s="1"/>
  <c r="H634" i="2"/>
  <c r="G634" i="2" s="1"/>
  <c r="E609" i="1"/>
  <c r="F609" i="1" s="1"/>
  <c r="H618" i="2"/>
  <c r="G618" i="2" s="1"/>
  <c r="E593" i="1"/>
  <c r="F593" i="1" s="1"/>
  <c r="H521" i="2"/>
  <c r="G521" i="2" s="1"/>
  <c r="E500" i="1"/>
  <c r="F500" i="1" s="1"/>
  <c r="H431" i="2"/>
  <c r="G431" i="2" s="1"/>
  <c r="E413" i="1"/>
  <c r="F413" i="1" s="1"/>
  <c r="H396" i="2"/>
  <c r="G396" i="2" s="1"/>
  <c r="E381" i="1"/>
  <c r="F381" i="1" s="1"/>
  <c r="H358" i="2"/>
  <c r="G358" i="2" s="1"/>
  <c r="E344" i="1"/>
  <c r="F344" i="1" s="1"/>
  <c r="H318" i="2"/>
  <c r="G318" i="2" s="1"/>
  <c r="E307" i="1"/>
  <c r="F307" i="1" s="1"/>
  <c r="H256" i="2"/>
  <c r="G256" i="2" s="1"/>
  <c r="E245" i="1"/>
  <c r="F245" i="1" s="1"/>
  <c r="H245" i="2"/>
  <c r="G245" i="2" s="1"/>
  <c r="E235" i="1"/>
  <c r="F235" i="1" s="1"/>
  <c r="H190" i="2"/>
  <c r="G190" i="2" s="1"/>
  <c r="E185" i="1"/>
  <c r="F185" i="1" s="1"/>
  <c r="H809" i="2"/>
  <c r="G809" i="2" s="1"/>
  <c r="E775" i="1"/>
  <c r="F775" i="1" s="1"/>
  <c r="H503" i="2"/>
  <c r="G503" i="2" s="1"/>
  <c r="E482" i="1"/>
  <c r="F482" i="1" s="1"/>
  <c r="H464" i="2"/>
  <c r="G464" i="2" s="1"/>
  <c r="E443" i="1"/>
  <c r="F443" i="1" s="1"/>
  <c r="H286" i="2"/>
  <c r="G286" i="2" s="1"/>
  <c r="E276" i="1"/>
  <c r="F276" i="1" s="1"/>
  <c r="H238" i="2"/>
  <c r="G238" i="2" s="1"/>
  <c r="E229" i="1"/>
  <c r="F229" i="1" s="1"/>
  <c r="H824" i="2"/>
  <c r="G824" i="2" s="1"/>
  <c r="E790" i="1"/>
  <c r="F790" i="1" s="1"/>
  <c r="H747" i="2"/>
  <c r="G747" i="2" s="1"/>
  <c r="E716" i="1"/>
  <c r="F716" i="1" s="1"/>
  <c r="H722" i="2"/>
  <c r="G722" i="2" s="1"/>
  <c r="E691" i="1"/>
  <c r="F691" i="1" s="1"/>
  <c r="H693" i="2"/>
  <c r="G693" i="2" s="1"/>
  <c r="E663" i="1"/>
  <c r="F663" i="1" s="1"/>
  <c r="H641" i="2"/>
  <c r="G641" i="2" s="1"/>
  <c r="E616" i="1"/>
  <c r="F616" i="1" s="1"/>
  <c r="H397" i="2"/>
  <c r="G397" i="2" s="1"/>
  <c r="E382" i="1"/>
  <c r="F382" i="1" s="1"/>
  <c r="H315" i="2"/>
  <c r="G315" i="2" s="1"/>
  <c r="E304" i="1"/>
  <c r="F304" i="1" s="1"/>
  <c r="H279" i="2"/>
  <c r="G279" i="2" s="1"/>
  <c r="E269" i="1"/>
  <c r="F269" i="1" s="1"/>
  <c r="H126" i="2"/>
  <c r="G126" i="2" s="1"/>
  <c r="E124" i="1"/>
  <c r="F124" i="1" s="1"/>
  <c r="H61" i="2"/>
  <c r="G61" i="2" s="1"/>
  <c r="E59" i="1"/>
  <c r="F59" i="1" s="1"/>
  <c r="H48" i="2"/>
  <c r="G48" i="2" s="1"/>
  <c r="E47" i="1"/>
  <c r="F47" i="1" s="1"/>
  <c r="H109" i="2"/>
  <c r="G109" i="2" s="1"/>
  <c r="E107" i="1"/>
  <c r="F107" i="1" s="1"/>
  <c r="H839" i="2"/>
  <c r="G839" i="2" s="1"/>
  <c r="E804" i="1"/>
  <c r="F804" i="1" s="1"/>
  <c r="H795" i="2"/>
  <c r="G795" i="2" s="1"/>
  <c r="E761" i="1"/>
  <c r="F761" i="1" s="1"/>
  <c r="H756" i="2"/>
  <c r="G756" i="2" s="1"/>
  <c r="E724" i="1"/>
  <c r="F724" i="1" s="1"/>
  <c r="H685" i="2"/>
  <c r="G685" i="2" s="1"/>
  <c r="E655" i="1"/>
  <c r="F655" i="1" s="1"/>
  <c r="H665" i="2"/>
  <c r="G665" i="2" s="1"/>
  <c r="E637" i="1"/>
  <c r="F637" i="1" s="1"/>
  <c r="H562" i="2"/>
  <c r="G562" i="2" s="1"/>
  <c r="E540" i="1"/>
  <c r="F540" i="1" s="1"/>
  <c r="H510" i="2"/>
  <c r="G510" i="2" s="1"/>
  <c r="E489" i="1"/>
  <c r="F489" i="1" s="1"/>
  <c r="H473" i="2"/>
  <c r="G473" i="2" s="1"/>
  <c r="E452" i="1"/>
  <c r="F452" i="1" s="1"/>
  <c r="H445" i="2"/>
  <c r="G445" i="2" s="1"/>
  <c r="E425" i="1"/>
  <c r="F425" i="1" s="1"/>
  <c r="H385" i="2"/>
  <c r="G385" i="2" s="1"/>
  <c r="E371" i="1"/>
  <c r="F371" i="1" s="1"/>
  <c r="H333" i="2"/>
  <c r="G333" i="2" s="1"/>
  <c r="E320" i="1"/>
  <c r="F320" i="1" s="1"/>
  <c r="H821" i="2"/>
  <c r="G821" i="2" s="1"/>
  <c r="E787" i="1"/>
  <c r="F787" i="1" s="1"/>
  <c r="H777" i="2"/>
  <c r="G777" i="2" s="1"/>
  <c r="E743" i="1"/>
  <c r="F743" i="1" s="1"/>
  <c r="H721" i="2"/>
  <c r="G721" i="2" s="1"/>
  <c r="E690" i="1"/>
  <c r="F690" i="1" s="1"/>
  <c r="H657" i="2"/>
  <c r="G657" i="2" s="1"/>
  <c r="E629" i="1"/>
  <c r="F629" i="1" s="1"/>
  <c r="H623" i="2"/>
  <c r="G623" i="2" s="1"/>
  <c r="E598" i="1"/>
  <c r="F598" i="1" s="1"/>
  <c r="H566" i="2"/>
  <c r="G566" i="2" s="1"/>
  <c r="E544" i="1"/>
  <c r="F544" i="1" s="1"/>
  <c r="H519" i="2"/>
  <c r="G519" i="2" s="1"/>
  <c r="E498" i="1"/>
  <c r="F498" i="1" s="1"/>
  <c r="H429" i="2"/>
  <c r="G429" i="2" s="1"/>
  <c r="E411" i="1"/>
  <c r="F411" i="1" s="1"/>
  <c r="H375" i="2"/>
  <c r="G375" i="2" s="1"/>
  <c r="E361" i="1"/>
  <c r="F361" i="1" s="1"/>
  <c r="H357" i="2"/>
  <c r="G357" i="2" s="1"/>
  <c r="E343" i="1"/>
  <c r="F343" i="1" s="1"/>
  <c r="H290" i="2"/>
  <c r="G290" i="2" s="1"/>
  <c r="E280" i="1"/>
  <c r="F280" i="1" s="1"/>
  <c r="H255" i="2"/>
  <c r="G255" i="2" s="1"/>
  <c r="E244" i="1"/>
  <c r="F244" i="1" s="1"/>
  <c r="H237" i="2"/>
  <c r="G237" i="2" s="1"/>
  <c r="E228" i="1"/>
  <c r="F228" i="1" s="1"/>
  <c r="H181" i="2"/>
  <c r="G181" i="2" s="1"/>
  <c r="E177" i="1"/>
  <c r="F177" i="1" s="1"/>
  <c r="H115" i="2"/>
  <c r="G115" i="2" s="1"/>
  <c r="E113" i="1"/>
  <c r="F113" i="1" s="1"/>
  <c r="H807" i="2"/>
  <c r="G807" i="2" s="1"/>
  <c r="E773" i="1"/>
  <c r="F773" i="1" s="1"/>
  <c r="H480" i="2"/>
  <c r="G480" i="2" s="1"/>
  <c r="E459" i="1"/>
  <c r="F459" i="1" s="1"/>
  <c r="H460" i="2"/>
  <c r="G460" i="2" s="1"/>
  <c r="E439" i="1"/>
  <c r="F439" i="1" s="1"/>
  <c r="H276" i="2"/>
  <c r="G276" i="2" s="1"/>
  <c r="E266" i="1"/>
  <c r="F266" i="1" s="1"/>
  <c r="H233" i="2"/>
  <c r="G233" i="2" s="1"/>
  <c r="E225" i="1"/>
  <c r="F225" i="1" s="1"/>
  <c r="H200" i="2"/>
  <c r="G200" i="2" s="1"/>
  <c r="E195" i="1"/>
  <c r="F195" i="1" s="1"/>
  <c r="H830" i="2"/>
  <c r="G830" i="2" s="1"/>
  <c r="E796" i="1"/>
  <c r="F796" i="1" s="1"/>
  <c r="H801" i="2"/>
  <c r="G801" i="2" s="1"/>
  <c r="E767" i="1"/>
  <c r="F767" i="1" s="1"/>
  <c r="H746" i="2"/>
  <c r="G746" i="2" s="1"/>
  <c r="E715" i="1"/>
  <c r="F715" i="1" s="1"/>
  <c r="H712" i="2"/>
  <c r="G712" i="2" s="1"/>
  <c r="E681" i="1"/>
  <c r="F681" i="1" s="1"/>
  <c r="H660" i="2"/>
  <c r="G660" i="2" s="1"/>
  <c r="E632" i="1"/>
  <c r="F632" i="1" s="1"/>
  <c r="H626" i="2"/>
  <c r="G626" i="2" s="1"/>
  <c r="E601" i="1"/>
  <c r="F601" i="1" s="1"/>
  <c r="H424" i="2"/>
  <c r="G424" i="2" s="1"/>
  <c r="E406" i="1"/>
  <c r="F406" i="1" s="1"/>
  <c r="H381" i="2"/>
  <c r="G381" i="2" s="1"/>
  <c r="E367" i="1"/>
  <c r="F367" i="1" s="1"/>
  <c r="H309" i="2"/>
  <c r="G309" i="2" s="1"/>
  <c r="E298" i="1"/>
  <c r="F298" i="1" s="1"/>
  <c r="H278" i="2"/>
  <c r="G278" i="2" s="1"/>
  <c r="E268" i="1"/>
  <c r="F268" i="1" s="1"/>
  <c r="H68" i="2"/>
  <c r="G68" i="2" s="1"/>
  <c r="E65" i="1"/>
  <c r="F65" i="1" s="1"/>
  <c r="H31" i="2"/>
  <c r="G31" i="2" s="1"/>
  <c r="E31" i="1"/>
  <c r="F31" i="1" s="1"/>
  <c r="H58" i="2"/>
  <c r="G58" i="2" s="1"/>
  <c r="E56" i="1"/>
  <c r="F56" i="1" s="1"/>
  <c r="H106" i="2"/>
  <c r="G106" i="2" s="1"/>
  <c r="E104" i="1"/>
  <c r="F104" i="1" s="1"/>
  <c r="H92" i="2"/>
  <c r="G92" i="2" s="1"/>
  <c r="E90" i="1"/>
  <c r="F90" i="1" s="1"/>
  <c r="H812" i="2"/>
  <c r="G812" i="2" s="1"/>
  <c r="E778" i="1"/>
  <c r="F778" i="1" s="1"/>
  <c r="H793" i="2"/>
  <c r="G793" i="2" s="1"/>
  <c r="E759" i="1"/>
  <c r="F759" i="1" s="1"/>
  <c r="H729" i="2"/>
  <c r="G729" i="2" s="1"/>
  <c r="E698" i="1"/>
  <c r="F698" i="1" s="1"/>
  <c r="H683" i="2"/>
  <c r="G683" i="2" s="1"/>
  <c r="E653" i="1"/>
  <c r="F653" i="1" s="1"/>
  <c r="H663" i="2"/>
  <c r="G663" i="2" s="1"/>
  <c r="E635" i="1"/>
  <c r="F635" i="1" s="1"/>
  <c r="H557" i="2"/>
  <c r="G557" i="2" s="1"/>
  <c r="E535" i="1"/>
  <c r="F535" i="1" s="1"/>
  <c r="H508" i="2"/>
  <c r="G508" i="2" s="1"/>
  <c r="E487" i="1"/>
  <c r="F487" i="1" s="1"/>
  <c r="H463" i="2"/>
  <c r="G463" i="2" s="1"/>
  <c r="E442" i="1"/>
  <c r="F442" i="1" s="1"/>
  <c r="H441" i="2"/>
  <c r="G441" i="2" s="1"/>
  <c r="E421" i="1"/>
  <c r="F421" i="1" s="1"/>
  <c r="H369" i="2"/>
  <c r="G369" i="2" s="1"/>
  <c r="E355" i="1"/>
  <c r="F355" i="1" s="1"/>
  <c r="H314" i="2"/>
  <c r="G314" i="2" s="1"/>
  <c r="E303" i="1"/>
  <c r="F303" i="1" s="1"/>
  <c r="H207" i="2"/>
  <c r="G207" i="2" s="1"/>
  <c r="E201" i="1"/>
  <c r="F201" i="1" s="1"/>
  <c r="H842" i="2"/>
  <c r="G842" i="2" s="1"/>
  <c r="E807" i="1"/>
  <c r="F807" i="1" s="1"/>
  <c r="H805" i="2"/>
  <c r="G805" i="2" s="1"/>
  <c r="E771" i="1"/>
  <c r="F771" i="1" s="1"/>
  <c r="H773" i="2"/>
  <c r="G773" i="2" s="1"/>
  <c r="E739" i="1"/>
  <c r="F739" i="1" s="1"/>
  <c r="H694" i="2"/>
  <c r="G694" i="2" s="1"/>
  <c r="E664" i="1"/>
  <c r="F664" i="1" s="1"/>
  <c r="H644" i="2"/>
  <c r="G644" i="2" s="1"/>
  <c r="E618" i="1"/>
  <c r="F618" i="1" s="1"/>
  <c r="H622" i="2"/>
  <c r="G622" i="2" s="1"/>
  <c r="E597" i="1"/>
  <c r="F597" i="1" s="1"/>
  <c r="H531" i="2"/>
  <c r="G531" i="2" s="1"/>
  <c r="E509" i="1"/>
  <c r="F509" i="1" s="1"/>
  <c r="H492" i="2"/>
  <c r="G492" i="2" s="1"/>
  <c r="E471" i="1"/>
  <c r="F471" i="1" s="1"/>
  <c r="H425" i="2"/>
  <c r="G425" i="2" s="1"/>
  <c r="E407" i="1"/>
  <c r="F407" i="1" s="1"/>
  <c r="H373" i="2"/>
  <c r="G373" i="2" s="1"/>
  <c r="E359" i="1"/>
  <c r="F359" i="1" s="1"/>
  <c r="H353" i="2"/>
  <c r="G353" i="2" s="1"/>
  <c r="E339" i="1"/>
  <c r="F339" i="1" s="1"/>
  <c r="H270" i="2"/>
  <c r="G270" i="2" s="1"/>
  <c r="E260" i="1"/>
  <c r="F260" i="1" s="1"/>
  <c r="H254" i="2"/>
  <c r="G254" i="2" s="1"/>
  <c r="E243" i="1"/>
  <c r="F243" i="1" s="1"/>
  <c r="H220" i="2"/>
  <c r="G220" i="2" s="1"/>
  <c r="E214" i="1"/>
  <c r="F214" i="1" s="1"/>
  <c r="H177" i="2"/>
  <c r="G177" i="2" s="1"/>
  <c r="E172" i="1"/>
  <c r="F172" i="1" s="1"/>
  <c r="H93" i="2"/>
  <c r="G93" i="2" s="1"/>
  <c r="E91" i="1"/>
  <c r="F91" i="1" s="1"/>
  <c r="H515" i="2"/>
  <c r="G515" i="2" s="1"/>
  <c r="E494" i="1"/>
  <c r="F494" i="1" s="1"/>
  <c r="H476" i="2"/>
  <c r="G476" i="2" s="1"/>
  <c r="E455" i="1"/>
  <c r="F455" i="1" s="1"/>
  <c r="H458" i="2"/>
  <c r="G458" i="2" s="1"/>
  <c r="E437" i="1"/>
  <c r="F437" i="1" s="1"/>
  <c r="H274" i="2"/>
  <c r="G274" i="2" s="1"/>
  <c r="E264" i="1"/>
  <c r="F264" i="1" s="1"/>
  <c r="H225" i="2"/>
  <c r="G225" i="2" s="1"/>
  <c r="E219" i="1"/>
  <c r="F219" i="1" s="1"/>
  <c r="H171" i="2"/>
  <c r="G171" i="2" s="1"/>
  <c r="E166" i="1"/>
  <c r="F166" i="1" s="1"/>
  <c r="H829" i="2"/>
  <c r="G829" i="2" s="1"/>
  <c r="E795" i="1"/>
  <c r="F795" i="1" s="1"/>
  <c r="H785" i="2"/>
  <c r="G785" i="2" s="1"/>
  <c r="E751" i="1"/>
  <c r="F751" i="1" s="1"/>
  <c r="H745" i="2"/>
  <c r="G745" i="2" s="1"/>
  <c r="E714" i="1"/>
  <c r="F714" i="1" s="1"/>
  <c r="H710" i="2"/>
  <c r="G710" i="2" s="1"/>
  <c r="E679" i="1"/>
  <c r="F679" i="1" s="1"/>
  <c r="H658" i="2"/>
  <c r="G658" i="2" s="1"/>
  <c r="E630" i="1"/>
  <c r="F630" i="1" s="1"/>
  <c r="H613" i="2"/>
  <c r="G613" i="2" s="1"/>
  <c r="E588" i="1"/>
  <c r="F588" i="1" s="1"/>
  <c r="H402" i="2"/>
  <c r="G402" i="2" s="1"/>
  <c r="E386" i="1"/>
  <c r="F386" i="1" s="1"/>
  <c r="H372" i="2"/>
  <c r="G372" i="2" s="1"/>
  <c r="E358" i="1"/>
  <c r="F358" i="1" s="1"/>
  <c r="H307" i="2"/>
  <c r="G307" i="2" s="1"/>
  <c r="E296" i="1"/>
  <c r="F296" i="1" s="1"/>
  <c r="H77" i="2"/>
  <c r="G77" i="2" s="1"/>
  <c r="E75" i="1"/>
  <c r="F75" i="1" s="1"/>
  <c r="H99" i="2"/>
  <c r="G99" i="2" s="1"/>
  <c r="E97" i="1"/>
  <c r="F97" i="1" s="1"/>
  <c r="H819" i="2"/>
  <c r="G819" i="2" s="1"/>
  <c r="E785" i="1"/>
  <c r="F785" i="1" s="1"/>
  <c r="H768" i="2"/>
  <c r="G768" i="2" s="1"/>
  <c r="E734" i="1"/>
  <c r="F734" i="1" s="1"/>
  <c r="H735" i="2"/>
  <c r="G735" i="2" s="1"/>
  <c r="E704" i="1"/>
  <c r="F704" i="1" s="1"/>
  <c r="H635" i="2"/>
  <c r="G635" i="2" s="1"/>
  <c r="E610" i="1"/>
  <c r="F610" i="1" s="1"/>
  <c r="H615" i="2"/>
  <c r="G615" i="2" s="1"/>
  <c r="E590" i="1"/>
  <c r="F590" i="1" s="1"/>
  <c r="H590" i="2"/>
  <c r="G590" i="2" s="1"/>
  <c r="E568" i="1"/>
  <c r="F568" i="1" s="1"/>
  <c r="H572" i="2"/>
  <c r="G572" i="2" s="1"/>
  <c r="E550" i="1"/>
  <c r="F550" i="1" s="1"/>
  <c r="H790" i="2"/>
  <c r="G790" i="2" s="1"/>
  <c r="E756" i="1"/>
  <c r="F756" i="1" s="1"/>
  <c r="H689" i="2"/>
  <c r="G689" i="2" s="1"/>
  <c r="E659" i="1"/>
  <c r="F659" i="1" s="1"/>
  <c r="H578" i="2"/>
  <c r="G578" i="2" s="1"/>
  <c r="E556" i="1"/>
  <c r="F556" i="1" s="1"/>
  <c r="H786" i="2"/>
  <c r="G786" i="2" s="1"/>
  <c r="E752" i="1"/>
  <c r="F752" i="1" s="1"/>
  <c r="H723" i="2"/>
  <c r="G723" i="2" s="1"/>
  <c r="E692" i="1"/>
  <c r="F692" i="1" s="1"/>
  <c r="H669" i="2"/>
  <c r="G669" i="2" s="1"/>
  <c r="E641" i="1"/>
  <c r="F641" i="1" s="1"/>
  <c r="H300" i="2"/>
  <c r="G300" i="2" s="1"/>
  <c r="E289" i="1"/>
  <c r="F289" i="1" s="1"/>
  <c r="H230" i="2"/>
  <c r="G230" i="2" s="1"/>
  <c r="E223" i="1"/>
  <c r="F223" i="1" s="1"/>
  <c r="H516" i="2"/>
  <c r="G516" i="2" s="1"/>
  <c r="E495" i="1"/>
  <c r="F495" i="1" s="1"/>
  <c r="H374" i="2"/>
  <c r="G374" i="2" s="1"/>
  <c r="E360" i="1"/>
  <c r="F360" i="1" s="1"/>
  <c r="H360" i="2"/>
  <c r="G360" i="2" s="1"/>
  <c r="E346" i="1"/>
  <c r="F346" i="1" s="1"/>
  <c r="H249" i="2"/>
  <c r="G249" i="2" s="1"/>
  <c r="E238" i="1"/>
  <c r="F238" i="1" s="1"/>
  <c r="H550" i="2"/>
  <c r="G550" i="2" s="1"/>
  <c r="E528" i="1"/>
  <c r="F528" i="1" s="1"/>
  <c r="H494" i="2"/>
  <c r="G494" i="2" s="1"/>
  <c r="E473" i="1"/>
  <c r="F473" i="1" s="1"/>
  <c r="H467" i="2"/>
  <c r="G467" i="2" s="1"/>
  <c r="E446" i="1"/>
  <c r="F446" i="1" s="1"/>
  <c r="H448" i="2"/>
  <c r="G448" i="2" s="1"/>
  <c r="E428" i="1"/>
  <c r="F428" i="1" s="1"/>
  <c r="H426" i="2"/>
  <c r="G426" i="2" s="1"/>
  <c r="E408" i="1"/>
  <c r="F408" i="1" s="1"/>
  <c r="H407" i="2"/>
  <c r="G407" i="2" s="1"/>
  <c r="E391" i="1"/>
  <c r="F391" i="1" s="1"/>
  <c r="H388" i="2"/>
  <c r="G388" i="2" s="1"/>
  <c r="E374" i="1"/>
  <c r="F374" i="1" s="1"/>
  <c r="H350" i="2"/>
  <c r="G350" i="2" s="1"/>
  <c r="E336" i="1"/>
  <c r="F336" i="1" s="1"/>
  <c r="H292" i="2"/>
  <c r="G292" i="2" s="1"/>
  <c r="E282" i="1"/>
  <c r="F282" i="1" s="1"/>
  <c r="E257" i="1"/>
  <c r="F257" i="1" s="1"/>
  <c r="H251" i="2"/>
  <c r="G251" i="2" s="1"/>
  <c r="E240" i="1"/>
  <c r="F240" i="1" s="1"/>
  <c r="H194" i="2"/>
  <c r="G194" i="2" s="1"/>
  <c r="E189" i="1"/>
  <c r="F189" i="1" s="1"/>
  <c r="H175" i="2"/>
  <c r="G175" i="2" s="1"/>
  <c r="E170" i="1"/>
  <c r="F170" i="1" s="1"/>
  <c r="H616" i="2"/>
  <c r="G616" i="2" s="1"/>
  <c r="E591" i="1"/>
  <c r="F591" i="1" s="1"/>
  <c r="H569" i="2"/>
  <c r="G569" i="2" s="1"/>
  <c r="E547" i="1"/>
  <c r="F547" i="1" s="1"/>
  <c r="H529" i="2"/>
  <c r="G529" i="2" s="1"/>
  <c r="E507" i="1"/>
  <c r="F507" i="1" s="1"/>
  <c r="H500" i="2"/>
  <c r="G500" i="2" s="1"/>
  <c r="E479" i="1"/>
  <c r="F479" i="1" s="1"/>
  <c r="H471" i="2"/>
  <c r="G471" i="2" s="1"/>
  <c r="E450" i="1"/>
  <c r="F450" i="1" s="1"/>
  <c r="H444" i="2"/>
  <c r="G444" i="2" s="1"/>
  <c r="E424" i="1"/>
  <c r="F424" i="1" s="1"/>
  <c r="H422" i="2"/>
  <c r="G422" i="2" s="1"/>
  <c r="E404" i="1"/>
  <c r="F404" i="1" s="1"/>
  <c r="H384" i="2"/>
  <c r="G384" i="2" s="1"/>
  <c r="E370" i="1"/>
  <c r="F370" i="1" s="1"/>
  <c r="H359" i="2"/>
  <c r="G359" i="2" s="1"/>
  <c r="E345" i="1"/>
  <c r="F345" i="1" s="1"/>
  <c r="H335" i="2"/>
  <c r="G335" i="2" s="1"/>
  <c r="E322" i="1"/>
  <c r="F322" i="1" s="1"/>
  <c r="H311" i="2"/>
  <c r="G311" i="2" s="1"/>
  <c r="E300" i="1"/>
  <c r="F300" i="1" s="1"/>
  <c r="H288" i="2"/>
  <c r="G288" i="2" s="1"/>
  <c r="E278" i="1"/>
  <c r="F278" i="1" s="1"/>
  <c r="H248" i="2"/>
  <c r="G248" i="2" s="1"/>
  <c r="E237" i="1"/>
  <c r="F237" i="1" s="1"/>
  <c r="H224" i="2"/>
  <c r="G224" i="2" s="1"/>
  <c r="E218" i="1"/>
  <c r="F218" i="1" s="1"/>
  <c r="H169" i="2"/>
  <c r="G169" i="2" s="1"/>
  <c r="E164" i="1"/>
  <c r="F164" i="1" s="1"/>
  <c r="H105" i="2"/>
  <c r="G105" i="2" s="1"/>
  <c r="E103" i="1"/>
  <c r="F103" i="1" s="1"/>
  <c r="H86" i="2"/>
  <c r="G86" i="2" s="1"/>
  <c r="E84" i="1"/>
  <c r="F84" i="1" s="1"/>
  <c r="H63" i="2"/>
  <c r="G63" i="2" s="1"/>
  <c r="E61" i="1"/>
  <c r="F61" i="1" s="1"/>
  <c r="H212" i="2"/>
  <c r="G212" i="2" s="1"/>
  <c r="E206" i="1"/>
  <c r="F206" i="1" s="1"/>
  <c r="H149" i="2"/>
  <c r="G149" i="2" s="1"/>
  <c r="E145" i="1"/>
  <c r="F145" i="1" s="1"/>
  <c r="H131" i="2"/>
  <c r="G131" i="2" s="1"/>
  <c r="E129" i="1"/>
  <c r="F129" i="1" s="1"/>
  <c r="H114" i="2"/>
  <c r="G114" i="2" s="1"/>
  <c r="E112" i="1"/>
  <c r="F112" i="1" s="1"/>
  <c r="H91" i="2"/>
  <c r="G91" i="2" s="1"/>
  <c r="E89" i="1"/>
  <c r="F89" i="1" s="1"/>
  <c r="H69" i="2"/>
  <c r="G69" i="2" s="1"/>
  <c r="E67" i="1"/>
  <c r="F67" i="1" s="1"/>
  <c r="H34" i="2"/>
  <c r="G34" i="2" s="1"/>
  <c r="E34" i="1"/>
  <c r="F34" i="1" s="1"/>
  <c r="H198" i="2"/>
  <c r="G198" i="2" s="1"/>
  <c r="E193" i="1"/>
  <c r="F193" i="1" s="1"/>
  <c r="H119" i="2"/>
  <c r="G119" i="2" s="1"/>
  <c r="E117" i="1"/>
  <c r="F117" i="1" s="1"/>
  <c r="H97" i="2"/>
  <c r="G97" i="2" s="1"/>
  <c r="E95" i="1"/>
  <c r="F95" i="1" s="1"/>
  <c r="H78" i="2"/>
  <c r="G78" i="2" s="1"/>
  <c r="E76" i="1"/>
  <c r="F76" i="1" s="1"/>
  <c r="H835" i="2"/>
  <c r="G835" i="2" s="1"/>
  <c r="E801" i="1"/>
  <c r="F801" i="1" s="1"/>
  <c r="H784" i="2"/>
  <c r="G784" i="2" s="1"/>
  <c r="E750" i="1"/>
  <c r="F750" i="1" s="1"/>
  <c r="H742" i="2"/>
  <c r="G742" i="2" s="1"/>
  <c r="E711" i="1"/>
  <c r="F711" i="1" s="1"/>
  <c r="H597" i="2"/>
  <c r="G597" i="2" s="1"/>
  <c r="E575" i="1"/>
  <c r="F575" i="1" s="1"/>
  <c r="H583" i="2"/>
  <c r="G583" i="2" s="1"/>
  <c r="E561" i="1"/>
  <c r="F561" i="1" s="1"/>
  <c r="H815" i="2"/>
  <c r="G815" i="2" s="1"/>
  <c r="E781" i="1"/>
  <c r="F781" i="1" s="1"/>
  <c r="H764" i="2"/>
  <c r="G764" i="2" s="1"/>
  <c r="E730" i="1"/>
  <c r="F730" i="1" s="1"/>
  <c r="H733" i="2"/>
  <c r="G733" i="2" s="1"/>
  <c r="E702" i="1"/>
  <c r="F702" i="1" s="1"/>
  <c r="H708" i="2"/>
  <c r="G708" i="2" s="1"/>
  <c r="E678" i="1"/>
  <c r="F678" i="1" s="1"/>
  <c r="H653" i="2"/>
  <c r="G653" i="2" s="1"/>
  <c r="E625" i="1"/>
  <c r="F625" i="1" s="1"/>
  <c r="H627" i="2"/>
  <c r="G627" i="2" s="1"/>
  <c r="E602" i="1"/>
  <c r="F602" i="1" s="1"/>
  <c r="H483" i="2"/>
  <c r="G483" i="2" s="1"/>
  <c r="E462" i="1"/>
  <c r="F462" i="1" s="1"/>
  <c r="H827" i="2"/>
  <c r="G827" i="2" s="1"/>
  <c r="E793" i="1"/>
  <c r="F793" i="1" s="1"/>
  <c r="H806" i="2"/>
  <c r="G806" i="2" s="1"/>
  <c r="E772" i="1"/>
  <c r="F772" i="1" s="1"/>
  <c r="H767" i="2"/>
  <c r="G767" i="2" s="1"/>
  <c r="E733" i="1"/>
  <c r="F733" i="1" s="1"/>
  <c r="H750" i="2"/>
  <c r="G750" i="2" s="1"/>
  <c r="E718" i="1"/>
  <c r="F718" i="1" s="1"/>
  <c r="H705" i="2"/>
  <c r="G705" i="2" s="1"/>
  <c r="E675" i="1"/>
  <c r="F675" i="1" s="1"/>
  <c r="H633" i="2"/>
  <c r="G633" i="2" s="1"/>
  <c r="E608" i="1"/>
  <c r="F608" i="1" s="1"/>
  <c r="H277" i="2"/>
  <c r="G277" i="2" s="1"/>
  <c r="E267" i="1"/>
  <c r="F267" i="1" s="1"/>
  <c r="H259" i="2"/>
  <c r="G259" i="2" s="1"/>
  <c r="E248" i="1"/>
  <c r="F248" i="1" s="1"/>
  <c r="H630" i="2"/>
  <c r="G630" i="2" s="1"/>
  <c r="E605" i="1"/>
  <c r="F605" i="1" s="1"/>
  <c r="H545" i="2"/>
  <c r="G545" i="2" s="1"/>
  <c r="E523" i="1"/>
  <c r="F523" i="1" s="1"/>
  <c r="H486" i="2"/>
  <c r="G486" i="2" s="1"/>
  <c r="E465" i="1"/>
  <c r="F465" i="1" s="1"/>
  <c r="H443" i="2"/>
  <c r="G443" i="2" s="1"/>
  <c r="E423" i="1"/>
  <c r="F423" i="1" s="1"/>
  <c r="H398" i="2"/>
  <c r="G398" i="2" s="1"/>
  <c r="E383" i="1"/>
  <c r="F383" i="1" s="1"/>
  <c r="H336" i="2"/>
  <c r="G336" i="2" s="1"/>
  <c r="E323" i="1"/>
  <c r="F323" i="1" s="1"/>
  <c r="H554" i="2"/>
  <c r="G554" i="2" s="1"/>
  <c r="E532" i="1"/>
  <c r="F532" i="1" s="1"/>
  <c r="H826" i="2"/>
  <c r="G826" i="2" s="1"/>
  <c r="E792" i="1"/>
  <c r="F792" i="1" s="1"/>
  <c r="H800" i="2"/>
  <c r="G800" i="2" s="1"/>
  <c r="E766" i="1"/>
  <c r="F766" i="1" s="1"/>
  <c r="H778" i="2"/>
  <c r="G778" i="2" s="1"/>
  <c r="E744" i="1"/>
  <c r="F744" i="1" s="1"/>
  <c r="H741" i="2"/>
  <c r="G741" i="2" s="1"/>
  <c r="E710" i="1"/>
  <c r="F710" i="1" s="1"/>
  <c r="H727" i="2"/>
  <c r="G727" i="2" s="1"/>
  <c r="E696" i="1"/>
  <c r="F696" i="1" s="1"/>
  <c r="H699" i="2"/>
  <c r="G699" i="2" s="1"/>
  <c r="E669" i="1"/>
  <c r="F669" i="1" s="1"/>
  <c r="H679" i="2"/>
  <c r="G679" i="2" s="1"/>
  <c r="E649" i="1"/>
  <c r="F649" i="1" s="1"/>
  <c r="H646" i="2"/>
  <c r="G646" i="2" s="1"/>
  <c r="E620" i="1"/>
  <c r="F620" i="1" s="1"/>
  <c r="H632" i="2"/>
  <c r="G632" i="2" s="1"/>
  <c r="E607" i="1"/>
  <c r="F607" i="1" s="1"/>
  <c r="H614" i="2"/>
  <c r="G614" i="2" s="1"/>
  <c r="E589" i="1"/>
  <c r="F589" i="1" s="1"/>
  <c r="H594" i="2"/>
  <c r="G594" i="2" s="1"/>
  <c r="E572" i="1"/>
  <c r="F572" i="1" s="1"/>
  <c r="H589" i="2"/>
  <c r="G589" i="2" s="1"/>
  <c r="E567" i="1"/>
  <c r="F567" i="1" s="1"/>
  <c r="H582" i="2"/>
  <c r="G582" i="2" s="1"/>
  <c r="E560" i="1"/>
  <c r="F560" i="1" s="1"/>
  <c r="H837" i="2"/>
  <c r="G837" i="2" s="1"/>
  <c r="E803" i="1"/>
  <c r="F803" i="1" s="1"/>
  <c r="H814" i="2"/>
  <c r="G814" i="2" s="1"/>
  <c r="E780" i="1"/>
  <c r="F780" i="1" s="1"/>
  <c r="H787" i="2"/>
  <c r="G787" i="2" s="1"/>
  <c r="E753" i="1"/>
  <c r="F753" i="1" s="1"/>
  <c r="H755" i="2"/>
  <c r="G755" i="2" s="1"/>
  <c r="E723" i="1"/>
  <c r="F723" i="1" s="1"/>
  <c r="H725" i="2"/>
  <c r="G725" i="2" s="1"/>
  <c r="E694" i="1"/>
  <c r="F694" i="1" s="1"/>
  <c r="H700" i="2"/>
  <c r="G700" i="2" s="1"/>
  <c r="E670" i="1"/>
  <c r="F670" i="1" s="1"/>
  <c r="H680" i="2"/>
  <c r="G680" i="2" s="1"/>
  <c r="E650" i="1"/>
  <c r="F650" i="1" s="1"/>
  <c r="H651" i="2"/>
  <c r="G651" i="2" s="1"/>
  <c r="E624" i="1"/>
  <c r="F624" i="1" s="1"/>
  <c r="H624" i="2"/>
  <c r="G624" i="2" s="1"/>
  <c r="E599" i="1"/>
  <c r="F599" i="1" s="1"/>
  <c r="H573" i="2"/>
  <c r="G573" i="2" s="1"/>
  <c r="E551" i="1"/>
  <c r="F551" i="1" s="1"/>
  <c r="H843" i="2"/>
  <c r="G843" i="2" s="1"/>
  <c r="E808" i="1"/>
  <c r="F808" i="1" s="1"/>
  <c r="H820" i="2"/>
  <c r="G820" i="2" s="1"/>
  <c r="E786" i="1"/>
  <c r="F786" i="1" s="1"/>
  <c r="H802" i="2"/>
  <c r="G802" i="2" s="1"/>
  <c r="E768" i="1"/>
  <c r="F768" i="1" s="1"/>
  <c r="H783" i="2"/>
  <c r="G783" i="2" s="1"/>
  <c r="E749" i="1"/>
  <c r="F749" i="1" s="1"/>
  <c r="H766" i="2"/>
  <c r="G766" i="2" s="1"/>
  <c r="E732" i="1"/>
  <c r="F732" i="1" s="1"/>
  <c r="H744" i="2"/>
  <c r="G744" i="2" s="1"/>
  <c r="E713" i="1"/>
  <c r="F713" i="1" s="1"/>
  <c r="H716" i="2"/>
  <c r="G716" i="2" s="1"/>
  <c r="E685" i="1"/>
  <c r="F685" i="1" s="1"/>
  <c r="H696" i="2"/>
  <c r="G696" i="2" s="1"/>
  <c r="E666" i="1"/>
  <c r="F666" i="1" s="1"/>
  <c r="H667" i="2"/>
  <c r="G667" i="2" s="1"/>
  <c r="E639" i="1"/>
  <c r="F639" i="1" s="1"/>
  <c r="H631" i="2"/>
  <c r="G631" i="2" s="1"/>
  <c r="E606" i="1"/>
  <c r="F606" i="1" s="1"/>
  <c r="H293" i="2"/>
  <c r="G293" i="2" s="1"/>
  <c r="E283" i="1"/>
  <c r="F283" i="1" s="1"/>
  <c r="H275" i="2"/>
  <c r="G275" i="2" s="1"/>
  <c r="E265" i="1"/>
  <c r="F265" i="1" s="1"/>
  <c r="H253" i="2"/>
  <c r="G253" i="2" s="1"/>
  <c r="E242" i="1"/>
  <c r="F242" i="1" s="1"/>
  <c r="H216" i="2"/>
  <c r="G216" i="2" s="1"/>
  <c r="E210" i="1"/>
  <c r="F210" i="1" s="1"/>
  <c r="H565" i="2"/>
  <c r="G565" i="2" s="1"/>
  <c r="E543" i="1"/>
  <c r="F543" i="1" s="1"/>
  <c r="H543" i="2"/>
  <c r="G543" i="2" s="1"/>
  <c r="E521" i="1"/>
  <c r="F521" i="1" s="1"/>
  <c r="H513" i="2"/>
  <c r="G513" i="2" s="1"/>
  <c r="E492" i="1"/>
  <c r="F492" i="1" s="1"/>
  <c r="H472" i="2"/>
  <c r="G472" i="2" s="1"/>
  <c r="E451" i="1"/>
  <c r="F451" i="1" s="1"/>
  <c r="H436" i="2"/>
  <c r="G436" i="2" s="1"/>
  <c r="E417" i="1"/>
  <c r="F417" i="1" s="1"/>
  <c r="H414" i="2"/>
  <c r="G414" i="2" s="1"/>
  <c r="E398" i="1"/>
  <c r="F398" i="1" s="1"/>
  <c r="H392" i="2"/>
  <c r="G392" i="2" s="1"/>
  <c r="E377" i="1"/>
  <c r="F377" i="1" s="1"/>
  <c r="H368" i="2"/>
  <c r="G368" i="2" s="1"/>
  <c r="E354" i="1"/>
  <c r="F354" i="1" s="1"/>
  <c r="H354" i="2"/>
  <c r="G354" i="2" s="1"/>
  <c r="E340" i="1"/>
  <c r="F340" i="1" s="1"/>
  <c r="H273" i="2"/>
  <c r="G273" i="2" s="1"/>
  <c r="E263" i="1"/>
  <c r="F263" i="1" s="1"/>
  <c r="H686" i="2"/>
  <c r="G686" i="2" s="1"/>
  <c r="E656" i="1"/>
  <c r="F656" i="1" s="1"/>
  <c r="H541" i="2"/>
  <c r="G541" i="2" s="1"/>
  <c r="E519" i="1"/>
  <c r="F519" i="1" s="1"/>
  <c r="H481" i="2"/>
  <c r="G481" i="2" s="1"/>
  <c r="E460" i="1"/>
  <c r="F460" i="1" s="1"/>
  <c r="H465" i="2"/>
  <c r="G465" i="2" s="1"/>
  <c r="E444" i="1"/>
  <c r="F444" i="1" s="1"/>
  <c r="H442" i="2"/>
  <c r="G442" i="2" s="1"/>
  <c r="E422" i="1"/>
  <c r="F422" i="1" s="1"/>
  <c r="H423" i="2"/>
  <c r="G423" i="2" s="1"/>
  <c r="E405" i="1"/>
  <c r="F405" i="1" s="1"/>
  <c r="H406" i="2"/>
  <c r="G406" i="2" s="1"/>
  <c r="E390" i="1"/>
  <c r="F390" i="1" s="1"/>
  <c r="H382" i="2"/>
  <c r="G382" i="2" s="1"/>
  <c r="E368" i="1"/>
  <c r="F368" i="1" s="1"/>
  <c r="H346" i="2"/>
  <c r="G346" i="2" s="1"/>
  <c r="E332" i="1"/>
  <c r="F332" i="1" s="1"/>
  <c r="H291" i="2"/>
  <c r="G291" i="2" s="1"/>
  <c r="E281" i="1"/>
  <c r="F281" i="1" s="1"/>
  <c r="H267" i="2"/>
  <c r="G267" i="2" s="1"/>
  <c r="E256" i="1"/>
  <c r="F256" i="1" s="1"/>
  <c r="H244" i="2"/>
  <c r="G244" i="2" s="1"/>
  <c r="E234" i="1"/>
  <c r="F234" i="1" s="1"/>
  <c r="H192" i="2"/>
  <c r="G192" i="2" s="1"/>
  <c r="E187" i="1"/>
  <c r="F187" i="1" s="1"/>
  <c r="H174" i="2"/>
  <c r="G174" i="2" s="1"/>
  <c r="E169" i="1"/>
  <c r="F169" i="1" s="1"/>
  <c r="H576" i="2"/>
  <c r="G576" i="2" s="1"/>
  <c r="E554" i="1"/>
  <c r="F554" i="1" s="1"/>
  <c r="H564" i="2"/>
  <c r="G564" i="2" s="1"/>
  <c r="E542" i="1"/>
  <c r="F542" i="1" s="1"/>
  <c r="H552" i="2"/>
  <c r="G552" i="2" s="1"/>
  <c r="E530" i="1"/>
  <c r="F530" i="1" s="1"/>
  <c r="H497" i="2"/>
  <c r="G497" i="2" s="1"/>
  <c r="E476" i="1"/>
  <c r="F476" i="1" s="1"/>
  <c r="H468" i="2"/>
  <c r="G468" i="2" s="1"/>
  <c r="E447" i="1"/>
  <c r="F447" i="1" s="1"/>
  <c r="H438" i="2"/>
  <c r="G438" i="2" s="1"/>
  <c r="E418" i="1"/>
  <c r="F418" i="1" s="1"/>
  <c r="H419" i="2"/>
  <c r="G419" i="2" s="1"/>
  <c r="E402" i="1"/>
  <c r="F402" i="1" s="1"/>
  <c r="H379" i="2"/>
  <c r="G379" i="2" s="1"/>
  <c r="E365" i="1"/>
  <c r="F365" i="1" s="1"/>
  <c r="H356" i="2"/>
  <c r="G356" i="2" s="1"/>
  <c r="E342" i="1"/>
  <c r="F342" i="1" s="1"/>
  <c r="H328" i="2"/>
  <c r="G328" i="2" s="1"/>
  <c r="E316" i="1"/>
  <c r="F316" i="1" s="1"/>
  <c r="H310" i="2"/>
  <c r="G310" i="2" s="1"/>
  <c r="E299" i="1"/>
  <c r="F299" i="1" s="1"/>
  <c r="H287" i="2"/>
  <c r="G287" i="2" s="1"/>
  <c r="E277" i="1"/>
  <c r="F277" i="1" s="1"/>
  <c r="H240" i="2"/>
  <c r="G240" i="2" s="1"/>
  <c r="E231" i="1"/>
  <c r="F231" i="1" s="1"/>
  <c r="H204" i="2"/>
  <c r="G204" i="2" s="1"/>
  <c r="E199" i="1"/>
  <c r="F199" i="1" s="1"/>
  <c r="H147" i="2"/>
  <c r="G147" i="2" s="1"/>
  <c r="E143" i="1"/>
  <c r="F143" i="1" s="1"/>
  <c r="H102" i="2"/>
  <c r="G102" i="2" s="1"/>
  <c r="E100" i="1"/>
  <c r="F100" i="1" s="1"/>
  <c r="H79" i="2"/>
  <c r="G79" i="2" s="1"/>
  <c r="E77" i="1"/>
  <c r="F77" i="1" s="1"/>
  <c r="H57" i="2"/>
  <c r="G57" i="2" s="1"/>
  <c r="E55" i="1"/>
  <c r="F55" i="1" s="1"/>
  <c r="H203" i="2"/>
  <c r="G203" i="2" s="1"/>
  <c r="E198" i="1"/>
  <c r="F198" i="1" s="1"/>
  <c r="H148" i="2"/>
  <c r="G148" i="2" s="1"/>
  <c r="E144" i="1"/>
  <c r="F144" i="1" s="1"/>
  <c r="H123" i="2"/>
  <c r="G123" i="2" s="1"/>
  <c r="E121" i="1"/>
  <c r="F121" i="1" s="1"/>
  <c r="H107" i="2"/>
  <c r="G107" i="2" s="1"/>
  <c r="E105" i="1"/>
  <c r="F105" i="1" s="1"/>
  <c r="H85" i="2"/>
  <c r="G85" i="2" s="1"/>
  <c r="E83" i="1"/>
  <c r="F83" i="1" s="1"/>
  <c r="H66" i="2"/>
  <c r="G66" i="2" s="1"/>
  <c r="E63" i="1"/>
  <c r="F63" i="1" s="1"/>
  <c r="H218" i="2"/>
  <c r="G218" i="2" s="1"/>
  <c r="E212" i="1"/>
  <c r="F212" i="1" s="1"/>
  <c r="H197" i="2"/>
  <c r="G197" i="2" s="1"/>
  <c r="E192" i="1"/>
  <c r="F192" i="1" s="1"/>
  <c r="H113" i="2"/>
  <c r="G113" i="2" s="1"/>
  <c r="E111" i="1"/>
  <c r="F111" i="1" s="1"/>
  <c r="H94" i="2"/>
  <c r="G94" i="2" s="1"/>
  <c r="E92" i="1"/>
  <c r="F92" i="1" s="1"/>
  <c r="H71" i="2"/>
  <c r="G71" i="2" s="1"/>
  <c r="E69" i="1"/>
  <c r="F69" i="1" s="1"/>
  <c r="H39" i="2"/>
  <c r="G39" i="2" s="1"/>
  <c r="E39" i="1"/>
  <c r="F39" i="1" s="1"/>
  <c r="H701" i="2"/>
  <c r="G701" i="2" s="1"/>
  <c r="E671" i="1"/>
  <c r="F671" i="1" s="1"/>
  <c r="H775" i="2"/>
  <c r="G775" i="2" s="1"/>
  <c r="E741" i="1"/>
  <c r="F741" i="1" s="1"/>
  <c r="H719" i="2"/>
  <c r="G719" i="2" s="1"/>
  <c r="E688" i="1"/>
  <c r="F688" i="1" s="1"/>
  <c r="H673" i="2"/>
  <c r="G673" i="2" s="1"/>
  <c r="E643" i="1"/>
  <c r="F643" i="1" s="1"/>
  <c r="H629" i="2"/>
  <c r="G629" i="2" s="1"/>
  <c r="E604" i="1"/>
  <c r="F604" i="1" s="1"/>
  <c r="H593" i="2"/>
  <c r="G593" i="2" s="1"/>
  <c r="E571" i="1"/>
  <c r="F571" i="1" s="1"/>
  <c r="H581" i="2"/>
  <c r="G581" i="2" s="1"/>
  <c r="E559" i="1"/>
  <c r="F559" i="1" s="1"/>
  <c r="H831" i="2"/>
  <c r="G831" i="2" s="1"/>
  <c r="E797" i="1"/>
  <c r="F797" i="1" s="1"/>
  <c r="H780" i="2"/>
  <c r="G780" i="2" s="1"/>
  <c r="E746" i="1"/>
  <c r="F746" i="1" s="1"/>
  <c r="H717" i="2"/>
  <c r="G717" i="2" s="1"/>
  <c r="E686" i="1"/>
  <c r="F686" i="1" s="1"/>
  <c r="H697" i="2"/>
  <c r="G697" i="2" s="1"/>
  <c r="E667" i="1"/>
  <c r="F667" i="1" s="1"/>
  <c r="H648" i="2"/>
  <c r="G648" i="2" s="1"/>
  <c r="E622" i="1"/>
  <c r="F622" i="1" s="1"/>
  <c r="H556" i="2"/>
  <c r="G556" i="2" s="1"/>
  <c r="E534" i="1"/>
  <c r="F534" i="1" s="1"/>
  <c r="H834" i="2"/>
  <c r="G834" i="2" s="1"/>
  <c r="E800" i="1"/>
  <c r="F800" i="1" s="1"/>
  <c r="H817" i="2"/>
  <c r="G817" i="2" s="1"/>
  <c r="E783" i="1"/>
  <c r="F783" i="1" s="1"/>
  <c r="H799" i="2"/>
  <c r="G799" i="2" s="1"/>
  <c r="E765" i="1"/>
  <c r="F765" i="1" s="1"/>
  <c r="H776" i="2"/>
  <c r="G776" i="2" s="1"/>
  <c r="E742" i="1"/>
  <c r="F742" i="1" s="1"/>
  <c r="H736" i="2"/>
  <c r="G736" i="2" s="1"/>
  <c r="E705" i="1"/>
  <c r="F705" i="1" s="1"/>
  <c r="H713" i="2"/>
  <c r="G713" i="2" s="1"/>
  <c r="E682" i="1"/>
  <c r="F682" i="1" s="1"/>
  <c r="H688" i="2"/>
  <c r="G688" i="2" s="1"/>
  <c r="E658" i="1"/>
  <c r="F658" i="1" s="1"/>
  <c r="H652" i="2"/>
  <c r="G652" i="2" s="1"/>
  <c r="E626" i="1"/>
  <c r="F626" i="1" s="1"/>
  <c r="H320" i="2"/>
  <c r="G320" i="2" s="1"/>
  <c r="E309" i="1"/>
  <c r="F309" i="1" s="1"/>
  <c r="H268" i="2"/>
  <c r="G268" i="2" s="1"/>
  <c r="E258" i="1"/>
  <c r="F258" i="1" s="1"/>
  <c r="H202" i="2"/>
  <c r="G202" i="2" s="1"/>
  <c r="E197" i="1"/>
  <c r="F197" i="1" s="1"/>
  <c r="H563" i="2"/>
  <c r="G563" i="2" s="1"/>
  <c r="E541" i="1"/>
  <c r="F541" i="1" s="1"/>
  <c r="H533" i="2"/>
  <c r="G533" i="2" s="1"/>
  <c r="E511" i="1"/>
  <c r="F511" i="1" s="1"/>
  <c r="H511" i="2"/>
  <c r="G511" i="2" s="1"/>
  <c r="E490" i="1"/>
  <c r="F490" i="1" s="1"/>
  <c r="H455" i="2"/>
  <c r="G455" i="2" s="1"/>
  <c r="E435" i="1"/>
  <c r="F435" i="1" s="1"/>
  <c r="H430" i="2"/>
  <c r="G430" i="2" s="1"/>
  <c r="E412" i="1"/>
  <c r="F412" i="1" s="1"/>
  <c r="H411" i="2"/>
  <c r="G411" i="2" s="1"/>
  <c r="E395" i="1"/>
  <c r="F395" i="1" s="1"/>
  <c r="H386" i="2"/>
  <c r="G386" i="2" s="1"/>
  <c r="E372" i="1"/>
  <c r="F372" i="1" s="1"/>
  <c r="H363" i="2"/>
  <c r="G363" i="2" s="1"/>
  <c r="E349" i="1"/>
  <c r="F349" i="1" s="1"/>
  <c r="H271" i="2"/>
  <c r="G271" i="2" s="1"/>
  <c r="E261" i="1"/>
  <c r="F261" i="1" s="1"/>
  <c r="H526" i="2"/>
  <c r="G526" i="2" s="1"/>
  <c r="E505" i="1"/>
  <c r="F505" i="1" s="1"/>
  <c r="H475" i="2"/>
  <c r="G475" i="2" s="1"/>
  <c r="E454" i="1"/>
  <c r="F454" i="1" s="1"/>
  <c r="H459" i="2"/>
  <c r="G459" i="2" s="1"/>
  <c r="E438" i="1"/>
  <c r="F438" i="1" s="1"/>
  <c r="H439" i="2"/>
  <c r="G439" i="2" s="1"/>
  <c r="E419" i="1"/>
  <c r="F419" i="1" s="1"/>
  <c r="H416" i="2"/>
  <c r="G416" i="2" s="1"/>
  <c r="E400" i="1"/>
  <c r="F400" i="1" s="1"/>
  <c r="H376" i="2"/>
  <c r="G376" i="2" s="1"/>
  <c r="E362" i="1"/>
  <c r="F362" i="1" s="1"/>
  <c r="H329" i="2"/>
  <c r="G329" i="2" s="1"/>
  <c r="E317" i="1"/>
  <c r="F317" i="1" s="1"/>
  <c r="H285" i="2"/>
  <c r="G285" i="2" s="1"/>
  <c r="E275" i="1"/>
  <c r="F275" i="1" s="1"/>
  <c r="H261" i="2"/>
  <c r="G261" i="2" s="1"/>
  <c r="E250" i="1"/>
  <c r="F250" i="1" s="1"/>
  <c r="H186" i="2"/>
  <c r="G186" i="2" s="1"/>
  <c r="E181" i="1"/>
  <c r="F181" i="1" s="1"/>
  <c r="H172" i="2"/>
  <c r="G172" i="2" s="1"/>
  <c r="E167" i="1"/>
  <c r="F167" i="1" s="1"/>
  <c r="H574" i="2"/>
  <c r="G574" i="2" s="1"/>
  <c r="E552" i="1"/>
  <c r="F552" i="1" s="1"/>
  <c r="H560" i="2"/>
  <c r="G560" i="2" s="1"/>
  <c r="E538" i="1"/>
  <c r="F538" i="1" s="1"/>
  <c r="H534" i="2"/>
  <c r="G534" i="2" s="1"/>
  <c r="E512" i="1"/>
  <c r="F512" i="1" s="1"/>
  <c r="H517" i="2"/>
  <c r="G517" i="2" s="1"/>
  <c r="E496" i="1"/>
  <c r="F496" i="1" s="1"/>
  <c r="H495" i="2"/>
  <c r="G495" i="2" s="1"/>
  <c r="E474" i="1"/>
  <c r="F474" i="1" s="1"/>
  <c r="H454" i="2"/>
  <c r="G454" i="2" s="1"/>
  <c r="E434" i="1"/>
  <c r="F434" i="1" s="1"/>
  <c r="H412" i="2"/>
  <c r="G412" i="2" s="1"/>
  <c r="E396" i="1"/>
  <c r="F396" i="1" s="1"/>
  <c r="H366" i="2"/>
  <c r="G366" i="2" s="1"/>
  <c r="E352" i="1"/>
  <c r="F352" i="1" s="1"/>
  <c r="H345" i="2"/>
  <c r="G345" i="2" s="1"/>
  <c r="E331" i="1"/>
  <c r="F331" i="1" s="1"/>
  <c r="H327" i="2"/>
  <c r="G327" i="2" s="1"/>
  <c r="E315" i="1"/>
  <c r="F315" i="1" s="1"/>
  <c r="H301" i="2"/>
  <c r="G301" i="2" s="1"/>
  <c r="E290" i="1"/>
  <c r="F290" i="1" s="1"/>
  <c r="H281" i="2"/>
  <c r="G281" i="2" s="1"/>
  <c r="E271" i="1"/>
  <c r="F271" i="1" s="1"/>
  <c r="H234" i="2"/>
  <c r="G234" i="2" s="1"/>
  <c r="E226" i="1"/>
  <c r="F226" i="1" s="1"/>
  <c r="H188" i="2"/>
  <c r="G188" i="2" s="1"/>
  <c r="E183" i="1"/>
  <c r="F183" i="1" s="1"/>
  <c r="H118" i="2"/>
  <c r="G118" i="2" s="1"/>
  <c r="E116" i="1"/>
  <c r="F116" i="1" s="1"/>
  <c r="H95" i="2"/>
  <c r="G95" i="2" s="1"/>
  <c r="E93" i="1"/>
  <c r="F93" i="1" s="1"/>
  <c r="H73" i="2"/>
  <c r="G73" i="2" s="1"/>
  <c r="E71" i="1"/>
  <c r="F71" i="1" s="1"/>
  <c r="H189" i="2"/>
  <c r="G189" i="2" s="1"/>
  <c r="E184" i="1"/>
  <c r="F184" i="1" s="1"/>
  <c r="H121" i="2"/>
  <c r="G121" i="2" s="1"/>
  <c r="E119" i="1"/>
  <c r="F119" i="1" s="1"/>
  <c r="H101" i="2"/>
  <c r="G101" i="2" s="1"/>
  <c r="E99" i="1"/>
  <c r="F99" i="1" s="1"/>
  <c r="H82" i="2"/>
  <c r="G82" i="2" s="1"/>
  <c r="E80" i="1"/>
  <c r="F80" i="1" s="1"/>
  <c r="H59" i="2"/>
  <c r="G59" i="2" s="1"/>
  <c r="E57" i="1"/>
  <c r="F57" i="1" s="1"/>
  <c r="H217" i="2"/>
  <c r="G217" i="2" s="1"/>
  <c r="E211" i="1"/>
  <c r="F211" i="1" s="1"/>
  <c r="H182" i="2"/>
  <c r="G182" i="2" s="1"/>
  <c r="E174" i="1"/>
  <c r="F174" i="1" s="1"/>
  <c r="H110" i="2"/>
  <c r="G110" i="2" s="1"/>
  <c r="E108" i="1"/>
  <c r="F108" i="1" s="1"/>
  <c r="H87" i="2"/>
  <c r="G87" i="2" s="1"/>
  <c r="E85" i="1"/>
  <c r="F85" i="1" s="1"/>
  <c r="H65" i="2"/>
  <c r="G65" i="2" s="1"/>
  <c r="E66" i="1"/>
  <c r="F66" i="1" s="1"/>
  <c r="H681" i="2"/>
  <c r="G681" i="2" s="1"/>
  <c r="E651" i="1"/>
  <c r="F651" i="1" s="1"/>
  <c r="H825" i="2"/>
  <c r="G825" i="2" s="1"/>
  <c r="E791" i="1"/>
  <c r="F791" i="1" s="1"/>
  <c r="H794" i="2"/>
  <c r="G794" i="2" s="1"/>
  <c r="E760" i="1"/>
  <c r="F760" i="1" s="1"/>
  <c r="H758" i="2"/>
  <c r="G758" i="2" s="1"/>
  <c r="E726" i="1"/>
  <c r="F726" i="1" s="1"/>
  <c r="H738" i="2"/>
  <c r="G738" i="2" s="1"/>
  <c r="E707" i="1"/>
  <c r="F707" i="1" s="1"/>
  <c r="H692" i="2"/>
  <c r="G692" i="2" s="1"/>
  <c r="E662" i="1"/>
  <c r="F662" i="1" s="1"/>
  <c r="H638" i="2"/>
  <c r="G638" i="2" s="1"/>
  <c r="E613" i="1"/>
  <c r="F613" i="1" s="1"/>
  <c r="H586" i="2"/>
  <c r="G586" i="2" s="1"/>
  <c r="E564" i="1"/>
  <c r="F564" i="1" s="1"/>
  <c r="H803" i="2"/>
  <c r="G803" i="2" s="1"/>
  <c r="E769" i="1"/>
  <c r="F769" i="1" s="1"/>
  <c r="H754" i="2"/>
  <c r="G754" i="2" s="1"/>
  <c r="E722" i="1"/>
  <c r="F722" i="1" s="1"/>
  <c r="H611" i="2"/>
  <c r="G611" i="2" s="1"/>
  <c r="E586" i="1"/>
  <c r="F586" i="1" s="1"/>
  <c r="H284" i="2"/>
  <c r="G284" i="2" s="1"/>
  <c r="E274" i="1"/>
  <c r="F274" i="1" s="1"/>
  <c r="H841" i="2"/>
  <c r="G841" i="2" s="1"/>
  <c r="E806" i="1"/>
  <c r="F806" i="1" s="1"/>
  <c r="H822" i="2"/>
  <c r="G822" i="2" s="1"/>
  <c r="E788" i="1"/>
  <c r="F788" i="1" s="1"/>
  <c r="H791" i="2"/>
  <c r="G791" i="2" s="1"/>
  <c r="E757" i="1"/>
  <c r="F757" i="1" s="1"/>
  <c r="H774" i="2"/>
  <c r="G774" i="2" s="1"/>
  <c r="E740" i="1"/>
  <c r="F740" i="1" s="1"/>
  <c r="H752" i="2"/>
  <c r="G752" i="2" s="1"/>
  <c r="E720" i="1"/>
  <c r="F720" i="1" s="1"/>
  <c r="H737" i="2"/>
  <c r="G737" i="2" s="1"/>
  <c r="E706" i="1"/>
  <c r="F706" i="1" s="1"/>
  <c r="H684" i="2"/>
  <c r="G684" i="2" s="1"/>
  <c r="E654" i="1"/>
  <c r="F654" i="1" s="1"/>
  <c r="H664" i="2"/>
  <c r="G664" i="2" s="1"/>
  <c r="E636" i="1"/>
  <c r="F636" i="1" s="1"/>
  <c r="H637" i="2"/>
  <c r="G637" i="2" s="1"/>
  <c r="E612" i="1"/>
  <c r="F612" i="1" s="1"/>
  <c r="H621" i="2"/>
  <c r="G621" i="2" s="1"/>
  <c r="E596" i="1"/>
  <c r="F596" i="1" s="1"/>
  <c r="H598" i="2"/>
  <c r="G598" i="2" s="1"/>
  <c r="E576" i="1"/>
  <c r="F576" i="1" s="1"/>
  <c r="H591" i="2"/>
  <c r="G591" i="2" s="1"/>
  <c r="E569" i="1"/>
  <c r="F569" i="1" s="1"/>
  <c r="H585" i="2"/>
  <c r="G585" i="2" s="1"/>
  <c r="E563" i="1"/>
  <c r="F563" i="1" s="1"/>
  <c r="H579" i="2"/>
  <c r="G579" i="2" s="1"/>
  <c r="E557" i="1"/>
  <c r="F557" i="1" s="1"/>
  <c r="H847" i="2"/>
  <c r="G847" i="2" s="1"/>
  <c r="E812" i="1"/>
  <c r="F812" i="1" s="1"/>
  <c r="H818" i="2"/>
  <c r="G818" i="2" s="1"/>
  <c r="E784" i="1"/>
  <c r="F784" i="1" s="1"/>
  <c r="H796" i="2"/>
  <c r="G796" i="2" s="1"/>
  <c r="E762" i="1"/>
  <c r="F762" i="1" s="1"/>
  <c r="H771" i="2"/>
  <c r="G771" i="2" s="1"/>
  <c r="E737" i="1"/>
  <c r="F737" i="1" s="1"/>
  <c r="H715" i="2"/>
  <c r="G715" i="2" s="1"/>
  <c r="E684" i="1"/>
  <c r="F684" i="1" s="1"/>
  <c r="H695" i="2"/>
  <c r="E665" i="1"/>
  <c r="F665" i="1" s="1"/>
  <c r="H661" i="2"/>
  <c r="G661" i="2" s="1"/>
  <c r="E633" i="1"/>
  <c r="F633" i="1" s="1"/>
  <c r="H643" i="2"/>
  <c r="G643" i="2" s="1"/>
  <c r="E617" i="1"/>
  <c r="F617" i="1" s="1"/>
  <c r="H608" i="2"/>
  <c r="G608" i="2" s="1"/>
  <c r="E583" i="1"/>
  <c r="F583" i="1" s="1"/>
  <c r="H548" i="2"/>
  <c r="G548" i="2" s="1"/>
  <c r="E526" i="1"/>
  <c r="F526" i="1" s="1"/>
  <c r="H833" i="2"/>
  <c r="G833" i="2" s="1"/>
  <c r="E799" i="1"/>
  <c r="F799" i="1" s="1"/>
  <c r="H811" i="2"/>
  <c r="G811" i="2" s="1"/>
  <c r="E777" i="1"/>
  <c r="F777" i="1" s="1"/>
  <c r="H792" i="2"/>
  <c r="G792" i="2" s="1"/>
  <c r="E758" i="1"/>
  <c r="F758" i="1" s="1"/>
  <c r="H770" i="2"/>
  <c r="G770" i="2" s="1"/>
  <c r="E736" i="1"/>
  <c r="F736" i="1" s="1"/>
  <c r="H751" i="2"/>
  <c r="G751" i="2" s="1"/>
  <c r="E719" i="1"/>
  <c r="F719" i="1" s="1"/>
  <c r="H731" i="2"/>
  <c r="G731" i="2" s="1"/>
  <c r="E700" i="1"/>
  <c r="F700" i="1" s="1"/>
  <c r="H711" i="2"/>
  <c r="G711" i="2" s="1"/>
  <c r="E680" i="1"/>
  <c r="F680" i="1" s="1"/>
  <c r="H677" i="2"/>
  <c r="G677" i="2" s="1"/>
  <c r="E647" i="1"/>
  <c r="F647" i="1" s="1"/>
  <c r="H304" i="2"/>
  <c r="G304" i="2" s="1"/>
  <c r="E293" i="1"/>
  <c r="F293" i="1" s="1"/>
  <c r="H283" i="2"/>
  <c r="G283" i="2" s="1"/>
  <c r="E273" i="1"/>
  <c r="F273" i="1" s="1"/>
  <c r="H260" i="2"/>
  <c r="G260" i="2" s="1"/>
  <c r="E249" i="1"/>
  <c r="F249" i="1" s="1"/>
  <c r="H242" i="2"/>
  <c r="G242" i="2" s="1"/>
  <c r="E233" i="1"/>
  <c r="F233" i="1" s="1"/>
  <c r="H196" i="2"/>
  <c r="G196" i="2" s="1"/>
  <c r="E191" i="1"/>
  <c r="F191" i="1" s="1"/>
  <c r="H547" i="2"/>
  <c r="G547" i="2" s="1"/>
  <c r="E525" i="1"/>
  <c r="F525" i="1" s="1"/>
  <c r="H518" i="2"/>
  <c r="G518" i="2" s="1"/>
  <c r="E497" i="1"/>
  <c r="F497" i="1" s="1"/>
  <c r="H501" i="2"/>
  <c r="G501" i="2" s="1"/>
  <c r="E480" i="1"/>
  <c r="F480" i="1" s="1"/>
  <c r="H446" i="2"/>
  <c r="G446" i="2" s="1"/>
  <c r="E426" i="1"/>
  <c r="F426" i="1" s="1"/>
  <c r="H427" i="2"/>
  <c r="G427" i="2" s="1"/>
  <c r="E409" i="1"/>
  <c r="F409" i="1" s="1"/>
  <c r="H404" i="2"/>
  <c r="G404" i="2" s="1"/>
  <c r="E388" i="1"/>
  <c r="F388" i="1" s="1"/>
  <c r="H380" i="2"/>
  <c r="G380" i="2" s="1"/>
  <c r="E366" i="1"/>
  <c r="F366" i="1" s="1"/>
  <c r="H362" i="2"/>
  <c r="G362" i="2" s="1"/>
  <c r="E348" i="1"/>
  <c r="F348" i="1" s="1"/>
  <c r="H337" i="2"/>
  <c r="G337" i="2" s="1"/>
  <c r="E324" i="1"/>
  <c r="F324" i="1" s="1"/>
  <c r="H265" i="2"/>
  <c r="G265" i="2" s="1"/>
  <c r="E254" i="1"/>
  <c r="F254" i="1" s="1"/>
  <c r="H577" i="2"/>
  <c r="G577" i="2" s="1"/>
  <c r="E555" i="1"/>
  <c r="F555" i="1" s="1"/>
  <c r="H509" i="2"/>
  <c r="G509" i="2" s="1"/>
  <c r="E488" i="1"/>
  <c r="F488" i="1" s="1"/>
  <c r="H469" i="2"/>
  <c r="G469" i="2" s="1"/>
  <c r="E448" i="1"/>
  <c r="F448" i="1" s="1"/>
  <c r="H452" i="2"/>
  <c r="G452" i="2" s="1"/>
  <c r="E432" i="1"/>
  <c r="F432" i="1" s="1"/>
  <c r="H432" i="2"/>
  <c r="G432" i="2" s="1"/>
  <c r="E414" i="1"/>
  <c r="F414" i="1" s="1"/>
  <c r="H410" i="2"/>
  <c r="G410" i="2" s="1"/>
  <c r="E394" i="1"/>
  <c r="F394" i="1" s="1"/>
  <c r="H395" i="2"/>
  <c r="G395" i="2" s="1"/>
  <c r="E380" i="1"/>
  <c r="F380" i="1" s="1"/>
  <c r="H370" i="2"/>
  <c r="G370" i="2" s="1"/>
  <c r="E356" i="1"/>
  <c r="F356" i="1" s="1"/>
  <c r="H312" i="2"/>
  <c r="G312" i="2" s="1"/>
  <c r="E301" i="1"/>
  <c r="F301" i="1" s="1"/>
  <c r="H272" i="2"/>
  <c r="G272" i="2" s="1"/>
  <c r="E262" i="1"/>
  <c r="F262" i="1" s="1"/>
  <c r="H252" i="2"/>
  <c r="G252" i="2" s="1"/>
  <c r="E241" i="1"/>
  <c r="F241" i="1" s="1"/>
  <c r="H214" i="2"/>
  <c r="G214" i="2" s="1"/>
  <c r="E208" i="1"/>
  <c r="F208" i="1" s="1"/>
  <c r="H180" i="2"/>
  <c r="G180" i="2" s="1"/>
  <c r="E176" i="1"/>
  <c r="F176" i="1" s="1"/>
  <c r="H166" i="2"/>
  <c r="G166" i="2" s="1"/>
  <c r="E161" i="1"/>
  <c r="F161" i="1" s="1"/>
  <c r="H570" i="2"/>
  <c r="G570" i="2" s="1"/>
  <c r="E548" i="1"/>
  <c r="F548" i="1" s="1"/>
  <c r="H558" i="2"/>
  <c r="G558" i="2" s="1"/>
  <c r="E536" i="1"/>
  <c r="F536" i="1" s="1"/>
  <c r="H532" i="2"/>
  <c r="G532" i="2" s="1"/>
  <c r="E510" i="1"/>
  <c r="F510" i="1" s="1"/>
  <c r="H502" i="2"/>
  <c r="G502" i="2" s="1"/>
  <c r="E481" i="1"/>
  <c r="F481" i="1" s="1"/>
  <c r="H485" i="2"/>
  <c r="G485" i="2" s="1"/>
  <c r="E464" i="1"/>
  <c r="F464" i="1" s="1"/>
  <c r="H451" i="2"/>
  <c r="G451" i="2" s="1"/>
  <c r="E431" i="1"/>
  <c r="F431" i="1" s="1"/>
  <c r="H428" i="2"/>
  <c r="G428" i="2" s="1"/>
  <c r="E410" i="1"/>
  <c r="F410" i="1" s="1"/>
  <c r="H403" i="2"/>
  <c r="G403" i="2" s="1"/>
  <c r="E387" i="1"/>
  <c r="F387" i="1" s="1"/>
  <c r="H364" i="2"/>
  <c r="G364" i="2" s="1"/>
  <c r="E350" i="1"/>
  <c r="F350" i="1" s="1"/>
  <c r="H344" i="2"/>
  <c r="G344" i="2" s="1"/>
  <c r="E330" i="1"/>
  <c r="F330" i="1" s="1"/>
  <c r="H317" i="2"/>
  <c r="G317" i="2" s="1"/>
  <c r="E306" i="1"/>
  <c r="F306" i="1" s="1"/>
  <c r="H299" i="2"/>
  <c r="G299" i="2" s="1"/>
  <c r="E288" i="1"/>
  <c r="F288" i="1" s="1"/>
  <c r="H257" i="2"/>
  <c r="G257" i="2" s="1"/>
  <c r="E246" i="1"/>
  <c r="F246" i="1" s="1"/>
  <c r="H178" i="2"/>
  <c r="G178" i="2" s="1"/>
  <c r="E173" i="1"/>
  <c r="F173" i="1" s="1"/>
  <c r="H111" i="2"/>
  <c r="G111" i="2" s="1"/>
  <c r="E109" i="1"/>
  <c r="F109" i="1" s="1"/>
  <c r="H89" i="2"/>
  <c r="G89" i="2" s="1"/>
  <c r="E87" i="1"/>
  <c r="F87" i="1" s="1"/>
  <c r="H70" i="2"/>
  <c r="G70" i="2" s="1"/>
  <c r="E68" i="1"/>
  <c r="F68" i="1" s="1"/>
  <c r="H223" i="2"/>
  <c r="G223" i="2" s="1"/>
  <c r="E217" i="1"/>
  <c r="F217" i="1" s="1"/>
  <c r="H168" i="2"/>
  <c r="G168" i="2" s="1"/>
  <c r="E163" i="1"/>
  <c r="F163" i="1" s="1"/>
  <c r="H132" i="2"/>
  <c r="G132" i="2" s="1"/>
  <c r="E130" i="1"/>
  <c r="F130" i="1" s="1"/>
  <c r="H117" i="2"/>
  <c r="G117" i="2" s="1"/>
  <c r="E115" i="1"/>
  <c r="F115" i="1" s="1"/>
  <c r="H98" i="2"/>
  <c r="G98" i="2" s="1"/>
  <c r="E96" i="1"/>
  <c r="F96" i="1" s="1"/>
  <c r="H75" i="2"/>
  <c r="G75" i="2" s="1"/>
  <c r="E73" i="1"/>
  <c r="F73" i="1" s="1"/>
  <c r="H43" i="2"/>
  <c r="G43" i="2" s="1"/>
  <c r="E43" i="1"/>
  <c r="F43" i="1" s="1"/>
  <c r="H208" i="2"/>
  <c r="G208" i="2" s="1"/>
  <c r="E202" i="1"/>
  <c r="F202" i="1" s="1"/>
  <c r="H162" i="2"/>
  <c r="G162" i="2" s="1"/>
  <c r="E157" i="1"/>
  <c r="F157" i="1" s="1"/>
  <c r="H103" i="2"/>
  <c r="G103" i="2" s="1"/>
  <c r="E101" i="1"/>
  <c r="F101" i="1" s="1"/>
  <c r="H81" i="2"/>
  <c r="G81" i="2" s="1"/>
  <c r="E79" i="1"/>
  <c r="F79" i="1" s="1"/>
  <c r="H62" i="2"/>
  <c r="G62" i="2" s="1"/>
  <c r="E60" i="1"/>
  <c r="F60" i="1" s="1"/>
  <c r="H647" i="2"/>
  <c r="G647" i="2" s="1"/>
  <c r="E621" i="1"/>
  <c r="F621" i="1" s="1"/>
  <c r="H584" i="2"/>
  <c r="G584" i="2" s="1"/>
  <c r="E562" i="1"/>
  <c r="F562" i="1" s="1"/>
  <c r="H596" i="2"/>
  <c r="G596" i="2" s="1"/>
  <c r="E574" i="1"/>
  <c r="F574" i="1" s="1"/>
  <c r="H739" i="2"/>
  <c r="G739" i="2" s="1"/>
  <c r="E708" i="1"/>
  <c r="F708" i="1" s="1"/>
  <c r="H655" i="2"/>
  <c r="G655" i="2" s="1"/>
  <c r="E628" i="1"/>
  <c r="F628" i="1" s="1"/>
  <c r="H691" i="2"/>
  <c r="G691" i="2" s="1"/>
  <c r="E661" i="1"/>
  <c r="F661" i="1" s="1"/>
  <c r="H628" i="2"/>
  <c r="G628" i="2" s="1"/>
  <c r="E603" i="1"/>
  <c r="F603" i="1" s="1"/>
  <c r="H612" i="2"/>
  <c r="G612" i="2" s="1"/>
  <c r="E587" i="1"/>
  <c r="F587" i="1" s="1"/>
  <c r="H592" i="2"/>
  <c r="G592" i="2" s="1"/>
  <c r="E570" i="1"/>
  <c r="F570" i="1" s="1"/>
  <c r="H595" i="2"/>
  <c r="G595" i="2" s="1"/>
  <c r="E573" i="1"/>
  <c r="F573" i="1" s="1"/>
  <c r="H599" i="2"/>
  <c r="G599" i="2" s="1"/>
  <c r="E577" i="1"/>
  <c r="F577" i="1" s="1"/>
  <c r="H551" i="2"/>
  <c r="G551" i="2" s="1"/>
  <c r="E529" i="1"/>
  <c r="F529" i="1" s="1"/>
  <c r="H528" i="2"/>
  <c r="G528" i="2" s="1"/>
  <c r="E506" i="1"/>
  <c r="F506" i="1" s="1"/>
  <c r="H496" i="2"/>
  <c r="G496" i="2" s="1"/>
  <c r="E475" i="1"/>
  <c r="F475" i="1" s="1"/>
  <c r="H546" i="2"/>
  <c r="G546" i="2" s="1"/>
  <c r="E524" i="1"/>
  <c r="F524" i="1" s="1"/>
  <c r="H514" i="2"/>
  <c r="G514" i="2" s="1"/>
  <c r="E493" i="1"/>
  <c r="F493" i="1" s="1"/>
  <c r="H482" i="2"/>
  <c r="G482" i="2" s="1"/>
  <c r="E461" i="1"/>
  <c r="F461" i="1" s="1"/>
  <c r="H462" i="2"/>
  <c r="G462" i="2" s="1"/>
  <c r="E441" i="1"/>
  <c r="F441" i="1" s="1"/>
  <c r="H351" i="2"/>
  <c r="G351" i="2" s="1"/>
  <c r="E337" i="1"/>
  <c r="F337" i="1" s="1"/>
  <c r="H378" i="2"/>
  <c r="G378" i="2" s="1"/>
  <c r="E364" i="1"/>
  <c r="F364" i="1" s="1"/>
  <c r="H342" i="2"/>
  <c r="G342" i="2" s="1"/>
  <c r="E329" i="1"/>
  <c r="F329" i="1" s="1"/>
  <c r="H324" i="2"/>
  <c r="G324" i="2" s="1"/>
  <c r="E313" i="1"/>
  <c r="F313" i="1" s="1"/>
  <c r="H308" i="2"/>
  <c r="G308" i="2" s="1"/>
  <c r="E297" i="1"/>
  <c r="F297" i="1" s="1"/>
  <c r="H211" i="2"/>
  <c r="G211" i="2" s="1"/>
  <c r="E205" i="1"/>
  <c r="F205" i="1" s="1"/>
  <c r="H156" i="2"/>
  <c r="G156" i="2" s="1"/>
  <c r="E151" i="1"/>
  <c r="F151" i="1" s="1"/>
  <c r="H231" i="2"/>
  <c r="G231" i="2" s="1"/>
  <c r="E224" i="1"/>
  <c r="F224" i="1" s="1"/>
  <c r="H167" i="2"/>
  <c r="G167" i="2" s="1"/>
  <c r="E162" i="1"/>
  <c r="F162" i="1" s="1"/>
  <c r="H134" i="2"/>
  <c r="G134" i="2" s="1"/>
  <c r="E132" i="1"/>
  <c r="F132" i="1" s="1"/>
  <c r="H160" i="2"/>
  <c r="G160" i="2" s="1"/>
  <c r="E155" i="1"/>
  <c r="F155" i="1" s="1"/>
  <c r="H129" i="2"/>
  <c r="G129" i="2" s="1"/>
  <c r="E127" i="1"/>
  <c r="F127" i="1" s="1"/>
  <c r="H29" i="2"/>
  <c r="G29" i="2" s="1"/>
  <c r="E29" i="1"/>
  <c r="F29" i="1" s="1"/>
  <c r="H13" i="2"/>
  <c r="G13" i="2" s="1"/>
  <c r="E13" i="1"/>
  <c r="F13" i="1" s="1"/>
  <c r="E52" i="1"/>
  <c r="F52" i="1" s="1"/>
  <c r="H53" i="2"/>
  <c r="G53" i="2" s="1"/>
  <c r="E37" i="1"/>
  <c r="F37" i="1" s="1"/>
  <c r="H37" i="2"/>
  <c r="G37" i="2" s="1"/>
  <c r="H17" i="2"/>
  <c r="G17" i="2" s="1"/>
  <c r="E17" i="1"/>
  <c r="F17" i="1" s="1"/>
  <c r="H54" i="2"/>
  <c r="G54" i="2" s="1"/>
  <c r="E53" i="1"/>
  <c r="F53" i="1" s="1"/>
  <c r="H675" i="2"/>
  <c r="G675" i="2" s="1"/>
  <c r="E645" i="1"/>
  <c r="F645" i="1" s="1"/>
  <c r="H549" i="2"/>
  <c r="G549" i="2" s="1"/>
  <c r="E527" i="1"/>
  <c r="F527" i="1" s="1"/>
  <c r="H538" i="2"/>
  <c r="G538" i="2" s="1"/>
  <c r="E516" i="1"/>
  <c r="F516" i="1" s="1"/>
  <c r="H297" i="2"/>
  <c r="G297" i="2" s="1"/>
  <c r="E286" i="1"/>
  <c r="F286" i="1" s="1"/>
  <c r="H371" i="2"/>
  <c r="G371" i="2" s="1"/>
  <c r="E357" i="1"/>
  <c r="F357" i="1" s="1"/>
  <c r="H339" i="2"/>
  <c r="G339" i="2" s="1"/>
  <c r="E326" i="1"/>
  <c r="F326" i="1" s="1"/>
  <c r="H321" i="2"/>
  <c r="G321" i="2" s="1"/>
  <c r="E310" i="1"/>
  <c r="F310" i="1" s="1"/>
  <c r="H305" i="2"/>
  <c r="G305" i="2" s="1"/>
  <c r="E294" i="1"/>
  <c r="F294" i="1" s="1"/>
  <c r="H195" i="2"/>
  <c r="G195" i="2" s="1"/>
  <c r="E190" i="1"/>
  <c r="F190" i="1" s="1"/>
  <c r="H150" i="2"/>
  <c r="G150" i="2" s="1"/>
  <c r="E146" i="1"/>
  <c r="F146" i="1" s="1"/>
  <c r="H215" i="2"/>
  <c r="G215" i="2" s="1"/>
  <c r="E209" i="1"/>
  <c r="F209" i="1" s="1"/>
  <c r="H159" i="2"/>
  <c r="G159" i="2" s="1"/>
  <c r="E154" i="1"/>
  <c r="F154" i="1" s="1"/>
  <c r="H235" i="2"/>
  <c r="G235" i="2" s="1"/>
  <c r="E227" i="1"/>
  <c r="F227" i="1" s="1"/>
  <c r="H154" i="2"/>
  <c r="G154" i="2" s="1"/>
  <c r="E149" i="1"/>
  <c r="F149" i="1" s="1"/>
  <c r="H125" i="2"/>
  <c r="G125" i="2" s="1"/>
  <c r="E123" i="1"/>
  <c r="F123" i="1" s="1"/>
  <c r="H26" i="2"/>
  <c r="G26" i="2" s="1"/>
  <c r="E26" i="1"/>
  <c r="F26" i="1" s="1"/>
  <c r="H10" i="2"/>
  <c r="G10" i="2" s="1"/>
  <c r="E10" i="1"/>
  <c r="F10" i="1" s="1"/>
  <c r="H46" i="2"/>
  <c r="G46" i="2" s="1"/>
  <c r="E46" i="1"/>
  <c r="F46" i="1" s="1"/>
  <c r="H30" i="2"/>
  <c r="G30" i="2" s="1"/>
  <c r="E30" i="1"/>
  <c r="F30" i="1" s="1"/>
  <c r="H14" i="2"/>
  <c r="G14" i="2" s="1"/>
  <c r="E14" i="1"/>
  <c r="F14" i="1" s="1"/>
  <c r="H45" i="2"/>
  <c r="G45" i="2" s="1"/>
  <c r="E45" i="1"/>
  <c r="F45" i="1" s="1"/>
  <c r="H609" i="2"/>
  <c r="G609" i="2" s="1"/>
  <c r="E584" i="1"/>
  <c r="F584" i="1" s="1"/>
  <c r="H520" i="2"/>
  <c r="G520" i="2" s="1"/>
  <c r="E499" i="1"/>
  <c r="F499" i="1" s="1"/>
  <c r="H506" i="2"/>
  <c r="G506" i="2" s="1"/>
  <c r="E485" i="1"/>
  <c r="F485" i="1" s="1"/>
  <c r="H740" i="2"/>
  <c r="G740" i="2" s="1"/>
  <c r="E709" i="1"/>
  <c r="F709" i="1" s="1"/>
  <c r="H659" i="2"/>
  <c r="G659" i="2" s="1"/>
  <c r="E631" i="1"/>
  <c r="F631" i="1" s="1"/>
  <c r="H620" i="2"/>
  <c r="G620" i="2" s="1"/>
  <c r="E595" i="1"/>
  <c r="F595" i="1" s="1"/>
  <c r="H603" i="2"/>
  <c r="G603" i="2" s="1"/>
  <c r="E581" i="1"/>
  <c r="F581" i="1" s="1"/>
  <c r="H575" i="2"/>
  <c r="G575" i="2" s="1"/>
  <c r="E553" i="1"/>
  <c r="F553" i="1" s="1"/>
  <c r="H571" i="2"/>
  <c r="G571" i="2" s="1"/>
  <c r="E549" i="1"/>
  <c r="F549" i="1" s="1"/>
  <c r="H588" i="2"/>
  <c r="G588" i="2" s="1"/>
  <c r="E566" i="1"/>
  <c r="F566" i="1" s="1"/>
  <c r="H544" i="2"/>
  <c r="G544" i="2" s="1"/>
  <c r="E522" i="1"/>
  <c r="F522" i="1" s="1"/>
  <c r="H512" i="2"/>
  <c r="G512" i="2" s="1"/>
  <c r="E491" i="1"/>
  <c r="F491" i="1" s="1"/>
  <c r="H470" i="2"/>
  <c r="G470" i="2" s="1"/>
  <c r="E449" i="1"/>
  <c r="F449" i="1" s="1"/>
  <c r="H530" i="2"/>
  <c r="G530" i="2" s="1"/>
  <c r="E508" i="1"/>
  <c r="F508" i="1" s="1"/>
  <c r="H498" i="2"/>
  <c r="G498" i="2" s="1"/>
  <c r="E477" i="1"/>
  <c r="F477" i="1" s="1"/>
  <c r="H484" i="2"/>
  <c r="G484" i="2" s="1"/>
  <c r="E463" i="1"/>
  <c r="F463" i="1" s="1"/>
  <c r="H383" i="2"/>
  <c r="G383" i="2" s="1"/>
  <c r="E369" i="1"/>
  <c r="F369" i="1" s="1"/>
  <c r="H394" i="2"/>
  <c r="G394" i="2" s="1"/>
  <c r="E379" i="1"/>
  <c r="F379" i="1" s="1"/>
  <c r="H355" i="2"/>
  <c r="G355" i="2" s="1"/>
  <c r="E341" i="1"/>
  <c r="F341" i="1" s="1"/>
  <c r="H334" i="2"/>
  <c r="G334" i="2" s="1"/>
  <c r="E321" i="1"/>
  <c r="F321" i="1" s="1"/>
  <c r="H316" i="2"/>
  <c r="G316" i="2" s="1"/>
  <c r="E305" i="1"/>
  <c r="F305" i="1" s="1"/>
  <c r="H391" i="2"/>
  <c r="G391" i="2" s="1"/>
  <c r="E376" i="1"/>
  <c r="F376" i="1" s="1"/>
  <c r="H179" i="2"/>
  <c r="G179" i="2" s="1"/>
  <c r="E175" i="1"/>
  <c r="F175" i="1" s="1"/>
  <c r="H142" i="2"/>
  <c r="G142" i="2" s="1"/>
  <c r="E138" i="1"/>
  <c r="F138" i="1" s="1"/>
  <c r="H199" i="2"/>
  <c r="G199" i="2" s="1"/>
  <c r="E194" i="1"/>
  <c r="F194" i="1" s="1"/>
  <c r="H151" i="2"/>
  <c r="G151" i="2" s="1"/>
  <c r="E147" i="1"/>
  <c r="F147" i="1" s="1"/>
  <c r="H219" i="2"/>
  <c r="G219" i="2" s="1"/>
  <c r="E213" i="1"/>
  <c r="F213" i="1" s="1"/>
  <c r="H146" i="2"/>
  <c r="G146" i="2" s="1"/>
  <c r="E142" i="1"/>
  <c r="F142" i="1" s="1"/>
  <c r="E48" i="1"/>
  <c r="F48" i="1" s="1"/>
  <c r="H49" i="2"/>
  <c r="G49" i="2" s="1"/>
  <c r="H21" i="2"/>
  <c r="G21" i="2" s="1"/>
  <c r="E21" i="1"/>
  <c r="F21" i="1" s="1"/>
  <c r="H5" i="2"/>
  <c r="G5" i="2" s="1"/>
  <c r="E5" i="1"/>
  <c r="F5" i="1" s="1"/>
  <c r="H50" i="2"/>
  <c r="G50" i="2" s="1"/>
  <c r="E49" i="1"/>
  <c r="F49" i="1" s="1"/>
  <c r="H25" i="2"/>
  <c r="G25" i="2" s="1"/>
  <c r="E25" i="1"/>
  <c r="F25" i="1" s="1"/>
  <c r="H9" i="2"/>
  <c r="G9" i="2" s="1"/>
  <c r="E9" i="1"/>
  <c r="F9" i="1" s="1"/>
  <c r="H38" i="2"/>
  <c r="G38" i="2" s="1"/>
  <c r="E38" i="1"/>
  <c r="F38" i="1" s="1"/>
  <c r="H703" i="2"/>
  <c r="G703" i="2" s="1"/>
  <c r="E673" i="1"/>
  <c r="F673" i="1" s="1"/>
  <c r="H625" i="2"/>
  <c r="G625" i="2" s="1"/>
  <c r="E600" i="1"/>
  <c r="F600" i="1" s="1"/>
  <c r="H587" i="2"/>
  <c r="G587" i="2" s="1"/>
  <c r="E565" i="1"/>
  <c r="F565" i="1" s="1"/>
  <c r="H488" i="2"/>
  <c r="G488" i="2" s="1"/>
  <c r="E467" i="1"/>
  <c r="F467" i="1" s="1"/>
  <c r="H466" i="2"/>
  <c r="G466" i="2" s="1"/>
  <c r="E445" i="1"/>
  <c r="F445" i="1" s="1"/>
  <c r="H687" i="2"/>
  <c r="G687" i="2" s="1"/>
  <c r="E657" i="1"/>
  <c r="F657" i="1" s="1"/>
  <c r="H639" i="2"/>
  <c r="G639" i="2" s="1"/>
  <c r="E614" i="1"/>
  <c r="F614" i="1" s="1"/>
  <c r="H743" i="2"/>
  <c r="G743" i="2" s="1"/>
  <c r="E712" i="1"/>
  <c r="F712" i="1" s="1"/>
  <c r="H707" i="2"/>
  <c r="G707" i="2" s="1"/>
  <c r="E677" i="1"/>
  <c r="F677" i="1" s="1"/>
  <c r="H640" i="2"/>
  <c r="G640" i="2" s="1"/>
  <c r="E615" i="1"/>
  <c r="F615" i="1" s="1"/>
  <c r="H617" i="2"/>
  <c r="G617" i="2" s="1"/>
  <c r="E592" i="1"/>
  <c r="F592" i="1" s="1"/>
  <c r="H600" i="2"/>
  <c r="G600" i="2" s="1"/>
  <c r="E578" i="1"/>
  <c r="F578" i="1" s="1"/>
  <c r="H559" i="2"/>
  <c r="G559" i="2" s="1"/>
  <c r="E537" i="1"/>
  <c r="F537" i="1" s="1"/>
  <c r="H555" i="2"/>
  <c r="G555" i="2" s="1"/>
  <c r="E533" i="1"/>
  <c r="F533" i="1" s="1"/>
  <c r="H567" i="2"/>
  <c r="G567" i="2" s="1"/>
  <c r="E545" i="1"/>
  <c r="F545" i="1" s="1"/>
  <c r="H536" i="2"/>
  <c r="G536" i="2" s="1"/>
  <c r="E514" i="1"/>
  <c r="F514" i="1" s="1"/>
  <c r="H504" i="2"/>
  <c r="G504" i="2" s="1"/>
  <c r="E483" i="1"/>
  <c r="F483" i="1" s="1"/>
  <c r="H453" i="2"/>
  <c r="G453" i="2" s="1"/>
  <c r="E433" i="1"/>
  <c r="F433" i="1" s="1"/>
  <c r="H522" i="2"/>
  <c r="G522" i="2" s="1"/>
  <c r="E501" i="1"/>
  <c r="F501" i="1" s="1"/>
  <c r="H490" i="2"/>
  <c r="G490" i="2" s="1"/>
  <c r="E469" i="1"/>
  <c r="F469" i="1" s="1"/>
  <c r="H478" i="2"/>
  <c r="G478" i="2" s="1"/>
  <c r="E457" i="1"/>
  <c r="F457" i="1" s="1"/>
  <c r="H367" i="2"/>
  <c r="G367" i="2" s="1"/>
  <c r="E353" i="1"/>
  <c r="F353" i="1" s="1"/>
  <c r="H387" i="2"/>
  <c r="G387" i="2" s="1"/>
  <c r="E373" i="1"/>
  <c r="F373" i="1" s="1"/>
  <c r="H347" i="2"/>
  <c r="G347" i="2" s="1"/>
  <c r="E333" i="1"/>
  <c r="F333" i="1" s="1"/>
  <c r="H330" i="2"/>
  <c r="G330" i="2" s="1"/>
  <c r="E318" i="1"/>
  <c r="F318" i="1" s="1"/>
  <c r="H313" i="2"/>
  <c r="G313" i="2" s="1"/>
  <c r="E302" i="1"/>
  <c r="F302" i="1" s="1"/>
  <c r="H227" i="2"/>
  <c r="G227" i="2" s="1"/>
  <c r="E221" i="1"/>
  <c r="F221" i="1" s="1"/>
  <c r="H164" i="2"/>
  <c r="G164" i="2" s="1"/>
  <c r="E159" i="1"/>
  <c r="F159" i="1" s="1"/>
  <c r="H133" i="2"/>
  <c r="G133" i="2" s="1"/>
  <c r="E131" i="1"/>
  <c r="F131" i="1" s="1"/>
  <c r="H183" i="2"/>
  <c r="G183" i="2" s="1"/>
  <c r="E178" i="1"/>
  <c r="F178" i="1" s="1"/>
  <c r="H143" i="2"/>
  <c r="G143" i="2" s="1"/>
  <c r="E139" i="1"/>
  <c r="F139" i="1" s="1"/>
  <c r="H187" i="2"/>
  <c r="G187" i="2" s="1"/>
  <c r="E182" i="1"/>
  <c r="F182" i="1" s="1"/>
  <c r="H138" i="2"/>
  <c r="G138" i="2" s="1"/>
  <c r="E135" i="1"/>
  <c r="F135" i="1" s="1"/>
  <c r="H42" i="2"/>
  <c r="G42" i="2" s="1"/>
  <c r="E42" i="1"/>
  <c r="F42" i="1" s="1"/>
  <c r="H18" i="2"/>
  <c r="G18" i="2" s="1"/>
  <c r="E18" i="1"/>
  <c r="F18" i="1" s="1"/>
  <c r="H2" i="2"/>
  <c r="G2" i="2" s="1"/>
  <c r="E2" i="1"/>
  <c r="F2" i="1" s="1"/>
  <c r="H41" i="2"/>
  <c r="G41" i="2" s="1"/>
  <c r="E41" i="1"/>
  <c r="F41" i="1" s="1"/>
  <c r="H22" i="2"/>
  <c r="G22" i="2" s="1"/>
  <c r="E22" i="1"/>
  <c r="F22" i="1" s="1"/>
  <c r="H6" i="2"/>
  <c r="G6" i="2" s="1"/>
  <c r="E6" i="1"/>
  <c r="F6" i="1" s="1"/>
  <c r="H33" i="2"/>
  <c r="G33" i="2" s="1"/>
  <c r="E33" i="1"/>
  <c r="F3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DC1227-F5D5-466A-A1C5-85160742F694}" keepAlive="1" name="Abfrage - MyJsonImport" description="Verbindung mit der Abfrage 'MyJsonImport' in der Arbeitsmappe." type="5" refreshedVersion="0" background="1">
    <dbPr connection="Provider=Microsoft.Mashup.OleDb.1;Data Source=$Workbook$;Location=MyJsonImport;Extended Properties=&quot;&quot;" command="SELECT * FROM [MyJsonImport]"/>
  </connection>
</connections>
</file>

<file path=xl/sharedStrings.xml><?xml version="1.0" encoding="utf-8"?>
<sst xmlns="http://schemas.openxmlformats.org/spreadsheetml/2006/main" count="17357" uniqueCount="3615">
  <si>
    <t>Name</t>
  </si>
  <si>
    <t>ID</t>
  </si>
  <si>
    <t>Befreit?</t>
  </si>
  <si>
    <t>Offene Stunden aus 25 (bis 31.12.2025)</t>
  </si>
  <si>
    <t>Stunden ab 26</t>
  </si>
  <si>
    <t>noch immer offene Stunden nach Ausgleich</t>
  </si>
  <si>
    <t>Abdelouahed El Haddoui</t>
  </si>
  <si>
    <t>Adelheid Henrich</t>
  </si>
  <si>
    <t>Adrian Deptuch</t>
  </si>
  <si>
    <t>Adrian Rölver</t>
  </si>
  <si>
    <t>Aicha Boutasfat</t>
  </si>
  <si>
    <t>Aileen Taschner</t>
  </si>
  <si>
    <t>Alberto Kästner Fritsch</t>
  </si>
  <si>
    <t>Aleksandra Aleksic-Bardjesteh</t>
  </si>
  <si>
    <t>Alena Klein</t>
  </si>
  <si>
    <t>Alena Korbut</t>
  </si>
  <si>
    <t>Alexander Epp</t>
  </si>
  <si>
    <t>Alexander Roppelt</t>
  </si>
  <si>
    <t>Alexander Stecher</t>
  </si>
  <si>
    <t>Alexander Vainshtein</t>
  </si>
  <si>
    <t>Alexandra Arend</t>
  </si>
  <si>
    <t>Alexandra Jansen</t>
  </si>
  <si>
    <t>Alexandra Päzolt</t>
  </si>
  <si>
    <t>Ali Kabouch</t>
  </si>
  <si>
    <t>Alicia Artschwager</t>
  </si>
  <si>
    <t>Alicia Koch</t>
  </si>
  <si>
    <t>Alicia Mohn</t>
  </si>
  <si>
    <t>Alicia Schrader</t>
  </si>
  <si>
    <t>Alina Braun</t>
  </si>
  <si>
    <t>Alina Panzenböck</t>
  </si>
  <si>
    <t>Aline Eckert</t>
  </si>
  <si>
    <t>Alisha Kilian</t>
  </si>
  <si>
    <t>Almuth Turré</t>
  </si>
  <si>
    <t>Amalia Iazzetta</t>
  </si>
  <si>
    <t>Amanda Sims</t>
  </si>
  <si>
    <t>Amir Hanna</t>
  </si>
  <si>
    <t>Amir Negahbani</t>
  </si>
  <si>
    <t>Ana Arroja Romann</t>
  </si>
  <si>
    <t>Andrea Heymann</t>
  </si>
  <si>
    <t>Andrea Mohr</t>
  </si>
  <si>
    <t>Andrea Morbe</t>
  </si>
  <si>
    <t>Andrea Straaten</t>
  </si>
  <si>
    <t>Angela Bilger</t>
  </si>
  <si>
    <t>Angelique Schubert</t>
  </si>
  <si>
    <t>Angelo Fiore</t>
  </si>
  <si>
    <t>Ania Kruse</t>
  </si>
  <si>
    <t>Anika Henniger</t>
  </si>
  <si>
    <t>Anita Lemaile</t>
  </si>
  <si>
    <t>Anita Nicole Debus-Kilian</t>
  </si>
  <si>
    <t>Anja Godlinski</t>
  </si>
  <si>
    <t>Anja Kaminski</t>
  </si>
  <si>
    <t>Anja Lobbenmeier</t>
  </si>
  <si>
    <t>Anja Schreiber</t>
  </si>
  <si>
    <t>Anja Schulte</t>
  </si>
  <si>
    <t>Anja Wolf</t>
  </si>
  <si>
    <t>Anke Ptak</t>
  </si>
  <si>
    <t>Anna Babot</t>
  </si>
  <si>
    <t>Anna Baum</t>
  </si>
  <si>
    <t>Anna Falkenhain</t>
  </si>
  <si>
    <t>Anna Hoffmann</t>
  </si>
  <si>
    <t>Anna Kalbhenn</t>
  </si>
  <si>
    <t>Anna Madera</t>
  </si>
  <si>
    <t>Anna Majkowski</t>
  </si>
  <si>
    <t>Anna Maria Voigt</t>
  </si>
  <si>
    <t>Anna Römmelt</t>
  </si>
  <si>
    <t>Anna Schepper</t>
  </si>
  <si>
    <t>Anna Volz</t>
  </si>
  <si>
    <t>Anna-Catherina Ackermann</t>
  </si>
  <si>
    <t>Anna-Katharina Muth</t>
  </si>
  <si>
    <t>Anna-Lisa Betschel</t>
  </si>
  <si>
    <t>Annabell Jost</t>
  </si>
  <si>
    <t>Anne Altvater</t>
  </si>
  <si>
    <t>Anne Bartens</t>
  </si>
  <si>
    <t>Anne Bürcky</t>
  </si>
  <si>
    <t>Anne Kuhn</t>
  </si>
  <si>
    <t>Anne Siegl</t>
  </si>
  <si>
    <t>Anne-Kathrin Mück</t>
  </si>
  <si>
    <t>Anne-Kathrin Triebel</t>
  </si>
  <si>
    <t>Annerose Spielmann</t>
  </si>
  <si>
    <t>Annette Claus</t>
  </si>
  <si>
    <t>Annette Knauber</t>
  </si>
  <si>
    <t>Annette Prohl</t>
  </si>
  <si>
    <t>Annika Frohböse</t>
  </si>
  <si>
    <t>Annika Hitzel</t>
  </si>
  <si>
    <t>Annika Keil</t>
  </si>
  <si>
    <t>Annika Rummel</t>
  </si>
  <si>
    <t>Annika Schuller</t>
  </si>
  <si>
    <t>Anton Braun</t>
  </si>
  <si>
    <t>Anton Winker</t>
  </si>
  <si>
    <t>Antonia Andres</t>
  </si>
  <si>
    <t>Antonia Maurer</t>
  </si>
  <si>
    <t>Arezoo Talebi</t>
  </si>
  <si>
    <t>Ariane Kaehlbrandt</t>
  </si>
  <si>
    <t>Armela Rashidian</t>
  </si>
  <si>
    <t>Armin Oelschläger</t>
  </si>
  <si>
    <t>Arne Splitthof</t>
  </si>
  <si>
    <t>Assia Maaziz-Cinar</t>
  </si>
  <si>
    <t>Athanasia Giannouli</t>
  </si>
  <si>
    <t>Aud Tauber</t>
  </si>
  <si>
    <t>Aylin Önal</t>
  </si>
  <si>
    <t>Ayoub Dammene</t>
  </si>
  <si>
    <t>Aziza Belkacim</t>
  </si>
  <si>
    <t>Barbara Sideris</t>
  </si>
  <si>
    <t>Bastian Fischer</t>
  </si>
  <si>
    <t>Beate Lahr</t>
  </si>
  <si>
    <t>Beate Steinbach</t>
  </si>
  <si>
    <t>Beatrix Diem</t>
  </si>
  <si>
    <t>Behgol Pashm Foroush</t>
  </si>
  <si>
    <t>Benjamin Krauß</t>
  </si>
  <si>
    <t>Benjamin Richter</t>
  </si>
  <si>
    <t>Benjamin Woite</t>
  </si>
  <si>
    <t>Bernhard Friedrich</t>
  </si>
  <si>
    <t>Bettina Dahl</t>
  </si>
  <si>
    <t>Bettina Jürgens</t>
  </si>
  <si>
    <t>Bettina Karmrodt</t>
  </si>
  <si>
    <t>Bianca Burkard</t>
  </si>
  <si>
    <t>Bianca Diehl</t>
  </si>
  <si>
    <t>Bianca Kupper</t>
  </si>
  <si>
    <t>Bianca Müller</t>
  </si>
  <si>
    <t>Birgit Lüdecke</t>
  </si>
  <si>
    <t>Bogumila Brod</t>
  </si>
  <si>
    <t>Boris Seifert</t>
  </si>
  <si>
    <t>Boryana Theysohn</t>
  </si>
  <si>
    <t>Bozica Schüch</t>
  </si>
  <si>
    <t>Brigitte Lennert</t>
  </si>
  <si>
    <t>Brigitte Liu</t>
  </si>
  <si>
    <t>Britta Treber</t>
  </si>
  <si>
    <t>Büsra Sencan</t>
  </si>
  <si>
    <t>Carina Meidert</t>
  </si>
  <si>
    <t>Carina Volkmer</t>
  </si>
  <si>
    <t>Carlotta Zürn</t>
  </si>
  <si>
    <t>Carola Pfeiffer</t>
  </si>
  <si>
    <t>Carolin Binder</t>
  </si>
  <si>
    <t>Carolin Silva Pereira</t>
  </si>
  <si>
    <t>Carolina Beege</t>
  </si>
  <si>
    <t>Caroline Joisten</t>
  </si>
  <si>
    <t>Caroline Knull</t>
  </si>
  <si>
    <t>Caroline Langer</t>
  </si>
  <si>
    <t>Caroline Nawrot</t>
  </si>
  <si>
    <t>Celin Kuczora</t>
  </si>
  <si>
    <t>Celine Wiegel</t>
  </si>
  <si>
    <t>Cesar Mauricio Sosa</t>
  </si>
  <si>
    <t>Chantal Douglass</t>
  </si>
  <si>
    <t>Charles Falk</t>
  </si>
  <si>
    <t>Charlotte Naujoks</t>
  </si>
  <si>
    <t>Charlotte Seltenreich</t>
  </si>
  <si>
    <t>Cherelle Wilkes</t>
  </si>
  <si>
    <t>Chokri Ben Necib</t>
  </si>
  <si>
    <t>Christa Steinbach</t>
  </si>
  <si>
    <t>Christian Barthel</t>
  </si>
  <si>
    <t>Christian Becker</t>
  </si>
  <si>
    <t>Christian Halmans</t>
  </si>
  <si>
    <t>Christian Kreinert</t>
  </si>
  <si>
    <t>Christian Zindel</t>
  </si>
  <si>
    <t>Christiane Kobold</t>
  </si>
  <si>
    <t>Christina Aßhauer-Viehmann</t>
  </si>
  <si>
    <t>Christina Epp</t>
  </si>
  <si>
    <t>Christina Meinert</t>
  </si>
  <si>
    <t>Christine Peuser</t>
  </si>
  <si>
    <t>Christoph Andres</t>
  </si>
  <si>
    <t>Christoph Lokotsch-Schmidt</t>
  </si>
  <si>
    <t>Christoph Ringleb</t>
  </si>
  <si>
    <t>Christoph Schlimm</t>
  </si>
  <si>
    <t>Christopher Goodson</t>
  </si>
  <si>
    <t>Clara Cornel</t>
  </si>
  <si>
    <t>Clara Freist</t>
  </si>
  <si>
    <t>Clara Terno</t>
  </si>
  <si>
    <t>Clara Tschullik</t>
  </si>
  <si>
    <t>Clarissa Müller-Stengel</t>
  </si>
  <si>
    <t>Claudia Anders</t>
  </si>
  <si>
    <t>Claudia Ditzel</t>
  </si>
  <si>
    <t>Claudia Höchsmann</t>
  </si>
  <si>
    <t>Claudia Jacob</t>
  </si>
  <si>
    <t>Claudio Guirado Böhm</t>
  </si>
  <si>
    <t>Corina Vlas</t>
  </si>
  <si>
    <t>Corinna Kröger</t>
  </si>
  <si>
    <t>Corinna Le</t>
  </si>
  <si>
    <t>Corinna Schuster</t>
  </si>
  <si>
    <t>Cornelia
Mehmel</t>
  </si>
  <si>
    <t>Cornelia Gurk</t>
  </si>
  <si>
    <t>Cornelia Kisch</t>
  </si>
  <si>
    <t>Cornelia Knobloch</t>
  </si>
  <si>
    <t>Cornelius Ruppert</t>
  </si>
  <si>
    <t>Dana Neva Herrschaft</t>
  </si>
  <si>
    <t>Dana Schneider</t>
  </si>
  <si>
    <t>Daniel Günther</t>
  </si>
  <si>
    <t>Daniel Rütten</t>
  </si>
  <si>
    <t>Daniel Wengler</t>
  </si>
  <si>
    <t>Daniela Hoffmann</t>
  </si>
  <si>
    <t>Daniela Rübbert</t>
  </si>
  <si>
    <t>Daria Junghans</t>
  </si>
  <si>
    <t>David Greiner</t>
  </si>
  <si>
    <t>David Mutschler</t>
  </si>
  <si>
    <t>Deborah Maier</t>
  </si>
  <si>
    <t>Dejan Zaman</t>
  </si>
  <si>
    <t>Désirée Baron</t>
  </si>
  <si>
    <t>Desiree Kippes</t>
  </si>
  <si>
    <t>Detlef Saemann</t>
  </si>
  <si>
    <t>Diana Steinbach</t>
  </si>
  <si>
    <t>Dilaver Hazer</t>
  </si>
  <si>
    <t>Dina Khalifa</t>
  </si>
  <si>
    <t>Dirk Wunsch</t>
  </si>
  <si>
    <t>Dominic Kaniyamparampil</t>
  </si>
  <si>
    <t>Dominik Naschenweng</t>
  </si>
  <si>
    <t>Doreen Chudziak</t>
  </si>
  <si>
    <t>Doris Hiltmann</t>
  </si>
  <si>
    <t>Doris Peck</t>
  </si>
  <si>
    <t>Dorothee Hadzic-Luckow</t>
  </si>
  <si>
    <t>Dorothée Honauer</t>
  </si>
  <si>
    <t>Dorothee Schneiders</t>
  </si>
  <si>
    <t>Dunja Gurayian</t>
  </si>
  <si>
    <t>Ecaterina Petrova</t>
  </si>
  <si>
    <t>Edda Fugmann</t>
  </si>
  <si>
    <t>Eduardo Belmar Jorda</t>
  </si>
  <si>
    <t>Edyta Szymkiewicz</t>
  </si>
  <si>
    <t>Ela Querfeld</t>
  </si>
  <si>
    <t>Elena Berger</t>
  </si>
  <si>
    <t>Elham Frühauf-Boulaaouin</t>
  </si>
  <si>
    <t>Eliana Bonin</t>
  </si>
  <si>
    <t>Eliana Marton</t>
  </si>
  <si>
    <t>Elisa Endres</t>
  </si>
  <si>
    <t>Elisa Rupp</t>
  </si>
  <si>
    <t>Elisa Szulganik</t>
  </si>
  <si>
    <t>Elke Riepl</t>
  </si>
  <si>
    <t>Ellen Reichelt</t>
  </si>
  <si>
    <t>Elsbeth Weil</t>
  </si>
  <si>
    <t>Emilia Franke</t>
  </si>
  <si>
    <t>Emilia Huth</t>
  </si>
  <si>
    <t>Emine Özdemir</t>
  </si>
  <si>
    <t>Enes Solak</t>
  </si>
  <si>
    <t>Ermana Ribic</t>
  </si>
  <si>
    <t>Estelle Friedrich</t>
  </si>
  <si>
    <t>Eva Weiß</t>
  </si>
  <si>
    <t>Evelina Bader</t>
  </si>
  <si>
    <t>Eylem Kurtdereli</t>
  </si>
  <si>
    <t>Fabiola Mallach</t>
  </si>
  <si>
    <t>Fabiola Opitz</t>
  </si>
  <si>
    <t>Fadoua El haj ali</t>
  </si>
  <si>
    <t>Fallon Ebel</t>
  </si>
  <si>
    <t>Farah Mahmoud</t>
  </si>
  <si>
    <t>Faustina Kwarteng</t>
  </si>
  <si>
    <t>Felix Gaus</t>
  </si>
  <si>
    <t>Felix Jeckel</t>
  </si>
  <si>
    <t>Felix Koppe</t>
  </si>
  <si>
    <t>Felix Podewils</t>
  </si>
  <si>
    <t>Felix van Elsberg</t>
  </si>
  <si>
    <t>Ferdinand Weiss</t>
  </si>
  <si>
    <t>Finja Filzinger</t>
  </si>
  <si>
    <t>Finn Reinhardt</t>
  </si>
  <si>
    <t>Florence Aida Roumer</t>
  </si>
  <si>
    <t>Florian Buckel</t>
  </si>
  <si>
    <t>Florian Lehner</t>
  </si>
  <si>
    <t>Florian Lennig</t>
  </si>
  <si>
    <t>Florian Miehle</t>
  </si>
  <si>
    <t>Florian Petri</t>
  </si>
  <si>
    <t>Florian Schöniger</t>
  </si>
  <si>
    <t>Florian Schubert</t>
  </si>
  <si>
    <t>Fouzia El Asraoui</t>
  </si>
  <si>
    <t>Francis Usinger</t>
  </si>
  <si>
    <t>Francisca Cruz Cruz</t>
  </si>
  <si>
    <t>Francisco Javier Lucas Pena</t>
  </si>
  <si>
    <t>Franka Guthmann</t>
  </si>
  <si>
    <t>Franz Jasikola</t>
  </si>
  <si>
    <t>Franziska Bohl</t>
  </si>
  <si>
    <t>Franziska Deißler</t>
  </si>
  <si>
    <t>Franziska Steingräber</t>
  </si>
  <si>
    <t>Franziska Walter</t>
  </si>
  <si>
    <t>Frauke Moeller</t>
  </si>
  <si>
    <t>Frederik Ade</t>
  </si>
  <si>
    <t>Frederike Suckert</t>
  </si>
  <si>
    <t>Friederike Köhler</t>
  </si>
  <si>
    <t>Friedhelm Schmitt</t>
  </si>
  <si>
    <t>Fritz Weil</t>
  </si>
  <si>
    <t>Gabriela Rothenmeyer</t>
  </si>
  <si>
    <t>Gabriele Amekuedi</t>
  </si>
  <si>
    <t>Gabriele Behr-Döhn</t>
  </si>
  <si>
    <t>Gabriele Best</t>
  </si>
  <si>
    <t>Gabriele Branca</t>
  </si>
  <si>
    <t>Gabriele Thielmann</t>
  </si>
  <si>
    <t>Gantsetseg Byamba</t>
  </si>
  <si>
    <t>Geetashri Gosh</t>
  </si>
  <si>
    <t>Gerhard Schromm</t>
  </si>
  <si>
    <t>Gerin Hildebrand</t>
  </si>
  <si>
    <t>Gerlando Cavaleri</t>
  </si>
  <si>
    <t>Gesine Pintscher</t>
  </si>
  <si>
    <t>Gisela Schneider</t>
  </si>
  <si>
    <t>Greta Pralle</t>
  </si>
  <si>
    <t>Gretha Keim</t>
  </si>
  <si>
    <t>Habiba Amallah</t>
  </si>
  <si>
    <t>Hajar Slimi</t>
  </si>
  <si>
    <t>Halel Korkmaz</t>
  </si>
  <si>
    <t>Hanan Elaiyashi</t>
  </si>
  <si>
    <t>Hannah Said</t>
  </si>
  <si>
    <t>Hannah Steinert</t>
  </si>
  <si>
    <t>Hannah Stöckel</t>
  </si>
  <si>
    <t>Hannes Hansen</t>
  </si>
  <si>
    <t>Hans Pfirrmann</t>
  </si>
  <si>
    <t>Hans Ullrich Schwarz</t>
  </si>
  <si>
    <t>Hasan Alzaanin</t>
  </si>
  <si>
    <t>Heidrun Janke</t>
  </si>
  <si>
    <t>Heike Harling</t>
  </si>
  <si>
    <t>Heike Keppler</t>
  </si>
  <si>
    <t>Helen Picker</t>
  </si>
  <si>
    <t>Hella Bissantz</t>
  </si>
  <si>
    <t>Hendrik Rühle</t>
  </si>
  <si>
    <t>Henning Jansen</t>
  </si>
  <si>
    <t>Henrike-Esther Duda</t>
  </si>
  <si>
    <t>Henryk Joost</t>
  </si>
  <si>
    <t>Hermine Kraus</t>
  </si>
  <si>
    <t>Hilke Schellenberg</t>
  </si>
  <si>
    <t>Houria Kabbouz</t>
  </si>
  <si>
    <t>Ilona Koppermann</t>
  </si>
  <si>
    <t>Ilona Pfaff</t>
  </si>
  <si>
    <t>Ilse Arndt</t>
  </si>
  <si>
    <t>Ilse Milbradt</t>
  </si>
  <si>
    <t>Ines Müller</t>
  </si>
  <si>
    <t>Ines Niewalda</t>
  </si>
  <si>
    <t>Irina Brendel</t>
  </si>
  <si>
    <t>Irina Evteeva</t>
  </si>
  <si>
    <t>Iryna Korolyova</t>
  </si>
  <si>
    <t>Isabel Händler</t>
  </si>
  <si>
    <t>Isabell Krüer</t>
  </si>
  <si>
    <t>Isabelle Wetzstein</t>
  </si>
  <si>
    <t>Iwona Maliszewska</t>
  </si>
  <si>
    <t>Jacqueline Bohlig</t>
  </si>
  <si>
    <t>Jacqueline Wendt</t>
  </si>
  <si>
    <t>Jade Tessien</t>
  </si>
  <si>
    <t>Jadwiga Kliemant</t>
  </si>
  <si>
    <t>Jamila Mendoughe</t>
  </si>
  <si>
    <t>Jana Schreiner</t>
  </si>
  <si>
    <t>Jana Zscherneck</t>
  </si>
  <si>
    <t>Janina Brechenser</t>
  </si>
  <si>
    <t>Janine Mercedes Fakour</t>
  </si>
  <si>
    <t>Jannik Hoffmann</t>
  </si>
  <si>
    <t>Jasmin Riesner</t>
  </si>
  <si>
    <t>Jasmin Tsaava</t>
  </si>
  <si>
    <t>Jennifer Beuschel</t>
  </si>
  <si>
    <t>Jennifer Gehrls</t>
  </si>
  <si>
    <t>Jennifer Werner</t>
  </si>
  <si>
    <t>Jennifer Zimmermann (ehemals Contney)</t>
  </si>
  <si>
    <t>Jennifer-Kim Krause</t>
  </si>
  <si>
    <t>Jenny Reith</t>
  </si>
  <si>
    <t>Jenny-Nicole Pongracz</t>
  </si>
  <si>
    <t>Jens Kunze</t>
  </si>
  <si>
    <t>Jessica Belz</t>
  </si>
  <si>
    <t>Jessica Kreuz</t>
  </si>
  <si>
    <t>Jimmy Domingos Miguel</t>
  </si>
  <si>
    <t>Joachim Leitschuh</t>
  </si>
  <si>
    <t>Joelle Londo</t>
  </si>
  <si>
    <t>Johann Seemann</t>
  </si>
  <si>
    <t>Johanna Lenzing</t>
  </si>
  <si>
    <t>Johanna Roppelt</t>
  </si>
  <si>
    <t>Johanna Treber</t>
  </si>
  <si>
    <t>Jonas Iscen</t>
  </si>
  <si>
    <t>Jonas Maurer</t>
  </si>
  <si>
    <t>Jonas Weber</t>
  </si>
  <si>
    <t>Jonathan Ohms</t>
  </si>
  <si>
    <t>Jonka Winkle</t>
  </si>
  <si>
    <t>Jörg Junker</t>
  </si>
  <si>
    <t>Josefin Adams</t>
  </si>
  <si>
    <t>Judith Ebert</t>
  </si>
  <si>
    <t>Judith Roth</t>
  </si>
  <si>
    <t>Judith Steinmetz</t>
  </si>
  <si>
    <t>Jule Gerhard</t>
  </si>
  <si>
    <t>Julia Bergmann</t>
  </si>
  <si>
    <t>Julia Herbst</t>
  </si>
  <si>
    <t>Julia Krause</t>
  </si>
  <si>
    <t>Julia Müller</t>
  </si>
  <si>
    <t>Julia Rapphahn</t>
  </si>
  <si>
    <t>Julia Schäfer</t>
  </si>
  <si>
    <t>Julia Schöndienst</t>
  </si>
  <si>
    <t>Julia Wagner</t>
  </si>
  <si>
    <t>Julian Kohlstock</t>
  </si>
  <si>
    <t>Julian Zimmermann</t>
  </si>
  <si>
    <t>Juliane Link</t>
  </si>
  <si>
    <t>Julie Noltenius</t>
  </si>
  <si>
    <t>Julius Groß</t>
  </si>
  <si>
    <t>Julius Hartmann</t>
  </si>
  <si>
    <t>Julius Peter</t>
  </si>
  <si>
    <t>Jutta Steinmann</t>
  </si>
  <si>
    <t>Kai Alexander Rühl</t>
  </si>
  <si>
    <t>Karen Hilbenz</t>
  </si>
  <si>
    <t>Karin Röll</t>
  </si>
  <si>
    <t>Karin Rupp</t>
  </si>
  <si>
    <t>Katarina Schnöde</t>
  </si>
  <si>
    <t>Katharina Andres</t>
  </si>
  <si>
    <t>Katharina Erchinger</t>
  </si>
  <si>
    <t>Katharina Schombierski</t>
  </si>
  <si>
    <t>Katharina Schulenburg</t>
  </si>
  <si>
    <t>Katharine Cloppenburg</t>
  </si>
  <si>
    <t>Kathrin Kohlberg</t>
  </si>
  <si>
    <t>Kathrin Mittel</t>
  </si>
  <si>
    <t>Kathrin Schmiege</t>
  </si>
  <si>
    <t>Kathrin Schneider</t>
  </si>
  <si>
    <t>Katja Bader</t>
  </si>
  <si>
    <t>Katja Gold</t>
  </si>
  <si>
    <t>Katja Hofmaier</t>
  </si>
  <si>
    <t>Katja Miosga</t>
  </si>
  <si>
    <t>Katja Weiß</t>
  </si>
  <si>
    <t>Katrin Eckmans</t>
  </si>
  <si>
    <t>Katrin Klemm (ehemals Prengel)</t>
  </si>
  <si>
    <t>Katrin Koch</t>
  </si>
  <si>
    <t>Katrin Moeller-Wichert</t>
  </si>
  <si>
    <t>Katrin Neuser</t>
  </si>
  <si>
    <t>Katrin Rothenbach</t>
  </si>
  <si>
    <t>Katrin Schulze</t>
  </si>
  <si>
    <t>Kerstin Müller-Lehmann</t>
  </si>
  <si>
    <t>Kim Zarges</t>
  </si>
  <si>
    <t>Kirsten Grametzki</t>
  </si>
  <si>
    <t>Kirsten Rössel</t>
  </si>
  <si>
    <t>Klaus-Peter Wenz</t>
  </si>
  <si>
    <t>Konrad Rapphahn</t>
  </si>
  <si>
    <t>Kristian Predojevic</t>
  </si>
  <si>
    <t>Kristina Aleksic</t>
  </si>
  <si>
    <t>Kristina Breuer</t>
  </si>
  <si>
    <t>Kristina Wolf</t>
  </si>
  <si>
    <t>Kübra Nur Sencan</t>
  </si>
  <si>
    <t>Lale Yarar</t>
  </si>
  <si>
    <t>Lara Hansen</t>
  </si>
  <si>
    <t>Lara Henning</t>
  </si>
  <si>
    <t>Laura Krech (ehemals Wieland)</t>
  </si>
  <si>
    <t>Laura Petersen</t>
  </si>
  <si>
    <t>Laura Stanke</t>
  </si>
  <si>
    <t>Laura Timme</t>
  </si>
  <si>
    <t>Laura Wagner</t>
  </si>
  <si>
    <t>Lea Alissa Weimert</t>
  </si>
  <si>
    <t>Lea Koswig</t>
  </si>
  <si>
    <t>Lea Sophie Rohe</t>
  </si>
  <si>
    <t>Lea Spinner</t>
  </si>
  <si>
    <t>Lee Mathilda Händler</t>
  </si>
  <si>
    <t>Lena Eleser</t>
  </si>
  <si>
    <t>Lena Elsasser</t>
  </si>
  <si>
    <t>Lena Frank</t>
  </si>
  <si>
    <t>Lena Hormel</t>
  </si>
  <si>
    <t>Lena Löffler</t>
  </si>
  <si>
    <t>Lena Moellmann</t>
  </si>
  <si>
    <t>Lena Sophia Senn</t>
  </si>
  <si>
    <t>Lena Wahl</t>
  </si>
  <si>
    <t>Lenard Varga</t>
  </si>
  <si>
    <t>Lennart Hornbostel</t>
  </si>
  <si>
    <t>Leona Rath</t>
  </si>
  <si>
    <t>Leonie Baumann</t>
  </si>
  <si>
    <t>Leonie Buhl</t>
  </si>
  <si>
    <t>Leonie Fahrenholz</t>
  </si>
  <si>
    <t>Liliana Alem</t>
  </si>
  <si>
    <t>Lina Puck</t>
  </si>
  <si>
    <t>Lina Tennhardt</t>
  </si>
  <si>
    <t>Lion Munz</t>
  </si>
  <si>
    <t>Lisa Diehl</t>
  </si>
  <si>
    <t>Lisa Gemander</t>
  </si>
  <si>
    <t>Lisa Gonzalez</t>
  </si>
  <si>
    <t>Lisa Hausdorf</t>
  </si>
  <si>
    <t>Lisa Horländer</t>
  </si>
  <si>
    <t>Lisa Kleinow</t>
  </si>
  <si>
    <t>Lisa Knob</t>
  </si>
  <si>
    <t>Lisa Marie Burghardt</t>
  </si>
  <si>
    <t>Lisa Meister</t>
  </si>
  <si>
    <t>Lisa Schäfer</t>
  </si>
  <si>
    <t>Lisa Schmitt</t>
  </si>
  <si>
    <t>Lisa Villioth</t>
  </si>
  <si>
    <t>Lisa Weipert</t>
  </si>
  <si>
    <t>Lisanne Fleischer</t>
  </si>
  <si>
    <t>Lola Freyer</t>
  </si>
  <si>
    <t>Long Chen</t>
  </si>
  <si>
    <t>Lorenzo Rendón Valencia</t>
  </si>
  <si>
    <t>Louisa Serwuschok</t>
  </si>
  <si>
    <t>Lowik Hardeel</t>
  </si>
  <si>
    <t>Lucia Artner</t>
  </si>
  <si>
    <t>Lucilla Rigobello</t>
  </si>
  <si>
    <t>Lucy Taube</t>
  </si>
  <si>
    <t>Luisa Franz</t>
  </si>
  <si>
    <t>Luise Krebel</t>
  </si>
  <si>
    <t>Luise Stöwe</t>
  </si>
  <si>
    <t>Luise Taube</t>
  </si>
  <si>
    <t>Lukas Banach</t>
  </si>
  <si>
    <t>Lukas Börner</t>
  </si>
  <si>
    <t>Lukas Grübner</t>
  </si>
  <si>
    <t>Lukas Rammrath</t>
  </si>
  <si>
    <t>Lukas Welge</t>
  </si>
  <si>
    <t>Lutz Brendel</t>
  </si>
  <si>
    <t>Lydia Ceylan</t>
  </si>
  <si>
    <t>Madeleine Borger</t>
  </si>
  <si>
    <t>Magdalena Grieneisen</t>
  </si>
  <si>
    <t>Magdalena Schweizer</t>
  </si>
  <si>
    <t>Maikel Hajiabadi</t>
  </si>
  <si>
    <t>Maja Krawczyk-Sünder</t>
  </si>
  <si>
    <t>Maja Schlicker</t>
  </si>
  <si>
    <t>Malgorzata Maria Smolarek-Liu</t>
  </si>
  <si>
    <t>Malte Schirwon</t>
  </si>
  <si>
    <t>Mandy Lesiok</t>
  </si>
  <si>
    <t>Mandy Reisig</t>
  </si>
  <si>
    <t>Manfred Fußnecker</t>
  </si>
  <si>
    <t>Manja Weber</t>
  </si>
  <si>
    <t>Manuela Kurze</t>
  </si>
  <si>
    <t>Manuela Mrootzek</t>
  </si>
  <si>
    <t>Manuela Schwinghammer</t>
  </si>
  <si>
    <t>Manuela Stolte</t>
  </si>
  <si>
    <t>Manya Kosanova-Manushkina</t>
  </si>
  <si>
    <t>Mara Blank</t>
  </si>
  <si>
    <t>Marc Burkhard</t>
  </si>
  <si>
    <t>Marcell Jourdan</t>
  </si>
  <si>
    <t>Marco Hammer</t>
  </si>
  <si>
    <t>Marco Massimiliano Da Pont</t>
  </si>
  <si>
    <t>Marco von der Heyden</t>
  </si>
  <si>
    <t>Marejam Mountij</t>
  </si>
  <si>
    <t>Marek Wolczyski</t>
  </si>
  <si>
    <t>Maren Ballhausen</t>
  </si>
  <si>
    <t>Margarete Szpilok</t>
  </si>
  <si>
    <t>Margo Schleuter</t>
  </si>
  <si>
    <t>Maria Barth</t>
  </si>
  <si>
    <t>Maria del mar Mendivil</t>
  </si>
  <si>
    <t>Maria Hergenhan</t>
  </si>
  <si>
    <t>Maria Marques</t>
  </si>
  <si>
    <t>Maria Mokhova</t>
  </si>
  <si>
    <t>Maria Wölbert</t>
  </si>
  <si>
    <t>Maria-Luise Skrdlant</t>
  </si>
  <si>
    <t>Marianna Szczesna</t>
  </si>
  <si>
    <t>Marianne Anna Bauder</t>
  </si>
  <si>
    <t>Marie Grell</t>
  </si>
  <si>
    <t>Marie Stange</t>
  </si>
  <si>
    <t>Marie Voigt</t>
  </si>
  <si>
    <t>Marina Pierucci</t>
  </si>
  <si>
    <t>Marina Zander</t>
  </si>
  <si>
    <t>Marit Straub</t>
  </si>
  <si>
    <t>Marit Trantel</t>
  </si>
  <si>
    <t>Marjolein Knoblich</t>
  </si>
  <si>
    <t>Marko Pipic</t>
  </si>
  <si>
    <t>Markus Hahn</t>
  </si>
  <si>
    <t>Markus Remke</t>
  </si>
  <si>
    <t>Marlen Richter</t>
  </si>
  <si>
    <t>Marlene Lippke</t>
  </si>
  <si>
    <t>Martin Brüggemann</t>
  </si>
  <si>
    <t>Martin Eich</t>
  </si>
  <si>
    <t>Martin Straub</t>
  </si>
  <si>
    <t>Martin Taplick</t>
  </si>
  <si>
    <t>Martina Bahlmann</t>
  </si>
  <si>
    <t>Martina Ehrler</t>
  </si>
  <si>
    <t>Marvin Thomas</t>
  </si>
  <si>
    <t>Matthias Kaiser</t>
  </si>
  <si>
    <t>Max Jansen</t>
  </si>
  <si>
    <t>Max Sommer</t>
  </si>
  <si>
    <t>Maximilian Melcher</t>
  </si>
  <si>
    <t>Mediha Maja Jovanovic</t>
  </si>
  <si>
    <t>Melanie Gweondolina Keller</t>
  </si>
  <si>
    <t>Melanie Kaiser</t>
  </si>
  <si>
    <t>Melanie Kersten</t>
  </si>
  <si>
    <t>Melanie Walter</t>
  </si>
  <si>
    <t>Melanie Ziem</t>
  </si>
  <si>
    <t>Meline Zado</t>
  </si>
  <si>
    <t>Meral Lorenz</t>
  </si>
  <si>
    <t>Mercy Hartmann</t>
  </si>
  <si>
    <t>Metehan Önal</t>
  </si>
  <si>
    <t>Mevlüt Yilmaz</t>
  </si>
  <si>
    <t>Mia Kleinherbers</t>
  </si>
  <si>
    <t>Michael Kowol</t>
  </si>
  <si>
    <t>Michael Pressmar</t>
  </si>
  <si>
    <t>Michael Wiegand</t>
  </si>
  <si>
    <t>Michael Wittershagen</t>
  </si>
  <si>
    <t>Michaela Caroli</t>
  </si>
  <si>
    <t>Michaela Krieg</t>
  </si>
  <si>
    <t>Michaela Lohrmann</t>
  </si>
  <si>
    <t>Michaela Rödig</t>
  </si>
  <si>
    <t>Michelle Aporta</t>
  </si>
  <si>
    <t>Michelle Baron</t>
  </si>
  <si>
    <t>Mike Raskovic</t>
  </si>
  <si>
    <t>Mikhail Svyatskiy</t>
  </si>
  <si>
    <t>Milena Leisenheimer</t>
  </si>
  <si>
    <t>Mimount El-Asraoui</t>
  </si>
  <si>
    <t>Mira Lorenz</t>
  </si>
  <si>
    <t>Miriam Steinmacher</t>
  </si>
  <si>
    <t>Miriam Weber</t>
  </si>
  <si>
    <t>Mohamed El Carrouchi</t>
  </si>
  <si>
    <t>Mojda Helmand</t>
  </si>
  <si>
    <t>Mona Läufle</t>
  </si>
  <si>
    <t>Mona Werner</t>
  </si>
  <si>
    <t>Mona-Lisa Mora</t>
  </si>
  <si>
    <t>Monica Brunati</t>
  </si>
  <si>
    <t>Monika Hutwelker</t>
  </si>
  <si>
    <t>Monika John</t>
  </si>
  <si>
    <t>Monika Plottnik</t>
  </si>
  <si>
    <t>Monika Romstein</t>
  </si>
  <si>
    <t>Monika Röske</t>
  </si>
  <si>
    <t>Monika Schmidt</t>
  </si>
  <si>
    <t>Monika Weinelt</t>
  </si>
  <si>
    <t>Monja Rößler</t>
  </si>
  <si>
    <t>Morane Lenkiewicz</t>
  </si>
  <si>
    <t>Mourad Cherki</t>
  </si>
  <si>
    <t>My-Trinh Ngo</t>
  </si>
  <si>
    <t>Nadia Belkacim</t>
  </si>
  <si>
    <t>Nadine Bauer</t>
  </si>
  <si>
    <t>Nadine Feldmann</t>
  </si>
  <si>
    <t>Nadine Galuska</t>
  </si>
  <si>
    <t>Nadine Kostorz</t>
  </si>
  <si>
    <t>Nadine Noll</t>
  </si>
  <si>
    <t>Nadja Hillebrand</t>
  </si>
  <si>
    <t>Naima Baltit</t>
  </si>
  <si>
    <t>Namya Khyi</t>
  </si>
  <si>
    <t>Nancy Littmann</t>
  </si>
  <si>
    <t>Naomi Foxley</t>
  </si>
  <si>
    <t>Naoual Daoudi</t>
  </si>
  <si>
    <t>Natalie Debus</t>
  </si>
  <si>
    <t>Natalie Heftrig</t>
  </si>
  <si>
    <t>Natalie Prinz</t>
  </si>
  <si>
    <t>Natascha Reul</t>
  </si>
  <si>
    <t>Natascha Riethe</t>
  </si>
  <si>
    <t>Nathalie Korf</t>
  </si>
  <si>
    <t>Naziha Belkasim</t>
  </si>
  <si>
    <t>Nicola Engel</t>
  </si>
  <si>
    <t>Nicolas König</t>
  </si>
  <si>
    <t>Nicole Jahr</t>
  </si>
  <si>
    <t>Nicole Philipp-Jahnke</t>
  </si>
  <si>
    <t>Nils Warnecke</t>
  </si>
  <si>
    <t>Nina König</t>
  </si>
  <si>
    <t>Nina Piir</t>
  </si>
  <si>
    <t>Nineli Tandilashvili-Jalali</t>
  </si>
  <si>
    <t>Nora Hanke</t>
  </si>
  <si>
    <t>Norbert
Rummel</t>
  </si>
  <si>
    <t>Oksana Braun</t>
  </si>
  <si>
    <t>Oksana Reuter-More</t>
  </si>
  <si>
    <t>Oleh Koptsev</t>
  </si>
  <si>
    <t>Oliver Treusch</t>
  </si>
  <si>
    <t>Päivi Budarham</t>
  </si>
  <si>
    <t>Pamela Kipp</t>
  </si>
  <si>
    <t>Pascal Arndt</t>
  </si>
  <si>
    <t>Pascal Hägele</t>
  </si>
  <si>
    <t>Patrick Jost</t>
  </si>
  <si>
    <t>Patrick Rath</t>
  </si>
  <si>
    <t>Patrick Zawadzki</t>
  </si>
  <si>
    <t>Paula Sasse</t>
  </si>
  <si>
    <t>Pauline Kussel</t>
  </si>
  <si>
    <t>Pauline Schwanke</t>
  </si>
  <si>
    <t>Petra Frank</t>
  </si>
  <si>
    <t>Petra Ritzheim</t>
  </si>
  <si>
    <t>Philipp Jöckel</t>
  </si>
  <si>
    <t>Philipp Riechelmann</t>
  </si>
  <si>
    <t>Philipp Winghart</t>
  </si>
  <si>
    <t>Philippa Zauner</t>
  </si>
  <si>
    <t>Pia Fourcadier (ehemals Krechel)</t>
  </si>
  <si>
    <t>Pierre Dekker</t>
  </si>
  <si>
    <t>Pooya Aliyarzadeh</t>
  </si>
  <si>
    <t>Puya Ghilaw</t>
  </si>
  <si>
    <t>Rachael Alieu</t>
  </si>
  <si>
    <t>Rafael King</t>
  </si>
  <si>
    <t>Rafika Elhadmi</t>
  </si>
  <si>
    <t>Rahel Luserke</t>
  </si>
  <si>
    <t>Rainer Strobel</t>
  </si>
  <si>
    <t>Raisa Khan</t>
  </si>
  <si>
    <t>Ralf-Maximilian Jungkunz</t>
  </si>
  <si>
    <t>Ralph Steinborn-Rößler</t>
  </si>
  <si>
    <t>Ralph Wurm</t>
  </si>
  <si>
    <t>Ramona Skoppek</t>
  </si>
  <si>
    <t>Regina Rützel</t>
  </si>
  <si>
    <t>Reinhild Rülfing</t>
  </si>
  <si>
    <t>Reinhold Steinbach</t>
  </si>
  <si>
    <t>Rejhan Saljic</t>
  </si>
  <si>
    <t>Renate Dunwoodie</t>
  </si>
  <si>
    <t>Renate Rosco</t>
  </si>
  <si>
    <t>Renato Totta</t>
  </si>
  <si>
    <t>Ricarda Goetze</t>
  </si>
  <si>
    <t>Richard Klinkert</t>
  </si>
  <si>
    <t>Rifat Halili</t>
  </si>
  <si>
    <t>Robert Kessler</t>
  </si>
  <si>
    <t>Robin Rott</t>
  </si>
  <si>
    <t>Rolf Täumer</t>
  </si>
  <si>
    <t>Romana Lechner</t>
  </si>
  <si>
    <t>Ron Koschnicke</t>
  </si>
  <si>
    <t>Roswitha Bevilacqua</t>
  </si>
  <si>
    <t>Ruta Rudvalyte-Gerdes</t>
  </si>
  <si>
    <t>Ruthild Kropp</t>
  </si>
  <si>
    <t>Sabine Görtz</t>
  </si>
  <si>
    <t>Sabine Lück</t>
  </si>
  <si>
    <t>Sabine Menzel-Klose</t>
  </si>
  <si>
    <t>Sabine Monkemöller (ehemals Adam-Müller)</t>
  </si>
  <si>
    <t>Sabine Müller</t>
  </si>
  <si>
    <t>Sabine Neuf</t>
  </si>
  <si>
    <t>Sabine Schäfler</t>
  </si>
  <si>
    <t>Sabrina Reiche</t>
  </si>
  <si>
    <t>Sabrina Schmid</t>
  </si>
  <si>
    <t>Sabrina Sebald</t>
  </si>
  <si>
    <t>Sabrina Wittmann</t>
  </si>
  <si>
    <t>Sabriye Inal</t>
  </si>
  <si>
    <t>Sahand Sajadieh</t>
  </si>
  <si>
    <t>Sahra Wahidi</t>
  </si>
  <si>
    <t>Samia Abdessadki</t>
  </si>
  <si>
    <t>Sandra Büttner</t>
  </si>
  <si>
    <t>Sandra Hoffmann-Grötsch</t>
  </si>
  <si>
    <t>Sandra Kauer</t>
  </si>
  <si>
    <t>Sandra Kiefer</t>
  </si>
  <si>
    <t>Sandra Lehner</t>
  </si>
  <si>
    <t>Sandra Puchinger</t>
  </si>
  <si>
    <t>Sandra Tetzlaff</t>
  </si>
  <si>
    <t>Sandra Zabel</t>
  </si>
  <si>
    <t>Sara Colace</t>
  </si>
  <si>
    <t>Sarah Charif</t>
  </si>
  <si>
    <t>Sarah Franchini</t>
  </si>
  <si>
    <t>Sarah Mai</t>
  </si>
  <si>
    <t>Sarah Maul</t>
  </si>
  <si>
    <t>Sarah Schindler</t>
  </si>
  <si>
    <t>Sarah Schwarz</t>
  </si>
  <si>
    <t>Saskia Herbst</t>
  </si>
  <si>
    <t>Saskia Osenberg</t>
  </si>
  <si>
    <t>Sason Al Ali</t>
  </si>
  <si>
    <t>Sebastian Marquardt</t>
  </si>
  <si>
    <t>Sebastian Werner</t>
  </si>
  <si>
    <t>Selina Miehle</t>
  </si>
  <si>
    <t>Selma Saljic</t>
  </si>
  <si>
    <t>Semih Akdogan</t>
  </si>
  <si>
    <t>Senem Sahin</t>
  </si>
  <si>
    <t>Sergey Chentsov</t>
  </si>
  <si>
    <t>Sergey Hein</t>
  </si>
  <si>
    <t>Shady Mansi</t>
  </si>
  <si>
    <t>Shikhar Agrawal</t>
  </si>
  <si>
    <t>Sibel Yarar</t>
  </si>
  <si>
    <t>Siggi Zetzmann</t>
  </si>
  <si>
    <t>Sigrid Endres</t>
  </si>
  <si>
    <t>Sigrid Geiß-Steinert</t>
  </si>
  <si>
    <t>Silvana Böhm</t>
  </si>
  <si>
    <t>Simona Rieger</t>
  </si>
  <si>
    <t>Simona Zaccagnini</t>
  </si>
  <si>
    <t>Simone Beege</t>
  </si>
  <si>
    <t>Simonetta Trovato</t>
  </si>
  <si>
    <t>Sina Schmidl</t>
  </si>
  <si>
    <t>Sindra Naomi Fendt</t>
  </si>
  <si>
    <t>Sobia Ishaq</t>
  </si>
  <si>
    <t>Sofia Peruzzo</t>
  </si>
  <si>
    <t>Sofia Raza</t>
  </si>
  <si>
    <t>Sofie Spruck</t>
  </si>
  <si>
    <t>Sofiia Serdiuk</t>
  </si>
  <si>
    <t>Sonja Link</t>
  </si>
  <si>
    <t>Sonja Stamm</t>
  </si>
  <si>
    <t>Sophia Khatri</t>
  </si>
  <si>
    <t>Sophie Jaskiola</t>
  </si>
  <si>
    <t>Soumia El Habbari</t>
  </si>
  <si>
    <t>Stefan Becker</t>
  </si>
  <si>
    <t>Stefan Kreuz</t>
  </si>
  <si>
    <t>Stefan Krick</t>
  </si>
  <si>
    <t>Stefan Schmitt</t>
  </si>
  <si>
    <t>Stefanie Gorgosch</t>
  </si>
  <si>
    <t>Steffanie Sennik</t>
  </si>
  <si>
    <t>Steffen Zindel</t>
  </si>
  <si>
    <t>Stephanie Hofmann</t>
  </si>
  <si>
    <t>Stephanie Misterek</t>
  </si>
  <si>
    <t>Stephanie Wu</t>
  </si>
  <si>
    <t>Stephen Murphy</t>
  </si>
  <si>
    <t>Sükriya Dursun</t>
  </si>
  <si>
    <t>Sung Chin Chung</t>
  </si>
  <si>
    <t>Susanne Arndt</t>
  </si>
  <si>
    <t>Susanne Boberg</t>
  </si>
  <si>
    <t>Susanne Dürr</t>
  </si>
  <si>
    <t>Svea Braak</t>
  </si>
  <si>
    <t>Svea Muche</t>
  </si>
  <si>
    <t>Sven Keuler</t>
  </si>
  <si>
    <t>Svenja Schirmer</t>
  </si>
  <si>
    <t>Svetlana Loibl</t>
  </si>
  <si>
    <t>Sylvia Schwinghammer</t>
  </si>
  <si>
    <t>Tamara Nesukh</t>
  </si>
  <si>
    <t>Tanja Haulle</t>
  </si>
  <si>
    <t>Tanja Kraushaar</t>
  </si>
  <si>
    <t>Tanja Lee</t>
  </si>
  <si>
    <t>Tanja Reiß</t>
  </si>
  <si>
    <t>Tanja Rupprath</t>
  </si>
  <si>
    <t>Tanja Schmidt</t>
  </si>
  <si>
    <t>Tanja Villinger</t>
  </si>
  <si>
    <t>Tara Glöckner</t>
  </si>
  <si>
    <t>Tatiana Gheorghita</t>
  </si>
  <si>
    <t>Tatiana Guerrero Furió</t>
  </si>
  <si>
    <t>Tatiana Pérez Planelles</t>
  </si>
  <si>
    <t>Tatjana Abich</t>
  </si>
  <si>
    <t>Tatjana Goormans</t>
  </si>
  <si>
    <t>Tena Fast</t>
  </si>
  <si>
    <t>Thea Stroh</t>
  </si>
  <si>
    <t>Thies Hagewald</t>
  </si>
  <si>
    <t>Thomas Dück</t>
  </si>
  <si>
    <t>Thomas Schleidt</t>
  </si>
  <si>
    <t>Tim Döring</t>
  </si>
  <si>
    <t>Tim Moritz Gabler</t>
  </si>
  <si>
    <t>Tim Schnadt</t>
  </si>
  <si>
    <t>Tim Zimmer</t>
  </si>
  <si>
    <t>Timm Winkelmeier</t>
  </si>
  <si>
    <t>Timo Waidmann</t>
  </si>
  <si>
    <t>Tina Steinicke</t>
  </si>
  <si>
    <t>Tobias von Essen</t>
  </si>
  <si>
    <t>Tomke Aljets</t>
  </si>
  <si>
    <t>Torsten Sillke</t>
  </si>
  <si>
    <t>Trisanna Gilli</t>
  </si>
  <si>
    <t>Tuba Acun</t>
  </si>
  <si>
    <t>Turap Degirmenci</t>
  </si>
  <si>
    <t>Tuyet My Ho</t>
  </si>
  <si>
    <t>Urs Schmincke</t>
  </si>
  <si>
    <t>Ursula Lenger</t>
  </si>
  <si>
    <t>Ursula Misar</t>
  </si>
  <si>
    <t>Ute Fries</t>
  </si>
  <si>
    <t>Ute van Beuningen</t>
  </si>
  <si>
    <t>Valentin Rupp</t>
  </si>
  <si>
    <t>Vanessa Fascher</t>
  </si>
  <si>
    <t>Vanessa Hutzel</t>
  </si>
  <si>
    <t>Veronica Wooge</t>
  </si>
  <si>
    <t>Veronika Hummel</t>
  </si>
  <si>
    <t>Victor Cranz</t>
  </si>
  <si>
    <t>Viktor Horn</t>
  </si>
  <si>
    <t>Viktoria Buzko</t>
  </si>
  <si>
    <t>Vincent Gewert</t>
  </si>
  <si>
    <t>Viola Wengler</t>
  </si>
  <si>
    <t>Vitali Saloshanka</t>
  </si>
  <si>
    <t>Viva Kroeger</t>
  </si>
  <si>
    <t>Vivian Ohms</t>
  </si>
  <si>
    <t>Wafaa Bakhouch</t>
  </si>
  <si>
    <t>Wagner Fluck</t>
  </si>
  <si>
    <t>Wairimu Kambora-Marks</t>
  </si>
  <si>
    <t>Werner Koch</t>
  </si>
  <si>
    <t>Werner Panthel</t>
  </si>
  <si>
    <t>Wolf Munder</t>
  </si>
  <si>
    <t>Wolfgang Hennig</t>
  </si>
  <si>
    <t>Wolfram Brod</t>
  </si>
  <si>
    <t>Yakup Ates</t>
  </si>
  <si>
    <t>Yamina Mohand Bezar</t>
  </si>
  <si>
    <t>Yihong Guo</t>
  </si>
  <si>
    <t>Yolanda Kleiner</t>
  </si>
  <si>
    <t>Zacharias Funk</t>
  </si>
  <si>
    <t>Vereinseintritt</t>
  </si>
  <si>
    <t>Offene Stunden aus 25</t>
  </si>
  <si>
    <t>Soll-Stunden für 26</t>
  </si>
  <si>
    <t>Offene Stunden für 26</t>
  </si>
  <si>
    <t>für 26 zählende Stunden</t>
  </si>
  <si>
    <t>Gesamtstunden (in 26 geleistet)</t>
  </si>
  <si>
    <t>Öffentlichkeitsarbeit</t>
  </si>
  <si>
    <t>Fairteilerreinigung</t>
  </si>
  <si>
    <t>Abholung Nicht-Premium</t>
  </si>
  <si>
    <t>Fairteilungen (z.B. Friedensgemeinde)</t>
  </si>
  <si>
    <t>Anlieferung (z.B. Friedensgemeinde)</t>
  </si>
  <si>
    <t>Probeabholungen</t>
  </si>
  <si>
    <t>BV (alte Regelung, unbefristet 100%)</t>
  </si>
  <si>
    <t>GdB 50</t>
  </si>
  <si>
    <t>Alter</t>
  </si>
  <si>
    <t>Anja Kotalla</t>
  </si>
  <si>
    <t>Vereinsstunden</t>
  </si>
  <si>
    <t>Anna Dück</t>
  </si>
  <si>
    <t>GdB 2026/2027</t>
  </si>
  <si>
    <t>um 3,5h wegen Alter???</t>
  </si>
  <si>
    <t>PG</t>
  </si>
  <si>
    <t>GdB 50, 100%</t>
  </si>
  <si>
    <t>Celina Schwark</t>
  </si>
  <si>
    <t>Christian Hübner</t>
  </si>
  <si>
    <t>BOT bis Oktober 2025 (0,5h befreit)</t>
  </si>
  <si>
    <t>Dominik Zisch</t>
  </si>
  <si>
    <t>Emelie Pfuhle</t>
  </si>
  <si>
    <t>Emmanuel Remus</t>
  </si>
  <si>
    <t>Estelle Meauxsoone</t>
  </si>
  <si>
    <t>Schiedsstelle</t>
  </si>
  <si>
    <t>Fadoua Mouch</t>
  </si>
  <si>
    <t>LMG</t>
  </si>
  <si>
    <t>Gülbeyaz Tektas</t>
  </si>
  <si>
    <t>BOT</t>
  </si>
  <si>
    <t>PG für 2025</t>
  </si>
  <si>
    <t>Japneet Budhiraja</t>
  </si>
  <si>
    <t>PG 50%</t>
  </si>
  <si>
    <t>Kah Wai Au</t>
  </si>
  <si>
    <t>Katharina Wittmann</t>
  </si>
  <si>
    <t>Keman Ba</t>
  </si>
  <si>
    <t>Kerstin Siebke</t>
  </si>
  <si>
    <t>Laura Paul</t>
  </si>
  <si>
    <t>Laura Sengeboden</t>
  </si>
  <si>
    <t>BOT / Vorstand</t>
  </si>
  <si>
    <t>Maria Bötzl</t>
  </si>
  <si>
    <t>Befreit um 50% wegen Alter</t>
  </si>
  <si>
    <t>Kassenprüfer</t>
  </si>
  <si>
    <t>Mostapha El Bojaddayni</t>
  </si>
  <si>
    <t>Muhammet Baba</t>
  </si>
  <si>
    <t>Orkhan Sehri</t>
  </si>
  <si>
    <t>Paul Muster</t>
  </si>
  <si>
    <t>Philip Götz</t>
  </si>
  <si>
    <t>Raisa Spiller</t>
  </si>
  <si>
    <t>Ralf Eudenbach</t>
  </si>
  <si>
    <t>PG, Alter</t>
  </si>
  <si>
    <t>wegen Alter 50%</t>
  </si>
  <si>
    <t>Salome Marte</t>
  </si>
  <si>
    <t>Sina Ahlers</t>
  </si>
  <si>
    <t>Sophia Letzgus</t>
  </si>
  <si>
    <t>Sophia Zinßer</t>
  </si>
  <si>
    <t>Vorstand/Vereinsstunden</t>
  </si>
  <si>
    <t>50% wegen Alter</t>
  </si>
  <si>
    <t>Wahida Ouhssaine-Azaouagh</t>
  </si>
  <si>
    <t>Alter, 50%</t>
  </si>
  <si>
    <t>Titel json-Dokument</t>
  </si>
  <si>
    <t>Datum</t>
  </si>
  <si>
    <t>Exakte Zeit</t>
  </si>
  <si>
    <t>Öffentlichkeitsarbeit Januar</t>
  </si>
  <si>
    <t>Instagram Dezember, Januar</t>
  </si>
  <si>
    <t>Louisa</t>
  </si>
  <si>
    <t>Öffentlichkeitsarbeit Februar</t>
  </si>
  <si>
    <t>Öffentlichkeitsarbeit März</t>
  </si>
  <si>
    <t>Instagram Februar, März</t>
  </si>
  <si>
    <t>Instandhaltung/Aufbau Fairteiler</t>
  </si>
  <si>
    <t>Susanne Boxberg</t>
  </si>
  <si>
    <t>Felix van Alsberg</t>
  </si>
  <si>
    <t>32714_January_2026.json</t>
  </si>
  <si>
    <t>pickups</t>
  </si>
  <si>
    <t>2026-01-02T18:45:00+01:00</t>
  </si>
  <si>
    <t>2026-01-03T17:30:00+01:00</t>
  </si>
  <si>
    <t>2026-01-05T18:45:00+01:00</t>
  </si>
  <si>
    <t>2026-01-06T18:45:00+01:00</t>
  </si>
  <si>
    <t>2026-01-07T18:45:00+01:00</t>
  </si>
  <si>
    <t>2026-01-08T18:45:00+01:00</t>
  </si>
  <si>
    <t>2026-01-09T18:45:00+01:00</t>
  </si>
  <si>
    <t>2026-01-10T17:30:00+01:00</t>
  </si>
  <si>
    <t>2026-01-12T18:45:00+01:00</t>
  </si>
  <si>
    <t>2026-01-13T18:45:00+01:00</t>
  </si>
  <si>
    <t>2026-01-14T18:45:00+01:00</t>
  </si>
  <si>
    <t>2026-01-15T18:45:00+01:00</t>
  </si>
  <si>
    <t>2026-01-16T18:45:00+01:00</t>
  </si>
  <si>
    <t>2026-01-17T17:30:00+01:00</t>
  </si>
  <si>
    <t>2026-01-19T18:45:00+01:00</t>
  </si>
  <si>
    <t>2026-01-20T18:45:00+01:00</t>
  </si>
  <si>
    <t>2026-01-21T18:45:00+01:00</t>
  </si>
  <si>
    <t>Hannes Hansen</t>
  </si>
  <si>
    <t>2026-01-22T18:45:00+01:00</t>
  </si>
  <si>
    <t>2026-01-23T18:45:00+01:00</t>
  </si>
  <si>
    <t>2026-01-24T17:30:00+01:00</t>
  </si>
  <si>
    <t>2026-01-26T18:45:00+01:00</t>
  </si>
  <si>
    <t>2026-01-27T18:45:00+01:00</t>
  </si>
  <si>
    <t>2026-01-28T18:45:00+01:00</t>
  </si>
  <si>
    <t>David  Greiner</t>
  </si>
  <si>
    <t>2026-01-29T18:45:00+01:00</t>
  </si>
  <si>
    <t>2026-01-30T18:45:00+01:00</t>
  </si>
  <si>
    <t>2026-01-31T17:30:00+01:00</t>
  </si>
  <si>
    <t>40251_January_2026.json</t>
  </si>
  <si>
    <t>2026-01-01T17:00:00+01:00</t>
  </si>
  <si>
    <t>2026-01-02T17:00:00+01:00</t>
  </si>
  <si>
    <t>2026-01-03T17:00:00+01:00</t>
  </si>
  <si>
    <t>2026-01-05T17:00:00+01:00</t>
  </si>
  <si>
    <t>2026-01-06T17:00:00+01:00</t>
  </si>
  <si>
    <t>2026-01-07T17:00:00+01:00</t>
  </si>
  <si>
    <t>2026-01-08T17:00:00+01:00</t>
  </si>
  <si>
    <t>2026-01-09T17:00:00+01:00</t>
  </si>
  <si>
    <t>2026-01-11T17:00:00+01:00</t>
  </si>
  <si>
    <t>2026-01-12T17:00:00+01:00</t>
  </si>
  <si>
    <t>2026-01-13T17:00:00+01:00</t>
  </si>
  <si>
    <t>2026-01-14T17:00:00+01:00</t>
  </si>
  <si>
    <t>2026-01-15T17:00:00+01:00</t>
  </si>
  <si>
    <t>2026-01-16T17:00:00+01:00</t>
  </si>
  <si>
    <t>2026-01-17T17:00:00+01:00</t>
  </si>
  <si>
    <t>2026-01-18T17:00:00+01:00</t>
  </si>
  <si>
    <t>2026-01-19T17:00:00+01:00</t>
  </si>
  <si>
    <t>2026-01-20T17:00:00+01:00</t>
  </si>
  <si>
    <t>2026-01-21T17:00:00+01:00</t>
  </si>
  <si>
    <t>2026-01-22T17:00:00+01:00</t>
  </si>
  <si>
    <t>2026-01-23T17:00:00+01:00</t>
  </si>
  <si>
    <t>2026-01-24T17:00:00+01:00</t>
  </si>
  <si>
    <t>Christine Peuser</t>
  </si>
  <si>
    <t>2026-01-25T17:00:00+01:00</t>
  </si>
  <si>
    <t>2026-01-26T17:00:00+01:00</t>
  </si>
  <si>
    <t>2026-01-27T17:00:00+01:00</t>
  </si>
  <si>
    <t>2026-01-28T17:00:00+01:00</t>
  </si>
  <si>
    <t>2026-01-29T17:00:00+01:00</t>
  </si>
  <si>
    <t>2026-01-30T17:00:00+01:00</t>
  </si>
  <si>
    <t>2026-01-31T17:00:00+01:00</t>
  </si>
  <si>
    <t>53812_January_2026.json</t>
  </si>
  <si>
    <t>2026-01-01T19:00:00+01:00</t>
  </si>
  <si>
    <t>2026-01-02T19:00:00+01:00</t>
  </si>
  <si>
    <t>2026-01-03T19:00:00+01:00</t>
  </si>
  <si>
    <t>2026-01-04T19:00:00+01:00</t>
  </si>
  <si>
    <t>2026-01-05T19:00:00+01:00</t>
  </si>
  <si>
    <t>2026-01-06T19:00:00+01:00</t>
  </si>
  <si>
    <t>2026-01-07T19:00:00+01:00</t>
  </si>
  <si>
    <t>2026-01-08T19:00:00+01:00</t>
  </si>
  <si>
    <t>2026-01-09T19:00:00+01:00</t>
  </si>
  <si>
    <t>2026-01-10T19:00:00+01:00</t>
  </si>
  <si>
    <t>2026-01-11T19:00:00+01:00</t>
  </si>
  <si>
    <t>2026-01-13T19:00:00+01:00</t>
  </si>
  <si>
    <t>2026-01-14T19:00:00+01:00</t>
  </si>
  <si>
    <t>2026-01-15T19:00:00+01:00</t>
  </si>
  <si>
    <t>Sylvia Schwinghammer</t>
  </si>
  <si>
    <t>2026-01-16T19:00:00+01:00</t>
  </si>
  <si>
    <t>2026-01-17T19:00:00+01:00</t>
  </si>
  <si>
    <t>2026-01-18T19:00:00+01:00</t>
  </si>
  <si>
    <t>2026-01-19T19:00:00+01:00</t>
  </si>
  <si>
    <t>2026-01-20T19:00:00+01:00</t>
  </si>
  <si>
    <t>2026-01-21T19:00:00+01:00</t>
  </si>
  <si>
    <t>2026-01-22T19:00:00+01:00</t>
  </si>
  <si>
    <t>2026-01-23T19:00:00+01:00</t>
  </si>
  <si>
    <t>2026-01-24T19:00:00+01:00</t>
  </si>
  <si>
    <t>2026-01-25T19:00:00+01:00</t>
  </si>
  <si>
    <t>2026-01-27T19:00:00+01:00</t>
  </si>
  <si>
    <t>2026-01-28T19:00:00+01:00</t>
  </si>
  <si>
    <t>2026-01-29T19:00:00+01:00</t>
  </si>
  <si>
    <t>2026-01-30T19:00:00+01:00</t>
  </si>
  <si>
    <t>2026-01-31T19:00:00+01:00</t>
  </si>
  <si>
    <t>57579_January_2026.json</t>
  </si>
  <si>
    <t>2026-01-02T23:55:00+01:00</t>
  </si>
  <si>
    <t>Cornelia Mehmel</t>
  </si>
  <si>
    <t>2026-01-05T23:55:00+01:00</t>
  </si>
  <si>
    <t>2026-01-07T23:55:00+01:00</t>
  </si>
  <si>
    <t>2026-01-09T23:55:00+01:00</t>
  </si>
  <si>
    <t>2026-01-12T23:55:00+01:00</t>
  </si>
  <si>
    <t>2026-01-14T23:55:00+01:00</t>
  </si>
  <si>
    <t>2026-01-16T23:55:00+01:00</t>
  </si>
  <si>
    <t>2026-01-19T23:55:00+01:00</t>
  </si>
  <si>
    <t>2026-01-21T23:55:00+01:00</t>
  </si>
  <si>
    <t>2026-01-23T23:55:00+01:00</t>
  </si>
  <si>
    <t>2026-01-26T23:55:00+01:00</t>
  </si>
  <si>
    <t>2026-01-28T23:55:00+01:00</t>
  </si>
  <si>
    <t>2026-01-30T23:55:00+01:00</t>
  </si>
  <si>
    <t>61227_January_2026.json</t>
  </si>
  <si>
    <t>2026-01-01T20:00:00+01:00</t>
  </si>
  <si>
    <t>2026-01-02T20:00:00+01:00</t>
  </si>
  <si>
    <t>2026-01-03T20:00:00+01:00</t>
  </si>
  <si>
    <t>2026-01-04T20:00:00+01:00</t>
  </si>
  <si>
    <t>2026-01-05T20:00:00+01:00</t>
  </si>
  <si>
    <t>2026-01-06T20:00:00+01:00</t>
  </si>
  <si>
    <t>2026-01-07T20:00:00+01:00</t>
  </si>
  <si>
    <t>2026-01-08T20:00:00+01:00</t>
  </si>
  <si>
    <t>2026-01-09T20:00:00+01:00</t>
  </si>
  <si>
    <t>2026-01-10T20:00:00+01:00</t>
  </si>
  <si>
    <t>2026-01-11T20:00:00+01:00</t>
  </si>
  <si>
    <t>2026-01-12T20:00:00+01:00</t>
  </si>
  <si>
    <t>2026-01-13T20:00:00+01:00</t>
  </si>
  <si>
    <t>2026-01-14T20:00:00+01:00</t>
  </si>
  <si>
    <t>2026-01-15T20:00:00+01:00</t>
  </si>
  <si>
    <t>2026-01-16T20:00:00+01:00</t>
  </si>
  <si>
    <t>2026-01-17T20:00:00+01:00</t>
  </si>
  <si>
    <t>2026-01-18T20:00:00+01:00</t>
  </si>
  <si>
    <t>2026-01-19T20:00:00+01:00</t>
  </si>
  <si>
    <t>2026-01-20T20:00:00+01:00</t>
  </si>
  <si>
    <t>2026-01-21T20:00:00+01:00</t>
  </si>
  <si>
    <t>2026-01-22T20:00:00+01:00</t>
  </si>
  <si>
    <t>2026-01-23T20:00:00+01:00</t>
  </si>
  <si>
    <t>Claudia Jakob</t>
  </si>
  <si>
    <t>2026-01-24T20:00:00+01:00</t>
  </si>
  <si>
    <t>2026-01-25T20:00:00+01:00</t>
  </si>
  <si>
    <t>2026-01-26T20:00:00+01:00</t>
  </si>
  <si>
    <t>2026-01-27T20:00:00+01:00</t>
  </si>
  <si>
    <t>2026-01-28T20:00:00+01:00</t>
  </si>
  <si>
    <t>2026-01-29T20:00:00+01:00</t>
  </si>
  <si>
    <t>2026-01-30T20:00:00+01:00</t>
  </si>
  <si>
    <t>2026-01-31T20:00:00+01:00</t>
  </si>
  <si>
    <t>65213_January_2026.json</t>
  </si>
  <si>
    <t>2026-01-02T16:00:00+01:00</t>
  </si>
  <si>
    <t>2026-01-03T16:00:00+01:00</t>
  </si>
  <si>
    <t>2026-01-07T16:00:00+01:00</t>
  </si>
  <si>
    <t>Norbert Rummel</t>
  </si>
  <si>
    <t>2026-01-09T16:00:00+01:00</t>
  </si>
  <si>
    <t>2026-01-10T16:00:00+01:00</t>
  </si>
  <si>
    <t>2026-01-14T16:00:00+01:00</t>
  </si>
  <si>
    <t>2026-01-16T16:00:00+01:00</t>
  </si>
  <si>
    <t>2026-01-17T16:00:00+01:00</t>
  </si>
  <si>
    <t>2026-01-19T16:00:00+01:00</t>
  </si>
  <si>
    <t>2026-01-21T16:00:00+01:00</t>
  </si>
  <si>
    <t>2026-01-23T16:00:00+01:00</t>
  </si>
  <si>
    <t>2026-01-24T16:00:00+01:00</t>
  </si>
  <si>
    <t>2026-01-26T16:00:00+01:00</t>
  </si>
  <si>
    <t>2026-01-28T16:00:00+01:00</t>
  </si>
  <si>
    <t>2026-01-30T16:00:00+01:00</t>
  </si>
  <si>
    <t>2026-01-31T16:00:00+01:00</t>
  </si>
  <si>
    <t>66763_January_2026.json</t>
  </si>
  <si>
    <t>2026-01-06T18:00:00+01:00</t>
  </si>
  <si>
    <t>2026-01-09T18:00:00+01:00</t>
  </si>
  <si>
    <t>2026-01-13T18:00:00+01:00</t>
  </si>
  <si>
    <t>2026-01-16T18:00:00+01:00</t>
  </si>
  <si>
    <t>2026-01-19T18:00:00+01:00</t>
  </si>
  <si>
    <t>2026-01-20T18:00:00+01:00</t>
  </si>
  <si>
    <t>2026-01-23T18:00:00+01:00</t>
  </si>
  <si>
    <t>2026-01-27T18:00:00+01:00</t>
  </si>
  <si>
    <t>2026-01-30T18:00:00+01:00</t>
  </si>
  <si>
    <t>32714_February_2026.json</t>
  </si>
  <si>
    <t>2026-02-02T18:45:00+01:00</t>
  </si>
  <si>
    <t>2026-02-03T18:45:00+01:00</t>
  </si>
  <si>
    <t>2026-02-04T18:45:00+01:00</t>
  </si>
  <si>
    <t>2026-02-05T18:45:00+01:00</t>
  </si>
  <si>
    <t>2026-02-06T18:45:00+01:00</t>
  </si>
  <si>
    <t>2026-02-07T17:30:00+01:00</t>
  </si>
  <si>
    <t>2026-02-09T18:45:00+01:00</t>
  </si>
  <si>
    <t>2026-02-10T18:45:00+01:00</t>
  </si>
  <si>
    <t>2026-02-11T18:45:00+01:00</t>
  </si>
  <si>
    <t>2026-02-12T18:45:00+01:00</t>
  </si>
  <si>
    <t>2026-02-13T18:45:00+01:00</t>
  </si>
  <si>
    <t>2026-02-14T17:30:00+01:00</t>
  </si>
  <si>
    <t>2026-02-16T18:45:00+01:00</t>
  </si>
  <si>
    <t>2026-02-17T18:45:00+01:00</t>
  </si>
  <si>
    <t>2026-02-18T18:45:00+01:00</t>
  </si>
  <si>
    <t>2026-02-19T18:45:00+01:00</t>
  </si>
  <si>
    <t>2026-02-20T18:45:00+01:00</t>
  </si>
  <si>
    <t>2026-02-21T17:30:00+01:00</t>
  </si>
  <si>
    <t>2026-02-23T18:45:00+01:00</t>
  </si>
  <si>
    <t>Gerlando Cavaleri</t>
  </si>
  <si>
    <t>2026-02-24T18:45:00+01:00</t>
  </si>
  <si>
    <t>2026-02-25T18:45:00+01:00</t>
  </si>
  <si>
    <t>2026-02-26T18:45:00+01:00</t>
  </si>
  <si>
    <t>2026-02-27T18:45:00+01:00</t>
  </si>
  <si>
    <t>2026-02-28T17:30:00+01:00</t>
  </si>
  <si>
    <t>40251_February_2026.json</t>
  </si>
  <si>
    <t>2026-02-02T17:00:00+01:00</t>
  </si>
  <si>
    <t>2026-02-03T17:00:00+01:00</t>
  </si>
  <si>
    <t>2026-02-04T17:00:00+01:00</t>
  </si>
  <si>
    <t>2026-02-06T17:00:00+01:00</t>
  </si>
  <si>
    <t>2026-02-07T17:00:00+01:00</t>
  </si>
  <si>
    <t>2026-02-08T17:00:00+01:00</t>
  </si>
  <si>
    <t>2026-02-09T17:00:00+01:00</t>
  </si>
  <si>
    <t>2026-02-10T17:00:00+01:00</t>
  </si>
  <si>
    <t>2026-02-11T17:00:00+01:00</t>
  </si>
  <si>
    <t>2026-02-12T17:00:00+01:00</t>
  </si>
  <si>
    <t>2026-02-13T17:00:00+01:00</t>
  </si>
  <si>
    <t>2026-02-14T17:00:00+01:00</t>
  </si>
  <si>
    <t>2026-02-16T17:00:00+01:00</t>
  </si>
  <si>
    <t>2026-02-17T17:00:00+01:00</t>
  </si>
  <si>
    <t>2026-02-18T17:00:00+01:00</t>
  </si>
  <si>
    <t>2026-02-19T17:00:00+01:00</t>
  </si>
  <si>
    <t>2026-02-20T17:00:00+01:00</t>
  </si>
  <si>
    <t>2026-02-21T17:00:00+01:00</t>
  </si>
  <si>
    <t>2026-02-22T17:00:00+01:00</t>
  </si>
  <si>
    <t>2026-02-23T17:00:00+01:00</t>
  </si>
  <si>
    <t>2026-02-24T17:00:00+01:00</t>
  </si>
  <si>
    <t>2026-02-25T17:00:00+01:00</t>
  </si>
  <si>
    <t>2026-02-26T17:00:00+01:00</t>
  </si>
  <si>
    <t>2026-02-27T17:00:00+01:00</t>
  </si>
  <si>
    <t>52981_February_2026.json</t>
  </si>
  <si>
    <t>53812_February_2026.json</t>
  </si>
  <si>
    <t>2026-02-01T19:00:00+01:00</t>
  </si>
  <si>
    <t>2026-02-02T19:00:00+01:00</t>
  </si>
  <si>
    <t>2026-02-03T19:00:00+01:00</t>
  </si>
  <si>
    <t>2026-02-04T19:00:00+01:00</t>
  </si>
  <si>
    <t>2026-02-05T19:00:00+01:00</t>
  </si>
  <si>
    <t>2026-02-06T19:00:00+01:00</t>
  </si>
  <si>
    <t>2026-02-07T19:00:00+01:00</t>
  </si>
  <si>
    <t>2026-02-08T19:00:00+01:00</t>
  </si>
  <si>
    <t>2026-02-09T19:00:00+01:00</t>
  </si>
  <si>
    <t>2026-02-10T19:00:00+01:00</t>
  </si>
  <si>
    <t>2026-02-11T19:00:00+01:00</t>
  </si>
  <si>
    <t>2026-02-12T19:00:00+01:00</t>
  </si>
  <si>
    <t>2026-02-13T19:00:00+01:00</t>
  </si>
  <si>
    <t>2026-02-14T19:00:00+01:00</t>
  </si>
  <si>
    <t>2026-02-15T19:00:00+01:00</t>
  </si>
  <si>
    <t>2026-02-16T19:00:00+01:00</t>
  </si>
  <si>
    <t>2026-02-17T19:00:00+01:00</t>
  </si>
  <si>
    <t>2026-02-18T19:00:00+01:00</t>
  </si>
  <si>
    <t>2026-02-19T19:00:00+01:00</t>
  </si>
  <si>
    <t>2026-02-20T19:00:00+01:00</t>
  </si>
  <si>
    <t>2026-02-21T19:00:00+01:00</t>
  </si>
  <si>
    <t>2026-02-22T19:00:00+01:00</t>
  </si>
  <si>
    <t>2026-02-23T19:00:00+01:00</t>
  </si>
  <si>
    <t>2026-02-24T19:00:00+01:00</t>
  </si>
  <si>
    <t>2026-02-25T19:00:00+01:00</t>
  </si>
  <si>
    <t>2026-02-26T19:00:00+01:00</t>
  </si>
  <si>
    <t>2026-02-27T19:00:00+01:00</t>
  </si>
  <si>
    <t>2026-02-28T19:00:00+01:00</t>
  </si>
  <si>
    <t>57579_February_2026.json</t>
  </si>
  <si>
    <t>2026-02-02T23:55:00+01:00</t>
  </si>
  <si>
    <t>2026-02-04T23:55:00+01:00</t>
  </si>
  <si>
    <t>2026-02-06T23:55:00+01:00</t>
  </si>
  <si>
    <t>2026-02-09T23:55:00+01:00</t>
  </si>
  <si>
    <t>2026-02-11T23:55:00+01:00</t>
  </si>
  <si>
    <t>2026-02-13T23:55:00+01:00</t>
  </si>
  <si>
    <t>2026-02-16T23:55:00+01:00</t>
  </si>
  <si>
    <t>2026-02-18T23:55:00+01:00</t>
  </si>
  <si>
    <t>2026-02-20T23:55:00+01:00</t>
  </si>
  <si>
    <t>2026-02-23T23:55:00+01:00</t>
  </si>
  <si>
    <t>2026-02-25T23:55:00+01:00</t>
  </si>
  <si>
    <t>2026-02-27T23:55:00+01:00</t>
  </si>
  <si>
    <t>61227_February_2026.json</t>
  </si>
  <si>
    <t>2026-02-01T20:00:00+01:00</t>
  </si>
  <si>
    <t>2026-02-02T20:00:00+01:00</t>
  </si>
  <si>
    <t>2026-02-03T20:00:00+01:00</t>
  </si>
  <si>
    <t>2026-02-04T20:00:00+01:00</t>
  </si>
  <si>
    <t>2026-02-05T20:00:00+01:00</t>
  </si>
  <si>
    <t>2026-02-06T20:00:00+01:00</t>
  </si>
  <si>
    <t>2026-02-07T20:00:00+01:00</t>
  </si>
  <si>
    <t>2026-02-08T20:00:00+01:00</t>
  </si>
  <si>
    <t>2026-02-09T20:00:00+01:00</t>
  </si>
  <si>
    <t>2026-02-10T20:00:00+01:00</t>
  </si>
  <si>
    <t>2026-02-11T20:00:00+01:00</t>
  </si>
  <si>
    <t>2026-02-12T20:00:00+01:00</t>
  </si>
  <si>
    <t>2026-02-13T20:00:00+01:00</t>
  </si>
  <si>
    <t>2026-02-14T20:00:00+01:00</t>
  </si>
  <si>
    <t>2026-02-15T20:00:00+01:00</t>
  </si>
  <si>
    <t>2026-02-16T20:00:00+01:00</t>
  </si>
  <si>
    <t>2026-02-17T20:00:00+01:00</t>
  </si>
  <si>
    <t>2026-02-18T20:00:00+01:00</t>
  </si>
  <si>
    <t>2026-02-19T20:00:00+01:00</t>
  </si>
  <si>
    <t>2026-02-20T20:00:00+01:00</t>
  </si>
  <si>
    <t>2026-02-21T20:00:00+01:00</t>
  </si>
  <si>
    <t>2026-02-22T20:00:00+01:00</t>
  </si>
  <si>
    <t>2026-02-23T20:00:00+01:00</t>
  </si>
  <si>
    <t>2026-02-24T20:00:00+01:00</t>
  </si>
  <si>
    <t>2026-02-25T20:00:00+01:00</t>
  </si>
  <si>
    <t>2026-02-26T20:00:00+01:00</t>
  </si>
  <si>
    <t>2026-02-27T20:00:00+01:00</t>
  </si>
  <si>
    <t>2026-02-28T20:00:00+01:00</t>
  </si>
  <si>
    <t>65213_February_2026.json</t>
  </si>
  <si>
    <t>2026-02-02T16:00:00+01:00</t>
  </si>
  <si>
    <t>2026-02-04T16:00:00+01:00</t>
  </si>
  <si>
    <t>2026-02-06T16:00:00+01:00</t>
  </si>
  <si>
    <t>2026-02-07T16:00:00+01:00</t>
  </si>
  <si>
    <t>2026-02-09T16:00:00+01:00</t>
  </si>
  <si>
    <t>2026-02-11T16:00:00+01:00</t>
  </si>
  <si>
    <t>2026-02-13T16:00:00+01:00</t>
  </si>
  <si>
    <t>2026-02-14T16:00:00+01:00</t>
  </si>
  <si>
    <t>2026-02-16T16:00:00+01:00</t>
  </si>
  <si>
    <t>2026-02-18T16:00:00+01:00</t>
  </si>
  <si>
    <t>2026-02-20T16:00:00+01:00</t>
  </si>
  <si>
    <t>2026-02-21T16:00:00+01:00</t>
  </si>
  <si>
    <t>2026-02-23T16:00:00+01:00</t>
  </si>
  <si>
    <t>2026-02-25T16:00:00+01:00</t>
  </si>
  <si>
    <t>2026-02-27T16:00:00+01:00</t>
  </si>
  <si>
    <t>2026-02-28T16:00:00+01:00</t>
  </si>
  <si>
    <t>66763_February_2026.json</t>
  </si>
  <si>
    <t>2026-02-03T18:00:00+01:00</t>
  </si>
  <si>
    <t>2026-02-06T18:00:00+01:00</t>
  </si>
  <si>
    <t>2026-02-10T18:00:00+01:00</t>
  </si>
  <si>
    <t>2026-02-13T18:00:00+01:00</t>
  </si>
  <si>
    <t>2026-02-17T18:00:00+01:00</t>
  </si>
  <si>
    <t>2026-02-20T18:00:00+01:00</t>
  </si>
  <si>
    <t>Sabine Mönkemöller</t>
  </si>
  <si>
    <t>2026-02-24T18:00:00+01:00</t>
  </si>
  <si>
    <t>2026-02-27T18:00:00+01:00</t>
  </si>
  <si>
    <t>67344_February_2026.json</t>
  </si>
  <si>
    <t>32714_March_2026.json</t>
  </si>
  <si>
    <t>2026-03-02T18:45:00+01:00</t>
  </si>
  <si>
    <t>2026-03-03T18:45:00+01:00</t>
  </si>
  <si>
    <t>2026-03-04T18:45:00+01:00</t>
  </si>
  <si>
    <t>2026-03-05T18:45:00+01:00</t>
  </si>
  <si>
    <t>2026-03-06T18:45:00+01:00</t>
  </si>
  <si>
    <t>2026-03-07T17:30:00+01:00</t>
  </si>
  <si>
    <t>2026-03-09T18:45:00+01:00</t>
  </si>
  <si>
    <t>2026-03-10T18:45:00+01:00</t>
  </si>
  <si>
    <t>2026-03-11T18:45:00+01:00</t>
  </si>
  <si>
    <t>2026-03-12T18:45:00+01:00</t>
  </si>
  <si>
    <t>2026-03-13T18:45:00+01:00</t>
  </si>
  <si>
    <t>2026-03-14T17:30:00+01:00</t>
  </si>
  <si>
    <t>2026-03-16T18:45:00+01:00</t>
  </si>
  <si>
    <t>2026-03-17T18:45:00+01:00</t>
  </si>
  <si>
    <t>2026-03-18T18:45:00+01:00</t>
  </si>
  <si>
    <t>2026-03-19T18:45:00+01:00</t>
  </si>
  <si>
    <t>2026-03-20T18:45:00+01:00</t>
  </si>
  <si>
    <t>2026-03-23T18:45:00+01:00</t>
  </si>
  <si>
    <t>2026-03-24T18:45:00+01:00</t>
  </si>
  <si>
    <t>2026-03-25T18:45:00+01:00</t>
  </si>
  <si>
    <t>2026-03-26T18:45:00+01:00</t>
  </si>
  <si>
    <t>2026-03-27T18:45:00+01:00</t>
  </si>
  <si>
    <t>40251_March_2026.json</t>
  </si>
  <si>
    <t>2026-03-01T17:00:00+01:00</t>
  </si>
  <si>
    <t>2026-03-02T17:00:00+01:00</t>
  </si>
  <si>
    <t>2026-03-03T17:00:00+01:00</t>
  </si>
  <si>
    <t>2026-03-04T17:00:00+01:00</t>
  </si>
  <si>
    <t>2026-03-05T17:00:00+01:00</t>
  </si>
  <si>
    <t>Gabriele</t>
  </si>
  <si>
    <t>2026-03-06T17:00:00+01:00</t>
  </si>
  <si>
    <t>2026-03-11T17:00:00+01:00</t>
  </si>
  <si>
    <t>2026-03-12T17:00:00+01:00</t>
  </si>
  <si>
    <t>2026-03-13T17:00:00+01:00</t>
  </si>
  <si>
    <t>2026-03-14T17:00:00+01:00</t>
  </si>
  <si>
    <t>2026-03-15T17:00:00+01:00</t>
  </si>
  <si>
    <t>2026-03-16T17:00:00+01:00</t>
  </si>
  <si>
    <t>2026-03-17T17:00:00+01:00</t>
  </si>
  <si>
    <t>2026-03-18T17:00:00+01:00</t>
  </si>
  <si>
    <t>2026-03-19T17:00:00+01:00</t>
  </si>
  <si>
    <t>2026-03-20T17:00:00+01:00</t>
  </si>
  <si>
    <t>2026-03-22T17:00:00+01:00</t>
  </si>
  <si>
    <t>2026-03-23T17:00:00+01:00</t>
  </si>
  <si>
    <t>2026-03-24T17:00:00+01:00</t>
  </si>
  <si>
    <t>2026-03-25T17:00:00+01:00</t>
  </si>
  <si>
    <t>2026-03-26T17:00:00+01:00</t>
  </si>
  <si>
    <t>2026-03-27T17:00:00+01:00</t>
  </si>
  <si>
    <t>2026-03-28T17:00:00+01:00</t>
  </si>
  <si>
    <t>2026-03-29T17:00:00+02:00</t>
  </si>
  <si>
    <t>2026-03-30T17:00:00+02:00</t>
  </si>
  <si>
    <t>2026-03-31T17:00:00+02:00</t>
  </si>
  <si>
    <t>53812_March_2026.json</t>
  </si>
  <si>
    <t>2026-03-01T19:00:00+01:00</t>
  </si>
  <si>
    <t>2026-03-02T19:00:00+01:00</t>
  </si>
  <si>
    <t>2026-03-03T19:00:00+01:00</t>
  </si>
  <si>
    <t>2026-03-04T19:00:00+01:00</t>
  </si>
  <si>
    <t>2026-03-05T19:00:00+01:00</t>
  </si>
  <si>
    <t>2026-03-06T19:00:00+01:00</t>
  </si>
  <si>
    <t>2026-03-07T19:00:00+01:00</t>
  </si>
  <si>
    <t>2026-03-08T19:00:00+01:00</t>
  </si>
  <si>
    <t>2026-03-09T19:00:00+01:00</t>
  </si>
  <si>
    <t>2026-03-10T19:00:00+01:00</t>
  </si>
  <si>
    <t>2026-03-11T19:00:00+01:00</t>
  </si>
  <si>
    <t>2026-03-12T19:00:00+01:00</t>
  </si>
  <si>
    <t>2026-03-13T19:00:00+01:00</t>
  </si>
  <si>
    <t>2026-03-14T14:00:00+01:00</t>
  </si>
  <si>
    <t>2026-03-14T19:00:00+01:00</t>
  </si>
  <si>
    <t>2026-03-15T19:00:00+01:00</t>
  </si>
  <si>
    <t>2026-03-16T19:00:00+01:00</t>
  </si>
  <si>
    <t>2026-03-17T19:00:00+01:00</t>
  </si>
  <si>
    <t>2026-03-18T19:00:00+01:00</t>
  </si>
  <si>
    <t>2026-03-19T19:00:00+01:00</t>
  </si>
  <si>
    <t>2026-03-20T19:00:00+01:00</t>
  </si>
  <si>
    <t>2026-03-21T19:00:00+01:00</t>
  </si>
  <si>
    <t>2026-03-22T19:00:00+01:00</t>
  </si>
  <si>
    <t>2026-03-23T19:00:00+01:00</t>
  </si>
  <si>
    <t>2026-03-24T19:00:00+01:00</t>
  </si>
  <si>
    <t>2026-03-25T19:00:00+01:00</t>
  </si>
  <si>
    <t>2026-03-26T19:00:00+01:00</t>
  </si>
  <si>
    <t>2026-03-27T19:00:00+01:00</t>
  </si>
  <si>
    <t>2026-03-28T19:00:00+01:00</t>
  </si>
  <si>
    <t>2026-03-29T19:00:00+02:00</t>
  </si>
  <si>
    <t>2026-03-30T19:00:00+02:00</t>
  </si>
  <si>
    <t>2026-03-31T19:00:00+02:00</t>
  </si>
  <si>
    <t>57579_March_2026.json</t>
  </si>
  <si>
    <t>2026-03-02T23:55:00+01:00</t>
  </si>
  <si>
    <t>2026-03-04T23:55:00+01:00</t>
  </si>
  <si>
    <t>2026-03-06T23:55:00+01:00</t>
  </si>
  <si>
    <t>2026-03-09T23:55:00+01:00</t>
  </si>
  <si>
    <t>2026-03-11T23:55:00+01:00</t>
  </si>
  <si>
    <t>2026-03-13T23:55:00+01:00</t>
  </si>
  <si>
    <t>2026-03-16T23:55:00+01:00</t>
  </si>
  <si>
    <t>2026-03-18T23:55:00+01:00</t>
  </si>
  <si>
    <t>2026-03-20T23:55:00+01:00</t>
  </si>
  <si>
    <t>2026-03-23T23:55:00+01:00</t>
  </si>
  <si>
    <t>2026-03-25T23:55:00+01:00</t>
  </si>
  <si>
    <t>2026-03-27T23:55:00+01:00</t>
  </si>
  <si>
    <t>2026-03-30T23:55:00+02:00</t>
  </si>
  <si>
    <t>61227_March_2026.json</t>
  </si>
  <si>
    <t>2026-03-01T20:00:00+01:00</t>
  </si>
  <si>
    <t>2026-03-02T20:00:00+01:00</t>
  </si>
  <si>
    <t>2026-03-03T20:00:00+01:00</t>
  </si>
  <si>
    <t>2026-03-04T20:00:00+01:00</t>
  </si>
  <si>
    <t>2026-03-05T20:00:00+01:00</t>
  </si>
  <si>
    <t>2026-03-06T20:00:00+01:00</t>
  </si>
  <si>
    <t>2026-03-07T20:00:00+01:00</t>
  </si>
  <si>
    <t>2026-03-08T20:00:00+01:00</t>
  </si>
  <si>
    <t>2026-03-09T20:00:00+01:00</t>
  </si>
  <si>
    <t>2026-03-10T20:00:00+01:00</t>
  </si>
  <si>
    <t>2026-03-11T20:00:00+01:00</t>
  </si>
  <si>
    <t>2026-03-12T20:00:00+01:00</t>
  </si>
  <si>
    <t>2026-03-13T20:00:00+01:00</t>
  </si>
  <si>
    <t>2026-03-14T20:00:00+01:00</t>
  </si>
  <si>
    <t>2026-03-15T20:00:00+01:00</t>
  </si>
  <si>
    <t>2026-03-16T20:00:00+01:00</t>
  </si>
  <si>
    <t>2026-03-17T20:00:00+01:00</t>
  </si>
  <si>
    <t>2026-03-18T20:00:00+01:00</t>
  </si>
  <si>
    <t>2026-03-19T20:00:00+01:00</t>
  </si>
  <si>
    <t>2026-03-20T20:00:00+01:00</t>
  </si>
  <si>
    <t>2026-03-21T20:00:00+01:00</t>
  </si>
  <si>
    <t>2026-03-22T20:00:00+01:00</t>
  </si>
  <si>
    <t>2026-03-23T20:00:00+01:00</t>
  </si>
  <si>
    <t>2026-03-24T20:00:00+01:00</t>
  </si>
  <si>
    <t>2026-03-25T20:00:00+01:00</t>
  </si>
  <si>
    <t>2026-03-26T20:00:00+01:00</t>
  </si>
  <si>
    <t>2026-03-27T20:00:00+01:00</t>
  </si>
  <si>
    <t>2026-03-28T20:00:00+01:00</t>
  </si>
  <si>
    <t>2026-03-29T20:00:00+02:00</t>
  </si>
  <si>
    <t>2026-03-31T20:00:00+02:00</t>
  </si>
  <si>
    <t>65213_March_2026.json</t>
  </si>
  <si>
    <t>2026-03-02T16:00:00+01:00</t>
  </si>
  <si>
    <t>2026-03-04T16:00:00+01:00</t>
  </si>
  <si>
    <t>2026-03-06T16:00:00+01:00</t>
  </si>
  <si>
    <t>2026-03-07T16:00:00+01:00</t>
  </si>
  <si>
    <t>2026-03-09T16:00:00+01:00</t>
  </si>
  <si>
    <t>2026-03-11T16:00:00+01:00</t>
  </si>
  <si>
    <t>2026-03-13T16:00:00+01:00</t>
  </si>
  <si>
    <t>2026-03-14T16:00:00+01:00</t>
  </si>
  <si>
    <t>2026-03-16T16:00:00+01:00</t>
  </si>
  <si>
    <t>2026-03-18T16:00:00+01:00</t>
  </si>
  <si>
    <t>2026-03-20T16:00:00+01:00</t>
  </si>
  <si>
    <t>2026-03-21T16:00:00+01:00</t>
  </si>
  <si>
    <t>2026-03-23T16:00:00+01:00</t>
  </si>
  <si>
    <t>2026-03-25T16:00:00+01:00</t>
  </si>
  <si>
    <t>2026-03-27T16:00:00+01:00</t>
  </si>
  <si>
    <t>2026-03-28T16:00:00+01:00</t>
  </si>
  <si>
    <t>2026-03-30T16:00:00+02:00</t>
  </si>
  <si>
    <t>66763_March_2026.json</t>
  </si>
  <si>
    <t>2026-03-03T18:00:00+01:00</t>
  </si>
  <si>
    <t>2026-03-06T18:00:00+01:00</t>
  </si>
  <si>
    <t>2026-03-10T18:00:00+01:00</t>
  </si>
  <si>
    <t>2026-03-13T18:00:00+01:00</t>
  </si>
  <si>
    <t>2026-03-17T18:00:00+01:00</t>
  </si>
  <si>
    <t>2026-03-20T18:00:00+01:00</t>
  </si>
  <si>
    <t>2026-03-24T18:00:00+01:00</t>
  </si>
  <si>
    <t>2026-03-27T18:00:00+01:00</t>
  </si>
  <si>
    <t>2026-03-31T18:00:00+02:00</t>
  </si>
  <si>
    <t>67344_March_2026.json</t>
  </si>
  <si>
    <t>Spalte1</t>
  </si>
  <si>
    <t>1121_January_2026.json</t>
  </si>
  <si>
    <t>2026-01-02T18:00:00+01:00</t>
  </si>
  <si>
    <t>2026-01-02T19:30:00+01:00</t>
  </si>
  <si>
    <t>Kübra nur Sencan</t>
  </si>
  <si>
    <t>2026-01-02T21:00:00+01:00</t>
  </si>
  <si>
    <t>2026-01-03T18:00:00+01:00</t>
  </si>
  <si>
    <t>Alexandra Päzolt</t>
  </si>
  <si>
    <t>2026-01-03T20:50:00+01:00</t>
  </si>
  <si>
    <t>2026-01-05T20:30:00+01:00</t>
  </si>
  <si>
    <t>2026-01-07T10:00:00+01:00</t>
  </si>
  <si>
    <t>2026-01-07T10:01:00+01:00</t>
  </si>
  <si>
    <t>2026-01-08T10:00:00+01:00</t>
  </si>
  <si>
    <t>2026-01-09T18:10:00+01:00</t>
  </si>
  <si>
    <t>2026-01-09T18:55:00+01:00</t>
  </si>
  <si>
    <t>2026-01-10T00:09:00+01:00</t>
  </si>
  <si>
    <t>Marianne Anna Bauder</t>
  </si>
  <si>
    <t>2026-01-10T00:10:00+01:00</t>
  </si>
  <si>
    <t>2026-01-10T14:15:00+01:00</t>
  </si>
  <si>
    <t>2026-01-10T17:00:00+01:00</t>
  </si>
  <si>
    <t>2026-01-10T20:30:00+01:00</t>
  </si>
  <si>
    <t>2026-01-15T20:30:00+01:00</t>
  </si>
  <si>
    <t>2026-01-17T10:00:00+01:00</t>
  </si>
  <si>
    <t>2026-01-17T19:40:00+01:00</t>
  </si>
  <si>
    <t>2026-01-17T19:45:00+01:00</t>
  </si>
  <si>
    <t>2026-01-17T20:50:00+01:00</t>
  </si>
  <si>
    <t>2026-01-19T19:30:00+01:00</t>
  </si>
  <si>
    <t>2026-01-21T07:45:00+01:00</t>
  </si>
  <si>
    <t>2026-01-22T21:00:00+01:00</t>
  </si>
  <si>
    <t>2026-01-23T14:10:00+01:00</t>
  </si>
  <si>
    <t>2026-01-24T16:30:00+01:00</t>
  </si>
  <si>
    <t>2026-01-28T14:00:00+01:00</t>
  </si>
  <si>
    <t>2026-01-28T16:30:00+01:00</t>
  </si>
  <si>
    <t>2026-01-29T10:00:00+01:00</t>
  </si>
  <si>
    <t>2026-01-29T20:30:00+01:00</t>
  </si>
  <si>
    <t>2026-01-30T10:00:00+01:00</t>
  </si>
  <si>
    <t>2026-01-30T21:00:00+01:00</t>
  </si>
  <si>
    <t>2026-01-31T19:40:00+01:00</t>
  </si>
  <si>
    <t>2026-01-31T20:50:00+01:00</t>
  </si>
  <si>
    <t>2026-01-31T21:00:00+01:00</t>
  </si>
  <si>
    <t>12483_January_2026.json</t>
  </si>
  <si>
    <t>2026-01-01T18:40:00+01:00</t>
  </si>
  <si>
    <t>2026-01-02T18:40:00+01:00</t>
  </si>
  <si>
    <t>2026-01-03T18:30:00+01:00</t>
  </si>
  <si>
    <t>2026-01-04T18:30:00+01:00</t>
  </si>
  <si>
    <t>2026-01-05T18:40:00+01:00</t>
  </si>
  <si>
    <t>2026-01-06T18:40:00+01:00</t>
  </si>
  <si>
    <t>2026-01-07T18:40:00+01:00</t>
  </si>
  <si>
    <t>2026-01-08T18:30:00+01:00</t>
  </si>
  <si>
    <t>2026-01-09T18:30:00+01:00</t>
  </si>
  <si>
    <t>2026-01-10T18:40:00+01:00</t>
  </si>
  <si>
    <t>2026-01-11T18:40:00+01:00</t>
  </si>
  <si>
    <t>2026-01-12T18:40:00+01:00</t>
  </si>
  <si>
    <t>2026-01-13T18:40:00+01:00</t>
  </si>
  <si>
    <t>2026-01-14T18:40:00+01:00</t>
  </si>
  <si>
    <t>2026-01-15T18:40:00+01:00</t>
  </si>
  <si>
    <t>2026-01-16T18:40:00+01:00</t>
  </si>
  <si>
    <t>2026-01-17T18:30:00+01:00</t>
  </si>
  <si>
    <t>2026-01-18T18:30:00+01:00</t>
  </si>
  <si>
    <t>2026-01-19T18:40:00+01:00</t>
  </si>
  <si>
    <t>2026-01-20T18:40:00+01:00</t>
  </si>
  <si>
    <t>2026-01-21T18:30:00+01:00</t>
  </si>
  <si>
    <t>2026-01-22T18:40:00+01:00</t>
  </si>
  <si>
    <t>2026-01-23T18:30:00+01:00</t>
  </si>
  <si>
    <t>2026-01-24T18:30:00+01:00</t>
  </si>
  <si>
    <t>2026-01-25T18:30:00+01:00</t>
  </si>
  <si>
    <t>2026-01-26T18:30:00+01:00</t>
  </si>
  <si>
    <t>2026-01-27T18:30:00+01:00</t>
  </si>
  <si>
    <t>2026-01-28T18:30:00+01:00</t>
  </si>
  <si>
    <t>2026-01-29T18:30:00+01:00</t>
  </si>
  <si>
    <t>2026-01-30T18:30:00+01:00</t>
  </si>
  <si>
    <t>2026-01-31T18:30:00+01:00</t>
  </si>
  <si>
    <t>12530_January_2026.json</t>
  </si>
  <si>
    <t>12984_January_2026.json</t>
  </si>
  <si>
    <t>2026-01-03T15:30:00+01:00</t>
  </si>
  <si>
    <t>2026-01-07T17:30:00+01:00</t>
  </si>
  <si>
    <t>2026-01-10T15:30:00+01:00</t>
  </si>
  <si>
    <t>2026-01-14T17:30:00+01:00</t>
  </si>
  <si>
    <t>2026-01-17T15:30:00+01:00</t>
  </si>
  <si>
    <t>2026-01-21T17:30:00+01:00</t>
  </si>
  <si>
    <t>2026-01-24T15:30:00+01:00</t>
  </si>
  <si>
    <t>2026-01-28T17:30:00+01:00</t>
  </si>
  <si>
    <t>Nineli Tandilashvili Jalali</t>
  </si>
  <si>
    <t>2026-01-31T15:30:00+01:00</t>
  </si>
  <si>
    <t>15150_January_2026.json</t>
  </si>
  <si>
    <t>2026-01-09T17:45:00+01:00</t>
  </si>
  <si>
    <t>Isabelle Wetzstein</t>
  </si>
  <si>
    <t>2026-01-13T17:45:00+01:00</t>
  </si>
  <si>
    <t>2026-01-16T17:45:00+01:00</t>
  </si>
  <si>
    <t>2026-01-20T17:45:00+01:00</t>
  </si>
  <si>
    <t>2026-01-23T17:45:00+01:00</t>
  </si>
  <si>
    <t>Deborah Maier</t>
  </si>
  <si>
    <t>2026-01-27T17:45:00+01:00</t>
  </si>
  <si>
    <t>2026-01-30T17:45:00+01:00</t>
  </si>
  <si>
    <t>18561_January_2026.json</t>
  </si>
  <si>
    <t>2026-01-05T18:00:00+01:00</t>
  </si>
  <si>
    <t>2026-01-08T18:00:00+01:00</t>
  </si>
  <si>
    <t>2026-01-12T18:00:00+01:00</t>
  </si>
  <si>
    <t>2026-01-15T18:00:00+01:00</t>
  </si>
  <si>
    <t>2026-01-22T18:00:00+01:00</t>
  </si>
  <si>
    <t>2026-01-26T18:00:00+01:00</t>
  </si>
  <si>
    <t>2026-01-29T18:00:00+01:00</t>
  </si>
  <si>
    <t>18862_January_2026.json</t>
  </si>
  <si>
    <t>21728_January_2026.json</t>
  </si>
  <si>
    <t>2026-01-02T17:15:00+01:00</t>
  </si>
  <si>
    <t>2026-01-09T17:15:00+01:00</t>
  </si>
  <si>
    <t>2026-01-16T17:15:00+01:00</t>
  </si>
  <si>
    <t>2026-01-23T17:15:00+01:00</t>
  </si>
  <si>
    <t>2026-01-30T17:15:00+01:00</t>
  </si>
  <si>
    <t>24590_January_2026.json</t>
  </si>
  <si>
    <t>2026-01-02T18:55:00+01:00</t>
  </si>
  <si>
    <t>2026-01-03T15:55:00+01:00</t>
  </si>
  <si>
    <t>2026-01-04T15:55:00+01:00</t>
  </si>
  <si>
    <t>2026-01-05T18:55:00+01:00</t>
  </si>
  <si>
    <t>2026-01-06T18:55:00+01:00</t>
  </si>
  <si>
    <t>2026-01-07T18:55:00+01:00</t>
  </si>
  <si>
    <t>2026-01-08T18:55:00+01:00</t>
  </si>
  <si>
    <t>2026-01-10T15:55:00+01:00</t>
  </si>
  <si>
    <t>2026-01-11T15:55:00+01:00</t>
  </si>
  <si>
    <t>2026-01-12T18:55:00+01:00</t>
  </si>
  <si>
    <t>2026-01-13T18:55:00+01:00</t>
  </si>
  <si>
    <t>2026-01-14T18:55:00+01:00</t>
  </si>
  <si>
    <t>2026-01-15T18:55:00+01:00</t>
  </si>
  <si>
    <t>2026-01-16T18:55:00+01:00</t>
  </si>
  <si>
    <t>2026-01-17T15:55:00+01:00</t>
  </si>
  <si>
    <t>2026-01-18T15:55:00+01:00</t>
  </si>
  <si>
    <t>2026-01-19T18:55:00+01:00</t>
  </si>
  <si>
    <t>2026-01-20T18:55:00+01:00</t>
  </si>
  <si>
    <t>2026-01-21T18:55:00+01:00</t>
  </si>
  <si>
    <t>2026-01-22T18:55:00+01:00</t>
  </si>
  <si>
    <t>2026-01-23T18:55:00+01:00</t>
  </si>
  <si>
    <t>2026-01-24T15:55:00+01:00</t>
  </si>
  <si>
    <t>2026-01-25T15:55:00+01:00</t>
  </si>
  <si>
    <t>2026-01-26T18:55:00+01:00</t>
  </si>
  <si>
    <t>Abdelouahed El Haddaoui</t>
  </si>
  <si>
    <t>2026-01-27T18:55:00+01:00</t>
  </si>
  <si>
    <t>2026-01-28T18:55:00+01:00</t>
  </si>
  <si>
    <t>2026-01-29T18:55:00+01:00</t>
  </si>
  <si>
    <t>2026-01-30T18:55:00+01:00</t>
  </si>
  <si>
    <t>2026-01-31T15:55:00+01:00</t>
  </si>
  <si>
    <t>25330_January_2026.json</t>
  </si>
  <si>
    <t>2026-01-03T16:40:00+01:00</t>
  </si>
  <si>
    <t>2026-01-10T16:40:00+01:00</t>
  </si>
  <si>
    <t>2026-01-17T16:40:00+01:00</t>
  </si>
  <si>
    <t>2026-01-24T16:40:00+01:00</t>
  </si>
  <si>
    <t>2026-01-31T16:40:00+01:00</t>
  </si>
  <si>
    <t>26379_January_2026.json</t>
  </si>
  <si>
    <t>2026-01-12T14:30:00+01:00</t>
  </si>
  <si>
    <t>2026-01-13T14:30:00+01:00</t>
  </si>
  <si>
    <t>2026-01-14T14:30:00+01:00</t>
  </si>
  <si>
    <t>2026-01-15T14:30:00+01:00</t>
  </si>
  <si>
    <t>2026-01-16T14:30:00+01:00</t>
  </si>
  <si>
    <t>2026-01-19T14:30:00+01:00</t>
  </si>
  <si>
    <t>2026-01-20T14:30:00+01:00</t>
  </si>
  <si>
    <t>2026-01-21T14:30:00+01:00</t>
  </si>
  <si>
    <t>2026-01-22T14:30:00+01:00</t>
  </si>
  <si>
    <t>2026-01-23T14:30:00+01:00</t>
  </si>
  <si>
    <t>2026-01-26T14:30:00+01:00</t>
  </si>
  <si>
    <t>2026-01-27T14:30:00+01:00</t>
  </si>
  <si>
    <t>2026-01-28T14:30:00+01:00</t>
  </si>
  <si>
    <t>2026-01-29T14:30:00+01:00</t>
  </si>
  <si>
    <t>2026-01-30T14:30:00+01:00</t>
  </si>
  <si>
    <t>29222_January_2026.json</t>
  </si>
  <si>
    <t>2026-01-02T21:55:00+01:00</t>
  </si>
  <si>
    <t>2026-01-03T21:55:00+01:00</t>
  </si>
  <si>
    <t>2026-01-05T21:55:00+01:00</t>
  </si>
  <si>
    <t xml:space="preserve">Mandy Reisig </t>
  </si>
  <si>
    <t>2026-01-07T21:55:00+01:00</t>
  </si>
  <si>
    <t>2026-01-09T21:55:00+01:00</t>
  </si>
  <si>
    <t>2026-01-10T21:55:00+01:00</t>
  </si>
  <si>
    <t>2026-01-12T21:55:00+01:00</t>
  </si>
  <si>
    <t>2026-01-13T21:55:00+01:00</t>
  </si>
  <si>
    <t>2026-01-14T21:55:00+01:00</t>
  </si>
  <si>
    <t>2026-01-15T21:55:00+01:00</t>
  </si>
  <si>
    <t>2026-01-16T21:55:00+01:00</t>
  </si>
  <si>
    <t>2026-01-17T21:55:00+01:00</t>
  </si>
  <si>
    <t>2026-01-19T21:55:00+01:00</t>
  </si>
  <si>
    <t>2026-01-20T21:55:00+01:00</t>
  </si>
  <si>
    <t>2026-01-21T21:55:00+01:00</t>
  </si>
  <si>
    <t>2026-01-22T21:55:00+01:00</t>
  </si>
  <si>
    <t>2026-01-23T21:55:00+01:00</t>
  </si>
  <si>
    <t>2026-01-24T21:55:00+01:00</t>
  </si>
  <si>
    <t>2026-01-26T21:55:00+01:00</t>
  </si>
  <si>
    <t>2026-01-27T21:55:00+01:00</t>
  </si>
  <si>
    <t>2026-01-28T21:55:00+01:00</t>
  </si>
  <si>
    <t>2026-01-29T21:55:00+01:00</t>
  </si>
  <si>
    <t>2026-01-30T21:55:00+01:00</t>
  </si>
  <si>
    <t>29931_January_2026.json</t>
  </si>
  <si>
    <t>2026-01-03T15:45:00+01:00</t>
  </si>
  <si>
    <t>2026-01-10T15:45:00+01:00</t>
  </si>
  <si>
    <t>Luisa Beck</t>
  </si>
  <si>
    <t>2026-01-17T15:45:00+01:00</t>
  </si>
  <si>
    <t>2026-01-24T15:45:00+01:00</t>
  </si>
  <si>
    <t>2026-01-31T15:45:00+01:00</t>
  </si>
  <si>
    <t>30001_January_2026.json</t>
  </si>
  <si>
    <t>2026-01-01T19:30:00+01:00</t>
  </si>
  <si>
    <t>2026-01-03T20:30:00+01:00</t>
  </si>
  <si>
    <t>2026-01-08T19:30:00+01:00</t>
  </si>
  <si>
    <t>2026-01-31T19:30:00+01:00</t>
  </si>
  <si>
    <t>2026-01-31T20:30:00+01:00</t>
  </si>
  <si>
    <t>30003_January_2026.json</t>
  </si>
  <si>
    <t>2026-01-07T18:00:00+01:00</t>
  </si>
  <si>
    <t>2026-01-10T15:00:00+01:00</t>
  </si>
  <si>
    <t>2026-01-14T18:00:00+01:00</t>
  </si>
  <si>
    <t>2026-01-17T15:00:00+01:00</t>
  </si>
  <si>
    <t>2026-01-21T18:00:00+01:00</t>
  </si>
  <si>
    <t>2026-01-24T15:00:00+01:00</t>
  </si>
  <si>
    <t>2026-01-28T18:00:00+01:00</t>
  </si>
  <si>
    <t>2026-01-31T15:00:00+01:00</t>
  </si>
  <si>
    <t>31069_January_2026.json</t>
  </si>
  <si>
    <t>2026-01-19T14:00:00+01:00</t>
  </si>
  <si>
    <t>2026-01-20T14:00:00+01:00</t>
  </si>
  <si>
    <t>2026-01-23T14:00:00+01:00</t>
  </si>
  <si>
    <t>31120_January_2026.json</t>
  </si>
  <si>
    <t>2026-01-09T13:30:00+01:00</t>
  </si>
  <si>
    <t>2026-01-12T15:00:00+01:00</t>
  </si>
  <si>
    <t>2026-01-16T15:00:00+01:00</t>
  </si>
  <si>
    <t>2026-01-21T15:00:00+01:00</t>
  </si>
  <si>
    <t>2026-01-22T15:00:00+01:00</t>
  </si>
  <si>
    <t>2026-01-26T15:00:00+01:00</t>
  </si>
  <si>
    <t>2026-01-30T15:00:00+01:00</t>
  </si>
  <si>
    <t>33087_January_2026.json</t>
  </si>
  <si>
    <t>2026-01-03T18:15:00+01:00</t>
  </si>
  <si>
    <t>2026-01-04T18:00:00+01:00</t>
  </si>
  <si>
    <t>2026-01-05T18:10:00+01:00</t>
  </si>
  <si>
    <t>2026-01-06T18:10:00+01:00</t>
  </si>
  <si>
    <t>2026-01-08T18:10:00+01:00</t>
  </si>
  <si>
    <t>2026-01-10T13:30:00+01:00</t>
  </si>
  <si>
    <t>2026-01-11T18:00:00+01:00</t>
  </si>
  <si>
    <t>2026-01-12T18:10:00+01:00</t>
  </si>
  <si>
    <t>2026-01-13T18:10:00+01:00</t>
  </si>
  <si>
    <t>2026-01-14T18:10:00+01:00</t>
  </si>
  <si>
    <t>2026-01-15T18:10:00+01:00</t>
  </si>
  <si>
    <t>2026-01-16T18:10:00+01:00</t>
  </si>
  <si>
    <t>2026-01-17T18:15:00+01:00</t>
  </si>
  <si>
    <t>2026-01-18T18:00:00+01:00</t>
  </si>
  <si>
    <t>2026-01-19T18:10:00+01:00</t>
  </si>
  <si>
    <t>2026-01-20T18:10:00+01:00</t>
  </si>
  <si>
    <t>2026-01-21T18:10:00+01:00</t>
  </si>
  <si>
    <t>2026-01-22T18:10:00+01:00</t>
  </si>
  <si>
    <t>2026-01-23T18:10:00+01:00</t>
  </si>
  <si>
    <t>2026-01-24T18:15:00+01:00</t>
  </si>
  <si>
    <t>2026-01-25T18:00:00+01:00</t>
  </si>
  <si>
    <t>2026-01-26T18:10:00+01:00</t>
  </si>
  <si>
    <t>2026-01-27T18:10:00+01:00</t>
  </si>
  <si>
    <t>2026-01-28T18:10:00+01:00</t>
  </si>
  <si>
    <t>2026-01-29T18:10:00+01:00</t>
  </si>
  <si>
    <t>2026-01-30T18:10:00+01:00</t>
  </si>
  <si>
    <t>2026-01-31T18:15:00+01:00</t>
  </si>
  <si>
    <t>34060_January_2026.json</t>
  </si>
  <si>
    <t>2026-01-03T17:40:00+01:00</t>
  </si>
  <si>
    <t>2026-01-04T16:15:00+01:00</t>
  </si>
  <si>
    <t>2026-01-10T17:40:00+01:00</t>
  </si>
  <si>
    <t>2026-01-11T16:15:00+01:00</t>
  </si>
  <si>
    <t>2026-01-24T17:40:00+01:00</t>
  </si>
  <si>
    <t>2026-01-25T16:15:00+01:00</t>
  </si>
  <si>
    <t>2026-01-31T17:40:00+01:00</t>
  </si>
  <si>
    <t>3738_January_2026.json</t>
  </si>
  <si>
    <t>2026-01-02T21:50:00+01:00</t>
  </si>
  <si>
    <t>2026-01-03T21:50:00+01:00</t>
  </si>
  <si>
    <t>2026-01-04T21:50:00+01:00</t>
  </si>
  <si>
    <t>2026-01-05T21:50:00+01:00</t>
  </si>
  <si>
    <t>2026-01-06T21:50:00+01:00</t>
  </si>
  <si>
    <t>2026-01-07T21:50:00+01:00</t>
  </si>
  <si>
    <t>2026-01-08T21:50:00+01:00</t>
  </si>
  <si>
    <t>2026-01-09T21:50:00+01:00</t>
  </si>
  <si>
    <t>2026-01-10T21:50:00+01:00</t>
  </si>
  <si>
    <t>2026-01-11T21:50:00+01:00</t>
  </si>
  <si>
    <t>2026-01-12T21:50:00+01:00</t>
  </si>
  <si>
    <t>2026-01-13T21:50:00+01:00</t>
  </si>
  <si>
    <t>2026-01-14T21:50:00+01:00</t>
  </si>
  <si>
    <t>2026-01-15T21:50:00+01:00</t>
  </si>
  <si>
    <t>2026-01-16T21:50:00+01:00</t>
  </si>
  <si>
    <t>2026-01-17T21:50:00+01:00</t>
  </si>
  <si>
    <t>2026-01-18T21:50:00+01:00</t>
  </si>
  <si>
    <t>2026-01-19T21:50:00+01:00</t>
  </si>
  <si>
    <t>2026-01-20T21:50:00+01:00</t>
  </si>
  <si>
    <t>2026-01-21T21:50:00+01:00</t>
  </si>
  <si>
    <t>2026-01-22T21:50:00+01:00</t>
  </si>
  <si>
    <t>2026-01-23T21:50:00+01:00</t>
  </si>
  <si>
    <t>2026-01-24T21:50:00+01:00</t>
  </si>
  <si>
    <t>2026-01-25T21:50:00+01:00</t>
  </si>
  <si>
    <t>2026-01-26T21:50:00+01:00</t>
  </si>
  <si>
    <t>2026-01-27T21:50:00+01:00</t>
  </si>
  <si>
    <t>2026-01-28T21:50:00+01:00</t>
  </si>
  <si>
    <t>2026-01-29T21:50:00+01:00</t>
  </si>
  <si>
    <t>2026-01-30T21:50:00+01:00</t>
  </si>
  <si>
    <t>2026-01-31T21:50:00+01:00</t>
  </si>
  <si>
    <t>4061_January_2026.json</t>
  </si>
  <si>
    <t>2026-01-03T16:30:00+01:00</t>
  </si>
  <si>
    <t>2026-01-04T16:30:00+01:00</t>
  </si>
  <si>
    <t>2026-01-08T17:30:00+01:00</t>
  </si>
  <si>
    <t>2026-01-09T17:30:00+01:00</t>
  </si>
  <si>
    <t>2026-01-10T16:30:00+01:00</t>
  </si>
  <si>
    <t>2026-01-11T16:30:00+01:00</t>
  </si>
  <si>
    <t>2026-01-15T17:30:00+01:00</t>
  </si>
  <si>
    <t>2026-01-16T17:30:00+01:00</t>
  </si>
  <si>
    <t>2026-01-17T16:30:00+01:00</t>
  </si>
  <si>
    <t>2026-01-18T16:30:00+01:00</t>
  </si>
  <si>
    <t>2026-01-22T17:30:00+01:00</t>
  </si>
  <si>
    <t>2026-01-23T17:30:00+01:00</t>
  </si>
  <si>
    <t>2026-01-25T16:30:00+01:00</t>
  </si>
  <si>
    <t>2026-01-29T17:30:00+01:00</t>
  </si>
  <si>
    <t>2026-01-30T17:30:00+01:00</t>
  </si>
  <si>
    <t>2026-01-31T16:30:00+01:00</t>
  </si>
  <si>
    <t>41891_January_2026.json</t>
  </si>
  <si>
    <t>2026-01-06T21:55:00+01:00</t>
  </si>
  <si>
    <t>2026-01-08T21:55:00+01:00</t>
  </si>
  <si>
    <t>2026-01-13T22:00:00+01:00</t>
  </si>
  <si>
    <t>2026-01-31T21:55:00+01:00</t>
  </si>
  <si>
    <t>45407_January_2026.json</t>
  </si>
  <si>
    <t>Laura Krech</t>
  </si>
  <si>
    <t>2026-01-04T17:00:00+01:00</t>
  </si>
  <si>
    <t>45984_January_2026.json</t>
  </si>
  <si>
    <t>Fouzia Elasraoui</t>
  </si>
  <si>
    <t>46028_January_2026.json</t>
  </si>
  <si>
    <t>2026-01-02T15:00:00+01:00</t>
  </si>
  <si>
    <t>2026-01-05T16:00:00+01:00</t>
  </si>
  <si>
    <t>2026-01-09T15:00:00+01:00</t>
  </si>
  <si>
    <t>2026-01-12T16:00:00+01:00</t>
  </si>
  <si>
    <t>2026-01-23T15:00:00+01:00</t>
  </si>
  <si>
    <t>47643_January_2026.json</t>
  </si>
  <si>
    <t>2026-01-03T13:00:00+01:00</t>
  </si>
  <si>
    <t>Bianca</t>
  </si>
  <si>
    <t>2026-01-10T13:00:00+01:00</t>
  </si>
  <si>
    <t>2026-01-17T13:00:00+01:00</t>
  </si>
  <si>
    <t>2026-01-24T13:00:00+01:00</t>
  </si>
  <si>
    <t>2026-01-31T13:00:00+01:00</t>
  </si>
  <si>
    <t>49255_January_2026.json</t>
  </si>
  <si>
    <t>2026-01-03T21:00:00+01:00</t>
  </si>
  <si>
    <t>2026-01-04T21:00:00+01:00</t>
  </si>
  <si>
    <t>2026-01-10T09:30:00+01:00</t>
  </si>
  <si>
    <t>2026-01-10T21:00:00+01:00</t>
  </si>
  <si>
    <t>2026-01-16T21:00:00+01:00</t>
  </si>
  <si>
    <t>2026-01-18T21:00:00+01:00</t>
  </si>
  <si>
    <t>2026-01-19T21:00:00+01:00</t>
  </si>
  <si>
    <t>2026-01-20T21:00:00+01:00</t>
  </si>
  <si>
    <t>2026-01-23T21:00:00+01:00</t>
  </si>
  <si>
    <t>4995_January_2026.json</t>
  </si>
  <si>
    <t>2026-01-05T13:15:00+01:00</t>
  </si>
  <si>
    <t>2026-01-07T13:15:00+01:00</t>
  </si>
  <si>
    <t>2026-01-09T13:15:00+01:00</t>
  </si>
  <si>
    <t>2026-01-12T13:15:00+01:00</t>
  </si>
  <si>
    <t>2026-01-14T13:15:00+01:00</t>
  </si>
  <si>
    <t>2026-01-16T13:15:00+01:00</t>
  </si>
  <si>
    <t>2026-01-19T13:15:00+01:00</t>
  </si>
  <si>
    <t>2026-01-21T13:15:00+01:00</t>
  </si>
  <si>
    <t>2026-01-23T13:15:00+01:00</t>
  </si>
  <si>
    <t>2026-01-26T13:15:00+01:00</t>
  </si>
  <si>
    <t>2026-01-28T13:15:00+01:00</t>
  </si>
  <si>
    <t>50404_January_2026.json</t>
  </si>
  <si>
    <t>2026-01-05T15:30:00+01:00</t>
  </si>
  <si>
    <t>2026-01-06T15:30:00+01:00</t>
  </si>
  <si>
    <t>2026-01-07T15:30:00+01:00</t>
  </si>
  <si>
    <t>2026-01-08T15:30:00+01:00</t>
  </si>
  <si>
    <t>2026-01-09T15:30:00+01:00</t>
  </si>
  <si>
    <t>2026-01-12T15:30:00+01:00</t>
  </si>
  <si>
    <t>2026-01-13T15:30:00+01:00</t>
  </si>
  <si>
    <t>2026-01-14T15:30:00+01:00</t>
  </si>
  <si>
    <t>2026-01-15T15:30:00+01:00</t>
  </si>
  <si>
    <t>2026-01-16T15:30:00+01:00</t>
  </si>
  <si>
    <t>2026-01-19T15:30:00+01:00</t>
  </si>
  <si>
    <t>2026-01-20T15:30:00+01:00</t>
  </si>
  <si>
    <t>2026-01-21T15:30:00+01:00</t>
  </si>
  <si>
    <t>2026-01-22T15:30:00+01:00</t>
  </si>
  <si>
    <t>2026-01-23T15:30:00+01:00</t>
  </si>
  <si>
    <t>2026-01-26T15:30:00+01:00</t>
  </si>
  <si>
    <t>2026-01-27T15:30:00+01:00</t>
  </si>
  <si>
    <t>2026-01-28T15:30:00+01:00</t>
  </si>
  <si>
    <t>2026-01-29T15:30:00+01:00</t>
  </si>
  <si>
    <t>2026-01-30T15:30:00+01:00</t>
  </si>
  <si>
    <t>50487_January_2026.json</t>
  </si>
  <si>
    <t>2026-01-02T16:45:00+01:00</t>
  </si>
  <si>
    <t>2026-01-03T16:45:00+01:00</t>
  </si>
  <si>
    <t>2026-01-05T16:45:00+01:00</t>
  </si>
  <si>
    <t>2026-01-06T16:45:00+01:00</t>
  </si>
  <si>
    <t>2026-01-07T16:45:00+01:00</t>
  </si>
  <si>
    <t>2026-01-08T16:45:00+01:00</t>
  </si>
  <si>
    <t>2026-01-09T16:45:00+01:00</t>
  </si>
  <si>
    <t>2026-01-10T16:45:00+01:00</t>
  </si>
  <si>
    <t>2026-01-12T16:45:00+01:00</t>
  </si>
  <si>
    <t>2026-01-13T16:45:00+01:00</t>
  </si>
  <si>
    <t>2026-01-14T16:45:00+01:00</t>
  </si>
  <si>
    <t>2026-01-15T16:45:00+01:00</t>
  </si>
  <si>
    <t>2026-01-16T16:45:00+01:00</t>
  </si>
  <si>
    <t>2026-01-17T16:45:00+01:00</t>
  </si>
  <si>
    <t>2026-01-19T16:45:00+01:00</t>
  </si>
  <si>
    <t>2026-01-20T16:45:00+01:00</t>
  </si>
  <si>
    <t>2026-01-21T16:45:00+01:00</t>
  </si>
  <si>
    <t>2026-01-22T16:45:00+01:00</t>
  </si>
  <si>
    <t>2026-01-23T16:45:00+01:00</t>
  </si>
  <si>
    <t>2026-01-24T16:45:00+01:00</t>
  </si>
  <si>
    <t>2026-01-26T16:45:00+01:00</t>
  </si>
  <si>
    <t>2026-01-27T16:45:00+01:00</t>
  </si>
  <si>
    <t>2026-01-28T16:45:00+01:00</t>
  </si>
  <si>
    <t>2026-01-29T16:45:00+01:00</t>
  </si>
  <si>
    <t>2026-01-30T16:45:00+01:00</t>
  </si>
  <si>
    <t>2026-01-31T16:45:00+01:00</t>
  </si>
  <si>
    <t>57036_January_2026.json</t>
  </si>
  <si>
    <t>2026-01-09T20:30:00+01:00</t>
  </si>
  <si>
    <t>2026-01-12T19:00:00+01:00</t>
  </si>
  <si>
    <t>2026-01-26T19:00:00+01:00</t>
  </si>
  <si>
    <t>2026-01-27T10:00:00+01:00</t>
  </si>
  <si>
    <t>57673_January_2026.json</t>
  </si>
  <si>
    <t>2026-01-17T22:00:00+01:00</t>
  </si>
  <si>
    <t>57964_January_2026.json</t>
  </si>
  <si>
    <t>2026-01-13T13:45:00+01:00</t>
  </si>
  <si>
    <t>2026-01-20T13:45:00+01:00</t>
  </si>
  <si>
    <t>2026-01-27T13:45:00+01:00</t>
  </si>
  <si>
    <t>2026-01-29T13:45:00+01:00</t>
  </si>
  <si>
    <t>2026-01-30T13:45:00+01:00</t>
  </si>
  <si>
    <t>Mona Lisa Mora</t>
  </si>
  <si>
    <t>58223_January_2026.json</t>
  </si>
  <si>
    <t>Jan</t>
  </si>
  <si>
    <t>2026-01-24T19:25:00+01:00</t>
  </si>
  <si>
    <t>2026-01-24T19:30:00+01:00</t>
  </si>
  <si>
    <t>2026-01-31T19:25:00+01:00</t>
  </si>
  <si>
    <t>58669_January_2026.json</t>
  </si>
  <si>
    <t>Anton</t>
  </si>
  <si>
    <t>2026-01-10T18:00:00+01:00</t>
  </si>
  <si>
    <t>2026-01-17T18:00:00+01:00</t>
  </si>
  <si>
    <t>2026-01-24T18:00:00+01:00</t>
  </si>
  <si>
    <t>2026-01-31T18:00:00+01:00</t>
  </si>
  <si>
    <t>58671_January_2026.json</t>
  </si>
  <si>
    <t>59965_January_2026.json</t>
  </si>
  <si>
    <t>2026-01-05T15:15:00+01:00</t>
  </si>
  <si>
    <t>2026-01-12T15:15:00+01:00</t>
  </si>
  <si>
    <t>2026-01-19T15:15:00+01:00</t>
  </si>
  <si>
    <t>2026-01-26T15:15:00+01:00</t>
  </si>
  <si>
    <t>60785_January_2026.json</t>
  </si>
  <si>
    <t>2026-01-02T13:00:00+01:00</t>
  </si>
  <si>
    <t>2026-01-02T13:05:00+01:00</t>
  </si>
  <si>
    <t>2026-01-05T14:10:00+01:00</t>
  </si>
  <si>
    <t>2026-01-05T14:15:00+01:00</t>
  </si>
  <si>
    <t>2026-01-06T14:10:00+01:00</t>
  </si>
  <si>
    <t>2026-01-08T14:10:00+01:00</t>
  </si>
  <si>
    <t>2026-01-09T14:10:00+01:00</t>
  </si>
  <si>
    <t>2026-01-09T14:15:00+01:00</t>
  </si>
  <si>
    <t>2026-01-12T14:10:00+01:00</t>
  </si>
  <si>
    <t>2026-01-13T14:10:00+01:00</t>
  </si>
  <si>
    <t>2026-01-14T14:10:00+01:00</t>
  </si>
  <si>
    <t>2026-01-15T14:15:00+01:00</t>
  </si>
  <si>
    <t>2026-01-16T14:15:00+01:00</t>
  </si>
  <si>
    <t>2026-01-19T14:10:00+01:00</t>
  </si>
  <si>
    <t>2026-01-20T14:10:00+01:00</t>
  </si>
  <si>
    <t>2026-01-21T14:15:00+01:00</t>
  </si>
  <si>
    <t>2026-01-22T14:15:00+01:00</t>
  </si>
  <si>
    <t>2026-01-23T14:15:00+01:00</t>
  </si>
  <si>
    <t>2026-01-26T14:10:00+01:00</t>
  </si>
  <si>
    <t>2026-01-27T14:10:00+01:00</t>
  </si>
  <si>
    <t>2026-01-28T14:10:00+01:00</t>
  </si>
  <si>
    <t>2026-01-29T14:10:00+01:00</t>
  </si>
  <si>
    <t>2026-01-29T14:15:00+01:00</t>
  </si>
  <si>
    <t>2026-01-30T14:10:00+01:00</t>
  </si>
  <si>
    <t>63665_January_2026.json</t>
  </si>
  <si>
    <t>2026-01-06T17:55:00+01:00</t>
  </si>
  <si>
    <t>2026-01-12T17:55:00+01:00</t>
  </si>
  <si>
    <t>2026-01-13T17:55:00+01:00</t>
  </si>
  <si>
    <t>Jörg</t>
  </si>
  <si>
    <t>2026-01-15T17:55:00+01:00</t>
  </si>
  <si>
    <t>2026-01-16T17:55:00+01:00</t>
  </si>
  <si>
    <t>2026-01-19T17:55:00+01:00</t>
  </si>
  <si>
    <t>2026-01-20T17:55:00+01:00</t>
  </si>
  <si>
    <t>2026-01-21T17:55:00+01:00</t>
  </si>
  <si>
    <t>2026-01-22T17:55:00+01:00</t>
  </si>
  <si>
    <t>2026-01-23T17:55:00+01:00</t>
  </si>
  <si>
    <t>2026-01-26T17:55:00+01:00</t>
  </si>
  <si>
    <t>2026-01-27T14:00:00+01:00</t>
  </si>
  <si>
    <t>2026-01-27T17:55:00+01:00</t>
  </si>
  <si>
    <t>2026-01-28T17:55:00+01:00</t>
  </si>
  <si>
    <t>2026-01-29T17:55:00+01:00</t>
  </si>
  <si>
    <t>64491_January_2026.json</t>
  </si>
  <si>
    <t>2026-01-01T07:00:00+01:00</t>
  </si>
  <si>
    <t>2026-01-02T15:30:00+01:00</t>
  </si>
  <si>
    <t>2026-01-05T07:00:00+01:00</t>
  </si>
  <si>
    <t>2026-01-06T07:00:00+01:00</t>
  </si>
  <si>
    <t>2026-01-07T07:00:00+01:00</t>
  </si>
  <si>
    <t>2026-01-08T07:00:00+01:00</t>
  </si>
  <si>
    <t>2026-01-12T07:00:00+01:00</t>
  </si>
  <si>
    <t>2026-01-13T07:00:00+01:00</t>
  </si>
  <si>
    <t>2026-01-14T07:00:00+01:00</t>
  </si>
  <si>
    <t>2026-01-15T07:00:00+01:00</t>
  </si>
  <si>
    <t>2026-01-19T07:00:00+01:00</t>
  </si>
  <si>
    <t>2026-01-20T07:00:00+01:00</t>
  </si>
  <si>
    <t>2026-01-21T07:00:00+01:00</t>
  </si>
  <si>
    <t>2026-01-22T07:00:00+01:00</t>
  </si>
  <si>
    <t>2026-01-26T07:00:00+01:00</t>
  </si>
  <si>
    <t>2026-01-27T07:00:00+01:00</t>
  </si>
  <si>
    <t>2026-01-28T07:00:00+01:00</t>
  </si>
  <si>
    <t>2026-01-29T07:00:00+01:00</t>
  </si>
  <si>
    <t>12483_February_2026.json</t>
  </si>
  <si>
    <t>2026-02-01T18:30:00+01:00</t>
  </si>
  <si>
    <t>2026-02-02T18:30:00+01:00</t>
  </si>
  <si>
    <t>2026-02-03T18:30:00+01:00</t>
  </si>
  <si>
    <t>2026-02-04T18:30:00+01:00</t>
  </si>
  <si>
    <t>2026-02-05T18:30:00+01:00</t>
  </si>
  <si>
    <t>2026-02-06T18:30:00+01:00</t>
  </si>
  <si>
    <t>2026-02-07T18:30:00+01:00</t>
  </si>
  <si>
    <t>2026-02-08T18:30:00+01:00</t>
  </si>
  <si>
    <t>2026-02-09T18:30:00+01:00</t>
  </si>
  <si>
    <t>2026-02-10T18:30:00+01:00</t>
  </si>
  <si>
    <t>2026-02-11T18:30:00+01:00</t>
  </si>
  <si>
    <t>2026-02-12T18:30:00+01:00</t>
  </si>
  <si>
    <t>2026-02-13T18:30:00+01:00</t>
  </si>
  <si>
    <t>2026-02-14T18:30:00+01:00</t>
  </si>
  <si>
    <t>2026-02-15T18:30:00+01:00</t>
  </si>
  <si>
    <t>2026-02-16T18:30:00+01:00</t>
  </si>
  <si>
    <t>2026-02-17T18:30:00+01:00</t>
  </si>
  <si>
    <t>2026-02-18T18:30:00+01:00</t>
  </si>
  <si>
    <t>2026-02-19T18:30:00+01:00</t>
  </si>
  <si>
    <t>2026-02-20T18:30:00+01:00</t>
  </si>
  <si>
    <t>2026-02-21T18:30:00+01:00</t>
  </si>
  <si>
    <t>2026-02-22T18:30:00+01:00</t>
  </si>
  <si>
    <t>2026-02-23T18:30:00+01:00</t>
  </si>
  <si>
    <t>2026-02-24T18:30:00+01:00</t>
  </si>
  <si>
    <t>2026-02-25T18:30:00+01:00</t>
  </si>
  <si>
    <t>2026-02-26T18:30:00+01:00</t>
  </si>
  <si>
    <t>2026-02-27T18:30:00+01:00</t>
  </si>
  <si>
    <t>2026-02-28T18:30:00+01:00</t>
  </si>
  <si>
    <t>12530_February_2026.json</t>
  </si>
  <si>
    <t>12984_February_2026.json</t>
  </si>
  <si>
    <t>2026-02-04T17:30:00+01:00</t>
  </si>
  <si>
    <t>2026-02-07T15:30:00+01:00</t>
  </si>
  <si>
    <t>2026-02-11T17:30:00+01:00</t>
  </si>
  <si>
    <t>2026-02-14T15:30:00+01:00</t>
  </si>
  <si>
    <t>2026-02-18T17:30:00+01:00</t>
  </si>
  <si>
    <t>2026-02-21T15:30:00+01:00</t>
  </si>
  <si>
    <t>2026-02-25T17:30:00+01:00</t>
  </si>
  <si>
    <t>2026-02-28T15:30:00+01:00</t>
  </si>
  <si>
    <t>15150_February_2026.json</t>
  </si>
  <si>
    <t>2026-02-03T17:45:00+01:00</t>
  </si>
  <si>
    <t>2026-02-06T17:45:00+01:00</t>
  </si>
  <si>
    <t>2026-02-10T17:45:00+01:00</t>
  </si>
  <si>
    <t>2026-02-13T17:45:00+01:00</t>
  </si>
  <si>
    <t>2026-02-17T17:45:00+01:00</t>
  </si>
  <si>
    <t>2026-02-20T17:45:00+01:00</t>
  </si>
  <si>
    <t>2026-02-24T17:45:00+01:00</t>
  </si>
  <si>
    <t>2026-02-27T17:45:00+01:00</t>
  </si>
  <si>
    <t>18561_February_2026.json</t>
  </si>
  <si>
    <t>2026-02-02T18:00:00+01:00</t>
  </si>
  <si>
    <t>2026-02-05T18:00:00+01:00</t>
  </si>
  <si>
    <t>2026-02-09T18:00:00+01:00</t>
  </si>
  <si>
    <t>2026-02-12T18:00:00+01:00</t>
  </si>
  <si>
    <t>2026-02-16T18:00:00+01:00</t>
  </si>
  <si>
    <t>2026-02-19T18:00:00+01:00</t>
  </si>
  <si>
    <t>2026-02-26T18:00:00+01:00</t>
  </si>
  <si>
    <t>18862_February_2026.json</t>
  </si>
  <si>
    <t>21728_February_2026.json</t>
  </si>
  <si>
    <t>2026-02-06T17:15:00+01:00</t>
  </si>
  <si>
    <t>2026-02-13T17:15:00+01:00</t>
  </si>
  <si>
    <t>2026-02-20T17:15:00+01:00</t>
  </si>
  <si>
    <t>2026-02-27T17:15:00+01:00</t>
  </si>
  <si>
    <t>24590_February_2026.json</t>
  </si>
  <si>
    <t>2026-02-01T15:55:00+01:00</t>
  </si>
  <si>
    <t>2026-02-02T18:55:00+01:00</t>
  </si>
  <si>
    <t>2026-02-03T18:55:00+01:00</t>
  </si>
  <si>
    <t>2026-02-04T18:55:00+01:00</t>
  </si>
  <si>
    <t>2026-02-05T18:55:00+01:00</t>
  </si>
  <si>
    <t>2026-02-07T15:55:00+01:00</t>
  </si>
  <si>
    <t>2026-02-08T15:55:00+01:00</t>
  </si>
  <si>
    <t>2026-02-09T18:55:00+01:00</t>
  </si>
  <si>
    <t>2026-02-10T18:55:00+01:00</t>
  </si>
  <si>
    <t>2026-02-11T18:55:00+01:00</t>
  </si>
  <si>
    <t>2026-02-12T18:55:00+01:00</t>
  </si>
  <si>
    <t>2026-02-13T18:55:00+01:00</t>
  </si>
  <si>
    <t>2026-02-14T15:55:00+01:00</t>
  </si>
  <si>
    <t>2026-02-15T15:55:00+01:00</t>
  </si>
  <si>
    <t>2026-02-16T18:55:00+01:00</t>
  </si>
  <si>
    <t>2026-02-17T18:55:00+01:00</t>
  </si>
  <si>
    <t>2026-02-18T18:55:00+01:00</t>
  </si>
  <si>
    <t>2026-02-19T18:55:00+01:00</t>
  </si>
  <si>
    <t>2026-02-20T18:55:00+01:00</t>
  </si>
  <si>
    <t>2026-02-21T15:55:00+01:00</t>
  </si>
  <si>
    <t>2026-02-22T15:55:00+01:00</t>
  </si>
  <si>
    <t>2026-02-23T18:55:00+01:00</t>
  </si>
  <si>
    <t>2026-02-24T18:55:00+01:00</t>
  </si>
  <si>
    <t>2026-02-25T18:55:00+01:00</t>
  </si>
  <si>
    <t>2026-02-26T18:55:00+01:00</t>
  </si>
  <si>
    <t>2026-02-27T18:55:00+01:00</t>
  </si>
  <si>
    <t>2026-02-28T15:55:00+01:00</t>
  </si>
  <si>
    <t>25330_February_2026.json</t>
  </si>
  <si>
    <t>2026-02-07T16:40:00+01:00</t>
  </si>
  <si>
    <t>2026-02-14T16:40:00+01:00</t>
  </si>
  <si>
    <t>2026-02-21T16:40:00+01:00</t>
  </si>
  <si>
    <t>2026-02-28T16:40:00+01:00</t>
  </si>
  <si>
    <t>26379_February_2026.json</t>
  </si>
  <si>
    <t>2026-02-02T14:30:00+01:00</t>
  </si>
  <si>
    <t>2026-02-03T14:30:00+01:00</t>
  </si>
  <si>
    <t>2026-02-04T14:30:00+01:00</t>
  </si>
  <si>
    <t>2026-02-05T14:30:00+01:00</t>
  </si>
  <si>
    <t>2026-02-06T14:30:00+01:00</t>
  </si>
  <si>
    <t>2026-02-09T14:30:00+01:00</t>
  </si>
  <si>
    <t>2026-02-10T14:30:00+01:00</t>
  </si>
  <si>
    <t>2026-02-11T14:30:00+01:00</t>
  </si>
  <si>
    <t>2026-02-12T14:30:00+01:00</t>
  </si>
  <si>
    <t>2026-02-23T14:30:00+01:00</t>
  </si>
  <si>
    <t>2026-02-24T14:30:00+01:00</t>
  </si>
  <si>
    <t>2026-02-25T14:30:00+01:00</t>
  </si>
  <si>
    <t>2026-02-26T14:30:00+01:00</t>
  </si>
  <si>
    <t>2026-02-27T14:30:00+01:00</t>
  </si>
  <si>
    <t>29222_February_2026.json</t>
  </si>
  <si>
    <t>2026-02-02T21:55:00+01:00</t>
  </si>
  <si>
    <t>2026-02-03T21:55:00+01:00</t>
  </si>
  <si>
    <t>2026-02-04T21:55:00+01:00</t>
  </si>
  <si>
    <t>2026-02-05T21:55:00+01:00</t>
  </si>
  <si>
    <t>2026-02-06T21:55:00+01:00</t>
  </si>
  <si>
    <t xml:space="preserve">Julia Müller </t>
  </si>
  <si>
    <t>2026-02-07T21:55:00+01:00</t>
  </si>
  <si>
    <t>2026-02-09T21:55:00+01:00</t>
  </si>
  <si>
    <t>2026-02-10T21:55:00+01:00</t>
  </si>
  <si>
    <t>2026-02-11T21:55:00+01:00</t>
  </si>
  <si>
    <t>2026-02-12T21:55:00+01:00</t>
  </si>
  <si>
    <t>2026-02-13T21:55:00+01:00</t>
  </si>
  <si>
    <t>2026-02-16T21:55:00+01:00</t>
  </si>
  <si>
    <t>2026-02-17T21:55:00+01:00</t>
  </si>
  <si>
    <t>2026-02-18T21:55:00+01:00</t>
  </si>
  <si>
    <t>2026-02-19T21:55:00+01:00</t>
  </si>
  <si>
    <t>2026-02-21T21:55:00+01:00</t>
  </si>
  <si>
    <t>2026-02-23T21:55:00+01:00</t>
  </si>
  <si>
    <t>2026-02-24T21:55:00+01:00</t>
  </si>
  <si>
    <t>2026-02-25T21:55:00+01:00</t>
  </si>
  <si>
    <t>2026-02-26T21:55:00+01:00</t>
  </si>
  <si>
    <t>2026-02-27T21:55:00+01:00</t>
  </si>
  <si>
    <t>2026-02-28T21:55:00+01:00</t>
  </si>
  <si>
    <t>29931_February_2026.json</t>
  </si>
  <si>
    <t>2026-02-07T15:45:00+01:00</t>
  </si>
  <si>
    <t>2026-02-14T15:45:00+01:00</t>
  </si>
  <si>
    <t>2026-02-21T15:45:00+01:00</t>
  </si>
  <si>
    <t>2026-02-28T15:45:00+01:00</t>
  </si>
  <si>
    <t>30001_February_2026.json</t>
  </si>
  <si>
    <t>2026-02-03T19:30:00+01:00</t>
  </si>
  <si>
    <t>2026-02-03T20:30:00+01:00</t>
  </si>
  <si>
    <t>2026-02-05T19:30:00+01:00</t>
  </si>
  <si>
    <t>2026-02-05T20:30:00+01:00</t>
  </si>
  <si>
    <t>2026-02-07T19:30:00+01:00</t>
  </si>
  <si>
    <t>2026-02-07T20:30:00+01:00</t>
  </si>
  <si>
    <t>2026-02-12T20:30:00+01:00</t>
  </si>
  <si>
    <t>2026-02-14T19:30:00+01:00</t>
  </si>
  <si>
    <t>2026-02-14T20:30:00+01:00</t>
  </si>
  <si>
    <t>2026-02-17T19:30:00+01:00</t>
  </si>
  <si>
    <t>2026-02-17T20:30:00+01:00</t>
  </si>
  <si>
    <t>2026-02-19T19:30:00+01:00</t>
  </si>
  <si>
    <t>2026-02-19T20:30:00+01:00</t>
  </si>
  <si>
    <t>30003_February_2026.json</t>
  </si>
  <si>
    <t>2026-02-04T18:00:00+01:00</t>
  </si>
  <si>
    <t>2026-02-07T15:00:00+01:00</t>
  </si>
  <si>
    <t>2026-02-11T18:00:00+01:00</t>
  </si>
  <si>
    <t>2026-02-14T15:00:00+01:00</t>
  </si>
  <si>
    <t>2026-02-18T18:00:00+01:00</t>
  </si>
  <si>
    <t>2026-02-21T15:00:00+01:00</t>
  </si>
  <si>
    <t>2026-02-23T18:00:00+01:00</t>
  </si>
  <si>
    <t>2026-02-25T18:00:00+01:00</t>
  </si>
  <si>
    <t>31069_February_2026.json</t>
  </si>
  <si>
    <t>2026-02-04T14:00:00+01:00</t>
  </si>
  <si>
    <t>2026-02-10T14:00:00+01:00</t>
  </si>
  <si>
    <t>2026-02-11T14:00:00+01:00</t>
  </si>
  <si>
    <t>Anke Westphal</t>
  </si>
  <si>
    <t>2026-02-18T14:00:00+01:00</t>
  </si>
  <si>
    <t>2026-02-19T14:00:00+01:00</t>
  </si>
  <si>
    <t>2026-02-25T14:00:00+01:00</t>
  </si>
  <si>
    <t>31120_February_2026.json</t>
  </si>
  <si>
    <t>2026-02-04T15:00:00+01:00</t>
  </si>
  <si>
    <t>2026-02-17T15:00:00+01:00</t>
  </si>
  <si>
    <t>2026-02-27T15:00:00+01:00</t>
  </si>
  <si>
    <t>33087_February_2026.json</t>
  </si>
  <si>
    <t>2026-02-01T18:00:00+01:00</t>
  </si>
  <si>
    <t>2026-02-02T18:10:00+01:00</t>
  </si>
  <si>
    <t>2026-02-03T18:10:00+01:00</t>
  </si>
  <si>
    <t>2026-02-04T18:10:00+01:00</t>
  </si>
  <si>
    <t>2026-02-05T18:10:00+01:00</t>
  </si>
  <si>
    <t>2026-02-06T18:10:00+01:00</t>
  </si>
  <si>
    <t>2026-02-07T18:15:00+01:00</t>
  </si>
  <si>
    <t>2026-02-08T18:00:00+01:00</t>
  </si>
  <si>
    <t>2026-02-09T18:10:00+01:00</t>
  </si>
  <si>
    <t>2026-02-10T18:10:00+01:00</t>
  </si>
  <si>
    <t>2026-02-11T18:10:00+01:00</t>
  </si>
  <si>
    <t>2026-02-12T18:10:00+01:00</t>
  </si>
  <si>
    <t>2026-02-13T18:10:00+01:00</t>
  </si>
  <si>
    <t>2026-02-14T18:15:00+01:00</t>
  </si>
  <si>
    <t>2026-02-15T18:00:00+01:00</t>
  </si>
  <si>
    <t>2026-02-16T18:10:00+01:00</t>
  </si>
  <si>
    <t>2026-02-17T18:10:00+01:00</t>
  </si>
  <si>
    <t>2026-02-18T18:10:00+01:00</t>
  </si>
  <si>
    <t>2026-02-19T18:10:00+01:00</t>
  </si>
  <si>
    <t>2026-02-20T18:10:00+01:00</t>
  </si>
  <si>
    <t>2026-02-21T18:15:00+01:00</t>
  </si>
  <si>
    <t>2026-02-22T18:00:00+01:00</t>
  </si>
  <si>
    <t>2026-02-23T18:10:00+01:00</t>
  </si>
  <si>
    <t>2026-02-24T18:10:00+01:00</t>
  </si>
  <si>
    <t>2026-02-25T18:10:00+01:00</t>
  </si>
  <si>
    <t>2026-02-26T18:10:00+01:00</t>
  </si>
  <si>
    <t>2026-02-27T18:10:00+01:00</t>
  </si>
  <si>
    <t>2026-02-28T18:15:00+01:00</t>
  </si>
  <si>
    <t>34060_February_2026.json</t>
  </si>
  <si>
    <t>2026-02-01T16:15:00+01:00</t>
  </si>
  <si>
    <t>2026-02-07T17:40:00+01:00</t>
  </si>
  <si>
    <t>2026-02-08T16:15:00+01:00</t>
  </si>
  <si>
    <t>2026-02-14T17:40:00+01:00</t>
  </si>
  <si>
    <t>2026-02-15T16:15:00+01:00</t>
  </si>
  <si>
    <t>2026-02-21T17:40:00+01:00</t>
  </si>
  <si>
    <t>2026-02-22T16:15:00+01:00</t>
  </si>
  <si>
    <t>2026-02-28T17:40:00+01:00</t>
  </si>
  <si>
    <t>3738_February_2026.json</t>
  </si>
  <si>
    <t>2026-02-01T21:50:00+01:00</t>
  </si>
  <si>
    <t>2026-02-02T21:50:00+01:00</t>
  </si>
  <si>
    <t>2026-02-03T21:50:00+01:00</t>
  </si>
  <si>
    <t>Arezu</t>
  </si>
  <si>
    <t>2026-02-04T21:50:00+01:00</t>
  </si>
  <si>
    <t>2026-02-05T21:50:00+01:00</t>
  </si>
  <si>
    <t>2026-02-06T21:50:00+01:00</t>
  </si>
  <si>
    <t>2026-02-07T21:50:00+01:00</t>
  </si>
  <si>
    <t>2026-02-08T21:50:00+01:00</t>
  </si>
  <si>
    <t>2026-02-09T21:50:00+01:00</t>
  </si>
  <si>
    <t>Franz Jaskiola</t>
  </si>
  <si>
    <t>2026-02-10T21:50:00+01:00</t>
  </si>
  <si>
    <t>2026-02-11T21:50:00+01:00</t>
  </si>
  <si>
    <t>2026-02-12T21:50:00+01:00</t>
  </si>
  <si>
    <t>2026-02-13T21:50:00+01:00</t>
  </si>
  <si>
    <t>2026-02-14T21:50:00+01:00</t>
  </si>
  <si>
    <t>2026-02-15T21:50:00+01:00</t>
  </si>
  <si>
    <t>2026-02-16T21:50:00+01:00</t>
  </si>
  <si>
    <t>2026-02-17T21:50:00+01:00</t>
  </si>
  <si>
    <t>2026-02-18T21:50:00+01:00</t>
  </si>
  <si>
    <t>2026-02-19T21:50:00+01:00</t>
  </si>
  <si>
    <t>2026-02-20T21:50:00+01:00</t>
  </si>
  <si>
    <t>2026-02-21T21:50:00+01:00</t>
  </si>
  <si>
    <t>2026-02-22T21:50:00+01:00</t>
  </si>
  <si>
    <t>2026-02-23T21:50:00+01:00</t>
  </si>
  <si>
    <t>2026-02-24T21:50:00+01:00</t>
  </si>
  <si>
    <t>2026-02-25T21:50:00+01:00</t>
  </si>
  <si>
    <t>2026-02-26T21:50:00+01:00</t>
  </si>
  <si>
    <t>Johanna Treber</t>
  </si>
  <si>
    <t>2026-02-27T21:50:00+01:00</t>
  </si>
  <si>
    <t>2026-02-28T21:50:00+01:00</t>
  </si>
  <si>
    <t>4061_February_2026.json</t>
  </si>
  <si>
    <t>2026-02-01T16:30:00+01:00</t>
  </si>
  <si>
    <t>2026-02-05T17:30:00+01:00</t>
  </si>
  <si>
    <t>2026-02-06T17:30:00+01:00</t>
  </si>
  <si>
    <t>2026-02-07T16:30:00+01:00</t>
  </si>
  <si>
    <t>2026-02-08T16:30:00+01:00</t>
  </si>
  <si>
    <t>2026-02-12T17:30:00+01:00</t>
  </si>
  <si>
    <t>2026-02-13T17:30:00+01:00</t>
  </si>
  <si>
    <t>2026-02-14T16:30:00+01:00</t>
  </si>
  <si>
    <t>2026-02-15T16:30:00+01:00</t>
  </si>
  <si>
    <t>2026-02-19T17:30:00+01:00</t>
  </si>
  <si>
    <t>2026-02-20T17:30:00+01:00</t>
  </si>
  <si>
    <t>2026-02-21T16:30:00+01:00</t>
  </si>
  <si>
    <t>2026-02-22T16:30:00+01:00</t>
  </si>
  <si>
    <t>2026-02-26T17:30:00+01:00</t>
  </si>
  <si>
    <t>2026-02-27T17:30:00+01:00</t>
  </si>
  <si>
    <t>2026-02-28T16:30:00+01:00</t>
  </si>
  <si>
    <t>41891_February_2026.json</t>
  </si>
  <si>
    <t>2026-02-14T21:55:00+01:00</t>
  </si>
  <si>
    <t>2026-02-20T22:00:00+01:00</t>
  </si>
  <si>
    <t>45407_February_2026.json</t>
  </si>
  <si>
    <t>2026-02-01T17:00:00+01:00</t>
  </si>
  <si>
    <t>2026-02-15T17:00:00+01:00</t>
  </si>
  <si>
    <t>45984_February_2026.json</t>
  </si>
  <si>
    <t>46028_February_2026.json</t>
  </si>
  <si>
    <t>2026-02-06T15:00:00+01:00</t>
  </si>
  <si>
    <t>2026-02-13T15:00:00+01:00</t>
  </si>
  <si>
    <t>2026-02-20T15:00:00+01:00</t>
  </si>
  <si>
    <t>47643_February_2026.json</t>
  </si>
  <si>
    <t>2026-02-05T17:00:00+01:00</t>
  </si>
  <si>
    <t>2026-02-07T13:00:00+01:00</t>
  </si>
  <si>
    <t>2026-02-14T13:00:00+01:00</t>
  </si>
  <si>
    <t>2026-02-21T13:00:00+01:00</t>
  </si>
  <si>
    <t>2026-02-28T13:00:00+01:00</t>
  </si>
  <si>
    <t>49255_February_2026.json</t>
  </si>
  <si>
    <t>2026-02-04T09:30:00+01:00</t>
  </si>
  <si>
    <t>2026-02-04T20:45:00+01:00</t>
  </si>
  <si>
    <t>2026-02-06T20:45:00+01:00</t>
  </si>
  <si>
    <t>2026-02-08T20:45:00+01:00</t>
  </si>
  <si>
    <t>2026-02-13T20:45:00+01:00</t>
  </si>
  <si>
    <t>2026-02-23T21:25:00+01:00</t>
  </si>
  <si>
    <t>2026-02-27T21:25:00+01:00</t>
  </si>
  <si>
    <t>4995_February_2026.json</t>
  </si>
  <si>
    <t>2026-02-02T13:15:00+01:00</t>
  </si>
  <si>
    <t>2026-02-04T13:15:00+01:00</t>
  </si>
  <si>
    <t>2026-02-06T13:15:00+01:00</t>
  </si>
  <si>
    <t>2026-02-09T13:15:00+01:00</t>
  </si>
  <si>
    <t>2026-02-11T13:15:00+01:00</t>
  </si>
  <si>
    <t>2026-02-13T13:15:00+01:00</t>
  </si>
  <si>
    <t>2026-02-16T13:15:00+01:00</t>
  </si>
  <si>
    <t>2026-02-18T13:15:00+01:00</t>
  </si>
  <si>
    <t>2026-02-20T13:15:00+01:00</t>
  </si>
  <si>
    <t>2026-02-23T13:15:00+01:00</t>
  </si>
  <si>
    <t>2026-02-25T13:15:00+01:00</t>
  </si>
  <si>
    <t>2026-02-27T13:15:00+01:00</t>
  </si>
  <si>
    <t>50404_February_2026.json</t>
  </si>
  <si>
    <t>2026-02-02T15:30:00+01:00</t>
  </si>
  <si>
    <t>2026-02-03T15:30:00+01:00</t>
  </si>
  <si>
    <t>2026-02-04T15:30:00+01:00</t>
  </si>
  <si>
    <t>2026-02-05T15:30:00+01:00</t>
  </si>
  <si>
    <t>2026-02-06T15:30:00+01:00</t>
  </si>
  <si>
    <t>2026-02-09T15:30:00+01:00</t>
  </si>
  <si>
    <t>2026-02-10T15:30:00+01:00</t>
  </si>
  <si>
    <t>2026-02-11T15:30:00+01:00</t>
  </si>
  <si>
    <t>2026-02-12T15:30:00+01:00</t>
  </si>
  <si>
    <t>2026-02-13T15:30:00+01:00</t>
  </si>
  <si>
    <t>2026-02-16T15:30:00+01:00</t>
  </si>
  <si>
    <t>2026-02-18T15:30:00+01:00</t>
  </si>
  <si>
    <t>2026-02-19T15:30:00+01:00</t>
  </si>
  <si>
    <t>2026-02-20T15:30:00+01:00</t>
  </si>
  <si>
    <t>2026-02-23T15:30:00+01:00</t>
  </si>
  <si>
    <t>2026-02-24T15:30:00+01:00</t>
  </si>
  <si>
    <t>2026-02-25T15:30:00+01:00</t>
  </si>
  <si>
    <t>2026-02-26T15:30:00+01:00</t>
  </si>
  <si>
    <t>2026-02-27T15:30:00+01:00</t>
  </si>
  <si>
    <t>50487_February_2026.json</t>
  </si>
  <si>
    <t>2026-02-02T16:45:00+01:00</t>
  </si>
  <si>
    <t>2026-02-03T16:45:00+01:00</t>
  </si>
  <si>
    <t>2026-02-04T16:45:00+01:00</t>
  </si>
  <si>
    <t>2026-02-05T16:45:00+01:00</t>
  </si>
  <si>
    <t>2026-02-06T16:45:00+01:00</t>
  </si>
  <si>
    <t>2026-02-07T16:45:00+01:00</t>
  </si>
  <si>
    <t>2026-02-09T16:45:00+01:00</t>
  </si>
  <si>
    <t>2026-02-10T16:45:00+01:00</t>
  </si>
  <si>
    <t>2026-02-11T16:45:00+01:00</t>
  </si>
  <si>
    <t>2026-02-12T16:45:00+01:00</t>
  </si>
  <si>
    <t>2026-02-13T16:45:00+01:00</t>
  </si>
  <si>
    <t>2026-02-14T16:45:00+01:00</t>
  </si>
  <si>
    <t>2026-02-16T16:45:00+01:00</t>
  </si>
  <si>
    <t>2026-02-17T16:45:00+01:00</t>
  </si>
  <si>
    <t>2026-02-18T16:45:00+01:00</t>
  </si>
  <si>
    <t>2026-02-19T16:45:00+01:00</t>
  </si>
  <si>
    <t>2026-02-20T16:45:00+01:00</t>
  </si>
  <si>
    <t>2026-02-21T16:45:00+01:00</t>
  </si>
  <si>
    <t>2026-02-23T16:45:00+01:00</t>
  </si>
  <si>
    <t>2026-02-24T16:45:00+01:00</t>
  </si>
  <si>
    <t>2026-02-25T16:45:00+01:00</t>
  </si>
  <si>
    <t>2026-02-26T16:45:00+01:00</t>
  </si>
  <si>
    <t>2026-02-27T16:45:00+01:00</t>
  </si>
  <si>
    <t>2026-02-28T16:45:00+01:00</t>
  </si>
  <si>
    <t>51699_February_2026.json</t>
  </si>
  <si>
    <t>2026-02-02T16:30:00+01:00</t>
  </si>
  <si>
    <t>2026-02-03T16:30:00+01:00</t>
  </si>
  <si>
    <t>2026-02-04T16:30:00+01:00</t>
  </si>
  <si>
    <t>2026-02-05T16:30:00+01:00</t>
  </si>
  <si>
    <t>2026-02-06T16:30:00+01:00</t>
  </si>
  <si>
    <t>2026-02-09T16:30:00+01:00</t>
  </si>
  <si>
    <t>2026-02-10T16:30:00+01:00</t>
  </si>
  <si>
    <t>2026-02-11T16:30:00+01:00</t>
  </si>
  <si>
    <t>2026-02-12T16:30:00+01:00</t>
  </si>
  <si>
    <t>2026-02-13T16:30:00+01:00</t>
  </si>
  <si>
    <t>2026-02-16T16:30:00+01:00</t>
  </si>
  <si>
    <t>2026-02-17T16:30:00+01:00</t>
  </si>
  <si>
    <t>2026-02-18T16:30:00+01:00</t>
  </si>
  <si>
    <t>2026-02-19T16:30:00+01:00</t>
  </si>
  <si>
    <t>2026-02-20T16:30:00+01:00</t>
  </si>
  <si>
    <t>2026-02-23T16:30:00+01:00</t>
  </si>
  <si>
    <t>2026-02-24T16:30:00+01:00</t>
  </si>
  <si>
    <t>2026-02-25T16:30:00+01:00</t>
  </si>
  <si>
    <t>2026-02-26T16:30:00+01:00</t>
  </si>
  <si>
    <t>2026-02-27T16:30:00+01:00</t>
  </si>
  <si>
    <t>57036_February_2026.json</t>
  </si>
  <si>
    <t>57673_February_2026.json</t>
  </si>
  <si>
    <t>57964_February_2026.json</t>
  </si>
  <si>
    <t>2026-02-03T13:45:00+01:00</t>
  </si>
  <si>
    <t>2026-02-05T13:45:00+01:00</t>
  </si>
  <si>
    <t>2026-02-06T13:45:00+01:00</t>
  </si>
  <si>
    <t>2026-02-10T13:45:00+01:00</t>
  </si>
  <si>
    <t>2026-02-19T13:45:00+01:00</t>
  </si>
  <si>
    <t>58223_February_2026.json</t>
  </si>
  <si>
    <t>2026-02-14T19:25:00+01:00</t>
  </si>
  <si>
    <t>58669_February_2026.json</t>
  </si>
  <si>
    <t>2026-02-07T18:00:00+01:00</t>
  </si>
  <si>
    <t>2026-02-14T18:00:00+01:00</t>
  </si>
  <si>
    <t>2026-02-28T18:00:00+01:00</t>
  </si>
  <si>
    <t>58671_February_2026.json</t>
  </si>
  <si>
    <t>59965_February_2026.json</t>
  </si>
  <si>
    <t>2026-02-02T15:15:00+01:00</t>
  </si>
  <si>
    <t>2026-02-09T15:15:00+01:00</t>
  </si>
  <si>
    <t>2026-02-16T15:15:00+01:00</t>
  </si>
  <si>
    <t>2026-02-23T15:15:00+01:00</t>
  </si>
  <si>
    <t>59966_February_2026.json</t>
  </si>
  <si>
    <t>60785_February_2026.json</t>
  </si>
  <si>
    <t>2026-02-02T14:10:00+01:00</t>
  </si>
  <si>
    <t>2026-02-03T14:10:00+01:00</t>
  </si>
  <si>
    <t>2026-02-04T14:10:00+01:00</t>
  </si>
  <si>
    <t>2026-02-05T14:10:00+01:00</t>
  </si>
  <si>
    <t>2026-02-06T14:10:00+01:00</t>
  </si>
  <si>
    <t>2026-02-09T14:10:00+01:00</t>
  </si>
  <si>
    <t>2026-02-10T14:10:00+01:00</t>
  </si>
  <si>
    <t>2026-02-11T14:10:00+01:00</t>
  </si>
  <si>
    <t>2026-02-12T14:10:00+01:00</t>
  </si>
  <si>
    <t>2026-02-13T14:10:00+01:00</t>
  </si>
  <si>
    <t>2026-02-16T14:10:00+01:00</t>
  </si>
  <si>
    <t>2026-02-17T14:10:00+01:00</t>
  </si>
  <si>
    <t>2026-02-18T14:10:00+01:00</t>
  </si>
  <si>
    <t>2026-02-19T14:10:00+01:00</t>
  </si>
  <si>
    <t>2026-02-20T14:10:00+01:00</t>
  </si>
  <si>
    <t>2026-02-23T14:10:00+01:00</t>
  </si>
  <si>
    <t>2026-02-25T14:10:00+01:00</t>
  </si>
  <si>
    <t>2026-02-26T14:10:00+01:00</t>
  </si>
  <si>
    <t>2026-02-27T14:10:00+01:00</t>
  </si>
  <si>
    <t>63665_February_2026.json</t>
  </si>
  <si>
    <t>2026-02-03T17:55:00+01:00</t>
  </si>
  <si>
    <t>2026-02-04T17:55:00+01:00</t>
  </si>
  <si>
    <t>2026-02-10T17:55:00+01:00</t>
  </si>
  <si>
    <t>2026-02-24T17:55:00+01:00</t>
  </si>
  <si>
    <t>2026-02-25T17:55:00+01:00</t>
  </si>
  <si>
    <t>2026-02-27T17:55:00+01:00</t>
  </si>
  <si>
    <t>64191_February_2026.json</t>
  </si>
  <si>
    <t>64491_February_2026.json</t>
  </si>
  <si>
    <t>2026-02-02T07:00:00+01:00</t>
  </si>
  <si>
    <t>2026-02-03T07:00:00+01:00</t>
  </si>
  <si>
    <t>2026-02-04T07:00:00+01:00</t>
  </si>
  <si>
    <t>2026-02-05T07:00:00+01:00</t>
  </si>
  <si>
    <t>2026-02-09T07:00:00+01:00</t>
  </si>
  <si>
    <t>2026-02-10T07:00:00+01:00</t>
  </si>
  <si>
    <t>2026-02-11T07:00:00+01:00</t>
  </si>
  <si>
    <t>2026-02-12T07:00:00+01:00</t>
  </si>
  <si>
    <t>2026-02-16T07:00:00+01:00</t>
  </si>
  <si>
    <t>2026-02-17T07:00:00+01:00</t>
  </si>
  <si>
    <t>2026-02-18T07:00:00+01:00</t>
  </si>
  <si>
    <t>2026-02-19T07:00:00+01:00</t>
  </si>
  <si>
    <t>2026-02-23T07:00:00+01:00</t>
  </si>
  <si>
    <t>2026-02-24T07:00:00+01:00</t>
  </si>
  <si>
    <t>2026-02-25T07:00:00+01:00</t>
  </si>
  <si>
    <t>2026-02-26T07:00:00+01:00</t>
  </si>
  <si>
    <t>67643_February_2026.json</t>
  </si>
  <si>
    <t>2026-02-26T22:00:00+01:00</t>
  </si>
  <si>
    <t>68127_February_2026.json</t>
  </si>
  <si>
    <t>45984_Januar+Februar2026.JSON</t>
  </si>
  <si>
    <t>1121_Noteinsatz_Februar2026.JSON</t>
  </si>
  <si>
    <t>2026-02-02T21:00:00+01:00</t>
  </si>
  <si>
    <t>2026-02-06T19:01:00+01:00</t>
  </si>
  <si>
    <t>2026-02-06T21:00:00+01:00</t>
  </si>
  <si>
    <t>2026-02-07T19:40:00+01:00</t>
  </si>
  <si>
    <t>2026-02-09T21:00:00+01:00</t>
  </si>
  <si>
    <t>2026-02-11T20:30:00+01:00</t>
  </si>
  <si>
    <t>2026-02-12T21:00:00+01:00</t>
  </si>
  <si>
    <t>2026-02-14T07:45:00+01:00</t>
  </si>
  <si>
    <t>2026-02-14T19:31:00+01:00</t>
  </si>
  <si>
    <t>2026-02-14T20:50:00+01:00</t>
  </si>
  <si>
    <t>2026-02-14T20:55:00+01:00</t>
  </si>
  <si>
    <t>2026-02-14T21:00:00+01:00</t>
  </si>
  <si>
    <t>2026-02-16T19:30:00+01:00</t>
  </si>
  <si>
    <t>2026-02-16T21:00:00+01:00</t>
  </si>
  <si>
    <t>2026-02-21T18:00:00+01:00</t>
  </si>
  <si>
    <t>2026-02-21T19:45:00+01:00</t>
  </si>
  <si>
    <t>2026-02-21T20:50:00+01:00</t>
  </si>
  <si>
    <t>2026-02-26T19:30:00+01:00</t>
  </si>
  <si>
    <t>2026-02-28T14:15:00+01:00</t>
  </si>
  <si>
    <t>2026-02-28T19:40:00+01:00</t>
  </si>
  <si>
    <t>2026-02-28T20:50:00+01:00</t>
  </si>
  <si>
    <t>59965_Tafelausgabe_Februar2026.json</t>
  </si>
  <si>
    <t>58223_Waldstation_Februar2026.json</t>
  </si>
  <si>
    <t>32347_Februar2026.json</t>
  </si>
  <si>
    <t>2026-02-03T16:00:00+01:00</t>
  </si>
  <si>
    <t>2026-02-05T16:00:00+01:00</t>
  </si>
  <si>
    <t>2026-02-07T14:15:00+01:00</t>
  </si>
  <si>
    <t>2026-02-10T16:00:00+01:00</t>
  </si>
  <si>
    <t>2026-02-14T14:15:00+01:00</t>
  </si>
  <si>
    <t>2026-02-17T16:00:00+01:00</t>
  </si>
  <si>
    <t>2026-02-19T16:00:00+01:00</t>
  </si>
  <si>
    <t>2026-02-21T14:15:00+01:00</t>
  </si>
  <si>
    <t>2026-02-24T16:00:00+01:00</t>
  </si>
  <si>
    <t>2026-02-26T16:00:00+01:00</t>
  </si>
  <si>
    <t>1121_March_2026.json</t>
  </si>
  <si>
    <t>2026-03-07T20:50:00+01:00</t>
  </si>
  <si>
    <t>2026-03-09T21:00:00+01:00</t>
  </si>
  <si>
    <t>2026-03-11T18:00:00+01:00</t>
  </si>
  <si>
    <t>2026-03-12T15:58:00+01:00</t>
  </si>
  <si>
    <t>2026-03-12T16:00:00+01:00</t>
  </si>
  <si>
    <t>2026-03-14T20:55:00+01:00</t>
  </si>
  <si>
    <t>2026-03-14T21:50:00+01:00</t>
  </si>
  <si>
    <t>2026-03-16T16:30:00+01:00</t>
  </si>
  <si>
    <t>2026-03-16T19:30:00+01:00</t>
  </si>
  <si>
    <t>2026-03-20T20:15:00+01:00</t>
  </si>
  <si>
    <t>2026-03-25T20:30:00+01:00</t>
  </si>
  <si>
    <t>2026-03-27T15:00:00+01:00</t>
  </si>
  <si>
    <t>2026-03-28T19:01:00+01:00</t>
  </si>
  <si>
    <t>2026-03-29T15:55:00+02:00</t>
  </si>
  <si>
    <t>2026-03-31T17:30:00+02:00</t>
  </si>
  <si>
    <t>12483_March_2026.json</t>
  </si>
  <si>
    <t>2026-03-01T18:30:00+01:00</t>
  </si>
  <si>
    <t>2026-03-02T18:30:00+01:00</t>
  </si>
  <si>
    <t>2026-03-03T18:30:00+01:00</t>
  </si>
  <si>
    <t>2026-03-04T18:30:00+01:00</t>
  </si>
  <si>
    <t>2026-03-05T18:30:00+01:00</t>
  </si>
  <si>
    <t>2026-03-06T18:30:00+01:00</t>
  </si>
  <si>
    <t>2026-03-07T18:30:00+01:00</t>
  </si>
  <si>
    <t>2026-03-08T18:30:00+01:00</t>
  </si>
  <si>
    <t>2026-03-09T18:30:00+01:00</t>
  </si>
  <si>
    <t>2026-03-10T18:30:00+01:00</t>
  </si>
  <si>
    <t>2026-03-12T18:30:00+01:00</t>
  </si>
  <si>
    <t>2026-03-13T18:30:00+01:00</t>
  </si>
  <si>
    <t>2026-03-14T18:30:00+01:00</t>
  </si>
  <si>
    <t>2026-03-15T18:30:00+01:00</t>
  </si>
  <si>
    <t>2026-03-16T18:30:00+01:00</t>
  </si>
  <si>
    <t>2026-03-17T18:30:00+01:00</t>
  </si>
  <si>
    <t>Charles</t>
  </si>
  <si>
    <t>2026-03-18T18:30:00+01:00</t>
  </si>
  <si>
    <t>2026-03-19T18:30:00+01:00</t>
  </si>
  <si>
    <t>2026-03-20T18:30:00+01:00</t>
  </si>
  <si>
    <t>2026-03-21T18:30:00+01:00</t>
  </si>
  <si>
    <t>2026-03-22T18:30:00+01:00</t>
  </si>
  <si>
    <t>2026-03-23T18:30:00+01:00</t>
  </si>
  <si>
    <t>2026-03-24T18:30:00+01:00</t>
  </si>
  <si>
    <t>2026-03-25T18:30:00+01:00</t>
  </si>
  <si>
    <t>2026-03-26T18:30:00+01:00</t>
  </si>
  <si>
    <t>2026-03-27T18:30:00+01:00</t>
  </si>
  <si>
    <t>2026-03-28T18:30:00+01:00</t>
  </si>
  <si>
    <t>2026-03-29T18:30:00+02:00</t>
  </si>
  <si>
    <t>2026-03-30T18:30:00+02:00</t>
  </si>
  <si>
    <t>2026-03-31T18:30:00+02:00</t>
  </si>
  <si>
    <t>12530_March_2026.json</t>
  </si>
  <si>
    <t>12984_March_2026.json</t>
  </si>
  <si>
    <t>2026-03-04T17:30:00+01:00</t>
  </si>
  <si>
    <t>2026-03-07T15:45:00+01:00</t>
  </si>
  <si>
    <t>2026-03-11T17:30:00+01:00</t>
  </si>
  <si>
    <t>2026-03-14T15:45:00+01:00</t>
  </si>
  <si>
    <t>2026-03-18T17:30:00+01:00</t>
  </si>
  <si>
    <t>2026-03-21T15:45:00+01:00</t>
  </si>
  <si>
    <t>2026-03-25T17:45:00+01:00</t>
  </si>
  <si>
    <t>2026-03-28T15:45:00+01:00</t>
  </si>
  <si>
    <t>15150_March_2026.json</t>
  </si>
  <si>
    <t>2026-03-03T17:45:00+01:00</t>
  </si>
  <si>
    <t>Katrin Klemm</t>
  </si>
  <si>
    <t>2026-03-06T17:45:00+01:00</t>
  </si>
  <si>
    <t>2026-03-10T17:45:00+01:00</t>
  </si>
  <si>
    <t>2026-03-13T17:45:00+01:00</t>
  </si>
  <si>
    <t>2026-03-17T17:45:00+01:00</t>
  </si>
  <si>
    <t>2026-03-20T17:45:00+01:00</t>
  </si>
  <si>
    <t>2026-03-24T17:45:00+01:00</t>
  </si>
  <si>
    <t>2026-03-27T17:45:00+01:00</t>
  </si>
  <si>
    <t>2026-03-31T17:45:00+02:00</t>
  </si>
  <si>
    <t>Cesar Mauricio Sosa Reyes</t>
  </si>
  <si>
    <t>18561_March_2026.json</t>
  </si>
  <si>
    <t>2026-03-02T18:00:00+01:00</t>
  </si>
  <si>
    <t>2026-03-09T18:00:00+01:00</t>
  </si>
  <si>
    <t>2026-03-09T18:05:00+01:00</t>
  </si>
  <si>
    <t>2026-03-12T18:00:00+01:00</t>
  </si>
  <si>
    <t>2026-03-16T18:00:00+01:00</t>
  </si>
  <si>
    <t>2026-03-16T18:05:00+01:00</t>
  </si>
  <si>
    <t>2026-03-19T18:00:00+01:00</t>
  </si>
  <si>
    <t>2026-03-19T18:05:00+01:00</t>
  </si>
  <si>
    <t>2026-03-23T18:00:00+01:00</t>
  </si>
  <si>
    <t>2026-03-30T18:00:00+02:00</t>
  </si>
  <si>
    <t>18862_March_2026.json</t>
  </si>
  <si>
    <t>2026-03-05T18:00:00+01:00</t>
  </si>
  <si>
    <t>2026-03-26T18:00:00+01:00</t>
  </si>
  <si>
    <t>21728_March_2026.json</t>
  </si>
  <si>
    <t>2026-03-06T17:15:00+01:00</t>
  </si>
  <si>
    <t>2026-03-13T17:15:00+01:00</t>
  </si>
  <si>
    <t>2026-03-20T17:15:00+01:00</t>
  </si>
  <si>
    <t>2026-03-27T17:15:00+01:00</t>
  </si>
  <si>
    <t>24590_March_2026.json</t>
  </si>
  <si>
    <t>2026-03-01T15:55:00+01:00</t>
  </si>
  <si>
    <t>2026-03-02T18:55:00+01:00</t>
  </si>
  <si>
    <t>2026-03-03T18:55:00+01:00</t>
  </si>
  <si>
    <t>2026-03-04T18:55:00+01:00</t>
  </si>
  <si>
    <t>Maximilian</t>
  </si>
  <si>
    <t>2026-03-05T18:55:00+01:00</t>
  </si>
  <si>
    <t>2026-03-06T18:55:00+01:00</t>
  </si>
  <si>
    <t>2026-03-07T15:55:00+01:00</t>
  </si>
  <si>
    <t>2026-03-08T15:55:00+01:00</t>
  </si>
  <si>
    <t>2026-03-09T18:55:00+01:00</t>
  </si>
  <si>
    <t>2026-03-10T18:55:00+01:00</t>
  </si>
  <si>
    <t>2026-03-11T18:55:00+01:00</t>
  </si>
  <si>
    <t>2026-03-12T18:55:00+01:00</t>
  </si>
  <si>
    <t>2026-03-13T18:55:00+01:00</t>
  </si>
  <si>
    <t>2026-03-14T15:55:00+01:00</t>
  </si>
  <si>
    <t>2026-03-15T15:55:00+01:00</t>
  </si>
  <si>
    <t>2026-03-16T18:55:00+01:00</t>
  </si>
  <si>
    <t>2026-03-18T18:55:00+01:00</t>
  </si>
  <si>
    <t>2026-03-19T18:55:00+01:00</t>
  </si>
  <si>
    <t>2026-03-20T18:55:00+01:00</t>
  </si>
  <si>
    <t>2026-03-21T15:55:00+01:00</t>
  </si>
  <si>
    <t>Tim Tworuschka</t>
  </si>
  <si>
    <t>2026-03-22T15:55:00+01:00</t>
  </si>
  <si>
    <t>2026-03-23T18:55:00+01:00</t>
  </si>
  <si>
    <t>2026-03-24T18:55:00+01:00</t>
  </si>
  <si>
    <t>2026-03-25T18:55:00+01:00</t>
  </si>
  <si>
    <t>2026-03-26T18:55:00+01:00</t>
  </si>
  <si>
    <t>2026-03-27T18:55:00+01:00</t>
  </si>
  <si>
    <t>2026-03-28T15:55:00+01:00</t>
  </si>
  <si>
    <t>2026-03-30T18:55:00+02:00</t>
  </si>
  <si>
    <t>2026-03-31T18:55:00+02:00</t>
  </si>
  <si>
    <t>25330_March_2026.json</t>
  </si>
  <si>
    <t>2026-03-07T16:40:00+01:00</t>
  </si>
  <si>
    <t>2026-03-14T16:40:00+01:00</t>
  </si>
  <si>
    <t>2026-03-21T16:40:00+01:00</t>
  </si>
  <si>
    <t>2026-03-28T16:40:00+01:00</t>
  </si>
  <si>
    <t>26379_March_2026.json</t>
  </si>
  <si>
    <t>2026-03-02T14:30:00+01:00</t>
  </si>
  <si>
    <t>2026-03-03T14:30:00+01:00</t>
  </si>
  <si>
    <t>2026-03-04T14:30:00+01:00</t>
  </si>
  <si>
    <t>2026-03-05T14:30:00+01:00</t>
  </si>
  <si>
    <t>2026-03-06T14:30:00+01:00</t>
  </si>
  <si>
    <t>2026-03-09T14:30:00+01:00</t>
  </si>
  <si>
    <t>2026-03-10T14:30:00+01:00</t>
  </si>
  <si>
    <t>2026-03-11T14:30:00+01:00</t>
  </si>
  <si>
    <t>2026-03-12T14:30:00+01:00</t>
  </si>
  <si>
    <t>2026-03-13T14:30:00+01:00</t>
  </si>
  <si>
    <t>2026-03-16T14:30:00+01:00</t>
  </si>
  <si>
    <t>2026-03-17T14:30:00+01:00</t>
  </si>
  <si>
    <t>2026-03-18T14:30:00+01:00</t>
  </si>
  <si>
    <t>2026-03-19T14:30:00+01:00</t>
  </si>
  <si>
    <t>2026-03-20T14:30:00+01:00</t>
  </si>
  <si>
    <t>2026-03-23T14:30:00+01:00</t>
  </si>
  <si>
    <t>2026-03-24T14:30:00+01:00</t>
  </si>
  <si>
    <t>2026-03-25T14:30:00+01:00</t>
  </si>
  <si>
    <t>2026-03-26T14:30:00+01:00</t>
  </si>
  <si>
    <t>2026-03-27T14:30:00+01:00</t>
  </si>
  <si>
    <t>29222_March_2026.json</t>
  </si>
  <si>
    <t>2026-03-02T21:55:00+01:00</t>
  </si>
  <si>
    <t>2026-03-03T21:55:00+01:00</t>
  </si>
  <si>
    <t>2026-03-04T21:55:00+01:00</t>
  </si>
  <si>
    <t>2026-03-05T21:55:00+01:00</t>
  </si>
  <si>
    <t>2026-03-06T21:55:00+01:00</t>
  </si>
  <si>
    <t>2026-03-09T21:55:00+01:00</t>
  </si>
  <si>
    <t>2026-03-10T21:55:00+01:00</t>
  </si>
  <si>
    <t>2026-03-11T21:55:00+01:00</t>
  </si>
  <si>
    <t>2026-03-12T21:55:00+01:00</t>
  </si>
  <si>
    <t>2026-03-14T21:55:00+01:00</t>
  </si>
  <si>
    <t>2026-03-17T21:55:00+01:00</t>
  </si>
  <si>
    <t>2026-03-18T21:55:00+01:00</t>
  </si>
  <si>
    <t>2026-03-19T21:55:00+01:00</t>
  </si>
  <si>
    <t>2026-03-20T21:55:00+01:00</t>
  </si>
  <si>
    <t>2026-03-21T21:55:00+01:00</t>
  </si>
  <si>
    <t>Oksana</t>
  </si>
  <si>
    <t>2026-03-23T21:55:00+01:00</t>
  </si>
  <si>
    <t>2026-03-24T21:55:00+01:00</t>
  </si>
  <si>
    <t>2026-03-25T21:55:00+01:00</t>
  </si>
  <si>
    <t>2026-03-26T21:55:00+01:00</t>
  </si>
  <si>
    <t>2026-03-27T21:55:00+01:00</t>
  </si>
  <si>
    <t>2026-03-28T21:55:00+01:00</t>
  </si>
  <si>
    <t>2026-03-30T21:55:00+02:00</t>
  </si>
  <si>
    <t>2026-03-31T21:55:00+02:00</t>
  </si>
  <si>
    <t>29931_March_2026.json</t>
  </si>
  <si>
    <t>30001_March_2026.json</t>
  </si>
  <si>
    <t>2026-03-07T19:30:00+01:00</t>
  </si>
  <si>
    <t>2026-03-07T20:30:00+01:00</t>
  </si>
  <si>
    <t>30003_March_2026.json</t>
  </si>
  <si>
    <t>2026-03-04T18:00:00+01:00</t>
  </si>
  <si>
    <t>2026-03-14T15:00:00+01:00</t>
  </si>
  <si>
    <t>2026-03-18T18:00:00+01:00</t>
  </si>
  <si>
    <t>2026-03-21T15:00:00+01:00</t>
  </si>
  <si>
    <t>2026-03-25T18:00:00+01:00</t>
  </si>
  <si>
    <t>2026-03-28T15:00:00+01:00</t>
  </si>
  <si>
    <t>31069_March_2026.json</t>
  </si>
  <si>
    <t>2026-03-02T14:00:00+01:00</t>
  </si>
  <si>
    <t>2026-03-03T14:00:00+01:00</t>
  </si>
  <si>
    <t>2026-03-04T14:00:00+01:00</t>
  </si>
  <si>
    <t>2026-03-05T14:00:00+01:00</t>
  </si>
  <si>
    <t>2026-03-11T14:00:00+01:00</t>
  </si>
  <si>
    <t>2026-03-12T14:00:00+01:00</t>
  </si>
  <si>
    <t>2026-03-17T14:00:00+01:00</t>
  </si>
  <si>
    <t>2026-03-19T14:00:00+01:00</t>
  </si>
  <si>
    <t>2026-03-20T14:00:00+01:00</t>
  </si>
  <si>
    <t>31120_March_2026.json</t>
  </si>
  <si>
    <t>2026-03-02T15:00:00+01:00</t>
  </si>
  <si>
    <t>2026-03-17T15:00:00+01:00</t>
  </si>
  <si>
    <t>Melanie Gwendolina Keller</t>
  </si>
  <si>
    <t>2026-03-20T15:00:00+01:00</t>
  </si>
  <si>
    <t>2026-03-23T15:00:00+01:00</t>
  </si>
  <si>
    <t>2026-03-24T15:00:00+01:00</t>
  </si>
  <si>
    <t>2026-03-27T13:30:00+01:00</t>
  </si>
  <si>
    <t>2026-03-31T14:30:00+02:00</t>
  </si>
  <si>
    <t>32347_March_2026.json</t>
  </si>
  <si>
    <t>2026-03-03T16:00:00+01:00</t>
  </si>
  <si>
    <t>2026-03-05T16:00:00+01:00</t>
  </si>
  <si>
    <t>2026-03-07T14:15:00+01:00</t>
  </si>
  <si>
    <t>2026-03-10T16:00:00+01:00</t>
  </si>
  <si>
    <t>2026-03-14T14:15:00+01:00</t>
  </si>
  <si>
    <t>2026-03-17T16:00:00+01:00</t>
  </si>
  <si>
    <t>2026-03-19T16:00:00+01:00</t>
  </si>
  <si>
    <t>2026-03-21T14:15:00+01:00</t>
  </si>
  <si>
    <t>2026-03-24T16:00:00+01:00</t>
  </si>
  <si>
    <t>2026-03-26T16:00:00+01:00</t>
  </si>
  <si>
    <t>2026-03-28T14:15:00+01:00</t>
  </si>
  <si>
    <t>33087_March_2026.json</t>
  </si>
  <si>
    <t>2026-03-01T18:00:00+01:00</t>
  </si>
  <si>
    <t>2026-03-02T18:10:00+01:00</t>
  </si>
  <si>
    <t>2026-03-03T18:10:00+01:00</t>
  </si>
  <si>
    <t>2026-03-04T18:10:00+01:00</t>
  </si>
  <si>
    <t>2026-03-05T18:10:00+01:00</t>
  </si>
  <si>
    <t>2026-03-06T18:10:00+01:00</t>
  </si>
  <si>
    <t>2026-03-07T18:15:00+01:00</t>
  </si>
  <si>
    <t>2026-03-08T18:00:00+01:00</t>
  </si>
  <si>
    <t>2026-03-09T18:10:00+01:00</t>
  </si>
  <si>
    <t>2026-03-10T18:10:00+01:00</t>
  </si>
  <si>
    <t>2026-03-11T18:10:00+01:00</t>
  </si>
  <si>
    <t>2026-03-12T18:10:00+01:00</t>
  </si>
  <si>
    <t>2026-03-13T18:10:00+01:00</t>
  </si>
  <si>
    <t>2026-03-14T18:15:00+01:00</t>
  </si>
  <si>
    <t>2026-03-15T18:00:00+01:00</t>
  </si>
  <si>
    <t>2026-03-16T18:10:00+01:00</t>
  </si>
  <si>
    <t>2026-03-17T18:10:00+01:00</t>
  </si>
  <si>
    <t>2026-03-18T18:10:00+01:00</t>
  </si>
  <si>
    <t>2026-03-19T18:10:00+01:00</t>
  </si>
  <si>
    <t>2026-03-20T18:10:00+01:00</t>
  </si>
  <si>
    <t>2026-03-21T18:15:00+01:00</t>
  </si>
  <si>
    <t>2026-03-22T18:00:00+01:00</t>
  </si>
  <si>
    <t>2026-03-23T18:10:00+01:00</t>
  </si>
  <si>
    <t>2026-03-24T18:10:00+01:00</t>
  </si>
  <si>
    <t>2026-03-25T18:10:00+01:00</t>
  </si>
  <si>
    <t>2026-03-26T18:10:00+01:00</t>
  </si>
  <si>
    <t>2026-03-27T18:10:00+01:00</t>
  </si>
  <si>
    <t>2026-03-28T18:15:00+01:00</t>
  </si>
  <si>
    <t>2026-03-29T18:00:00+02:00</t>
  </si>
  <si>
    <t>2026-03-30T18:10:00+02:00</t>
  </si>
  <si>
    <t>2026-03-31T18:10:00+02:00</t>
  </si>
  <si>
    <t>34060_March_2026.json</t>
  </si>
  <si>
    <t>2026-03-01T16:15:00+01:00</t>
  </si>
  <si>
    <t>2026-03-07T17:40:00+01:00</t>
  </si>
  <si>
    <t>2026-03-08T16:15:00+01:00</t>
  </si>
  <si>
    <t>Jennifer Zimmermann</t>
  </si>
  <si>
    <t>2026-03-14T17:40:00+01:00</t>
  </si>
  <si>
    <t>2026-03-15T16:15:00+01:00</t>
  </si>
  <si>
    <t>2026-03-21T17:40:00+01:00</t>
  </si>
  <si>
    <t>2026-03-22T16:15:00+01:00</t>
  </si>
  <si>
    <t>2026-03-28T17:40:00+01:00</t>
  </si>
  <si>
    <t>2026-03-29T16:15:00+02:00</t>
  </si>
  <si>
    <t>3738_March_2026.json</t>
  </si>
  <si>
    <t>2026-03-01T21:50:00+01:00</t>
  </si>
  <si>
    <t>2026-03-02T21:50:00+01:00</t>
  </si>
  <si>
    <t>2026-03-03T21:50:00+01:00</t>
  </si>
  <si>
    <t>2026-03-04T21:50:00+01:00</t>
  </si>
  <si>
    <t>2026-03-05T21:50:00+01:00</t>
  </si>
  <si>
    <t>2026-03-08T21:50:00+01:00</t>
  </si>
  <si>
    <t>2026-03-09T21:50:00+01:00</t>
  </si>
  <si>
    <t>2026-03-10T21:50:00+01:00</t>
  </si>
  <si>
    <t>Siggi Zetzmann ✔</t>
  </si>
  <si>
    <t>Evelin Pietschmann</t>
  </si>
  <si>
    <t>2026-03-11T21:50:00+01:00</t>
  </si>
  <si>
    <t>2026-03-12T21:50:00+01:00</t>
  </si>
  <si>
    <t>2026-03-13T21:50:00+01:00</t>
  </si>
  <si>
    <t>2026-03-15T21:50:00+01:00</t>
  </si>
  <si>
    <t>2026-03-16T21:50:00+01:00</t>
  </si>
  <si>
    <t>2026-03-17T21:50:00+01:00</t>
  </si>
  <si>
    <t>2026-03-18T21:50:00+01:00</t>
  </si>
  <si>
    <t>2026-03-19T21:50:00+01:00</t>
  </si>
  <si>
    <t>2026-03-20T21:50:00+01:00</t>
  </si>
  <si>
    <t>Franziska Gorenc</t>
  </si>
  <si>
    <t>2026-03-21T21:50:00+01:00</t>
  </si>
  <si>
    <t>2026-03-22T21:50:00+01:00</t>
  </si>
  <si>
    <t>2026-03-23T21:50:00+01:00</t>
  </si>
  <si>
    <t>2026-03-24T21:50:00+01:00</t>
  </si>
  <si>
    <t>2026-03-25T21:50:00+01:00</t>
  </si>
  <si>
    <t>2026-03-26T21:50:00+01:00</t>
  </si>
  <si>
    <t>2026-03-27T21:50:00+01:00</t>
  </si>
  <si>
    <t>2026-03-29T21:50:00+02:00</t>
  </si>
  <si>
    <t>2026-03-30T21:50:00+02:00</t>
  </si>
  <si>
    <t>2026-03-31T21:50:00+02:00</t>
  </si>
  <si>
    <t>4061_March_2026.json</t>
  </si>
  <si>
    <t>2026-03-01T16:30:00+01:00</t>
  </si>
  <si>
    <t>2026-03-05T17:30:00+01:00</t>
  </si>
  <si>
    <t>2026-03-06T17:30:00+01:00</t>
  </si>
  <si>
    <t>2026-03-07T16:30:00+01:00</t>
  </si>
  <si>
    <t>2026-03-08T16:30:00+01:00</t>
  </si>
  <si>
    <t>2026-03-12T17:30:00+01:00</t>
  </si>
  <si>
    <t>2026-03-13T17:30:00+01:00</t>
  </si>
  <si>
    <t>2026-03-14T16:30:00+01:00</t>
  </si>
  <si>
    <t>2026-03-15T16:30:00+01:00</t>
  </si>
  <si>
    <t>2026-03-19T17:30:00+01:00</t>
  </si>
  <si>
    <t>2026-03-20T17:30:00+01:00</t>
  </si>
  <si>
    <t>2026-03-21T16:30:00+01:00</t>
  </si>
  <si>
    <t>2026-03-22T16:30:00+01:00</t>
  </si>
  <si>
    <t>2026-03-25T17:30:00+01:00</t>
  </si>
  <si>
    <t>2026-03-26T17:30:00+01:00</t>
  </si>
  <si>
    <t>2026-03-27T17:30:00+01:00</t>
  </si>
  <si>
    <t>2026-03-28T16:30:00+01:00</t>
  </si>
  <si>
    <t>2026-03-29T16:30:00+02:00</t>
  </si>
  <si>
    <t>41891_March_2026.json</t>
  </si>
  <si>
    <t>2026-03-06T21:50:00+01:00</t>
  </si>
  <si>
    <t>2026-03-07T21:50:00+01:00</t>
  </si>
  <si>
    <t>2026-03-16T21:55:00+01:00</t>
  </si>
  <si>
    <t>2026-03-28T21:50:00+01:00</t>
  </si>
  <si>
    <t>45407_March_2026.json</t>
  </si>
  <si>
    <t>45984_March_2026.json</t>
  </si>
  <si>
    <t>Aicha  Boutasfat</t>
  </si>
  <si>
    <t>46028_March_2026.json</t>
  </si>
  <si>
    <t>2026-03-06T15:00:00+01:00</t>
  </si>
  <si>
    <t>2026-03-13T15:00:00+01:00</t>
  </si>
  <si>
    <t>47643_March_2026.json</t>
  </si>
  <si>
    <t>2026-03-07T13:00:00+01:00</t>
  </si>
  <si>
    <t>2026-03-09T17:00:00+01:00</t>
  </si>
  <si>
    <t>2026-03-10T17:00:00+01:00</t>
  </si>
  <si>
    <t>2026-03-14T13:00:00+01:00</t>
  </si>
  <si>
    <t>2026-03-21T13:00:00+01:00</t>
  </si>
  <si>
    <t>2026-03-28T13:00:00+01:00</t>
  </si>
  <si>
    <t>49255_March_2026.json</t>
  </si>
  <si>
    <t>2026-03-04T21:25:00+01:00</t>
  </si>
  <si>
    <t>2026-03-07T09:30:00+01:00</t>
  </si>
  <si>
    <t>2026-03-08T20:45:00+01:00</t>
  </si>
  <si>
    <t>2026-03-11T21:25:00+01:00</t>
  </si>
  <si>
    <t>2026-03-13T21:25:00+01:00</t>
  </si>
  <si>
    <t>2026-03-23T08:30:00+01:00</t>
  </si>
  <si>
    <t>4995_March_2026.json</t>
  </si>
  <si>
    <t>2026-03-02T13:15:00+01:00</t>
  </si>
  <si>
    <t>2026-03-04T13:15:00+01:00</t>
  </si>
  <si>
    <t>2026-03-06T13:15:00+01:00</t>
  </si>
  <si>
    <t>2026-03-09T13:15:00+01:00</t>
  </si>
  <si>
    <t>2026-03-11T13:15:00+01:00</t>
  </si>
  <si>
    <t>2026-03-13T13:15:00+01:00</t>
  </si>
  <si>
    <t>2026-03-17T13:15:00+01:00</t>
  </si>
  <si>
    <t>2026-03-19T13:15:00+01:00</t>
  </si>
  <si>
    <t>2026-03-23T13:15:00+01:00</t>
  </si>
  <si>
    <t>2026-03-25T13:15:00+01:00</t>
  </si>
  <si>
    <t>2026-03-27T13:15:00+01:00</t>
  </si>
  <si>
    <t>2026-03-31T13:15:00+02:00</t>
  </si>
  <si>
    <t>50404_March_2026.json</t>
  </si>
  <si>
    <t>2026-03-02T15:30:00+01:00</t>
  </si>
  <si>
    <t>2026-03-03T15:30:00+01:00</t>
  </si>
  <si>
    <t>2026-03-04T15:30:00+01:00</t>
  </si>
  <si>
    <t>2026-03-05T15:30:00+01:00</t>
  </si>
  <si>
    <t>2026-03-06T15:30:00+01:00</t>
  </si>
  <si>
    <t>2026-03-09T15:30:00+01:00</t>
  </si>
  <si>
    <t>2026-03-10T15:30:00+01:00</t>
  </si>
  <si>
    <t>2026-03-11T15:30:00+01:00</t>
  </si>
  <si>
    <t>2026-03-12T15:30:00+01:00</t>
  </si>
  <si>
    <t>2026-03-13T15:30:00+01:00</t>
  </si>
  <si>
    <t>2026-03-16T15:30:00+01:00</t>
  </si>
  <si>
    <t>2026-03-17T15:30:00+01:00</t>
  </si>
  <si>
    <t>2026-03-18T15:30:00+01:00</t>
  </si>
  <si>
    <t>2026-03-19T15:30:00+01:00</t>
  </si>
  <si>
    <t>2026-03-23T15:30:00+01:00</t>
  </si>
  <si>
    <t>2026-03-24T15:30:00+01:00</t>
  </si>
  <si>
    <t>2026-03-25T15:30:00+01:00</t>
  </si>
  <si>
    <t>2026-03-26T15:30:00+01:00</t>
  </si>
  <si>
    <t>2026-03-27T15:30:00+01:00</t>
  </si>
  <si>
    <t>2026-03-30T15:30:00+02:00</t>
  </si>
  <si>
    <t>2026-03-31T15:30:00+02:00</t>
  </si>
  <si>
    <t>50487_March_2026.json</t>
  </si>
  <si>
    <t>2026-03-02T16:45:00+01:00</t>
  </si>
  <si>
    <t>2026-03-03T16:45:00+01:00</t>
  </si>
  <si>
    <t>2026-03-04T16:45:00+01:00</t>
  </si>
  <si>
    <t>2026-03-05T16:45:00+01:00</t>
  </si>
  <si>
    <t>2026-03-06T16:45:00+01:00</t>
  </si>
  <si>
    <t>2026-03-07T16:45:00+01:00</t>
  </si>
  <si>
    <t>2026-03-09T16:45:00+01:00</t>
  </si>
  <si>
    <t>2026-03-10T16:45:00+01:00</t>
  </si>
  <si>
    <t>2026-03-11T16:45:00+01:00</t>
  </si>
  <si>
    <t>2026-03-12T16:45:00+01:00</t>
  </si>
  <si>
    <t>2026-03-13T16:45:00+01:00</t>
  </si>
  <si>
    <t>2026-03-14T16:45:00+01:00</t>
  </si>
  <si>
    <t>2026-03-16T16:45:00+01:00</t>
  </si>
  <si>
    <t>2026-03-17T16:45:00+01:00</t>
  </si>
  <si>
    <t>2026-03-18T16:45:00+01:00</t>
  </si>
  <si>
    <t>2026-03-19T16:45:00+01:00</t>
  </si>
  <si>
    <t>2026-03-20T16:45:00+01:00</t>
  </si>
  <si>
    <t>2026-03-21T16:45:00+01:00</t>
  </si>
  <si>
    <t>2026-03-23T16:45:00+01:00</t>
  </si>
  <si>
    <t>2026-03-24T16:45:00+01:00</t>
  </si>
  <si>
    <t>2026-03-25T16:45:00+01:00</t>
  </si>
  <si>
    <t>2026-03-26T16:45:00+01:00</t>
  </si>
  <si>
    <t>2026-03-27T16:45:00+01:00</t>
  </si>
  <si>
    <t>2026-03-28T16:45:00+01:00</t>
  </si>
  <si>
    <t>2026-03-30T16:45:00+02:00</t>
  </si>
  <si>
    <t>2026-03-31T16:45:00+02:00</t>
  </si>
  <si>
    <t>51699_March_2026.json</t>
  </si>
  <si>
    <t>2026-03-02T16:30:00+01:00</t>
  </si>
  <si>
    <t>2026-03-03T16:30:00+01:00</t>
  </si>
  <si>
    <t>2026-03-04T16:30:00+01:00</t>
  </si>
  <si>
    <t>2026-03-05T16:30:00+01:00</t>
  </si>
  <si>
    <t>2026-03-06T16:30:00+01:00</t>
  </si>
  <si>
    <t>2026-03-09T16:30:00+01:00</t>
  </si>
  <si>
    <t>2026-03-10T16:30:00+01:00</t>
  </si>
  <si>
    <t>2026-03-11T16:30:00+01:00</t>
  </si>
  <si>
    <t>2026-03-12T16:30:00+01:00</t>
  </si>
  <si>
    <t>2026-03-13T16:30:00+01:00</t>
  </si>
  <si>
    <t>2026-03-17T16:30:00+01:00</t>
  </si>
  <si>
    <t>2026-03-18T16:30:00+01:00</t>
  </si>
  <si>
    <t>2026-03-19T16:30:00+01:00</t>
  </si>
  <si>
    <t>2026-03-20T16:30:00+01:00</t>
  </si>
  <si>
    <t>2026-03-23T16:30:00+01:00</t>
  </si>
  <si>
    <t>2026-03-24T16:30:00+01:00</t>
  </si>
  <si>
    <t>2026-03-25T16:30:00+01:00</t>
  </si>
  <si>
    <t>2026-03-26T16:30:00+01:00</t>
  </si>
  <si>
    <t>2026-03-27T16:30:00+01:00</t>
  </si>
  <si>
    <t>2026-03-30T16:30:00+02:00</t>
  </si>
  <si>
    <t>2026-03-31T16:30:00+02:00</t>
  </si>
  <si>
    <t>57036_March_2026.json</t>
  </si>
  <si>
    <t>2026-03-23T21:30:00+01:00</t>
  </si>
  <si>
    <t>57673_March_2026.json</t>
  </si>
  <si>
    <t>57964_March_2026.json</t>
  </si>
  <si>
    <t>2026-03-05T13:45:00+01:00</t>
  </si>
  <si>
    <t>2026-03-06T13:45:00+01:00</t>
  </si>
  <si>
    <t>2026-03-19T13:45:00+01:00</t>
  </si>
  <si>
    <t>58223_March_2026.json</t>
  </si>
  <si>
    <t>2026-03-14T18:55:00+01:00</t>
  </si>
  <si>
    <t>58669_March_2026.json</t>
  </si>
  <si>
    <t>2026-03-14T18:00:00+01:00</t>
  </si>
  <si>
    <t>Gretha</t>
  </si>
  <si>
    <t>2026-03-21T18:00:00+01:00</t>
  </si>
  <si>
    <t>2026-03-28T18:00:00+01:00</t>
  </si>
  <si>
    <t>58671_March_2026.json</t>
  </si>
  <si>
    <t>2026-03-30T20:00:00+02:00</t>
  </si>
  <si>
    <t>59965_March_2026.json</t>
  </si>
  <si>
    <t>2026-03-02T15:15:00+01:00</t>
  </si>
  <si>
    <t>2026-03-09T15:15:00+01:00</t>
  </si>
  <si>
    <t>2026-03-16T15:15:00+01:00</t>
  </si>
  <si>
    <t>2026-03-23T15:15:00+01:00</t>
  </si>
  <si>
    <t>2026-03-30T15:15:00+02:00</t>
  </si>
  <si>
    <t>60785_March_2026.json</t>
  </si>
  <si>
    <t>2026-03-02T14:10:00+01:00</t>
  </si>
  <si>
    <t>2026-03-03T14:10:00+01:00</t>
  </si>
  <si>
    <t>2026-03-04T14:10:00+01:00</t>
  </si>
  <si>
    <t>2026-03-05T14:10:00+01:00</t>
  </si>
  <si>
    <t>2026-03-06T14:10:00+01:00</t>
  </si>
  <si>
    <t>2026-03-09T14:10:00+01:00</t>
  </si>
  <si>
    <t>2026-03-10T14:10:00+01:00</t>
  </si>
  <si>
    <t>2026-03-12T14:10:00+01:00</t>
  </si>
  <si>
    <t>2026-03-13T14:10:00+01:00</t>
  </si>
  <si>
    <t>2026-03-16T14:10:00+01:00</t>
  </si>
  <si>
    <t>2026-03-17T14:10:00+01:00</t>
  </si>
  <si>
    <t>2026-03-18T14:10:00+01:00</t>
  </si>
  <si>
    <t>2026-03-19T14:10:00+01:00</t>
  </si>
  <si>
    <t>2026-03-20T14:10:00+01:00</t>
  </si>
  <si>
    <t>2026-03-23T14:10:00+01:00</t>
  </si>
  <si>
    <t>2026-03-24T14:10:00+01:00</t>
  </si>
  <si>
    <t>2026-03-25T14:10:00+01:00</t>
  </si>
  <si>
    <t>2026-03-26T14:10:00+01:00</t>
  </si>
  <si>
    <t>2026-03-27T14:10:00+01:00</t>
  </si>
  <si>
    <t>2026-03-30T14:10:00+02:00</t>
  </si>
  <si>
    <t>2026-03-31T14:10:00+02:00</t>
  </si>
  <si>
    <t>63665_March_2026.json</t>
  </si>
  <si>
    <t>2026-03-09T17:55:00+01:00</t>
  </si>
  <si>
    <t>2026-03-10T17:55:00+01:00</t>
  </si>
  <si>
    <t>2026-03-11T17:55:00+01:00</t>
  </si>
  <si>
    <t>2026-03-12T17:55:00+01:00</t>
  </si>
  <si>
    <t>2026-03-13T17:55:00+01:00</t>
  </si>
  <si>
    <t>2026-03-16T17:55:00+01:00</t>
  </si>
  <si>
    <t>2026-03-17T17:55:00+01:00</t>
  </si>
  <si>
    <t>2026-03-18T17:55:00+01:00</t>
  </si>
  <si>
    <t>2026-03-19T17:55:00+01:00</t>
  </si>
  <si>
    <t>2026-03-20T17:55:00+01:00</t>
  </si>
  <si>
    <t>2026-03-23T17:55:00+01:00</t>
  </si>
  <si>
    <t>2026-03-24T17:55:00+01:00</t>
  </si>
  <si>
    <t>2026-03-25T17:55:00+01:00</t>
  </si>
  <si>
    <t>2026-03-26T17:55:00+01:00</t>
  </si>
  <si>
    <t>2026-03-31T17:55:00+02:00</t>
  </si>
  <si>
    <t>64491_March_2026.json</t>
  </si>
  <si>
    <t>2026-03-02T07:00:00+01:00</t>
  </si>
  <si>
    <t>2026-03-03T07:00:00+01:00</t>
  </si>
  <si>
    <t>2026-03-04T07:00:00+01:00</t>
  </si>
  <si>
    <t>2026-03-05T07:00:00+01:00</t>
  </si>
  <si>
    <t>2026-03-09T07:00:00+01:00</t>
  </si>
  <si>
    <t>2026-03-10T07:00:00+01:00</t>
  </si>
  <si>
    <t>2026-03-11T07:00:00+01:00</t>
  </si>
  <si>
    <t>2026-03-12T07:00:00+01:00</t>
  </si>
  <si>
    <t>2026-03-16T07:00:00+01:00</t>
  </si>
  <si>
    <t>2026-03-17T07:00:00+01:00</t>
  </si>
  <si>
    <t>2026-03-18T07:00:00+01:00</t>
  </si>
  <si>
    <t>2026-03-19T07:00:00+01:00</t>
  </si>
  <si>
    <t>2026-03-20T15:30:00+01:00</t>
  </si>
  <si>
    <t>2026-03-23T07:00:00+01:00</t>
  </si>
  <si>
    <t>2026-03-24T07:00:00+01:00</t>
  </si>
  <si>
    <t>2026-03-25T07:00:00+01:00</t>
  </si>
  <si>
    <t>2026-03-25T12:00:00+01:00</t>
  </si>
  <si>
    <t>2026-03-26T07:00:00+01:00</t>
  </si>
  <si>
    <t>2026-03-30T07:00:00+02:00</t>
  </si>
  <si>
    <t>2026-03-31T07:00:00+02:00</t>
  </si>
  <si>
    <t>59966_January_2026.json</t>
  </si>
  <si>
    <t>59966_March_2026.json</t>
  </si>
  <si>
    <t>67643_March_2026.json</t>
  </si>
  <si>
    <t>2026-03-05T22:00:00+01:00</t>
  </si>
  <si>
    <t>2026-03-12T22:00:00+01:00</t>
  </si>
  <si>
    <t>2026-03-19T22:00:00+01:00</t>
  </si>
  <si>
    <t>2026-03-26T22:00:00+01:00</t>
  </si>
  <si>
    <t>68127_March_2026.json</t>
  </si>
  <si>
    <t>Monat</t>
  </si>
  <si>
    <t>Januar</t>
  </si>
  <si>
    <t>Februar</t>
  </si>
  <si>
    <t>Sabine Adam-Müller</t>
  </si>
  <si>
    <t>März</t>
  </si>
  <si>
    <t>Name Betrieb</t>
  </si>
  <si>
    <t>URL</t>
  </si>
  <si>
    <t>Kategorie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</si>
  <si>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</si>
  <si>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</si>
  <si>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</si>
  <si>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</si>
  <si>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</si>
  <si>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</si>
  <si>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</si>
  <si>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</si>
  <si>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</si>
  <si>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>Noteinsatz</t>
  </si>
  <si>
    <t>NP-Betrieb</t>
  </si>
  <si>
    <t>json</t>
  </si>
  <si>
    <t>Café Tradita</t>
  </si>
  <si>
    <t>https://foodsharing.de/store/3738</t>
  </si>
  <si>
    <t>Bäckerei Rausch Bornheim</t>
  </si>
  <si>
    <t>https://foodsharing.de/store/4061</t>
  </si>
  <si>
    <t>Krabbelstube Kullerwiese</t>
  </si>
  <si>
    <t>https://foodsharing.de/store/4995</t>
  </si>
  <si>
    <t>MokkaTeeria</t>
  </si>
  <si>
    <t>https://foodsharing.de/store/12483</t>
  </si>
  <si>
    <t>Dein Backhaus (ehem. Billback)</t>
  </si>
  <si>
    <t>https://foodsharing.de/store/12530</t>
  </si>
  <si>
    <t>Wochenmarkt Bornheim</t>
  </si>
  <si>
    <t>https://foodsharing.de/store/12984</t>
  </si>
  <si>
    <t>Wochenmarkt Südbahnhof</t>
  </si>
  <si>
    <t>https://foodsharing.de/store/15150</t>
  </si>
  <si>
    <t>Intermarkt</t>
  </si>
  <si>
    <t>https://foodsharing.de/store/18561</t>
  </si>
  <si>
    <t>Kaisermarkt Frankfurt (da Bäcker Stand)</t>
  </si>
  <si>
    <t>https://foodsharing.de/store/18862</t>
  </si>
  <si>
    <t>Wochenmarkt Schillermarkt</t>
  </si>
  <si>
    <t>https://foodsharing.de/store/21728</t>
  </si>
  <si>
    <t>Vogelsbergbäcker</t>
  </si>
  <si>
    <t>https://foodsharing.de/store/24590</t>
  </si>
  <si>
    <t>Wochenmarkt Konstablerwache</t>
  </si>
  <si>
    <t>https://foodsharing.de/store/25330</t>
  </si>
  <si>
    <t>Spielraum Schülerladen</t>
  </si>
  <si>
    <t>https://foodsharing.de/store/26379</t>
  </si>
  <si>
    <t>Backwerk Südbahnhof</t>
  </si>
  <si>
    <t>https://foodsharing.de/store/29222</t>
  </si>
  <si>
    <t>Wochenmarkt Riedberg</t>
  </si>
  <si>
    <t>https://foodsharing.de/store/29931</t>
  </si>
  <si>
    <t>Betriebe im Skyline Plaza</t>
  </si>
  <si>
    <t>https://foodsharing.de/store/30001</t>
  </si>
  <si>
    <t>Bäckerei Burla</t>
  </si>
  <si>
    <t>https://foodsharing.de/store/30003</t>
  </si>
  <si>
    <t>Schul Catering GEG Gastro: Niederrad Schul Catering GEG Gastro: Michael Grzimek Schule</t>
  </si>
  <si>
    <t>https://foodsharing.de/store/31069</t>
  </si>
  <si>
    <t>Schul Catering GEG Gastro: Campus Westend</t>
  </si>
  <si>
    <t>https://foodsharing.de/store/31120</t>
  </si>
  <si>
    <t>Fairteiler Bornheim</t>
  </si>
  <si>
    <t>https://foodsharing.de/store/32714</t>
  </si>
  <si>
    <t>Fairteiler</t>
  </si>
  <si>
    <t>K&amp;B Bäckerei Schloßstraße</t>
  </si>
  <si>
    <t>https://foodsharing.de/store/33087</t>
  </si>
  <si>
    <t>K&amp;B Bäckerei Oeder Weg</t>
  </si>
  <si>
    <t>https://foodsharing.de/store/34060</t>
  </si>
  <si>
    <t>Café Frankfurt (Gutleut)</t>
  </si>
  <si>
    <t>https://foodsharing.de/store/39396</t>
  </si>
  <si>
    <t>geschlossen</t>
  </si>
  <si>
    <t>leer</t>
  </si>
  <si>
    <t>Fairteiler Ada-Kantine</t>
  </si>
  <si>
    <t>https://foodsharing.de/store/40251</t>
  </si>
  <si>
    <t>Bäckerei im Scheck in Center Sachsenhausen</t>
  </si>
  <si>
    <t>https://foodsharing.de/store/41891</t>
  </si>
  <si>
    <t>Quicker ́s Flughafen, Terminal 1 Ankunft A</t>
  </si>
  <si>
    <t>https://foodsharing.de/store/42641</t>
  </si>
  <si>
    <t>Quicker ́s Hauptbahnhof</t>
  </si>
  <si>
    <t>https://foodsharing.de/store/42648</t>
  </si>
  <si>
    <t>Bäckerei Cafe BIBI</t>
  </si>
  <si>
    <t>https://foodsharing.de/store/45407</t>
  </si>
  <si>
    <t>Dünsberg Bäcker auf dem Wochenmarkt in Heddernheim</t>
  </si>
  <si>
    <t>https://foodsharing.de/store/45984</t>
  </si>
  <si>
    <t>Foodji</t>
  </si>
  <si>
    <t>Tegut Kaiserstraße</t>
  </si>
  <si>
    <t>https://foodsharing.de/store/47643</t>
  </si>
  <si>
    <t>Bäckerei Antika</t>
  </si>
  <si>
    <t>https://foodsharing.de/store/49255</t>
  </si>
  <si>
    <t>Kita Brandhöfchen</t>
  </si>
  <si>
    <t>https://foodsharing.de/store/50404</t>
  </si>
  <si>
    <t>Öffentlichskeitarbeit</t>
  </si>
  <si>
    <t>https://foodsharing.de/store/52831</t>
  </si>
  <si>
    <t>Ö-Arbeit</t>
  </si>
  <si>
    <t>*json</t>
  </si>
  <si>
    <t>Fairteiler Höchst</t>
  </si>
  <si>
    <t>https://foodsharing.de/store/53812</t>
  </si>
  <si>
    <t>Rewe Sachsenhausen</t>
  </si>
  <si>
    <t>https://foodsharing.de/store/57036</t>
  </si>
  <si>
    <t>Fairteiler Schwanheim</t>
  </si>
  <si>
    <t>https://foodsharing.de/store/57579</t>
  </si>
  <si>
    <t>Steigenberger Airport Hotel - Frankfurt</t>
  </si>
  <si>
    <t>https://foodsharing.de/store/57673</t>
  </si>
  <si>
    <t>Schul-Catering Konradhof: Carl-von-Weinberg-Schule Goldstein</t>
  </si>
  <si>
    <t>https://foodsharing.de/store/57964</t>
  </si>
  <si>
    <t>Back-Factory (Bornheim Mitte)</t>
  </si>
  <si>
    <t>https://foodsharing.de/store/58669</t>
  </si>
  <si>
    <t>Backwerk Konstablerwache</t>
  </si>
  <si>
    <t>https://foodsharing.de/store/58671</t>
  </si>
  <si>
    <t>Tafel-Ausgabestelle Gallus</t>
  </si>
  <si>
    <t>https://foodsharing.de/store/59965</t>
  </si>
  <si>
    <t>LM-Anlieferung Nachbarschaftstreff „Nebenan“</t>
  </si>
  <si>
    <t>https://foodsharing.de/store/59966</t>
  </si>
  <si>
    <t>Anlieferung</t>
  </si>
  <si>
    <t>Helaba Main Tower</t>
  </si>
  <si>
    <t>https://foodsharing.de/store/60785</t>
  </si>
  <si>
    <t>Fairteiler Zeilsheim</t>
  </si>
  <si>
    <t>https://foodsharing.de/store/61227</t>
  </si>
  <si>
    <t>Café Dillenburg</t>
  </si>
  <si>
    <t>Scandic Hafenpark</t>
  </si>
  <si>
    <t>https://foodsharing.de/store/62767</t>
  </si>
  <si>
    <t>DB Fernverkehr Frankfurt HbF</t>
  </si>
  <si>
    <t>https://foodsharing.de/store/63665</t>
  </si>
  <si>
    <t>ASB Dorint Hotel</t>
  </si>
  <si>
    <t>https://foodsharing.de/store/64376</t>
  </si>
  <si>
    <t>Mahlis Cafe und Co (ehemalls „Erst zum Bäcker“)</t>
  </si>
  <si>
    <t>https://foodsharing.de/store/64491</t>
  </si>
  <si>
    <t>Fairteiler Nied</t>
  </si>
  <si>
    <t>foodsharing | Fairteiler Nied (Reinigung)</t>
  </si>
  <si>
    <t>Fairteiler Reinigung MG Haus Gallus</t>
  </si>
  <si>
    <t>https://foodsharing.de/store/66763</t>
  </si>
  <si>
    <t>Instagram-Betreuung</t>
  </si>
  <si>
    <t>Instagram</t>
  </si>
  <si>
    <t>Abgabestelle Küfa im QB BGR (Nieder-Eschbach)</t>
  </si>
  <si>
    <t>https://foodsharing.de/store/67643</t>
  </si>
  <si>
    <t>Penny Leipziger Straße</t>
  </si>
  <si>
    <t>https://foodsharing.de/store/50487</t>
  </si>
  <si>
    <t>Waldstation Supreme Sports Hospitality</t>
  </si>
  <si>
    <t>https://foodsharing.de/store/58223</t>
  </si>
  <si>
    <t>Rewe Junker Frankenallee (Gallus)</t>
  </si>
  <si>
    <t>ab Februar 2026</t>
  </si>
  <si>
    <t>Fairteilaktion Regenbogengemeinde</t>
  </si>
  <si>
    <t>??</t>
  </si>
  <si>
    <t>Fairteiler Unterliederbach</t>
  </si>
  <si>
    <t>Zweigstelle Reformhaus Andersch</t>
  </si>
  <si>
    <t>Persönliche Gründe</t>
  </si>
  <si>
    <t>Erreicht</t>
  </si>
  <si>
    <t>Posten</t>
  </si>
  <si>
    <t>Zweitmitglied (nur relevant für 23)</t>
  </si>
  <si>
    <t>Murat Eren</t>
  </si>
  <si>
    <t>Fateme Ghaznavi</t>
  </si>
  <si>
    <t>Cecile Braud Gräff</t>
  </si>
  <si>
    <t>Leonard Dietrich</t>
  </si>
  <si>
    <t>Iris Meister</t>
  </si>
  <si>
    <t>Israa Barkok</t>
  </si>
  <si>
    <t>1121_April_2026.json</t>
  </si>
  <si>
    <t>2026-04-02T21:00:00+02:00</t>
  </si>
  <si>
    <t>2026-04-04T18:01:00+02:00</t>
  </si>
  <si>
    <t>2026-04-04T19:00:00+02:00</t>
  </si>
  <si>
    <t>2026-04-04T19:45:00+02:00</t>
  </si>
  <si>
    <t>2026-04-04T19:59:00+02:00</t>
  </si>
  <si>
    <t>2026-04-04T20:00:00+02:00</t>
  </si>
  <si>
    <t>Tena</t>
  </si>
  <si>
    <t>2026-04-06T18:30:00+02:00</t>
  </si>
  <si>
    <t>2026-04-11T14:00:00+02:00</t>
  </si>
  <si>
    <t>2026-04-11T16:00:00+02:00</t>
  </si>
  <si>
    <t>2026-04-11T20:00:00+02:00</t>
  </si>
  <si>
    <t>2026-04-11T20:50:00+02:00</t>
  </si>
  <si>
    <t>2026-04-11T21:00:00+02:00</t>
  </si>
  <si>
    <t>2026-04-13T20:01:00+02:00</t>
  </si>
  <si>
    <t>2026-04-17T10:00:00+02:00</t>
  </si>
  <si>
    <t>2026-04-18T19:40:00+02:00</t>
  </si>
  <si>
    <t>2026-04-18T19:45:00+02:00</t>
  </si>
  <si>
    <t>2026-04-18T20:00:00+02:00</t>
  </si>
  <si>
    <t>2026-04-19T19:00:00+02:00</t>
  </si>
  <si>
    <t>2026-04-23T09:00:00+02:00</t>
  </si>
  <si>
    <t>2026-04-23T17:30:00+02:00</t>
  </si>
  <si>
    <t>2026-04-23T19:00:00+02:00</t>
  </si>
  <si>
    <t>2026-04-25T09:00:00+02:00</t>
  </si>
  <si>
    <t>2026-04-25T20:50:00+02:00</t>
  </si>
  <si>
    <t>2026-04-28T14:00:00+02:00</t>
  </si>
  <si>
    <t>2026-04-29T07:45:00+02:00</t>
  </si>
  <si>
    <t>2026-04-29T17:30:00+02:00</t>
  </si>
  <si>
    <t>2026-04-30T19:00:00+02:00</t>
  </si>
  <si>
    <t>12483_April_2026.json</t>
  </si>
  <si>
    <t>2026-04-01T18:30:00+02:00</t>
  </si>
  <si>
    <t>2026-04-02T18:30:00+02:00</t>
  </si>
  <si>
    <t>2026-04-03T18:30:00+02:00</t>
  </si>
  <si>
    <t>2026-04-04T18:30:00+02:00</t>
  </si>
  <si>
    <t>2026-04-05T18:30:00+02:00</t>
  </si>
  <si>
    <t>2026-04-07T18:30:00+02:00</t>
  </si>
  <si>
    <t>2026-04-08T18:30:00+02:00</t>
  </si>
  <si>
    <t>2026-04-09T18:30:00+02:00</t>
  </si>
  <si>
    <t>Wahida Ouhssaine - Azaouagh</t>
  </si>
  <si>
    <t>2026-04-10T18:30:00+02:00</t>
  </si>
  <si>
    <t>2026-04-11T18:30:00+02:00</t>
  </si>
  <si>
    <t>2026-04-12T18:30:00+02:00</t>
  </si>
  <si>
    <t>2026-04-13T18:30:00+02:00</t>
  </si>
  <si>
    <t>2026-04-14T18:30:00+02:00</t>
  </si>
  <si>
    <t>2026-04-15T18:30:00+02:00</t>
  </si>
  <si>
    <t>2026-04-16T18:30:00+02:00</t>
  </si>
  <si>
    <t>2026-04-17T18:30:00+02:00</t>
  </si>
  <si>
    <t>2026-04-18T18:30:00+02:00</t>
  </si>
  <si>
    <t>2026-04-19T18:30:00+02:00</t>
  </si>
  <si>
    <t>2026-04-20T18:30:00+02:00</t>
  </si>
  <si>
    <t>2026-04-21T18:30:00+02:00</t>
  </si>
  <si>
    <t>2026-04-22T18:30:00+02:00</t>
  </si>
  <si>
    <t>2026-04-23T18:30:00+02:00</t>
  </si>
  <si>
    <t>2026-04-24T18:30:00+02:00</t>
  </si>
  <si>
    <t>2026-04-25T18:30:00+02:00</t>
  </si>
  <si>
    <t>2026-04-26T18:30:00+02:00</t>
  </si>
  <si>
    <t>2026-04-27T18:30:00+02:00</t>
  </si>
  <si>
    <t>2026-04-28T18:30:00+02:00</t>
  </si>
  <si>
    <t>2026-04-29T18:30:00+02:00</t>
  </si>
  <si>
    <t>2026-04-30T18:30:00+02:00</t>
  </si>
  <si>
    <t>12530_April_2026.json</t>
  </si>
  <si>
    <t>2026-04-02T19:00:00+02:00</t>
  </si>
  <si>
    <t>2026-04-05T19:00:00+02:00</t>
  </si>
  <si>
    <t>2026-04-07T19:00:00+02:00</t>
  </si>
  <si>
    <t>2026-04-09T19:00:00+02:00</t>
  </si>
  <si>
    <t>2026-04-11T19:00:00+02:00</t>
  </si>
  <si>
    <t>2026-04-12T19:00:00+02:00</t>
  </si>
  <si>
    <t>2026-04-14T19:00:00+02:00</t>
  </si>
  <si>
    <t>Caroline</t>
  </si>
  <si>
    <t>2026-04-16T19:00:00+02:00</t>
  </si>
  <si>
    <t>2026-04-18T19:00:00+02:00</t>
  </si>
  <si>
    <t>2026-04-21T19:00:00+02:00</t>
  </si>
  <si>
    <t>2026-04-25T19:00:00+02:00</t>
  </si>
  <si>
    <t>2026-04-26T19:00:00+02:00</t>
  </si>
  <si>
    <t>2026-04-28T19:00:00+02:00</t>
  </si>
  <si>
    <t>12984_April_2026.json</t>
  </si>
  <si>
    <t>2026-04-01T17:45:00+02:00</t>
  </si>
  <si>
    <t>2026-04-04T15:45:00+02:00</t>
  </si>
  <si>
    <t>2026-04-08T17:45:00+02:00</t>
  </si>
  <si>
    <t>2026-04-11T15:45:00+02:00</t>
  </si>
  <si>
    <t>2026-04-15T17:45:00+02:00</t>
  </si>
  <si>
    <t>2026-04-18T15:45:00+02:00</t>
  </si>
  <si>
    <t>2026-04-22T17:45:00+02:00</t>
  </si>
  <si>
    <t>2026-04-25T15:45:00+02:00</t>
  </si>
  <si>
    <t>2026-04-29T17:45:00+02:00</t>
  </si>
  <si>
    <t>15150_April_2026.json</t>
  </si>
  <si>
    <t>2026-04-02T17:45:00+02:00</t>
  </si>
  <si>
    <t>2026-04-07T17:45:00+02:00</t>
  </si>
  <si>
    <t>2026-04-10T17:45:00+02:00</t>
  </si>
  <si>
    <t>2026-04-14T17:45:00+02:00</t>
  </si>
  <si>
    <t>2026-04-17T17:45:00+02:00</t>
  </si>
  <si>
    <t>2026-04-21T17:45:00+02:00</t>
  </si>
  <si>
    <t>2026-04-24T17:45:00+02:00</t>
  </si>
  <si>
    <t>2026-04-28T17:45:00+02:00</t>
  </si>
  <si>
    <t>2026-04-30T17:45:00+02:00</t>
  </si>
  <si>
    <t>18561_April_2026.json</t>
  </si>
  <si>
    <t>2026-04-07T18:00:00+02:00</t>
  </si>
  <si>
    <t>2026-04-09T18:00:00+02:00</t>
  </si>
  <si>
    <t>2026-04-13T18:00:00+02:00</t>
  </si>
  <si>
    <t>2026-04-14T18:00:00+02:00</t>
  </si>
  <si>
    <t>2026-04-16T18:00:00+02:00</t>
  </si>
  <si>
    <t>2026-04-20T18:00:00+02:00</t>
  </si>
  <si>
    <t>2026-04-20T18:05:00+02:00</t>
  </si>
  <si>
    <t>2026-04-21T18:00:00+02:00</t>
  </si>
  <si>
    <t>2026-04-23T18:00:00+02:00</t>
  </si>
  <si>
    <t>2026-04-27T18:00:00+02:00</t>
  </si>
  <si>
    <t>2026-04-28T18:00:00+02:00</t>
  </si>
  <si>
    <t>18862_April_2026.json</t>
  </si>
  <si>
    <t>2026-04-02T18:00:00+02:00</t>
  </si>
  <si>
    <t>2026-04-30T18:00:00+02:00</t>
  </si>
  <si>
    <t>21728_April_2026.json</t>
  </si>
  <si>
    <t>2026-04-02T17:15:00+02:00</t>
  </si>
  <si>
    <t>Hilke</t>
  </si>
  <si>
    <t>2026-04-10T17:15:00+02:00</t>
  </si>
  <si>
    <t>2026-04-17T17:15:00+02:00</t>
  </si>
  <si>
    <t>2026-04-24T17:15:00+02:00</t>
  </si>
  <si>
    <t>2026-04-30T17:15:00+02:00</t>
  </si>
  <si>
    <t>24590_April_2026.json</t>
  </si>
  <si>
    <t>2026-04-01T18:55:00+02:00</t>
  </si>
  <si>
    <t>2026-04-02T18:55:00+02:00</t>
  </si>
  <si>
    <t>2026-04-03T15:55:00+02:00</t>
  </si>
  <si>
    <t>2026-04-04T15:55:00+02:00</t>
  </si>
  <si>
    <t>2026-04-05T15:55:00+02:00</t>
  </si>
  <si>
    <t>2026-04-06T15:55:00+02:00</t>
  </si>
  <si>
    <t>2026-04-07T18:55:00+02:00</t>
  </si>
  <si>
    <t>2026-04-08T18:55:00+02:00</t>
  </si>
  <si>
    <t>2026-04-09T18:55:00+02:00</t>
  </si>
  <si>
    <t>2026-04-11T15:55:00+02:00</t>
  </si>
  <si>
    <t>2026-04-12T15:55:00+02:00</t>
  </si>
  <si>
    <t>2026-04-13T18:55:00+02:00</t>
  </si>
  <si>
    <t>2026-04-14T18:55:00+02:00</t>
  </si>
  <si>
    <t>2026-04-15T18:55:00+02:00</t>
  </si>
  <si>
    <t>2026-04-16T18:55:00+02:00</t>
  </si>
  <si>
    <t>2026-04-17T18:55:00+02:00</t>
  </si>
  <si>
    <t>2026-04-18T15:55:00+02:00</t>
  </si>
  <si>
    <t>2026-04-19T15:55:00+02:00</t>
  </si>
  <si>
    <t>2026-04-20T18:55:00+02:00</t>
  </si>
  <si>
    <t>2026-04-21T18:55:00+02:00</t>
  </si>
  <si>
    <t>2026-04-22T18:55:00+02:00</t>
  </si>
  <si>
    <t>2026-04-23T18:55:00+02:00</t>
  </si>
  <si>
    <t>2026-04-24T18:55:00+02:00</t>
  </si>
  <si>
    <t>2026-04-25T15:55:00+02:00</t>
  </si>
  <si>
    <t>2026-04-26T15:55:00+02:00</t>
  </si>
  <si>
    <t>2026-04-27T18:55:00+02:00</t>
  </si>
  <si>
    <t>2026-04-28T18:55:00+02:00</t>
  </si>
  <si>
    <t>2026-04-29T18:55:00+02:00</t>
  </si>
  <si>
    <t>2026-04-30T18:55:00+02:00</t>
  </si>
  <si>
    <t>25330_April_2026.json</t>
  </si>
  <si>
    <t>2026-04-04T16:40:00+02:00</t>
  </si>
  <si>
    <t>2026-04-11T16:40:00+02:00</t>
  </si>
  <si>
    <t>2026-04-18T16:40:00+02:00</t>
  </si>
  <si>
    <t>2026-04-25T16:40:00+02:00</t>
  </si>
  <si>
    <t>26379_April_2026.json</t>
  </si>
  <si>
    <t>2026-04-14T14:30:00+02:00</t>
  </si>
  <si>
    <t>2026-04-15T14:30:00+02:00</t>
  </si>
  <si>
    <t>2026-04-16T14:30:00+02:00</t>
  </si>
  <si>
    <t>2026-04-17T14:30:00+02:00</t>
  </si>
  <si>
    <t>2026-04-20T14:30:00+02:00</t>
  </si>
  <si>
    <t>2026-04-21T14:30:00+02:00</t>
  </si>
  <si>
    <t>2026-04-22T14:30:00+02:00</t>
  </si>
  <si>
    <t>2026-04-23T14:30:00+02:00</t>
  </si>
  <si>
    <t>2026-04-24T14:30:00+02:00</t>
  </si>
  <si>
    <t>2026-04-27T14:30:00+02:00</t>
  </si>
  <si>
    <t>2026-04-28T14:30:00+02:00</t>
  </si>
  <si>
    <t>2026-04-29T14:30:00+02:00</t>
  </si>
  <si>
    <t>2026-04-30T14:30:00+02:00</t>
  </si>
  <si>
    <t>29222_April_2026.json</t>
  </si>
  <si>
    <t>2026-04-01T21:55:00+02:00</t>
  </si>
  <si>
    <t>2026-04-02T21:55:00+02:00</t>
  </si>
  <si>
    <t>2026-04-06T21:55:00+02:00</t>
  </si>
  <si>
    <t>2026-04-08T21:55:00+02:00</t>
  </si>
  <si>
    <t>2026-04-09T21:55:00+02:00</t>
  </si>
  <si>
    <t>2026-04-10T21:55:00+02:00</t>
  </si>
  <si>
    <t>2026-04-11T21:55:00+02:00</t>
  </si>
  <si>
    <t>2026-04-14T21:55:00+02:00</t>
  </si>
  <si>
    <t>2026-04-15T21:55:00+02:00</t>
  </si>
  <si>
    <t>2026-04-16T21:55:00+02:00</t>
  </si>
  <si>
    <t>2026-04-20T21:55:00+02:00</t>
  </si>
  <si>
    <t>2026-04-21T21:55:00+02:00</t>
  </si>
  <si>
    <t>2026-04-22T21:55:00+02:00</t>
  </si>
  <si>
    <t>2026-04-23T21:55:00+02:00</t>
  </si>
  <si>
    <t>2026-04-24T21:55:00+02:00</t>
  </si>
  <si>
    <t>2026-04-27T21:55:00+02:00</t>
  </si>
  <si>
    <t>2026-04-28T21:55:00+02:00</t>
  </si>
  <si>
    <t>2026-04-30T21:55:00+02:00</t>
  </si>
  <si>
    <t>29931_April_2026.json</t>
  </si>
  <si>
    <t>30001_April_2026.json</t>
  </si>
  <si>
    <t>2026-04-02T19:30:00+02:00</t>
  </si>
  <si>
    <t>2026-04-02T20:30:00+02:00</t>
  </si>
  <si>
    <t>2026-04-07T19:30:00+02:00</t>
  </si>
  <si>
    <t>2026-04-07T20:30:00+02:00</t>
  </si>
  <si>
    <t>2026-04-21T19:30:00+02:00</t>
  </si>
  <si>
    <t>2026-04-21T20:30:00+02:00</t>
  </si>
  <si>
    <t>2026-04-30T19:30:00+02:00</t>
  </si>
  <si>
    <t>2026-04-30T20:30:00+02:00</t>
  </si>
  <si>
    <t>30003_April_2026.json</t>
  </si>
  <si>
    <t>2026-04-01T18:00:00+02:00</t>
  </si>
  <si>
    <t>2026-04-04T15:00:00+02:00</t>
  </si>
  <si>
    <t>2026-04-08T18:00:00+02:00</t>
  </si>
  <si>
    <t>2026-04-10T17:00:00+02:00</t>
  </si>
  <si>
    <t>2026-04-15T18:00:00+02:00</t>
  </si>
  <si>
    <t>2026-04-17T17:00:00+02:00</t>
  </si>
  <si>
    <t>2026-04-22T18:00:00+02:00</t>
  </si>
  <si>
    <t>2026-04-24T17:00:00+02:00</t>
  </si>
  <si>
    <t>2026-04-29T18:00:00+02:00</t>
  </si>
  <si>
    <t>31069_April_2026.json</t>
  </si>
  <si>
    <t>31120_April_2026.json</t>
  </si>
  <si>
    <t>2026-04-08T13:30:00+02:00</t>
  </si>
  <si>
    <t>2026-04-10T13:30:00+02:00</t>
  </si>
  <si>
    <t>2026-04-14T15:00:00+02:00</t>
  </si>
  <si>
    <t>2026-04-17T15:00:00+02:00</t>
  </si>
  <si>
    <t>2026-04-21T15:00:00+02:00</t>
  </si>
  <si>
    <t>32347_April_2026.json</t>
  </si>
  <si>
    <t>2026-04-01T16:00:00+02:00</t>
  </si>
  <si>
    <t>2026-04-02T16:00:00+02:00</t>
  </si>
  <si>
    <t>2026-04-04T14:15:00+02:00</t>
  </si>
  <si>
    <t>2026-04-07T16:00:00+02:00</t>
  </si>
  <si>
    <t>2026-04-08T16:00:00+02:00</t>
  </si>
  <si>
    <t>2026-04-09T16:00:00+02:00</t>
  </si>
  <si>
    <t>2026-04-10T16:00:00+02:00</t>
  </si>
  <si>
    <t>2026-04-11T14:15:00+02:00</t>
  </si>
  <si>
    <t>2026-04-13T16:00:00+02:00</t>
  </si>
  <si>
    <t>2026-04-14T16:00:00+02:00</t>
  </si>
  <si>
    <t>2026-04-15T16:00:00+02:00</t>
  </si>
  <si>
    <t>2026-04-16T16:00:00+02:00</t>
  </si>
  <si>
    <t>2026-04-17T16:00:00+02:00</t>
  </si>
  <si>
    <t>2026-04-18T14:15:00+02:00</t>
  </si>
  <si>
    <t>2026-04-20T16:00:00+02:00</t>
  </si>
  <si>
    <t>2026-04-21T16:00:00+02:00</t>
  </si>
  <si>
    <t>2026-04-22T16:00:00+02:00</t>
  </si>
  <si>
    <t>2026-04-24T16:00:00+02:00</t>
  </si>
  <si>
    <t>2026-04-25T14:15:00+02:00</t>
  </si>
  <si>
    <t>2026-04-27T16:00:00+02:00</t>
  </si>
  <si>
    <t>2026-04-28T16:00:00+02:00</t>
  </si>
  <si>
    <t>2026-04-30T16:00:00+02:00</t>
  </si>
  <si>
    <t>33087_April_2026.json</t>
  </si>
  <si>
    <t>2026-04-01T18:10:00+02:00</t>
  </si>
  <si>
    <t>2026-04-02T18:10:00+02:00</t>
  </si>
  <si>
    <t>2026-04-03T17:45:00+02:00</t>
  </si>
  <si>
    <t>2026-04-04T17:45:00+02:00</t>
  </si>
  <si>
    <t>2026-04-05T17:45:00+02:00</t>
  </si>
  <si>
    <t>2026-04-06T18:10:00+02:00</t>
  </si>
  <si>
    <t>2026-04-07T18:10:00+02:00</t>
  </si>
  <si>
    <t>2026-04-08T18:10:00+02:00</t>
  </si>
  <si>
    <t>2026-04-09T18:10:00+02:00</t>
  </si>
  <si>
    <t>2026-04-10T18:10:00+02:00</t>
  </si>
  <si>
    <t>2026-04-11T18:15:00+02:00</t>
  </si>
  <si>
    <t>2026-04-12T18:00:00+02:00</t>
  </si>
  <si>
    <t>2026-04-13T18:10:00+02:00</t>
  </si>
  <si>
    <t>2026-04-14T18:10:00+02:00</t>
  </si>
  <si>
    <t>2026-04-15T18:10:00+02:00</t>
  </si>
  <si>
    <t>2026-04-16T18:10:00+02:00</t>
  </si>
  <si>
    <t>2026-04-17T18:10:00+02:00</t>
  </si>
  <si>
    <t>2026-04-18T18:15:00+02:00</t>
  </si>
  <si>
    <t>2026-04-19T18:00:00+02:00</t>
  </si>
  <si>
    <t>2026-04-20T18:10:00+02:00</t>
  </si>
  <si>
    <t>2026-04-21T18:10:00+02:00</t>
  </si>
  <si>
    <t>2026-04-22T18:10:00+02:00</t>
  </si>
  <si>
    <t>2026-04-23T18:10:00+02:00</t>
  </si>
  <si>
    <t>2026-04-24T18:10:00+02:00</t>
  </si>
  <si>
    <t>2026-04-25T18:15:00+02:00</t>
  </si>
  <si>
    <t>2026-04-26T18:00:00+02:00</t>
  </si>
  <si>
    <t>2026-04-27T18:10:00+02:00</t>
  </si>
  <si>
    <t>2026-04-28T18:10:00+02:00</t>
  </si>
  <si>
    <t>2026-04-29T18:10:00+02:00</t>
  </si>
  <si>
    <t>2026-04-30T18:10:00+02:00</t>
  </si>
  <si>
    <t>34060_April_2026.json</t>
  </si>
  <si>
    <t>2026-04-03T18:00:00+02:00</t>
  </si>
  <si>
    <t>2026-04-04T17:40:00+02:00</t>
  </si>
  <si>
    <t>2026-04-05T16:15:00+02:00</t>
  </si>
  <si>
    <t>2026-04-06T18:00:00+02:00</t>
  </si>
  <si>
    <t>2026-04-10T18:00:00+02:00</t>
  </si>
  <si>
    <t>2026-04-11T17:40:00+02:00</t>
  </si>
  <si>
    <t>2026-04-12T16:15:00+02:00</t>
  </si>
  <si>
    <t>2026-04-17T18:00:00+02:00</t>
  </si>
  <si>
    <t>2026-04-18T17:40:00+02:00</t>
  </si>
  <si>
    <t>2026-04-19T16:15:00+02:00</t>
  </si>
  <si>
    <t>2026-04-24T18:00:00+02:00</t>
  </si>
  <si>
    <t>2026-04-25T17:40:00+02:00</t>
  </si>
  <si>
    <t>2026-04-26T16:15:00+02:00</t>
  </si>
  <si>
    <t>3738_April_2026.json</t>
  </si>
  <si>
    <t>2026-04-02T08:30:00+02:00</t>
  </si>
  <si>
    <t>2026-04-02T21:50:00+02:00</t>
  </si>
  <si>
    <t>2026-04-03T21:50:00+02:00</t>
  </si>
  <si>
    <t>2026-04-04T21:50:00+02:00</t>
  </si>
  <si>
    <t>2026-04-05T21:50:00+02:00</t>
  </si>
  <si>
    <t>2026-04-06T21:50:00+02:00</t>
  </si>
  <si>
    <t>2026-04-07T21:50:00+02:00</t>
  </si>
  <si>
    <t>2026-04-08T21:50:00+02:00</t>
  </si>
  <si>
    <t>2026-04-09T21:50:00+02:00</t>
  </si>
  <si>
    <t>2026-04-10T21:50:00+02:00</t>
  </si>
  <si>
    <t>2026-04-11T21:50:00+02:00</t>
  </si>
  <si>
    <t>2026-04-12T21:50:00+02:00</t>
  </si>
  <si>
    <t>2026-04-13T22:15:00+02:00</t>
  </si>
  <si>
    <t>2026-04-14T21:50:00+02:00</t>
  </si>
  <si>
    <t>2026-04-15T21:50:00+02:00</t>
  </si>
  <si>
    <t>2026-04-16T21:50:00+02:00</t>
  </si>
  <si>
    <t>2026-04-17T21:50:00+02:00</t>
  </si>
  <si>
    <t>2026-04-19T08:00:00+02:00</t>
  </si>
  <si>
    <t>2026-04-19T21:50:00+02:00</t>
  </si>
  <si>
    <t>2026-04-20T21:50:00+02:00</t>
  </si>
  <si>
    <t>2026-04-21T21:50:00+02:00</t>
  </si>
  <si>
    <t>2026-04-22T21:50:00+02:00</t>
  </si>
  <si>
    <t>2026-04-23T21:50:00+02:00</t>
  </si>
  <si>
    <t>2026-04-24T21:50:00+02:00</t>
  </si>
  <si>
    <t>2026-04-25T21:50:00+02:00</t>
  </si>
  <si>
    <t>2026-04-26T21:50:00+02:00</t>
  </si>
  <si>
    <t>2026-04-27T21:50:00+02:00</t>
  </si>
  <si>
    <t>2026-04-28T21:50:00+02:00</t>
  </si>
  <si>
    <t>2026-04-29T21:50:00+02:00</t>
  </si>
  <si>
    <t>2026-04-30T21:50:00+02:00</t>
  </si>
  <si>
    <t>4061_April_2026.json</t>
  </si>
  <si>
    <t>2026-04-01T17:30:00+02:00</t>
  </si>
  <si>
    <t>2026-04-02T17:30:00+02:00</t>
  </si>
  <si>
    <t>2026-04-04T16:30:00+02:00</t>
  </si>
  <si>
    <t>2026-04-05T16:30:00+02:00</t>
  </si>
  <si>
    <t>2026-04-15T17:30:00+02:00</t>
  </si>
  <si>
    <t>2026-04-16T17:30:00+02:00</t>
  </si>
  <si>
    <t>2026-04-17T17:30:00+02:00</t>
  </si>
  <si>
    <t>2026-04-18T16:30:00+02:00</t>
  </si>
  <si>
    <t>2026-04-19T16:30:00+02:00</t>
  </si>
  <si>
    <t>2026-04-22T17:30:00+02:00</t>
  </si>
  <si>
    <t>2026-04-24T17:30:00+02:00</t>
  </si>
  <si>
    <t>2026-04-25T16:30:00+02:00</t>
  </si>
  <si>
    <t>2026-04-26T16:30:00+02:00</t>
  </si>
  <si>
    <t>2026-04-30T17:30:00+02:00</t>
  </si>
  <si>
    <t>41891_April_2026.json</t>
  </si>
  <si>
    <t>2026-04-01T21:50:00+02:00</t>
  </si>
  <si>
    <t>2026-04-02T19:50:00+02:00</t>
  </si>
  <si>
    <t>2026-04-04T21:55:00+02:00</t>
  </si>
  <si>
    <t>2026-04-07T21:55:00+02:00</t>
  </si>
  <si>
    <t>2026-04-13T21:50:00+02:00</t>
  </si>
  <si>
    <t>2026-04-13T21:55:00+02:00</t>
  </si>
  <si>
    <t>2026-04-17T21:55:00+02:00</t>
  </si>
  <si>
    <t>2026-04-18T21:50:00+02:00</t>
  </si>
  <si>
    <t>2026-04-18T21:55:00+02:00</t>
  </si>
  <si>
    <t>2026-04-25T21:55:00+02:00</t>
  </si>
  <si>
    <t>2026-04-29T21:55:00+02:00</t>
  </si>
  <si>
    <t>45407_April_2026.json</t>
  </si>
  <si>
    <t>2026-04-03T15:00:00+02:00</t>
  </si>
  <si>
    <t>2026-04-04T16:00:00+02:00</t>
  </si>
  <si>
    <t>2026-04-05T17:00:00+02:00</t>
  </si>
  <si>
    <t>2026-04-06T17:00:00+02:00</t>
  </si>
  <si>
    <t>2026-04-12T17:00:00+02:00</t>
  </si>
  <si>
    <t>2026-04-25T16:00:00+02:00</t>
  </si>
  <si>
    <t>45984_April_2026.json</t>
  </si>
  <si>
    <t>2026-04-02T17:00:00+02:00</t>
  </si>
  <si>
    <t>2026-04-30T17:00:00+02:00</t>
  </si>
  <si>
    <t>46028_April_2026.json</t>
  </si>
  <si>
    <t>2026-04-02T13:00:00+02:00</t>
  </si>
  <si>
    <t>2026-04-10T15:00:00+02:00</t>
  </si>
  <si>
    <t>2026-04-24T15:00:00+02:00</t>
  </si>
  <si>
    <t>2026-04-29T16:00:00+02:00</t>
  </si>
  <si>
    <t>47643_April_2026.json</t>
  </si>
  <si>
    <t>2026-04-01T17:00:00+02:00</t>
  </si>
  <si>
    <t>2026-04-04T13:00:00+02:00</t>
  </si>
  <si>
    <t>2026-04-07T17:00:00+02:00</t>
  </si>
  <si>
    <t>2026-04-08T17:00:00+02:00</t>
  </si>
  <si>
    <t>2026-04-09T17:00:00+02:00</t>
  </si>
  <si>
    <t>2026-04-11T13:00:00+02:00</t>
  </si>
  <si>
    <t>2026-04-13T17:00:00+02:00</t>
  </si>
  <si>
    <t>2026-04-14T17:00:00+02:00</t>
  </si>
  <si>
    <t>2026-04-15T17:00:00+02:00</t>
  </si>
  <si>
    <t>2026-04-16T17:00:00+02:00</t>
  </si>
  <si>
    <t>2026-04-18T13:00:00+02:00</t>
  </si>
  <si>
    <t>2026-04-20T17:00:00+02:00</t>
  </si>
  <si>
    <t>2026-04-21T17:00:00+02:00</t>
  </si>
  <si>
    <t>2026-04-22T17:00:00+02:00</t>
  </si>
  <si>
    <t>2026-04-23T17:00:00+02:00</t>
  </si>
  <si>
    <t>2026-04-25T13:00:00+02:00</t>
  </si>
  <si>
    <t>2026-04-27T17:00:00+02:00</t>
  </si>
  <si>
    <t>2026-04-28T17:00:00+02:00</t>
  </si>
  <si>
    <t>2026-04-29T17:00:00+02:00</t>
  </si>
  <si>
    <t>49255_April_2026.json</t>
  </si>
  <si>
    <t>2026-04-05T20:45:00+02:00</t>
  </si>
  <si>
    <t>2026-04-08T21:25:00+02:00</t>
  </si>
  <si>
    <t>2026-04-11T09:00:00+02:00</t>
  </si>
  <si>
    <t>2026-04-18T09:30:00+02:00</t>
  </si>
  <si>
    <t>2026-04-22T21:25:00+02:00</t>
  </si>
  <si>
    <t>4995_April_2026.json</t>
  </si>
  <si>
    <t>2026-04-02T13:15:00+02:00</t>
  </si>
  <si>
    <t>2026-04-08T13:15:00+02:00</t>
  </si>
  <si>
    <t>2026-04-10T13:15:00+02:00</t>
  </si>
  <si>
    <t>2026-04-13T13:15:00+02:00</t>
  </si>
  <si>
    <t>2026-04-15T13:15:00+02:00</t>
  </si>
  <si>
    <t>2026-04-17T13:15:00+02:00</t>
  </si>
  <si>
    <t>2026-04-20T13:15:00+02:00</t>
  </si>
  <si>
    <t>2026-04-22T13:15:00+02:00</t>
  </si>
  <si>
    <t>2026-04-24T13:15:00+02:00</t>
  </si>
  <si>
    <t>2026-04-28T13:15:00+02:00</t>
  </si>
  <si>
    <t>2026-04-30T13:15:00+02:00</t>
  </si>
  <si>
    <t>50404_April_2026.json</t>
  </si>
  <si>
    <t>2026-04-01T15:30:00+02:00</t>
  </si>
  <si>
    <t>2026-04-07T15:30:00+02:00</t>
  </si>
  <si>
    <t>2026-04-08T15:30:00+02:00</t>
  </si>
  <si>
    <t>2026-04-09T15:30:00+02:00</t>
  </si>
  <si>
    <t>2026-04-10T15:30:00+02:00</t>
  </si>
  <si>
    <t>2026-04-13T15:30:00+02:00</t>
  </si>
  <si>
    <t>2026-04-14T15:30:00+02:00</t>
  </si>
  <si>
    <t>2026-04-15T15:30:00+02:00</t>
  </si>
  <si>
    <t>2026-04-16T15:30:00+02:00</t>
  </si>
  <si>
    <t>2026-04-17T15:30:00+02:00</t>
  </si>
  <si>
    <t>2026-04-20T15:30:00+02:00</t>
  </si>
  <si>
    <t>2026-04-21T15:30:00+02:00</t>
  </si>
  <si>
    <t>2026-04-22T15:30:00+02:00</t>
  </si>
  <si>
    <t>2026-04-23T15:30:00+02:00</t>
  </si>
  <si>
    <t>2026-04-24T15:30:00+02:00</t>
  </si>
  <si>
    <t>2026-04-27T15:30:00+02:00</t>
  </si>
  <si>
    <t>2026-04-28T15:30:00+02:00</t>
  </si>
  <si>
    <t>2026-04-29T15:30:00+02:00</t>
  </si>
  <si>
    <t>2026-04-30T15:30:00+02:00</t>
  </si>
  <si>
    <t>50487_April_2026.json</t>
  </si>
  <si>
    <t>2026-04-01T16:45:00+02:00</t>
  </si>
  <si>
    <t>2026-04-02T16:45:00+02:00</t>
  </si>
  <si>
    <t>2026-04-04T16:45:00+02:00</t>
  </si>
  <si>
    <t>2026-04-07T16:45:00+02:00</t>
  </si>
  <si>
    <t>2026-04-08T16:45:00+02:00</t>
  </si>
  <si>
    <t>2026-04-09T16:45:00+02:00</t>
  </si>
  <si>
    <t>2026-04-10T16:45:00+02:00</t>
  </si>
  <si>
    <t>2026-04-11T16:45:00+02:00</t>
  </si>
  <si>
    <t>2026-04-13T16:45:00+02:00</t>
  </si>
  <si>
    <t>2026-04-14T16:45:00+02:00</t>
  </si>
  <si>
    <t>2026-04-15T16:45:00+02:00</t>
  </si>
  <si>
    <t>2026-04-16T16:45:00+02:00</t>
  </si>
  <si>
    <t>2026-04-20T16:45:00+02:00</t>
  </si>
  <si>
    <t>2026-04-22T16:45:00+02:00</t>
  </si>
  <si>
    <t>2026-04-23T16:45:00+02:00</t>
  </si>
  <si>
    <t>2026-04-25T17:00:00+02:00</t>
  </si>
  <si>
    <t>2026-04-30T16:45:00+02:00</t>
  </si>
  <si>
    <t>51699_April_2026.json</t>
  </si>
  <si>
    <t>2026-04-01T16:30:00+02:00</t>
  </si>
  <si>
    <t>2026-04-02T16:30:00+02:00</t>
  </si>
  <si>
    <t>2026-04-07T16:30:00+02:00</t>
  </si>
  <si>
    <t>2026-04-08T16:30:00+02:00</t>
  </si>
  <si>
    <t>2026-04-09T16:30:00+02:00</t>
  </si>
  <si>
    <t>2026-04-10T16:30:00+02:00</t>
  </si>
  <si>
    <t>2026-04-13T16:30:00+02:00</t>
  </si>
  <si>
    <t>2026-04-14T16:30:00+02:00</t>
  </si>
  <si>
    <t>Norbert</t>
  </si>
  <si>
    <t>2026-04-15T16:30:00+02:00</t>
  </si>
  <si>
    <t>2026-04-16T16:30:00+02:00</t>
  </si>
  <si>
    <t>2026-04-17T16:30:00+02:00</t>
  </si>
  <si>
    <t>2026-04-20T16:30:00+02:00</t>
  </si>
  <si>
    <t>2026-04-21T16:30:00+02:00</t>
  </si>
  <si>
    <t>2026-04-22T16:30:00+02:00</t>
  </si>
  <si>
    <t>2026-04-23T16:30:00+02:00</t>
  </si>
  <si>
    <t>2026-04-24T16:30:00+02:00</t>
  </si>
  <si>
    <t>2026-04-27T16:30:00+02:00</t>
  </si>
  <si>
    <t>2026-04-28T16:30:00+02:00</t>
  </si>
  <si>
    <t>2026-04-29T16:30:00+02:00</t>
  </si>
  <si>
    <t>2026-04-30T16:30:00+02:00</t>
  </si>
  <si>
    <t>57036_April_2026.json</t>
  </si>
  <si>
    <t>2026-04-01T19:00:00+02:00</t>
  </si>
  <si>
    <t>2026-04-08T19:00:00+02:00</t>
  </si>
  <si>
    <t>2026-04-10T19:00:00+02:00</t>
  </si>
  <si>
    <t>2026-04-13T19:00:00+02:00</t>
  </si>
  <si>
    <t>2026-04-15T19:00:00+02:00</t>
  </si>
  <si>
    <t>2026-04-17T19:00:00+02:00</t>
  </si>
  <si>
    <t>2026-04-20T19:00:00+02:00</t>
  </si>
  <si>
    <t>2026-04-22T19:00:00+02:00</t>
  </si>
  <si>
    <t>2026-04-24T19:00:00+02:00</t>
  </si>
  <si>
    <t>2026-04-27T19:00:00+02:00</t>
  </si>
  <si>
    <t>2026-04-29T19:00:00+02:00</t>
  </si>
  <si>
    <t>57673_April_2026.json</t>
  </si>
  <si>
    <t>57964_April_2026.json</t>
  </si>
  <si>
    <t>2026-04-21T13:45:00+02:00</t>
  </si>
  <si>
    <t>2026-04-28T13:45:00+02:00</t>
  </si>
  <si>
    <t>58223_April_2026.json</t>
  </si>
  <si>
    <t>2026-04-05T21:05:00+02:00</t>
  </si>
  <si>
    <t>2026-04-18T22:00:00+02:00</t>
  </si>
  <si>
    <t>2026-04-18T22:05:00+02:00</t>
  </si>
  <si>
    <t>58669_April_2026.json</t>
  </si>
  <si>
    <t>2026-04-03T19:00:00+02:00</t>
  </si>
  <si>
    <t>2026-04-06T20:00:00+02:00</t>
  </si>
  <si>
    <t>2026-04-12T20:00:00+02:00</t>
  </si>
  <si>
    <t>2026-04-18T18:00:00+02:00</t>
  </si>
  <si>
    <t>2026-04-19T20:00:00+02:00</t>
  </si>
  <si>
    <t>2026-04-26T20:00:00+02:00</t>
  </si>
  <si>
    <t>58671_April_2026.json</t>
  </si>
  <si>
    <t>2026-04-01T20:00:00+02:00</t>
  </si>
  <si>
    <t>2026-04-02T20:00:00+02:00</t>
  </si>
  <si>
    <t>2026-04-07T20:00:00+02:00</t>
  </si>
  <si>
    <t>2026-04-08T20:00:00+02:00</t>
  </si>
  <si>
    <t>2026-04-09T20:00:00+02:00</t>
  </si>
  <si>
    <t>2026-04-10T20:00:00+02:00</t>
  </si>
  <si>
    <t>2026-04-14T20:00:00+02:00</t>
  </si>
  <si>
    <t>2026-04-15T20:00:00+02:00</t>
  </si>
  <si>
    <t>2026-04-16T20:00:00+02:00</t>
  </si>
  <si>
    <t>2026-04-17T20:00:00+02:00</t>
  </si>
  <si>
    <t>2026-04-20T20:00:00+02:00</t>
  </si>
  <si>
    <t>2026-04-21T20:00:00+02:00</t>
  </si>
  <si>
    <t>2026-04-22T20:00:00+02:00</t>
  </si>
  <si>
    <t>2026-04-23T20:00:00+02:00</t>
  </si>
  <si>
    <t>2026-04-24T20:00:00+02:00</t>
  </si>
  <si>
    <t>2026-04-27T20:00:00+02:00</t>
  </si>
  <si>
    <t>2026-04-28T20:00:00+02:00</t>
  </si>
  <si>
    <t>2026-04-29T20:00:00+02:00</t>
  </si>
  <si>
    <t>2026-04-30T20:00:00+02:00</t>
  </si>
  <si>
    <t>59965_April_2026.json</t>
  </si>
  <si>
    <t>2026-04-13T15:15:00+02:00</t>
  </si>
  <si>
    <t>2026-04-20T15:15:00+02:00</t>
  </si>
  <si>
    <t>2026-04-27T15:15:00+02:00</t>
  </si>
  <si>
    <t>60785_April_2026.json</t>
  </si>
  <si>
    <t>2026-04-01T14:10:00+02:00</t>
  </si>
  <si>
    <t>2026-04-02T14:10:00+02:00</t>
  </si>
  <si>
    <t>2026-04-07T14:10:00+02:00</t>
  </si>
  <si>
    <t>2026-04-08T14:10:00+02:00</t>
  </si>
  <si>
    <t>2026-04-09T14:10:00+02:00</t>
  </si>
  <si>
    <t>2026-04-10T14:10:00+02:00</t>
  </si>
  <si>
    <t>2026-04-13T14:10:00+02:00</t>
  </si>
  <si>
    <t>2026-04-14T14:10:00+02:00</t>
  </si>
  <si>
    <t>2026-04-15T14:10:00+02:00</t>
  </si>
  <si>
    <t>2026-04-16T14:10:00+02:00</t>
  </si>
  <si>
    <t>2026-04-17T14:10:00+02:00</t>
  </si>
  <si>
    <t>2026-04-20T14:10:00+02:00</t>
  </si>
  <si>
    <t>2026-04-21T14:10:00+02:00</t>
  </si>
  <si>
    <t>2026-04-22T14:10:00+02:00</t>
  </si>
  <si>
    <t>2026-04-23T14:10:00+02:00</t>
  </si>
  <si>
    <t>2026-04-24T14:10:00+02:00</t>
  </si>
  <si>
    <t>2026-04-27T14:10:00+02:00</t>
  </si>
  <si>
    <t>2026-04-28T14:10:00+02:00</t>
  </si>
  <si>
    <t>2026-04-29T14:10:00+02:00</t>
  </si>
  <si>
    <t>2026-04-30T14:10:00+02:00</t>
  </si>
  <si>
    <t>63665_April_2026.json</t>
  </si>
  <si>
    <t>2026-04-14T17:55:00+02:00</t>
  </si>
  <si>
    <t>2026-04-16T13:15:00+02:00</t>
  </si>
  <si>
    <t>2026-04-16T17:55:00+02:00</t>
  </si>
  <si>
    <t>2026-04-20T15:00:00+02:00</t>
  </si>
  <si>
    <t>2026-04-22T17:55:00+02:00</t>
  </si>
  <si>
    <t>2026-04-27T17:55:00+02:00</t>
  </si>
  <si>
    <t>64491_April_2026.json</t>
  </si>
  <si>
    <t>2026-04-01T07:00:00+02:00</t>
  </si>
  <si>
    <t>2026-04-02T07:00:00+02:00</t>
  </si>
  <si>
    <t>2026-04-03T15:30:00+02:00</t>
  </si>
  <si>
    <t>2026-04-06T07:00:00+02:00</t>
  </si>
  <si>
    <t>2026-04-07T07:00:00+02:00</t>
  </si>
  <si>
    <t>2026-04-08T07:00:00+02:00</t>
  </si>
  <si>
    <t>2026-04-09T07:00:00+02:00</t>
  </si>
  <si>
    <t>2026-04-13T07:00:00+02:00</t>
  </si>
  <si>
    <t>2026-04-14T07:00:00+02:00</t>
  </si>
  <si>
    <t>2026-04-15T07:00:00+02:00</t>
  </si>
  <si>
    <t>2026-04-16T07:00:00+02:00</t>
  </si>
  <si>
    <t>2026-04-20T07:00:00+02:00</t>
  </si>
  <si>
    <t>2026-04-21T07:00:00+02:00</t>
  </si>
  <si>
    <t>2026-04-22T07:00:00+02:00</t>
  </si>
  <si>
    <t>2026-04-23T07:00:00+02:00</t>
  </si>
  <si>
    <t>2026-04-27T07:00:00+02:00</t>
  </si>
  <si>
    <t>2026-04-28T07:00:00+02:00</t>
  </si>
  <si>
    <t>2026-04-29T07:00:00+02:00</t>
  </si>
  <si>
    <t>2026-04-30T07:00:00+02:00</t>
  </si>
  <si>
    <t>32714_April_2026.json</t>
  </si>
  <si>
    <t>2026-04-01T18:45:00+02:00</t>
  </si>
  <si>
    <t>2026-04-02T18:45:00+02:00</t>
  </si>
  <si>
    <t>2026-04-04T17:30:00+02:00</t>
  </si>
  <si>
    <t>2026-04-07T18:45:00+02:00</t>
  </si>
  <si>
    <t>2026-04-08T18:45:00+02:00</t>
  </si>
  <si>
    <t>2026-04-09T18:45:00+02:00</t>
  </si>
  <si>
    <t>2026-04-10T18:45:00+02:00</t>
  </si>
  <si>
    <t>2026-04-11T17:30:00+02:00</t>
  </si>
  <si>
    <t>2026-04-13T18:45:00+02:00</t>
  </si>
  <si>
    <t>2026-04-14T18:45:00+02:00</t>
  </si>
  <si>
    <t>2026-04-15T18:45:00+02:00</t>
  </si>
  <si>
    <t>2026-04-16T18:45:00+02:00</t>
  </si>
  <si>
    <t>2026-04-20T18:45:00+02:00</t>
  </si>
  <si>
    <t>2026-04-21T18:45:00+02:00</t>
  </si>
  <si>
    <t>2026-04-23T18:45:00+02:00</t>
  </si>
  <si>
    <t>2026-04-24T18:45:00+02:00</t>
  </si>
  <si>
    <t>2026-04-25T17:30:00+02:00</t>
  </si>
  <si>
    <t>2026-04-27T18:45:00+02:00</t>
  </si>
  <si>
    <t>2026-04-28T18:45:00+02:00</t>
  </si>
  <si>
    <t>2026-04-29T18:45:00+02:00</t>
  </si>
  <si>
    <t>2026-04-30T18:45:00+02:00</t>
  </si>
  <si>
    <t>40251_April_2026.json</t>
  </si>
  <si>
    <t>2026-04-03T17:00:00+02:00</t>
  </si>
  <si>
    <t>2026-04-11T17:00:00+02:00</t>
  </si>
  <si>
    <t>2026-04-18T17:00:00+02:00</t>
  </si>
  <si>
    <t>2026-04-19T17:00:00+02:00</t>
  </si>
  <si>
    <t>53812_April_2026.json</t>
  </si>
  <si>
    <t>2026-04-06T19:00:00+02:00</t>
  </si>
  <si>
    <t>57579_April_2026.json</t>
  </si>
  <si>
    <t>2026-04-01T23:55:00+02:00</t>
  </si>
  <si>
    <t>Ramona Le</t>
  </si>
  <si>
    <t>2026-04-03T23:55:00+02:00</t>
  </si>
  <si>
    <t>2026-04-06T23:55:00+02:00</t>
  </si>
  <si>
    <t>2026-04-08T23:55:00+02:00</t>
  </si>
  <si>
    <t>2026-04-10T23:55:00+02:00</t>
  </si>
  <si>
    <t>2026-04-13T23:55:00+02:00</t>
  </si>
  <si>
    <t>2026-04-15T23:55:00+02:00</t>
  </si>
  <si>
    <t>2026-04-17T23:55:00+02:00</t>
  </si>
  <si>
    <t>2026-04-20T23:55:00+02:00</t>
  </si>
  <si>
    <t>2026-04-22T23:55:00+02:00</t>
  </si>
  <si>
    <t>Cornelia Siegl</t>
  </si>
  <si>
    <t>2026-04-24T23:55:00+02:00</t>
  </si>
  <si>
    <t>2026-04-27T23:55:00+02:00</t>
  </si>
  <si>
    <t>2026-04-29T23:55:00+02:00</t>
  </si>
  <si>
    <t>61227_April_2026.json</t>
  </si>
  <si>
    <t>2026-04-03T20:00:00+02:00</t>
  </si>
  <si>
    <t>2026-04-05T20:00:00+02:00</t>
  </si>
  <si>
    <t>2026-04-13T20:00:00+02:00</t>
  </si>
  <si>
    <t>2026-04-25T20:00:00+02:00</t>
  </si>
  <si>
    <t>65213_April_2026.json</t>
  </si>
  <si>
    <t>2026-04-03T16:00:00+02:00</t>
  </si>
  <si>
    <t>2026-04-06T16:00:00+02:00</t>
  </si>
  <si>
    <t>2026-04-18T16:00:00+02:00</t>
  </si>
  <si>
    <t>66763_April_2026.json</t>
  </si>
  <si>
    <t>67344_April_2026.json</t>
  </si>
  <si>
    <t>59966_April_2026.json</t>
  </si>
  <si>
    <t>.json</t>
  </si>
  <si>
    <t>67643_April_2026.json</t>
  </si>
  <si>
    <t>2026-04-02T22:00:00+02:00</t>
  </si>
  <si>
    <t>2026-04-16T22:00:00+02:00</t>
  </si>
  <si>
    <t>2026-04-23T22:00:00+02:00</t>
  </si>
  <si>
    <t>68127_April_2026.json</t>
  </si>
  <si>
    <t>Penny Bonames</t>
  </si>
  <si>
    <t>NP ab 01.06.2026</t>
  </si>
  <si>
    <t>Anja Schneidereit</t>
  </si>
  <si>
    <t>Beatrice Mahnicke</t>
  </si>
  <si>
    <t>Kim-Leoni Löffler</t>
  </si>
  <si>
    <t>Pablo Maruhn</t>
  </si>
  <si>
    <t>Corinna Wiedenmann</t>
  </si>
  <si>
    <t>Dolli Hatzenböller</t>
  </si>
  <si>
    <t>Jan Dreher</t>
  </si>
  <si>
    <t>Saskia Liedicke</t>
  </si>
  <si>
    <t>Slawa Fast</t>
  </si>
  <si>
    <t>Stefanie Timm</t>
  </si>
  <si>
    <t>Ulrike Neißner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</si>
</sst>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[$€-407];[Red]\-#,##0.00\ [$€-407]"/>
    <numFmt numFmtId="165" formatCode="dd\.mm\.yyyy"/>
    <numFmt numFmtId="166" formatCode="dd/mm/yy"/>
  </numFmts>
  <fonts count="39">
    <font>
      <sz val="11"/>
      <color rgb="FF000000"/>
      <name val="Calibri1"/>
      <charset val="1"/>
    </font>
    <font>
      <b/>
      <sz val="10"/>
      <color rgb="FFFFFFFF"/>
      <name val="Liberation Sans1"/>
      <charset val="1"/>
    </font>
    <font>
      <b/>
      <sz val="10"/>
      <color rgb="FF000000"/>
      <name val="Liberation Sans1"/>
      <charset val="1"/>
    </font>
    <font>
      <sz val="10"/>
      <color rgb="FFCC0000"/>
      <name val="Liberation Sans1"/>
      <charset val="1"/>
    </font>
    <font>
      <i/>
      <sz val="10"/>
      <color rgb="FF808080"/>
      <name val="Liberation Sans1"/>
      <charset val="1"/>
    </font>
    <font>
      <sz val="10"/>
      <color rgb="FF006600"/>
      <name val="Liberation Sans1"/>
      <charset val="1"/>
    </font>
    <font>
      <b/>
      <i/>
      <sz val="16"/>
      <color rgb="FF000000"/>
      <name val="Calibri1"/>
      <charset val="1"/>
    </font>
    <font>
      <b/>
      <sz val="18"/>
      <color rgb="FF000000"/>
      <name val="Liberation Sans1"/>
      <charset val="1"/>
    </font>
    <font>
      <b/>
      <sz val="12"/>
      <color rgb="FF000000"/>
      <name val="Liberation Sans1"/>
      <charset val="1"/>
    </font>
    <font>
      <b/>
      <sz val="24"/>
      <color rgb="FF000000"/>
      <name val="Liberation Sans1"/>
      <charset val="1"/>
    </font>
    <font>
      <u/>
      <sz val="10"/>
      <color rgb="FF0000EE"/>
      <name val="Liberation Sans1"/>
      <charset val="1"/>
    </font>
    <font>
      <sz val="10"/>
      <color rgb="FF333333"/>
      <name val="Liberation Sans1"/>
      <charset val="1"/>
    </font>
    <font>
      <b/>
      <i/>
      <u/>
      <sz val="10"/>
      <color rgb="FF000000"/>
      <name val="Liberation Sans1"/>
      <charset val="1"/>
    </font>
    <font>
      <b/>
      <i/>
      <u/>
      <sz val="11"/>
      <color rgb="FF000000"/>
      <name val="Calibri1"/>
      <charset val="1"/>
    </font>
    <font>
      <sz val="10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0"/>
      <color rgb="FF000000"/>
      <name val="Liberation Sans1"/>
      <charset val="1"/>
    </font>
    <font>
      <sz val="11"/>
      <color rgb="FF666666"/>
      <name val="Calibri1"/>
      <charset val="1"/>
    </font>
    <font>
      <sz val="11"/>
      <color rgb="FFFF0000"/>
      <name val="Calibri1"/>
      <charset val="1"/>
    </font>
    <font>
      <b/>
      <sz val="14"/>
      <color rgb="FF000000"/>
      <name val="Liberation Sans1"/>
      <charset val="1"/>
    </font>
    <font>
      <b/>
      <sz val="14"/>
      <color rgb="FF666666"/>
      <name val="Liberation Sans1"/>
      <charset val="1"/>
    </font>
    <font>
      <b/>
      <sz val="14"/>
      <color rgb="FFFF0000"/>
      <name val="Liberation Sans1"/>
      <charset val="1"/>
    </font>
    <font>
      <sz val="11"/>
      <color rgb="FF000000"/>
      <name val="Times New Roman"/>
      <family val="1"/>
      <charset val="1"/>
    </font>
    <font>
      <sz val="12"/>
      <color rgb="FF000000"/>
      <name val="Arial11"/>
      <charset val="1"/>
    </font>
    <font>
      <sz val="12"/>
      <color rgb="FF000000"/>
      <name val="BodyFont"/>
      <charset val="1"/>
    </font>
    <font>
      <sz val="11"/>
      <color rgb="FFCC00CC"/>
      <name val="Calibri1"/>
      <charset val="1"/>
    </font>
    <font>
      <b/>
      <sz val="14"/>
      <color rgb="FFCC00CC"/>
      <name val="Liberation Sans1"/>
      <charset val="1"/>
    </font>
    <font>
      <b/>
      <sz val="14"/>
      <color rgb="FF000000"/>
      <name val="Calibri1"/>
      <charset val="1"/>
    </font>
    <font>
      <sz val="11"/>
      <color rgb="FF383B42"/>
      <name val="Arial"/>
      <family val="2"/>
      <charset val="1"/>
    </font>
    <font>
      <strike/>
      <sz val="11"/>
      <color rgb="FF999999"/>
      <name val="Calibri1"/>
      <charset val="1"/>
    </font>
    <font>
      <sz val="11"/>
      <color rgb="FF000000"/>
      <name val="Arial"/>
      <family val="2"/>
    </font>
    <font>
      <sz val="11"/>
      <color rgb="FF212529"/>
      <name val="BodyFont"/>
      <charset val="1"/>
    </font>
    <font>
      <sz val="11"/>
      <color rgb="FF383B42"/>
      <name val="BodyFont"/>
      <charset val="1"/>
    </font>
    <font>
      <sz val="11"/>
      <color rgb="FF000000"/>
      <name val="BodyFont"/>
      <charset val="1"/>
    </font>
    <font>
      <sz val="11"/>
      <name val="Calibri1"/>
      <charset val="1"/>
    </font>
    <font>
      <b/>
      <sz val="10"/>
      <name val="Liberation Sans1"/>
      <charset val="1"/>
    </font>
    <font>
      <u/>
      <sz val="11"/>
      <color rgb="FF0563C1"/>
      <name val="Calibri1"/>
      <charset val="1"/>
    </font>
    <font>
      <sz val="11"/>
      <name val="Calibri1"/>
    </font>
  </fonts>
  <fills count="25">
    <fill>
      <patternFill patternType="none"/>
    </fill>
    <fill>
      <patternFill patternType="gray125"/>
    </fill>
    <fill>
      <patternFill patternType="solid">
        <fgColor rgb="FF000000"/>
        <bgColor rgb="FF212529"/>
      </patternFill>
    </fill>
    <fill>
      <patternFill patternType="solid">
        <fgColor rgb="FF808080"/>
        <bgColor rgb="FF999999"/>
      </patternFill>
    </fill>
    <fill>
      <patternFill patternType="solid">
        <fgColor rgb="FFDDDDDD"/>
        <bgColor rgb="FFE2F0D9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FF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00CC33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CC33"/>
      </patternFill>
    </fill>
    <fill>
      <patternFill patternType="solid">
        <fgColor rgb="FFFF0000"/>
        <bgColor rgb="FFCC0000"/>
      </patternFill>
    </fill>
    <fill>
      <patternFill patternType="solid">
        <fgColor rgb="FFFF6600"/>
        <bgColor rgb="FFFF8080"/>
      </patternFill>
    </fill>
    <fill>
      <patternFill patternType="solid">
        <fgColor rgb="FFFFCC00"/>
        <bgColor rgb="FFFFC000"/>
      </patternFill>
    </fill>
    <fill>
      <patternFill patternType="solid">
        <fgColor rgb="FF47D45A"/>
        <bgColor rgb="FF70AD47"/>
      </patternFill>
    </fill>
    <fill>
      <patternFill patternType="solid">
        <fgColor rgb="FFFFC000"/>
        <bgColor rgb="FFFFCC00"/>
      </patternFill>
    </fill>
    <fill>
      <patternFill patternType="solid">
        <fgColor rgb="FFFFFFFF"/>
        <bgColor rgb="FFFFFFCC"/>
      </patternFill>
    </fill>
    <fill>
      <patternFill patternType="solid">
        <fgColor rgb="FFE2F0D9"/>
        <bgColor rgb="FFDDDDDD"/>
      </patternFill>
    </fill>
    <fill>
      <patternFill patternType="solid">
        <fgColor rgb="FF70AD47"/>
        <bgColor rgb="FF47D45A"/>
      </patternFill>
    </fill>
    <fill>
      <patternFill patternType="solid">
        <fgColor rgb="FF0F9ED5"/>
        <bgColor rgb="FF008080"/>
      </patternFill>
    </fill>
    <fill>
      <patternFill patternType="solid">
        <fgColor rgb="FFFF00CC"/>
        <bgColor rgb="FFCC00CC"/>
      </patternFill>
    </fill>
    <fill>
      <patternFill patternType="solid">
        <fgColor rgb="FFFFFF00"/>
        <bgColor rgb="FF47D45A"/>
      </patternFill>
    </fill>
    <fill>
      <patternFill patternType="solid">
        <fgColor rgb="FFFF0000"/>
        <bgColor rgb="FF47D45A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9D18E"/>
      </left>
      <right/>
      <top style="thin">
        <color rgb="FFA9D18E"/>
      </top>
      <bottom style="thin">
        <color rgb="FFA9D18E"/>
      </bottom>
      <diagonal/>
    </border>
    <border>
      <left/>
      <right/>
      <top style="thin">
        <color rgb="FFA9D18E"/>
      </top>
      <bottom style="thin">
        <color rgb="FFA9D18E"/>
      </bottom>
      <diagonal/>
    </border>
    <border>
      <left/>
      <right style="thin">
        <color rgb="FFA9D18E"/>
      </right>
      <top style="thin">
        <color rgb="FFA9D18E"/>
      </top>
      <bottom style="thin">
        <color rgb="FFA9D18E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4">
    <xf numFmtId="0" fontId="0" fillId="0" borderId="0"/>
    <xf numFmtId="0" fontId="37" fillId="0" borderId="0" applyBorder="0" applyProtection="0"/>
    <xf numFmtId="0" fontId="1" fillId="2" borderId="0"/>
    <xf numFmtId="0" fontId="1" fillId="3" borderId="0"/>
    <xf numFmtId="0" fontId="2" fillId="4" borderId="0"/>
    <xf numFmtId="0" fontId="2" fillId="0" borderId="0"/>
    <xf numFmtId="0" fontId="3" fillId="5" borderId="0"/>
    <xf numFmtId="0" fontId="1" fillId="6" borderId="0"/>
    <xf numFmtId="0" fontId="4" fillId="0" borderId="0"/>
    <xf numFmtId="0" fontId="5" fillId="7" borderId="0"/>
    <xf numFmtId="0" fontId="6" fillId="0" borderId="0">
      <alignment horizontal="center" textRotation="90"/>
    </xf>
    <xf numFmtId="0" fontId="7" fillId="0" borderId="0"/>
    <xf numFmtId="0" fontId="6" fillId="0" borderId="0">
      <alignment horizontal="center" textRotation="90"/>
    </xf>
    <xf numFmtId="0" fontId="6" fillId="0" borderId="0">
      <alignment horizontal="center"/>
    </xf>
    <xf numFmtId="0" fontId="8" fillId="0" borderId="0"/>
    <xf numFmtId="0" fontId="9" fillId="0" borderId="0"/>
    <xf numFmtId="0" fontId="6" fillId="0" borderId="0">
      <alignment horizontal="center"/>
    </xf>
    <xf numFmtId="0" fontId="9" fillId="0" borderId="0">
      <alignment horizontal="right" textRotation="90"/>
    </xf>
    <xf numFmtId="0" fontId="10" fillId="0" borderId="0"/>
    <xf numFmtId="0" fontId="11" fillId="8" borderId="1"/>
    <xf numFmtId="0" fontId="12" fillId="0" borderId="0"/>
    <xf numFmtId="0" fontId="13" fillId="0" borderId="0"/>
    <xf numFmtId="0" fontId="13" fillId="0" borderId="0"/>
    <xf numFmtId="164" fontId="13" fillId="0" borderId="0"/>
    <xf numFmtId="164" fontId="12" fillId="0" borderId="0"/>
    <xf numFmtId="0" fontId="13" fillId="0" borderId="0"/>
    <xf numFmtId="0" fontId="14" fillId="0" borderId="0"/>
    <xf numFmtId="0" fontId="15" fillId="0" borderId="0"/>
    <xf numFmtId="0" fontId="16" fillId="0" borderId="0"/>
    <xf numFmtId="0" fontId="15" fillId="0" borderId="0"/>
    <xf numFmtId="0" fontId="14" fillId="0" borderId="0"/>
    <xf numFmtId="0" fontId="17" fillId="0" borderId="0"/>
    <xf numFmtId="0" fontId="17" fillId="0" borderId="0"/>
    <xf numFmtId="0" fontId="3" fillId="0" borderId="0"/>
  </cellStyleXfs>
  <cellXfs count="87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165" fontId="21" fillId="0" borderId="0" xfId="0" applyNumberFormat="1" applyFont="1"/>
    <xf numFmtId="165" fontId="20" fillId="0" borderId="0" xfId="0" applyNumberFormat="1" applyFont="1"/>
    <xf numFmtId="165" fontId="22" fillId="0" borderId="0" xfId="0" applyNumberFormat="1" applyFont="1"/>
    <xf numFmtId="0" fontId="0" fillId="9" borderId="0" xfId="0" applyFill="1" applyAlignment="1">
      <alignment wrapText="1"/>
    </xf>
    <xf numFmtId="0" fontId="0" fillId="0" borderId="0" xfId="0" applyAlignment="1">
      <alignment wrapText="1"/>
    </xf>
    <xf numFmtId="0" fontId="0" fillId="10" borderId="0" xfId="0" applyFill="1" applyAlignment="1">
      <alignment wrapText="1"/>
    </xf>
    <xf numFmtId="0" fontId="0" fillId="11" borderId="0" xfId="0" applyFill="1" applyAlignment="1">
      <alignment wrapText="1"/>
    </xf>
    <xf numFmtId="0" fontId="0" fillId="9" borderId="0" xfId="0" applyFill="1"/>
    <xf numFmtId="0" fontId="18" fillId="9" borderId="0" xfId="0" applyFont="1" applyFill="1"/>
    <xf numFmtId="0" fontId="19" fillId="9" borderId="0" xfId="0" applyFont="1" applyFill="1"/>
    <xf numFmtId="0" fontId="0" fillId="12" borderId="0" xfId="0" applyFill="1" applyAlignment="1">
      <alignment wrapText="1"/>
    </xf>
    <xf numFmtId="0" fontId="0" fillId="13" borderId="0" xfId="0" applyFill="1" applyAlignment="1">
      <alignment wrapText="1"/>
    </xf>
    <xf numFmtId="0" fontId="0" fillId="14" borderId="0" xfId="0" applyFill="1" applyAlignment="1">
      <alignment wrapText="1"/>
    </xf>
    <xf numFmtId="0" fontId="0" fillId="15" borderId="0" xfId="0" applyFill="1" applyAlignment="1">
      <alignment wrapText="1"/>
    </xf>
    <xf numFmtId="0" fontId="0" fillId="11" borderId="0" xfId="0" applyFill="1"/>
    <xf numFmtId="0" fontId="23" fillId="0" borderId="0" xfId="0" applyFont="1" applyAlignment="1">
      <alignment wrapText="1"/>
    </xf>
    <xf numFmtId="0" fontId="24" fillId="0" borderId="0" xfId="0" applyFont="1"/>
    <xf numFmtId="0" fontId="25" fillId="0" borderId="0" xfId="0" applyFont="1" applyAlignment="1">
      <alignment horizontal="right"/>
    </xf>
    <xf numFmtId="0" fontId="0" fillId="16" borderId="0" xfId="0" applyFill="1"/>
    <xf numFmtId="0" fontId="0" fillId="16" borderId="0" xfId="0" applyFill="1" applyAlignment="1">
      <alignment wrapText="1"/>
    </xf>
    <xf numFmtId="165" fontId="0" fillId="0" borderId="0" xfId="0" applyNumberFormat="1"/>
    <xf numFmtId="0" fontId="26" fillId="0" borderId="0" xfId="0" applyFont="1"/>
    <xf numFmtId="0" fontId="27" fillId="0" borderId="0" xfId="0" applyFont="1"/>
    <xf numFmtId="0" fontId="20" fillId="10" borderId="0" xfId="0" applyFont="1" applyFill="1"/>
    <xf numFmtId="0" fontId="28" fillId="0" borderId="0" xfId="0" applyFont="1"/>
    <xf numFmtId="165" fontId="0" fillId="0" borderId="0" xfId="0" applyNumberFormat="1" applyAlignment="1">
      <alignment wrapText="1"/>
    </xf>
    <xf numFmtId="0" fontId="26" fillId="0" borderId="0" xfId="0" applyFont="1" applyAlignment="1">
      <alignment wrapText="1"/>
    </xf>
    <xf numFmtId="0" fontId="0" fillId="14" borderId="0" xfId="0" applyFill="1"/>
    <xf numFmtId="165" fontId="0" fillId="14" borderId="0" xfId="0" applyNumberFormat="1" applyFill="1" applyAlignment="1">
      <alignment wrapText="1"/>
    </xf>
    <xf numFmtId="0" fontId="26" fillId="14" borderId="0" xfId="0" applyFont="1" applyFill="1" applyAlignment="1">
      <alignment wrapText="1"/>
    </xf>
    <xf numFmtId="165" fontId="0" fillId="13" borderId="0" xfId="0" applyNumberFormat="1" applyFill="1" applyAlignment="1">
      <alignment wrapText="1"/>
    </xf>
    <xf numFmtId="0" fontId="26" fillId="13" borderId="0" xfId="0" applyFont="1" applyFill="1" applyAlignment="1">
      <alignment wrapText="1"/>
    </xf>
    <xf numFmtId="0" fontId="0" fillId="13" borderId="0" xfId="0" applyFill="1"/>
    <xf numFmtId="166" fontId="0" fillId="0" borderId="0" xfId="0" applyNumberFormat="1"/>
    <xf numFmtId="0" fontId="0" fillId="12" borderId="0" xfId="0" applyFill="1"/>
    <xf numFmtId="165" fontId="0" fillId="12" borderId="0" xfId="0" applyNumberFormat="1" applyFill="1"/>
    <xf numFmtId="0" fontId="29" fillId="12" borderId="0" xfId="0" applyFont="1" applyFill="1"/>
    <xf numFmtId="0" fontId="26" fillId="12" borderId="0" xfId="0" applyFont="1" applyFill="1"/>
    <xf numFmtId="165" fontId="0" fillId="12" borderId="0" xfId="0" applyNumberFormat="1" applyFill="1" applyAlignment="1">
      <alignment wrapText="1"/>
    </xf>
    <xf numFmtId="0" fontId="26" fillId="12" borderId="0" xfId="0" applyFont="1" applyFill="1" applyAlignment="1">
      <alignment wrapText="1"/>
    </xf>
    <xf numFmtId="0" fontId="0" fillId="15" borderId="0" xfId="0" applyFill="1"/>
    <xf numFmtId="0" fontId="30" fillId="0" borderId="0" xfId="0" applyFont="1"/>
    <xf numFmtId="0" fontId="0" fillId="17" borderId="0" xfId="0" applyFill="1"/>
    <xf numFmtId="165" fontId="0" fillId="13" borderId="0" xfId="0" applyNumberFormat="1" applyFill="1"/>
    <xf numFmtId="165" fontId="0" fillId="16" borderId="0" xfId="0" applyNumberFormat="1" applyFill="1" applyAlignment="1">
      <alignment wrapText="1"/>
    </xf>
    <xf numFmtId="0" fontId="26" fillId="16" borderId="0" xfId="0" applyFont="1" applyFill="1" applyAlignment="1">
      <alignment wrapText="1"/>
    </xf>
    <xf numFmtId="0" fontId="31" fillId="0" borderId="0" xfId="0" applyFont="1" applyAlignment="1">
      <alignment horizontal="right"/>
    </xf>
    <xf numFmtId="0" fontId="31" fillId="17" borderId="0" xfId="0" applyFont="1" applyFill="1" applyAlignment="1">
      <alignment horizontal="left"/>
    </xf>
    <xf numFmtId="0" fontId="32" fillId="17" borderId="0" xfId="0" applyFont="1" applyFill="1" applyAlignment="1">
      <alignment horizontal="right"/>
    </xf>
    <xf numFmtId="0" fontId="33" fillId="17" borderId="0" xfId="0" applyFont="1" applyFill="1" applyAlignment="1">
      <alignment horizontal="right"/>
    </xf>
    <xf numFmtId="0" fontId="34" fillId="17" borderId="0" xfId="0" applyFont="1" applyFill="1" applyAlignment="1">
      <alignment horizontal="left"/>
    </xf>
    <xf numFmtId="0" fontId="33" fillId="17" borderId="0" xfId="0" applyFont="1" applyFill="1" applyAlignment="1">
      <alignment horizontal="left"/>
    </xf>
    <xf numFmtId="0" fontId="0" fillId="18" borderId="2" xfId="0" applyFill="1" applyBorder="1"/>
    <xf numFmtId="0" fontId="0" fillId="18" borderId="3" xfId="0" applyFill="1" applyBorder="1"/>
    <xf numFmtId="0" fontId="0" fillId="18" borderId="4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4" fontId="0" fillId="0" borderId="0" xfId="0" applyNumberFormat="1"/>
    <xf numFmtId="0" fontId="35" fillId="0" borderId="0" xfId="0" applyFont="1"/>
    <xf numFmtId="0" fontId="2" fillId="0" borderId="0" xfId="0" applyFont="1" applyAlignment="1">
      <alignment wrapText="1"/>
    </xf>
    <xf numFmtId="0" fontId="2" fillId="0" borderId="0" xfId="0" applyFont="1"/>
    <xf numFmtId="0" fontId="36" fillId="0" borderId="0" xfId="0" applyFont="1"/>
    <xf numFmtId="0" fontId="0" fillId="19" borderId="5" xfId="0" applyFill="1" applyBorder="1"/>
    <xf numFmtId="0" fontId="0" fillId="0" borderId="5" xfId="0" applyBorder="1"/>
    <xf numFmtId="0" fontId="37" fillId="0" borderId="0" xfId="1" applyBorder="1" applyProtection="1"/>
    <xf numFmtId="0" fontId="35" fillId="0" borderId="0" xfId="1" applyFont="1" applyBorder="1" applyProtection="1"/>
    <xf numFmtId="0" fontId="35" fillId="0" borderId="0" xfId="0" applyFont="1" applyAlignment="1">
      <alignment wrapText="1"/>
    </xf>
    <xf numFmtId="0" fontId="0" fillId="0" borderId="5" xfId="0" applyBorder="1" applyAlignment="1">
      <alignment wrapText="1"/>
    </xf>
    <xf numFmtId="0" fontId="37" fillId="0" borderId="0" xfId="1" applyBorder="1" applyAlignment="1" applyProtection="1">
      <alignment wrapText="1"/>
    </xf>
    <xf numFmtId="0" fontId="35" fillId="0" borderId="0" xfId="1" applyFont="1" applyBorder="1" applyAlignment="1" applyProtection="1">
      <alignment wrapText="1"/>
    </xf>
    <xf numFmtId="0" fontId="0" fillId="16" borderId="5" xfId="0" applyFill="1" applyBorder="1"/>
    <xf numFmtId="0" fontId="0" fillId="9" borderId="5" xfId="0" applyFill="1" applyBorder="1" applyAlignment="1">
      <alignment wrapText="1"/>
    </xf>
    <xf numFmtId="0" fontId="0" fillId="9" borderId="5" xfId="0" applyFill="1" applyBorder="1"/>
    <xf numFmtId="0" fontId="0" fillId="20" borderId="5" xfId="0" applyFill="1" applyBorder="1"/>
    <xf numFmtId="0" fontId="0" fillId="12" borderId="5" xfId="0" applyFill="1" applyBorder="1"/>
    <xf numFmtId="0" fontId="0" fillId="21" borderId="0" xfId="0" applyFill="1"/>
    <xf numFmtId="0" fontId="38" fillId="0" borderId="0" xfId="0" applyFont="1" applyAlignment="1">
      <alignment wrapText="1"/>
    </xf>
    <xf numFmtId="0" fontId="38" fillId="0" borderId="0" xfId="0" applyFont="1"/>
    <xf numFmtId="0" fontId="0" fillId="22" borderId="5" xfId="0" applyFill="1" applyBorder="1"/>
    <xf numFmtId="0" fontId="0" fillId="19" borderId="6" xfId="0" applyFill="1" applyBorder="1"/>
    <xf numFmtId="0" fontId="0" fillId="23" borderId="5" xfId="0" applyFill="1" applyBorder="1"/>
    <xf numFmtId="0" fontId="0" fillId="24" borderId="5" xfId="0" applyFill="1" applyBorder="1"/>
  </cellXfs>
  <cellStyles count="34">
    <cellStyle name="Accent 1 5" xfId="2" xr:uid="{00000000-0005-0000-0000-000006000000}"/>
    <cellStyle name="Accent 2 6" xfId="3" xr:uid="{00000000-0005-0000-0000-000007000000}"/>
    <cellStyle name="Accent 3 7" xfId="4" xr:uid="{00000000-0005-0000-0000-000008000000}"/>
    <cellStyle name="Accent 4" xfId="5" xr:uid="{00000000-0005-0000-0000-000009000000}"/>
    <cellStyle name="Bad 8" xfId="6" xr:uid="{00000000-0005-0000-0000-00000A000000}"/>
    <cellStyle name="Error 9" xfId="7" xr:uid="{00000000-0005-0000-0000-00000B000000}"/>
    <cellStyle name="Footnote 10" xfId="8" xr:uid="{00000000-0005-0000-0000-00000C000000}"/>
    <cellStyle name="Good 11" xfId="9" xr:uid="{00000000-0005-0000-0000-00000D000000}"/>
    <cellStyle name="Heading 1 1" xfId="10" xr:uid="{00000000-0005-0000-0000-00000E000000}"/>
    <cellStyle name="Heading 1 13" xfId="11" xr:uid="{00000000-0005-0000-0000-00000F000000}"/>
    <cellStyle name="Heading 1 2" xfId="12" xr:uid="{00000000-0005-0000-0000-000010000000}"/>
    <cellStyle name="Heading 12" xfId="13" xr:uid="{00000000-0005-0000-0000-000011000000}"/>
    <cellStyle name="Heading 2 14" xfId="14" xr:uid="{00000000-0005-0000-0000-000012000000}"/>
    <cellStyle name="Heading 3" xfId="15" xr:uid="{00000000-0005-0000-0000-000013000000}"/>
    <cellStyle name="Heading 4" xfId="16" xr:uid="{00000000-0005-0000-0000-000014000000}"/>
    <cellStyle name="Heading1 1" xfId="17" xr:uid="{00000000-0005-0000-0000-000015000000}"/>
    <cellStyle name="Hyperlink 15" xfId="18" xr:uid="{00000000-0005-0000-0000-000016000000}"/>
    <cellStyle name="Link" xfId="1" builtinId="8"/>
    <cellStyle name="Note 16" xfId="19" xr:uid="{00000000-0005-0000-0000-000017000000}"/>
    <cellStyle name="Result 1" xfId="20" xr:uid="{00000000-0005-0000-0000-000018000000}"/>
    <cellStyle name="Result 17" xfId="21" xr:uid="{00000000-0005-0000-0000-000019000000}"/>
    <cellStyle name="Result 5" xfId="22" xr:uid="{00000000-0005-0000-0000-00001A000000}"/>
    <cellStyle name="Result2" xfId="23" xr:uid="{00000000-0005-0000-0000-00001B000000}"/>
    <cellStyle name="Result2 1" xfId="24" xr:uid="{00000000-0005-0000-0000-00001C000000}"/>
    <cellStyle name="Result2 2" xfId="25" xr:uid="{00000000-0005-0000-0000-00001D000000}"/>
    <cellStyle name="Standard" xfId="0" builtinId="0"/>
    <cellStyle name="Standard 2" xfId="26" xr:uid="{00000000-0005-0000-0000-00001E000000}"/>
    <cellStyle name="Standard 3" xfId="27" xr:uid="{00000000-0005-0000-0000-00001F000000}"/>
    <cellStyle name="Standard 4" xfId="28" xr:uid="{00000000-0005-0000-0000-000020000000}"/>
    <cellStyle name="Standard 5" xfId="29" xr:uid="{00000000-0005-0000-0000-000021000000}"/>
    <cellStyle name="Standard 6" xfId="30" xr:uid="{00000000-0005-0000-0000-000022000000}"/>
    <cellStyle name="Status 18" xfId="31" xr:uid="{00000000-0005-0000-0000-000023000000}"/>
    <cellStyle name="Text 19" xfId="32" xr:uid="{00000000-0005-0000-0000-000024000000}"/>
    <cellStyle name="Warning 20" xfId="33" xr:uid="{00000000-0005-0000-0000-00002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CC33"/>
      <rgbColor rgb="FF0000EE"/>
      <rgbColor rgb="FFFFFF00"/>
      <rgbColor rgb="FFFF00CC"/>
      <rgbColor rgb="FF00FFFF"/>
      <rgbColor rgb="FFCC0000"/>
      <rgbColor rgb="FF006600"/>
      <rgbColor rgb="FF000080"/>
      <rgbColor rgb="FF808000"/>
      <rgbColor rgb="FF800080"/>
      <rgbColor rgb="FF0F9ED5"/>
      <rgbColor rgb="FFA9D18E"/>
      <rgbColor rgb="FF808080"/>
      <rgbColor rgb="FF9999FF"/>
      <rgbColor rgb="FF993366"/>
      <rgbColor rgb="FFFFFFCC"/>
      <rgbColor rgb="FFE2F0D9"/>
      <rgbColor rgb="FF660066"/>
      <rgbColor rgb="FFFF8080"/>
      <rgbColor rgb="FF0563C1"/>
      <rgbColor rgb="FFDDDDDD"/>
      <rgbColor rgb="FF000080"/>
      <rgbColor rgb="FFCC00CC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47D45A"/>
      <rgbColor rgb="FF70AD47"/>
      <rgbColor rgb="FFFFCC00"/>
      <rgbColor rgb="FFFFC000"/>
      <rgbColor rgb="FFFF6600"/>
      <rgbColor rgb="FF666666"/>
      <rgbColor rgb="FF999999"/>
      <rgbColor rgb="FF003366"/>
      <rgbColor rgb="FF00B050"/>
      <rgbColor rgb="FF003300"/>
      <rgbColor rgb="FF212529"/>
      <rgbColor rgb="FF993300"/>
      <rgbColor rgb="FF993366"/>
      <rgbColor rgb="FF383B42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foodsharing.de/store/26379" TargetMode="External"/><Relationship Id="rId13" Type="http://schemas.openxmlformats.org/officeDocument/2006/relationships/hyperlink" Target="https://foodsharing.de/store/31120" TargetMode="External"/><Relationship Id="rId18" Type="http://schemas.openxmlformats.org/officeDocument/2006/relationships/hyperlink" Target="https://foodsharing.de/store/40251" TargetMode="External"/><Relationship Id="rId26" Type="http://schemas.openxmlformats.org/officeDocument/2006/relationships/hyperlink" Target="https://foodsharing.de/store/50404" TargetMode="External"/><Relationship Id="rId3" Type="http://schemas.openxmlformats.org/officeDocument/2006/relationships/hyperlink" Target="https://foodsharing.de/store/4995" TargetMode="External"/><Relationship Id="rId21" Type="http://schemas.openxmlformats.org/officeDocument/2006/relationships/hyperlink" Target="https://foodsharing.de/store/42648" TargetMode="External"/><Relationship Id="rId34" Type="http://schemas.openxmlformats.org/officeDocument/2006/relationships/hyperlink" Target="https://foodsharing.de/store/65213" TargetMode="External"/><Relationship Id="rId7" Type="http://schemas.openxmlformats.org/officeDocument/2006/relationships/hyperlink" Target="https://foodsharing.de/store/21728" TargetMode="External"/><Relationship Id="rId12" Type="http://schemas.openxmlformats.org/officeDocument/2006/relationships/hyperlink" Target="https://foodsharing.de/store/31069" TargetMode="External"/><Relationship Id="rId17" Type="http://schemas.openxmlformats.org/officeDocument/2006/relationships/hyperlink" Target="https://foodsharing.de/store/39396" TargetMode="External"/><Relationship Id="rId25" Type="http://schemas.openxmlformats.org/officeDocument/2006/relationships/hyperlink" Target="https://foodsharing.de/store/49255" TargetMode="External"/><Relationship Id="rId33" Type="http://schemas.openxmlformats.org/officeDocument/2006/relationships/hyperlink" Target="https://foodsharing.de/store/64491" TargetMode="External"/><Relationship Id="rId38" Type="http://schemas.openxmlformats.org/officeDocument/2006/relationships/hyperlink" Target="https://foodsharing.de/store/58223" TargetMode="External"/><Relationship Id="rId2" Type="http://schemas.openxmlformats.org/officeDocument/2006/relationships/hyperlink" Target="https://foodsharing.de/store/4061" TargetMode="External"/><Relationship Id="rId16" Type="http://schemas.openxmlformats.org/officeDocument/2006/relationships/hyperlink" Target="https://foodsharing.de/store/34060" TargetMode="External"/><Relationship Id="rId20" Type="http://schemas.openxmlformats.org/officeDocument/2006/relationships/hyperlink" Target="https://foodsharing.de/store/42641" TargetMode="External"/><Relationship Id="rId29" Type="http://schemas.openxmlformats.org/officeDocument/2006/relationships/hyperlink" Target="https://foodsharing.de/store/57036" TargetMode="External"/><Relationship Id="rId1" Type="http://schemas.openxmlformats.org/officeDocument/2006/relationships/hyperlink" Target="https://foodsharing.de/store/3738" TargetMode="External"/><Relationship Id="rId6" Type="http://schemas.openxmlformats.org/officeDocument/2006/relationships/hyperlink" Target="https://foodsharing.de/store/18862" TargetMode="External"/><Relationship Id="rId11" Type="http://schemas.openxmlformats.org/officeDocument/2006/relationships/hyperlink" Target="https://foodsharing.de/store/30003" TargetMode="External"/><Relationship Id="rId24" Type="http://schemas.openxmlformats.org/officeDocument/2006/relationships/hyperlink" Target="https://foodsharing.de/store/47643" TargetMode="External"/><Relationship Id="rId32" Type="http://schemas.openxmlformats.org/officeDocument/2006/relationships/hyperlink" Target="https://foodsharing.de/store/64376" TargetMode="External"/><Relationship Id="rId37" Type="http://schemas.openxmlformats.org/officeDocument/2006/relationships/hyperlink" Target="https://foodsharing.de/store/50487" TargetMode="External"/><Relationship Id="rId5" Type="http://schemas.openxmlformats.org/officeDocument/2006/relationships/hyperlink" Target="https://foodsharing.de/store/18561" TargetMode="External"/><Relationship Id="rId15" Type="http://schemas.openxmlformats.org/officeDocument/2006/relationships/hyperlink" Target="https://foodsharing.de/store/33087" TargetMode="External"/><Relationship Id="rId23" Type="http://schemas.openxmlformats.org/officeDocument/2006/relationships/hyperlink" Target="https://foodsharing.de/store/45984" TargetMode="External"/><Relationship Id="rId28" Type="http://schemas.openxmlformats.org/officeDocument/2006/relationships/hyperlink" Target="https://foodsharing.de/store/53812" TargetMode="External"/><Relationship Id="rId36" Type="http://schemas.openxmlformats.org/officeDocument/2006/relationships/hyperlink" Target="https://foodsharing.de/store/67643" TargetMode="External"/><Relationship Id="rId10" Type="http://schemas.openxmlformats.org/officeDocument/2006/relationships/hyperlink" Target="https://foodsharing.de/store/30001" TargetMode="External"/><Relationship Id="rId19" Type="http://schemas.openxmlformats.org/officeDocument/2006/relationships/hyperlink" Target="https://foodsharing.de/store/41891" TargetMode="External"/><Relationship Id="rId31" Type="http://schemas.openxmlformats.org/officeDocument/2006/relationships/hyperlink" Target="https://foodsharing.de/store/63665" TargetMode="External"/><Relationship Id="rId4" Type="http://schemas.openxmlformats.org/officeDocument/2006/relationships/hyperlink" Target="https://foodsharing.de/store/12530" TargetMode="External"/><Relationship Id="rId9" Type="http://schemas.openxmlformats.org/officeDocument/2006/relationships/hyperlink" Target="https://foodsharing.de/store/29222" TargetMode="External"/><Relationship Id="rId14" Type="http://schemas.openxmlformats.org/officeDocument/2006/relationships/hyperlink" Target="https://foodsharing.de/store/32714" TargetMode="External"/><Relationship Id="rId22" Type="http://schemas.openxmlformats.org/officeDocument/2006/relationships/hyperlink" Target="https://foodsharing.de/store/45407" TargetMode="External"/><Relationship Id="rId27" Type="http://schemas.openxmlformats.org/officeDocument/2006/relationships/hyperlink" Target="https://foodsharing.de/store/52831" TargetMode="External"/><Relationship Id="rId30" Type="http://schemas.openxmlformats.org/officeDocument/2006/relationships/hyperlink" Target="https://foodsharing.de/store/62767" TargetMode="External"/><Relationship Id="rId35" Type="http://schemas.openxmlformats.org/officeDocument/2006/relationships/hyperlink" Target="https://foodsharing.de/store/667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814"/>
  <sheetViews>
    <sheetView zoomScaleNormal="100" workbookViewId="0">
      <pane xSplit="1" ySplit="1" topLeftCell="B219" activePane="bottomRight" state="frozen"/>
      <selection pane="topRight" activeCell="B1" sqref="B1"/>
      <selection pane="bottomLeft" activeCell="A219" sqref="A219"/>
      <selection pane="bottomRight" activeCell="A228" sqref="A228"/>
    </sheetView>
  </sheetViews>
  <sheetFormatPr baseColWidth="10" defaultColWidth="10" defaultRowHeight="13.8"/>
  <cols>
    <col min="1" max="1" width="16.59765625" customWidth="1"/>
    <col min="2" max="3" width="11" customWidth="1"/>
    <col min="4" max="4" width="29.5" style="1" customWidth="1"/>
    <col min="5" max="5" width="20.8984375" customWidth="1"/>
    <col min="6" max="6" width="20.8984375" style="2" customWidth="1"/>
    <col min="1013" max="1013" width="11" customWidth="1"/>
    <col min="1014" max="1024" width="9.09765625" customWidth="1"/>
  </cols>
  <sheetData>
    <row r="1" spans="1:6" ht="17.399999999999999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6" t="s">
        <v>5</v>
      </c>
    </row>
    <row r="2" spans="1:6" ht="27.6">
      <c r="A2" s="7" t="s">
        <v>6</v>
      </c>
      <c r="B2" s="7">
        <v>826067</v>
      </c>
      <c r="D2" s="1">
        <v>0</v>
      </c>
      <c r="E2" s="8">
        <f>VLOOKUP(B2,Gesamtstunden_26!B:I,8,0)</f>
        <v>1.3333333333333333</v>
      </c>
      <c r="F2" s="2">
        <f t="shared" ref="F2:F65" si="0">D2-E2</f>
        <v>-1.3333333333333333</v>
      </c>
    </row>
    <row r="3" spans="1:6">
      <c r="A3" s="8" t="s">
        <v>7</v>
      </c>
      <c r="B3" s="8">
        <v>136454</v>
      </c>
      <c r="D3" s="1">
        <v>3.3333333333333299</v>
      </c>
      <c r="E3" s="8">
        <f>VLOOKUP(B3,Gesamtstunden_26!B:I,8,0)</f>
        <v>1.6666666666666667</v>
      </c>
      <c r="F3" s="2">
        <f t="shared" si="0"/>
        <v>1.6666666666666632</v>
      </c>
    </row>
    <row r="4" spans="1:6">
      <c r="A4" s="8" t="s">
        <v>8</v>
      </c>
      <c r="B4" s="8">
        <v>216555</v>
      </c>
      <c r="D4" s="1">
        <v>4.6733333333333302</v>
      </c>
      <c r="E4" s="8">
        <f>VLOOKUP(B4,Gesamtstunden_26!B:I,8,0)</f>
        <v>1.6666666666666667</v>
      </c>
      <c r="F4" s="2">
        <f t="shared" si="0"/>
        <v>3.0066666666666633</v>
      </c>
    </row>
    <row r="5" spans="1:6">
      <c r="A5" s="8" t="s">
        <v>9</v>
      </c>
      <c r="B5" s="8">
        <v>298763</v>
      </c>
      <c r="D5" s="1">
        <v>5.6666666666666696</v>
      </c>
      <c r="E5" s="8">
        <f>VLOOKUP(B5,Gesamtstunden_26!B:I,8,0)</f>
        <v>0.66666666666666663</v>
      </c>
      <c r="F5" s="2">
        <f t="shared" si="0"/>
        <v>5.0000000000000027</v>
      </c>
    </row>
    <row r="6" spans="1:6">
      <c r="A6" s="9" t="s">
        <v>10</v>
      </c>
      <c r="B6" s="9">
        <v>276971</v>
      </c>
      <c r="D6" s="1">
        <v>0</v>
      </c>
      <c r="E6" s="8">
        <f>VLOOKUP(B6,Gesamtstunden_26!B:I,8,0)</f>
        <v>0.33333333333333331</v>
      </c>
      <c r="F6" s="2">
        <f t="shared" si="0"/>
        <v>-0.33333333333333331</v>
      </c>
    </row>
    <row r="7" spans="1:6">
      <c r="A7" s="7" t="s">
        <v>11</v>
      </c>
      <c r="B7" s="7">
        <v>214380</v>
      </c>
      <c r="D7" s="1">
        <v>0</v>
      </c>
      <c r="E7" s="8">
        <f>VLOOKUP(B7,Gesamtstunden_26!B:I,8,0)</f>
        <v>0</v>
      </c>
      <c r="F7" s="2">
        <f t="shared" si="0"/>
        <v>0</v>
      </c>
    </row>
    <row r="8" spans="1:6" ht="27.6">
      <c r="A8" s="8" t="s">
        <v>12</v>
      </c>
      <c r="B8" s="8">
        <v>794748</v>
      </c>
      <c r="D8" s="1">
        <v>3</v>
      </c>
      <c r="E8" s="8">
        <f>VLOOKUP(B8,Gesamtstunden_26!B:I,8,0)</f>
        <v>0</v>
      </c>
      <c r="F8" s="2">
        <f t="shared" si="0"/>
        <v>3</v>
      </c>
    </row>
    <row r="9" spans="1:6" ht="27.6">
      <c r="A9" s="10" t="s">
        <v>13</v>
      </c>
      <c r="B9" s="10">
        <v>662108</v>
      </c>
      <c r="D9" s="1">
        <v>0</v>
      </c>
      <c r="E9" s="8">
        <f>VLOOKUP(B9,Gesamtstunden_26!B:I,8,0)</f>
        <v>0</v>
      </c>
      <c r="F9" s="2">
        <f t="shared" si="0"/>
        <v>0</v>
      </c>
    </row>
    <row r="10" spans="1:6">
      <c r="A10" s="8" t="s">
        <v>14</v>
      </c>
      <c r="B10" s="8">
        <v>742934</v>
      </c>
      <c r="D10" s="1">
        <v>14</v>
      </c>
      <c r="E10" s="8">
        <f>VLOOKUP(B10,Gesamtstunden_26!B:I,8,0)</f>
        <v>0</v>
      </c>
      <c r="F10" s="2">
        <f t="shared" si="0"/>
        <v>14</v>
      </c>
    </row>
    <row r="11" spans="1:6">
      <c r="A11" s="10" t="s">
        <v>15</v>
      </c>
      <c r="B11" s="10">
        <v>509374</v>
      </c>
      <c r="D11" s="1">
        <v>0</v>
      </c>
      <c r="E11" s="8">
        <f>VLOOKUP(B11,Gesamtstunden_26!B:I,8,0)</f>
        <v>3.5</v>
      </c>
      <c r="F11" s="2">
        <f t="shared" si="0"/>
        <v>-3.5</v>
      </c>
    </row>
    <row r="12" spans="1:6">
      <c r="A12" s="8" t="s">
        <v>16</v>
      </c>
      <c r="B12" s="8">
        <v>703098</v>
      </c>
      <c r="D12" s="1">
        <v>9.1666666666666696</v>
      </c>
      <c r="E12" s="8">
        <f>VLOOKUP(B12,Gesamtstunden_26!B:I,8,0)</f>
        <v>0.66666666666666663</v>
      </c>
      <c r="F12" s="2">
        <f t="shared" si="0"/>
        <v>8.5000000000000036</v>
      </c>
    </row>
    <row r="13" spans="1:6" s="11" customFormat="1">
      <c r="A13" s="7" t="s">
        <v>17</v>
      </c>
      <c r="B13" s="7">
        <v>720432</v>
      </c>
      <c r="D13" s="12">
        <v>0.33333333333333298</v>
      </c>
      <c r="E13" s="7">
        <f>VLOOKUP(B13,Gesamtstunden_26!B:I,8,0)</f>
        <v>1.6666666666666667</v>
      </c>
      <c r="F13" s="13">
        <f t="shared" si="0"/>
        <v>-1.3333333333333337</v>
      </c>
    </row>
    <row r="14" spans="1:6">
      <c r="A14" s="7" t="s">
        <v>18</v>
      </c>
      <c r="B14" s="7">
        <v>557897</v>
      </c>
      <c r="D14" s="1">
        <v>0</v>
      </c>
      <c r="E14" s="8">
        <f>VLOOKUP(B14,Gesamtstunden_26!B:I,8,0)</f>
        <v>10.666666666666668</v>
      </c>
      <c r="F14" s="2">
        <f t="shared" si="0"/>
        <v>-10.666666666666668</v>
      </c>
    </row>
    <row r="15" spans="1:6" ht="27.6">
      <c r="A15" s="7" t="s">
        <v>19</v>
      </c>
      <c r="B15" s="7">
        <v>871845</v>
      </c>
      <c r="D15" s="1">
        <v>0</v>
      </c>
      <c r="E15" s="8">
        <f>VLOOKUP(B15,Gesamtstunden_26!B:I,8,0)</f>
        <v>3.3333333333333335</v>
      </c>
      <c r="F15" s="2">
        <f t="shared" si="0"/>
        <v>-3.3333333333333335</v>
      </c>
    </row>
    <row r="16" spans="1:6">
      <c r="A16" s="8" t="s">
        <v>20</v>
      </c>
      <c r="B16" s="8">
        <v>643035</v>
      </c>
      <c r="D16" s="1">
        <v>5.3333333333333304</v>
      </c>
      <c r="E16" s="8">
        <f>VLOOKUP(B16,Gesamtstunden_26!B:I,8,0)</f>
        <v>0</v>
      </c>
      <c r="F16" s="2">
        <f t="shared" si="0"/>
        <v>5.3333333333333304</v>
      </c>
    </row>
    <row r="17" spans="1:6">
      <c r="A17" s="14" t="s">
        <v>21</v>
      </c>
      <c r="B17" s="14">
        <v>654688</v>
      </c>
      <c r="D17" s="1">
        <v>0</v>
      </c>
      <c r="E17" s="8">
        <f>VLOOKUP(B17,Gesamtstunden_26!B:I,8,0)</f>
        <v>0</v>
      </c>
      <c r="F17" s="2">
        <f t="shared" si="0"/>
        <v>0</v>
      </c>
    </row>
    <row r="18" spans="1:6">
      <c r="A18" s="7" t="s">
        <v>22</v>
      </c>
      <c r="B18" s="7">
        <v>964211</v>
      </c>
      <c r="D18" s="1">
        <v>0</v>
      </c>
      <c r="E18" s="8">
        <f>VLOOKUP(B18,Gesamtstunden_26!B:I,8,0)</f>
        <v>9.6666666666666661</v>
      </c>
      <c r="F18" s="2">
        <f t="shared" si="0"/>
        <v>-9.6666666666666661</v>
      </c>
    </row>
    <row r="19" spans="1:6">
      <c r="A19" s="10" t="s">
        <v>23</v>
      </c>
      <c r="B19" s="10">
        <v>597806</v>
      </c>
      <c r="D19" s="1">
        <v>0</v>
      </c>
      <c r="E19" s="8">
        <f>VLOOKUP(B19,Gesamtstunden_26!B:I,8,0)</f>
        <v>1.3333333333333333</v>
      </c>
      <c r="F19" s="2">
        <f t="shared" si="0"/>
        <v>-1.3333333333333333</v>
      </c>
    </row>
    <row r="20" spans="1:6">
      <c r="A20" s="7" t="s">
        <v>24</v>
      </c>
      <c r="B20" s="7">
        <v>565142</v>
      </c>
      <c r="D20" s="1">
        <v>0</v>
      </c>
      <c r="E20" s="8">
        <f>VLOOKUP(B20,Gesamtstunden_26!B:I,8,0)</f>
        <v>2.3333333333333335</v>
      </c>
      <c r="F20" s="2">
        <f t="shared" si="0"/>
        <v>-2.3333333333333335</v>
      </c>
    </row>
    <row r="21" spans="1:6">
      <c r="A21" s="15" t="s">
        <v>25</v>
      </c>
      <c r="B21" s="15">
        <v>248981</v>
      </c>
      <c r="D21" s="1">
        <v>0</v>
      </c>
      <c r="E21" s="8">
        <f>VLOOKUP(B21,Gesamtstunden_26!B:I,8,0)</f>
        <v>5</v>
      </c>
      <c r="F21" s="2">
        <f t="shared" si="0"/>
        <v>-5</v>
      </c>
    </row>
    <row r="22" spans="1:6">
      <c r="A22" s="8" t="s">
        <v>26</v>
      </c>
      <c r="B22" s="8">
        <v>617287</v>
      </c>
      <c r="D22" s="1">
        <v>12</v>
      </c>
      <c r="E22" s="8">
        <f>VLOOKUP(B22,Gesamtstunden_26!B:I,8,0)</f>
        <v>0</v>
      </c>
      <c r="F22" s="2">
        <f t="shared" si="0"/>
        <v>12</v>
      </c>
    </row>
    <row r="23" spans="1:6">
      <c r="A23" s="8" t="s">
        <v>27</v>
      </c>
      <c r="B23" s="8">
        <v>805780</v>
      </c>
      <c r="D23" s="1">
        <v>6.6666666666666696</v>
      </c>
      <c r="E23" s="8">
        <f>VLOOKUP(B23,Gesamtstunden_26!B:I,8,0)</f>
        <v>0</v>
      </c>
      <c r="F23" s="2">
        <f t="shared" si="0"/>
        <v>6.6666666666666696</v>
      </c>
    </row>
    <row r="24" spans="1:6">
      <c r="A24" s="10" t="s">
        <v>28</v>
      </c>
      <c r="B24" s="10">
        <v>480180</v>
      </c>
      <c r="D24" s="1">
        <v>0</v>
      </c>
      <c r="E24" s="8">
        <f>VLOOKUP(B24,Gesamtstunden_26!B:I,8,0)</f>
        <v>0.33333333333333331</v>
      </c>
      <c r="F24" s="2">
        <f t="shared" si="0"/>
        <v>-0.33333333333333331</v>
      </c>
    </row>
    <row r="25" spans="1:6" s="11" customFormat="1">
      <c r="A25" s="7" t="s">
        <v>29</v>
      </c>
      <c r="B25" s="7">
        <v>486886</v>
      </c>
      <c r="D25" s="12">
        <v>3</v>
      </c>
      <c r="E25" s="7">
        <f>VLOOKUP(B25,Gesamtstunden_26!B:I,8,0)</f>
        <v>9.6666666666666661</v>
      </c>
      <c r="F25" s="13">
        <f t="shared" si="0"/>
        <v>-6.6666666666666661</v>
      </c>
    </row>
    <row r="26" spans="1:6" s="11" customFormat="1">
      <c r="A26" s="7" t="s">
        <v>30</v>
      </c>
      <c r="B26" s="7">
        <v>828268</v>
      </c>
      <c r="D26" s="12">
        <v>6.5</v>
      </c>
      <c r="E26" s="7">
        <f>VLOOKUP(B26,Gesamtstunden_26!B:I,8,0)</f>
        <v>11.166666666666668</v>
      </c>
      <c r="F26" s="13">
        <f t="shared" si="0"/>
        <v>-4.6666666666666679</v>
      </c>
    </row>
    <row r="27" spans="1:6">
      <c r="A27" s="10" t="s">
        <v>31</v>
      </c>
      <c r="B27" s="10">
        <v>176543</v>
      </c>
      <c r="D27" s="1">
        <v>0</v>
      </c>
      <c r="E27" s="8">
        <f>VLOOKUP(B27,Gesamtstunden_26!B:I,8,0)</f>
        <v>0</v>
      </c>
      <c r="F27" s="2">
        <f t="shared" si="0"/>
        <v>0</v>
      </c>
    </row>
    <row r="28" spans="1:6">
      <c r="A28" s="10" t="s">
        <v>32</v>
      </c>
      <c r="B28" s="10">
        <v>542923</v>
      </c>
      <c r="D28" s="1">
        <v>0</v>
      </c>
      <c r="E28" s="8">
        <f>VLOOKUP(B28,Gesamtstunden_26!B:I,8,0)</f>
        <v>11.666666666666666</v>
      </c>
      <c r="F28" s="2">
        <f t="shared" si="0"/>
        <v>-11.666666666666666</v>
      </c>
    </row>
    <row r="29" spans="1:6">
      <c r="A29" s="16" t="s">
        <v>33</v>
      </c>
      <c r="B29" s="16">
        <v>671569</v>
      </c>
      <c r="D29" s="1">
        <v>0</v>
      </c>
      <c r="E29" s="8">
        <f>VLOOKUP(B29,Gesamtstunden_26!B:I,8,0)</f>
        <v>0.33333333333333331</v>
      </c>
      <c r="F29" s="2">
        <f t="shared" si="0"/>
        <v>-0.33333333333333331</v>
      </c>
    </row>
    <row r="30" spans="1:6" s="11" customFormat="1">
      <c r="A30" s="7" t="s">
        <v>34</v>
      </c>
      <c r="B30" s="7">
        <v>617808</v>
      </c>
      <c r="D30" s="12">
        <v>3</v>
      </c>
      <c r="E30" s="7">
        <f>VLOOKUP(B30,Gesamtstunden_26!B:I,8,0)</f>
        <v>6</v>
      </c>
      <c r="F30" s="13">
        <f t="shared" si="0"/>
        <v>-3</v>
      </c>
    </row>
    <row r="31" spans="1:6">
      <c r="A31" s="8" t="s">
        <v>35</v>
      </c>
      <c r="B31" s="8">
        <v>348165</v>
      </c>
      <c r="D31" s="1">
        <v>1.5</v>
      </c>
      <c r="E31" s="8">
        <f>VLOOKUP(B31,Gesamtstunden_26!B:I,8,0)</f>
        <v>2</v>
      </c>
      <c r="F31" s="2">
        <f t="shared" si="0"/>
        <v>-0.5</v>
      </c>
    </row>
    <row r="32" spans="1:6">
      <c r="A32" s="10" t="s">
        <v>36</v>
      </c>
      <c r="B32" s="10">
        <v>438689</v>
      </c>
      <c r="D32" s="1">
        <v>0</v>
      </c>
      <c r="E32" s="8">
        <f>VLOOKUP(B32,Gesamtstunden_26!B:I,8,0)</f>
        <v>2.3333333333333335</v>
      </c>
      <c r="F32" s="2">
        <f t="shared" si="0"/>
        <v>-2.3333333333333335</v>
      </c>
    </row>
    <row r="33" spans="1:6">
      <c r="A33" s="8" t="s">
        <v>37</v>
      </c>
      <c r="B33" s="8">
        <v>579938</v>
      </c>
      <c r="D33" s="1">
        <v>7.67</v>
      </c>
      <c r="E33" s="8">
        <f>VLOOKUP(B33,Gesamtstunden_26!B:I,8,0)</f>
        <v>0</v>
      </c>
      <c r="F33" s="2">
        <f t="shared" si="0"/>
        <v>7.67</v>
      </c>
    </row>
    <row r="34" spans="1:6">
      <c r="A34" s="10" t="s">
        <v>38</v>
      </c>
      <c r="B34" s="10">
        <v>479121</v>
      </c>
      <c r="D34" s="1">
        <v>0</v>
      </c>
      <c r="E34" s="8">
        <f>VLOOKUP(B34,Gesamtstunden_26!B:I,8,0)</f>
        <v>7.166666666666667</v>
      </c>
      <c r="F34" s="2">
        <f t="shared" si="0"/>
        <v>-7.166666666666667</v>
      </c>
    </row>
    <row r="35" spans="1:6">
      <c r="A35" s="16" t="s">
        <v>39</v>
      </c>
      <c r="B35" s="16">
        <v>299942</v>
      </c>
      <c r="D35" s="1">
        <v>0</v>
      </c>
      <c r="E35" s="8">
        <f>VLOOKUP(B35,Gesamtstunden_26!B:I,8,0)</f>
        <v>1</v>
      </c>
      <c r="F35" s="2">
        <f t="shared" si="0"/>
        <v>-1</v>
      </c>
    </row>
    <row r="36" spans="1:6">
      <c r="A36" s="7" t="s">
        <v>40</v>
      </c>
      <c r="B36" s="7">
        <v>477377</v>
      </c>
      <c r="D36" s="1">
        <v>0</v>
      </c>
      <c r="E36" s="8">
        <f>VLOOKUP(B36,Gesamtstunden_26!B:I,8,0)</f>
        <v>2.6666666666666665</v>
      </c>
      <c r="F36" s="2">
        <f t="shared" si="0"/>
        <v>-2.6666666666666665</v>
      </c>
    </row>
    <row r="37" spans="1:6">
      <c r="A37" s="8" t="s">
        <v>41</v>
      </c>
      <c r="B37" s="8">
        <v>576311</v>
      </c>
      <c r="D37" s="1">
        <v>6</v>
      </c>
      <c r="E37" s="8">
        <f>VLOOKUP(B37,Gesamtstunden_26!B:I,8,0)</f>
        <v>0</v>
      </c>
      <c r="F37" s="2">
        <f t="shared" si="0"/>
        <v>6</v>
      </c>
    </row>
    <row r="38" spans="1:6">
      <c r="A38" s="8" t="s">
        <v>42</v>
      </c>
      <c r="B38" s="8">
        <v>224426</v>
      </c>
      <c r="D38" s="1">
        <v>16</v>
      </c>
      <c r="E38" s="8">
        <f>VLOOKUP(B38,Gesamtstunden_26!B:I,8,0)</f>
        <v>0</v>
      </c>
      <c r="F38" s="2">
        <f t="shared" si="0"/>
        <v>16</v>
      </c>
    </row>
    <row r="39" spans="1:6">
      <c r="A39" s="8" t="s">
        <v>43</v>
      </c>
      <c r="B39" s="8">
        <v>743536</v>
      </c>
      <c r="D39" s="1">
        <v>1.3333333333333299</v>
      </c>
      <c r="E39" s="8">
        <f>VLOOKUP(B39,Gesamtstunden_26!B:I,8,0)</f>
        <v>0</v>
      </c>
      <c r="F39" s="2">
        <f t="shared" si="0"/>
        <v>1.3333333333333299</v>
      </c>
    </row>
    <row r="40" spans="1:6">
      <c r="A40" s="8" t="s">
        <v>44</v>
      </c>
      <c r="B40" s="8">
        <v>466403</v>
      </c>
      <c r="D40" s="1">
        <v>15.67</v>
      </c>
      <c r="E40" s="8">
        <f>VLOOKUP(B40,Gesamtstunden_26!B:I,8,0)</f>
        <v>0</v>
      </c>
      <c r="F40" s="2">
        <f t="shared" si="0"/>
        <v>15.67</v>
      </c>
    </row>
    <row r="41" spans="1:6">
      <c r="A41" s="7" t="s">
        <v>45</v>
      </c>
      <c r="B41" s="7">
        <v>645363</v>
      </c>
      <c r="D41" s="1">
        <v>0</v>
      </c>
      <c r="E41" s="8">
        <f>VLOOKUP(B41,Gesamtstunden_26!B:I,8,0)</f>
        <v>0.5</v>
      </c>
      <c r="F41" s="2">
        <f t="shared" si="0"/>
        <v>-0.5</v>
      </c>
    </row>
    <row r="42" spans="1:6">
      <c r="A42" s="7" t="s">
        <v>46</v>
      </c>
      <c r="B42" s="7">
        <v>70410</v>
      </c>
      <c r="D42" s="1">
        <v>0</v>
      </c>
      <c r="E42" s="8">
        <f>VLOOKUP(B42,Gesamtstunden_26!B:I,8,0)</f>
        <v>0</v>
      </c>
      <c r="F42" s="2">
        <f t="shared" si="0"/>
        <v>0</v>
      </c>
    </row>
    <row r="43" spans="1:6">
      <c r="A43" s="15" t="s">
        <v>47</v>
      </c>
      <c r="B43" s="15">
        <v>597434</v>
      </c>
      <c r="D43" s="1">
        <v>0</v>
      </c>
      <c r="E43" s="8">
        <f>VLOOKUP(B43,Gesamtstunden_26!B:I,8,0)</f>
        <v>13.833333333333332</v>
      </c>
      <c r="F43" s="2">
        <f t="shared" si="0"/>
        <v>-13.833333333333332</v>
      </c>
    </row>
    <row r="44" spans="1:6" ht="27.6">
      <c r="A44" s="7" t="s">
        <v>48</v>
      </c>
      <c r="B44" s="7">
        <v>765474</v>
      </c>
      <c r="D44" s="1">
        <v>0</v>
      </c>
      <c r="E44" s="8">
        <f>VLOOKUP(B44,Gesamtstunden_26!B:I,8,0)</f>
        <v>5.333333333333333</v>
      </c>
      <c r="F44" s="2">
        <f t="shared" si="0"/>
        <v>-5.333333333333333</v>
      </c>
    </row>
    <row r="45" spans="1:6">
      <c r="A45" s="7" t="s">
        <v>49</v>
      </c>
      <c r="B45" s="7">
        <v>401614</v>
      </c>
      <c r="D45" s="1">
        <v>0</v>
      </c>
      <c r="E45" s="8">
        <f>VLOOKUP(B45,Gesamtstunden_26!B:I,8,0)</f>
        <v>2.3333333333333335</v>
      </c>
      <c r="F45" s="2">
        <f t="shared" si="0"/>
        <v>-2.3333333333333335</v>
      </c>
    </row>
    <row r="46" spans="1:6">
      <c r="A46" s="8" t="s">
        <v>50</v>
      </c>
      <c r="B46" s="8">
        <v>675489</v>
      </c>
      <c r="D46" s="1">
        <v>10</v>
      </c>
      <c r="E46" s="8">
        <f>VLOOKUP(B46,Gesamtstunden_26!B:I,8,0)</f>
        <v>0</v>
      </c>
      <c r="F46" s="2">
        <f t="shared" si="0"/>
        <v>10</v>
      </c>
    </row>
    <row r="47" spans="1:6">
      <c r="A47" s="16" t="s">
        <v>51</v>
      </c>
      <c r="B47" s="16">
        <v>629424</v>
      </c>
      <c r="D47" s="1">
        <v>0</v>
      </c>
      <c r="E47" s="8">
        <f>VLOOKUP(B47,Gesamtstunden_26!B:I,8,0)</f>
        <v>4</v>
      </c>
      <c r="F47" s="2">
        <f t="shared" si="0"/>
        <v>-4</v>
      </c>
    </row>
    <row r="48" spans="1:6">
      <c r="A48" s="7" t="s">
        <v>52</v>
      </c>
      <c r="B48" s="7">
        <v>886712</v>
      </c>
      <c r="D48" s="1">
        <v>0</v>
      </c>
      <c r="E48" s="8">
        <f>VLOOKUP(B48,Gesamtstunden_26!B:I,8,0)</f>
        <v>0</v>
      </c>
      <c r="F48" s="2">
        <f t="shared" si="0"/>
        <v>0</v>
      </c>
    </row>
    <row r="49" spans="1:6">
      <c r="A49" t="s">
        <v>53</v>
      </c>
      <c r="B49" s="8">
        <v>638862</v>
      </c>
      <c r="D49" s="1">
        <v>7.5</v>
      </c>
      <c r="E49" s="8">
        <f>VLOOKUP(B49,Gesamtstunden_26!B:I,8,0)</f>
        <v>0</v>
      </c>
      <c r="F49" s="2">
        <f t="shared" si="0"/>
        <v>7.5</v>
      </c>
    </row>
    <row r="50" spans="1:6">
      <c r="A50" s="8" t="s">
        <v>54</v>
      </c>
      <c r="B50" s="8">
        <v>773719</v>
      </c>
      <c r="D50" s="1">
        <v>3.5</v>
      </c>
      <c r="E50" s="8">
        <f>VLOOKUP(B50,Gesamtstunden_26!B:I,8,0)</f>
        <v>0</v>
      </c>
      <c r="F50" s="2">
        <f t="shared" si="0"/>
        <v>3.5</v>
      </c>
    </row>
    <row r="51" spans="1:6">
      <c r="A51" s="16" t="s">
        <v>55</v>
      </c>
      <c r="B51" s="16">
        <v>22091</v>
      </c>
      <c r="D51" s="1">
        <v>0</v>
      </c>
      <c r="E51" s="8">
        <f>VLOOKUP(B51,Gesamtstunden_26!B:I,8,0)</f>
        <v>5</v>
      </c>
      <c r="F51" s="2">
        <f t="shared" si="0"/>
        <v>-5</v>
      </c>
    </row>
    <row r="52" spans="1:6">
      <c r="A52" s="17" t="s">
        <v>56</v>
      </c>
      <c r="B52" s="17">
        <v>96959</v>
      </c>
      <c r="D52" s="1">
        <v>0</v>
      </c>
      <c r="E52" s="8">
        <f>VLOOKUP(B52,Gesamtstunden_26!B:I,8,0)</f>
        <v>10</v>
      </c>
      <c r="F52" s="2">
        <f t="shared" si="0"/>
        <v>-10</v>
      </c>
    </row>
    <row r="53" spans="1:6">
      <c r="A53" s="8" t="s">
        <v>57</v>
      </c>
      <c r="B53" s="8">
        <v>457847</v>
      </c>
      <c r="D53" s="1">
        <v>5</v>
      </c>
      <c r="E53" s="8">
        <f>VLOOKUP(B53,Gesamtstunden_26!B:I,8,0)</f>
        <v>0</v>
      </c>
      <c r="F53" s="2">
        <f t="shared" si="0"/>
        <v>5</v>
      </c>
    </row>
    <row r="54" spans="1:6">
      <c r="A54" s="8" t="s">
        <v>58</v>
      </c>
      <c r="B54" s="8">
        <v>641151</v>
      </c>
      <c r="D54" s="1">
        <v>4.84</v>
      </c>
      <c r="E54" s="8">
        <f>VLOOKUP(B54,Gesamtstunden_26!B:I,8,0)</f>
        <v>1.3333333333333333</v>
      </c>
      <c r="F54" s="2">
        <f t="shared" si="0"/>
        <v>3.5066666666666668</v>
      </c>
    </row>
    <row r="55" spans="1:6">
      <c r="A55" s="8" t="s">
        <v>59</v>
      </c>
      <c r="B55" s="8">
        <v>719951</v>
      </c>
      <c r="D55" s="1">
        <v>8.8333333333333304</v>
      </c>
      <c r="E55" s="8">
        <f>VLOOKUP(B55,Gesamtstunden_26!B:I,8,0)</f>
        <v>0</v>
      </c>
      <c r="F55" s="2">
        <f t="shared" si="0"/>
        <v>8.8333333333333304</v>
      </c>
    </row>
    <row r="56" spans="1:6">
      <c r="A56" s="8" t="s">
        <v>60</v>
      </c>
      <c r="B56" s="8">
        <v>150976</v>
      </c>
      <c r="D56" s="1">
        <v>13.34</v>
      </c>
      <c r="E56" s="8">
        <f>VLOOKUP(B56,Gesamtstunden_26!B:I,8,0)</f>
        <v>0</v>
      </c>
      <c r="F56" s="2">
        <f t="shared" si="0"/>
        <v>13.34</v>
      </c>
    </row>
    <row r="57" spans="1:6">
      <c r="A57" s="8" t="s">
        <v>61</v>
      </c>
      <c r="B57" s="8">
        <v>488314</v>
      </c>
      <c r="D57" s="1">
        <v>10</v>
      </c>
      <c r="E57" s="8">
        <f>VLOOKUP(B57,Gesamtstunden_26!B:I,8,0)</f>
        <v>0</v>
      </c>
      <c r="F57" s="2">
        <f t="shared" si="0"/>
        <v>10</v>
      </c>
    </row>
    <row r="58" spans="1:6">
      <c r="A58" s="17" t="s">
        <v>62</v>
      </c>
      <c r="B58" s="17">
        <v>532285</v>
      </c>
      <c r="D58" s="1">
        <v>0</v>
      </c>
      <c r="E58" s="8">
        <f>VLOOKUP(B58,Gesamtstunden_26!B:I,8,0)</f>
        <v>1</v>
      </c>
      <c r="F58" s="2">
        <f t="shared" si="0"/>
        <v>-1</v>
      </c>
    </row>
    <row r="59" spans="1:6">
      <c r="A59" s="8" t="s">
        <v>63</v>
      </c>
      <c r="B59" s="8">
        <v>168488</v>
      </c>
      <c r="D59" s="1">
        <v>13.5</v>
      </c>
      <c r="E59" s="8">
        <f>VLOOKUP(B59,Gesamtstunden_26!B:I,8,0)</f>
        <v>1.6666666666666667</v>
      </c>
      <c r="F59" s="2">
        <f t="shared" si="0"/>
        <v>11.833333333333334</v>
      </c>
    </row>
    <row r="60" spans="1:6">
      <c r="A60" s="7" t="s">
        <v>64</v>
      </c>
      <c r="B60" s="7">
        <v>7993</v>
      </c>
      <c r="D60" s="1">
        <v>0</v>
      </c>
      <c r="E60" s="8">
        <f>VLOOKUP(B60,Gesamtstunden_26!B:I,8,0)</f>
        <v>0</v>
      </c>
      <c r="F60" s="2">
        <f t="shared" si="0"/>
        <v>0</v>
      </c>
    </row>
    <row r="61" spans="1:6">
      <c r="A61" s="8" t="s">
        <v>65</v>
      </c>
      <c r="B61" s="8">
        <v>495334</v>
      </c>
      <c r="D61" s="1">
        <v>12</v>
      </c>
      <c r="E61" s="8">
        <f>VLOOKUP(B61,Gesamtstunden_26!B:I,8,0)</f>
        <v>0</v>
      </c>
      <c r="F61" s="2">
        <f t="shared" si="0"/>
        <v>12</v>
      </c>
    </row>
    <row r="62" spans="1:6">
      <c r="A62" s="8" t="s">
        <v>66</v>
      </c>
      <c r="B62" s="8">
        <v>698194</v>
      </c>
      <c r="D62" s="1">
        <v>5.3333333333333304</v>
      </c>
      <c r="E62" s="8">
        <f>VLOOKUP(B62,Gesamtstunden_26!B:I,8,0)</f>
        <v>0</v>
      </c>
      <c r="F62" s="2">
        <f t="shared" si="0"/>
        <v>5.3333333333333304</v>
      </c>
    </row>
    <row r="63" spans="1:6" ht="27.6">
      <c r="A63" s="10" t="s">
        <v>67</v>
      </c>
      <c r="B63" s="10">
        <v>442578</v>
      </c>
      <c r="D63" s="1">
        <v>0</v>
      </c>
      <c r="E63" s="8">
        <f>VLOOKUP(B63,Gesamtstunden_26!B:I,8,0)</f>
        <v>3.6666666666666665</v>
      </c>
      <c r="F63" s="2">
        <f t="shared" si="0"/>
        <v>-3.6666666666666665</v>
      </c>
    </row>
    <row r="64" spans="1:6" s="11" customFormat="1" ht="27.6">
      <c r="A64" s="7" t="s">
        <v>68</v>
      </c>
      <c r="B64" s="7">
        <v>192237</v>
      </c>
      <c r="D64" s="12">
        <v>0</v>
      </c>
      <c r="E64" s="7">
        <f>VLOOKUP(B64,Gesamtstunden_26!B:I,8,0)</f>
        <v>1.1666666666666665</v>
      </c>
      <c r="F64" s="13">
        <f t="shared" si="0"/>
        <v>-1.1666666666666665</v>
      </c>
    </row>
    <row r="65" spans="1:6">
      <c r="A65" s="16" t="s">
        <v>69</v>
      </c>
      <c r="B65" s="16">
        <v>678974</v>
      </c>
      <c r="D65" s="1">
        <v>0</v>
      </c>
      <c r="E65" s="8">
        <f>VLOOKUP(B65,Gesamtstunden_26!B:I,8,0)</f>
        <v>1</v>
      </c>
      <c r="F65" s="2">
        <f t="shared" si="0"/>
        <v>-1</v>
      </c>
    </row>
    <row r="66" spans="1:6" s="11" customFormat="1">
      <c r="A66" s="7" t="s">
        <v>70</v>
      </c>
      <c r="B66" s="7">
        <v>855449</v>
      </c>
      <c r="D66" s="12">
        <v>0</v>
      </c>
      <c r="E66" s="7">
        <f>VLOOKUP(B66,Gesamtstunden_26!B:I,8,0)</f>
        <v>0.66666666666666663</v>
      </c>
      <c r="F66" s="13">
        <f t="shared" ref="F66:F129" si="1">D66-E66</f>
        <v>-0.66666666666666663</v>
      </c>
    </row>
    <row r="67" spans="1:6">
      <c r="A67" s="7" t="s">
        <v>71</v>
      </c>
      <c r="B67" s="7">
        <v>453313</v>
      </c>
      <c r="D67" s="1">
        <v>0</v>
      </c>
      <c r="E67" s="8">
        <f>VLOOKUP(B67,Gesamtstunden_26!B:I,8,0)</f>
        <v>2.6666666666666665</v>
      </c>
      <c r="F67" s="2">
        <f t="shared" si="1"/>
        <v>-2.6666666666666665</v>
      </c>
    </row>
    <row r="68" spans="1:6">
      <c r="A68" s="7" t="s">
        <v>72</v>
      </c>
      <c r="B68" s="7">
        <v>76997</v>
      </c>
      <c r="D68" s="1">
        <v>0</v>
      </c>
      <c r="E68" s="8">
        <f>VLOOKUP(B68,Gesamtstunden_26!B:I,8,0)</f>
        <v>1</v>
      </c>
      <c r="F68" s="2">
        <f t="shared" si="1"/>
        <v>-1</v>
      </c>
    </row>
    <row r="69" spans="1:6">
      <c r="A69" s="10" t="s">
        <v>73</v>
      </c>
      <c r="B69" s="18">
        <v>806365</v>
      </c>
      <c r="D69" s="1">
        <v>0</v>
      </c>
      <c r="E69" s="8">
        <f>VLOOKUP(B69,Gesamtstunden_26!B:I,8,0)</f>
        <v>2.8333333333333335</v>
      </c>
      <c r="F69" s="2">
        <f t="shared" si="1"/>
        <v>-2.8333333333333335</v>
      </c>
    </row>
    <row r="70" spans="1:6">
      <c r="A70" s="8" t="s">
        <v>74</v>
      </c>
      <c r="B70" s="8">
        <v>756861</v>
      </c>
      <c r="D70" s="1">
        <v>10.67</v>
      </c>
      <c r="E70" s="8">
        <f>VLOOKUP(B70,Gesamtstunden_26!B:I,8,0)</f>
        <v>0</v>
      </c>
      <c r="F70" s="2">
        <f t="shared" si="1"/>
        <v>10.67</v>
      </c>
    </row>
    <row r="71" spans="1:6">
      <c r="A71" s="10" t="s">
        <v>75</v>
      </c>
      <c r="B71" s="10">
        <v>552211</v>
      </c>
      <c r="D71" s="1">
        <v>0</v>
      </c>
      <c r="E71" s="8">
        <f>VLOOKUP(B71,Gesamtstunden_26!B:I,8,0)</f>
        <v>1.3333333333333333</v>
      </c>
      <c r="F71" s="2">
        <f t="shared" si="1"/>
        <v>-1.3333333333333333</v>
      </c>
    </row>
    <row r="72" spans="1:6">
      <c r="A72" s="8" t="s">
        <v>76</v>
      </c>
      <c r="B72" s="8">
        <v>427373</v>
      </c>
      <c r="D72" s="1">
        <v>11</v>
      </c>
      <c r="E72" s="8">
        <f>VLOOKUP(B72,Gesamtstunden_26!B:I,8,0)</f>
        <v>0</v>
      </c>
      <c r="F72" s="2">
        <f t="shared" si="1"/>
        <v>11</v>
      </c>
    </row>
    <row r="73" spans="1:6" ht="27.6">
      <c r="A73" s="7" t="s">
        <v>77</v>
      </c>
      <c r="B73" s="7">
        <v>665609</v>
      </c>
      <c r="D73" s="1">
        <v>0</v>
      </c>
      <c r="E73" s="8">
        <f>VLOOKUP(B73,Gesamtstunden_26!B:I,8,0)</f>
        <v>6.5</v>
      </c>
      <c r="F73" s="2">
        <f t="shared" si="1"/>
        <v>-6.5</v>
      </c>
    </row>
    <row r="74" spans="1:6" ht="27.6">
      <c r="A74" s="8" t="s">
        <v>78</v>
      </c>
      <c r="B74" s="8">
        <v>176452</v>
      </c>
      <c r="D74" s="1">
        <v>4.5</v>
      </c>
      <c r="E74" s="8">
        <f>VLOOKUP(B74,Gesamtstunden_26!B:I,8,0)</f>
        <v>0</v>
      </c>
      <c r="F74" s="2">
        <f t="shared" si="1"/>
        <v>4.5</v>
      </c>
    </row>
    <row r="75" spans="1:6">
      <c r="A75" s="17" t="s">
        <v>79</v>
      </c>
      <c r="B75" s="17">
        <v>847682</v>
      </c>
      <c r="D75" s="1">
        <v>0</v>
      </c>
      <c r="E75" s="8">
        <f>VLOOKUP(B75,Gesamtstunden_26!B:I,8,0)</f>
        <v>1.3333333333333333</v>
      </c>
      <c r="F75" s="2">
        <f t="shared" si="1"/>
        <v>-1.3333333333333333</v>
      </c>
    </row>
    <row r="76" spans="1:6">
      <c r="A76" s="7" t="s">
        <v>80</v>
      </c>
      <c r="B76" s="7">
        <v>429426</v>
      </c>
      <c r="D76" s="1">
        <v>0</v>
      </c>
      <c r="E76" s="8">
        <f>VLOOKUP(B76,Gesamtstunden_26!B:I,8,0)</f>
        <v>0</v>
      </c>
      <c r="F76" s="2">
        <f t="shared" si="1"/>
        <v>0</v>
      </c>
    </row>
    <row r="77" spans="1:6">
      <c r="A77" s="7" t="s">
        <v>81</v>
      </c>
      <c r="B77" s="7">
        <v>831512</v>
      </c>
      <c r="D77" s="1">
        <v>0</v>
      </c>
      <c r="E77" s="8">
        <f>VLOOKUP(B77,Gesamtstunden_26!B:I,8,0)</f>
        <v>7.166666666666667</v>
      </c>
      <c r="F77" s="2">
        <f t="shared" si="1"/>
        <v>-7.166666666666667</v>
      </c>
    </row>
    <row r="78" spans="1:6">
      <c r="A78" s="10" t="s">
        <v>82</v>
      </c>
      <c r="B78" s="10">
        <v>665898</v>
      </c>
      <c r="D78" s="1">
        <v>0</v>
      </c>
      <c r="E78" s="8">
        <f>VLOOKUP(B78,Gesamtstunden_26!B:I,8,0)</f>
        <v>0.5</v>
      </c>
      <c r="F78" s="2">
        <f t="shared" si="1"/>
        <v>-0.5</v>
      </c>
    </row>
    <row r="79" spans="1:6">
      <c r="A79" s="16" t="s">
        <v>83</v>
      </c>
      <c r="B79" s="16">
        <v>111631</v>
      </c>
      <c r="D79" s="1">
        <v>0</v>
      </c>
      <c r="E79" s="8">
        <f>VLOOKUP(B79,Gesamtstunden_26!B:I,8,0)</f>
        <v>0.66666666666666663</v>
      </c>
      <c r="F79" s="2">
        <f t="shared" si="1"/>
        <v>-0.66666666666666663</v>
      </c>
    </row>
    <row r="80" spans="1:6">
      <c r="A80" s="8" t="s">
        <v>84</v>
      </c>
      <c r="B80" s="8">
        <v>308504</v>
      </c>
      <c r="D80" s="1">
        <v>10.6733333333333</v>
      </c>
      <c r="E80" s="8">
        <f>VLOOKUP(B80,Gesamtstunden_26!B:I,8,0)</f>
        <v>0</v>
      </c>
      <c r="F80" s="2">
        <f t="shared" si="1"/>
        <v>10.6733333333333</v>
      </c>
    </row>
    <row r="81" spans="1:6">
      <c r="A81" s="10" t="s">
        <v>85</v>
      </c>
      <c r="B81" s="10">
        <v>832249</v>
      </c>
      <c r="D81" s="1">
        <v>0</v>
      </c>
      <c r="E81" s="8">
        <f>VLOOKUP(B81,Gesamtstunden_26!B:I,8,0)</f>
        <v>4.833333333333333</v>
      </c>
      <c r="F81" s="2">
        <f t="shared" si="1"/>
        <v>-4.833333333333333</v>
      </c>
    </row>
    <row r="82" spans="1:6">
      <c r="A82" s="8" t="s">
        <v>86</v>
      </c>
      <c r="B82" s="8">
        <v>413196</v>
      </c>
      <c r="D82" s="1">
        <v>12</v>
      </c>
      <c r="E82" s="8">
        <f>VLOOKUP(B82,Gesamtstunden_26!B:I,8,0)</f>
        <v>0</v>
      </c>
      <c r="F82" s="2">
        <f t="shared" si="1"/>
        <v>12</v>
      </c>
    </row>
    <row r="83" spans="1:6">
      <c r="A83" s="7" t="s">
        <v>87</v>
      </c>
      <c r="B83" s="7">
        <v>967743</v>
      </c>
      <c r="D83" s="1">
        <v>0</v>
      </c>
      <c r="E83" s="8">
        <f>VLOOKUP(B83,Gesamtstunden_26!B:I,8,0)</f>
        <v>3.6666666666666665</v>
      </c>
      <c r="F83" s="2">
        <f t="shared" si="1"/>
        <v>-3.6666666666666665</v>
      </c>
    </row>
    <row r="84" spans="1:6">
      <c r="A84" s="8" t="s">
        <v>88</v>
      </c>
      <c r="B84" s="8">
        <v>925385</v>
      </c>
      <c r="D84" s="1">
        <v>3</v>
      </c>
      <c r="E84" s="8">
        <f>VLOOKUP(B84,Gesamtstunden_26!B:I,8,0)</f>
        <v>0</v>
      </c>
      <c r="F84" s="2">
        <f t="shared" si="1"/>
        <v>3</v>
      </c>
    </row>
    <row r="85" spans="1:6">
      <c r="A85" s="8" t="s">
        <v>89</v>
      </c>
      <c r="B85" s="8">
        <v>686435</v>
      </c>
      <c r="D85" s="1">
        <v>6</v>
      </c>
      <c r="E85" s="8">
        <f>VLOOKUP(B85,Gesamtstunden_26!B:I,8,0)</f>
        <v>0</v>
      </c>
      <c r="F85" s="2">
        <f t="shared" si="1"/>
        <v>6</v>
      </c>
    </row>
    <row r="86" spans="1:6">
      <c r="A86" s="8" t="s">
        <v>90</v>
      </c>
      <c r="B86" s="8">
        <v>339788</v>
      </c>
      <c r="D86" s="1">
        <v>10.67</v>
      </c>
      <c r="E86" s="8">
        <f>VLOOKUP(B86,Gesamtstunden_26!B:I,8,0)</f>
        <v>0</v>
      </c>
      <c r="F86" s="2">
        <f t="shared" si="1"/>
        <v>10.67</v>
      </c>
    </row>
    <row r="87" spans="1:6">
      <c r="A87" s="10" t="s">
        <v>91</v>
      </c>
      <c r="B87" s="10">
        <v>604621</v>
      </c>
      <c r="D87" s="1">
        <v>0</v>
      </c>
      <c r="E87" s="8">
        <f>VLOOKUP(B87,Gesamtstunden_26!B:I,8,0)</f>
        <v>0.66666666666666663</v>
      </c>
      <c r="F87" s="2">
        <f t="shared" si="1"/>
        <v>-0.66666666666666663</v>
      </c>
    </row>
    <row r="88" spans="1:6">
      <c r="A88" s="7" t="s">
        <v>92</v>
      </c>
      <c r="B88" s="7">
        <v>178109</v>
      </c>
      <c r="D88" s="1">
        <v>0</v>
      </c>
      <c r="E88" s="8">
        <f>VLOOKUP(B88,Gesamtstunden_26!B:I,8,0)</f>
        <v>0</v>
      </c>
      <c r="F88" s="2">
        <f t="shared" si="1"/>
        <v>0</v>
      </c>
    </row>
    <row r="89" spans="1:6">
      <c r="A89" s="7" t="s">
        <v>93</v>
      </c>
      <c r="B89" s="7">
        <v>974730</v>
      </c>
      <c r="D89" s="1">
        <v>0</v>
      </c>
      <c r="E89" s="8">
        <f>VLOOKUP(B89,Gesamtstunden_26!B:I,8,0)</f>
        <v>8.1666666666666679</v>
      </c>
      <c r="F89" s="2">
        <f t="shared" si="1"/>
        <v>-8.1666666666666679</v>
      </c>
    </row>
    <row r="90" spans="1:6">
      <c r="A90" s="8" t="s">
        <v>94</v>
      </c>
      <c r="B90" s="8">
        <v>489124</v>
      </c>
      <c r="D90" s="1">
        <v>9.6733333333333302</v>
      </c>
      <c r="E90" s="8">
        <f>VLOOKUP(B90,Gesamtstunden_26!B:I,8,0)</f>
        <v>0</v>
      </c>
      <c r="F90" s="2">
        <f t="shared" si="1"/>
        <v>9.6733333333333302</v>
      </c>
    </row>
    <row r="91" spans="1:6">
      <c r="A91" s="10" t="s">
        <v>95</v>
      </c>
      <c r="B91" s="10">
        <v>899549</v>
      </c>
      <c r="D91" s="1">
        <v>0</v>
      </c>
      <c r="E91" s="8">
        <f>VLOOKUP(B91,Gesamtstunden_26!B:I,8,0)</f>
        <v>0</v>
      </c>
      <c r="F91" s="2">
        <f t="shared" si="1"/>
        <v>0</v>
      </c>
    </row>
    <row r="92" spans="1:6">
      <c r="A92" s="7" t="s">
        <v>96</v>
      </c>
      <c r="B92" s="7">
        <v>729487</v>
      </c>
      <c r="D92" s="1">
        <v>0</v>
      </c>
      <c r="E92" s="8">
        <f>VLOOKUP(B92,Gesamtstunden_26!B:I,8,0)</f>
        <v>4.3333333333333339</v>
      </c>
      <c r="F92" s="2">
        <f t="shared" si="1"/>
        <v>-4.3333333333333339</v>
      </c>
    </row>
    <row r="93" spans="1:6" ht="27.6">
      <c r="A93" s="7" t="s">
        <v>97</v>
      </c>
      <c r="B93" s="7">
        <v>12277</v>
      </c>
      <c r="D93" s="1">
        <v>0</v>
      </c>
      <c r="E93" s="8">
        <f>VLOOKUP(B93,Gesamtstunden_26!B:I,8,0)</f>
        <v>0.33333333333333331</v>
      </c>
      <c r="F93" s="2">
        <f t="shared" si="1"/>
        <v>-0.33333333333333331</v>
      </c>
    </row>
    <row r="94" spans="1:6" s="11" customFormat="1">
      <c r="A94" s="7" t="s">
        <v>98</v>
      </c>
      <c r="B94" s="7">
        <v>584608</v>
      </c>
      <c r="D94" s="12">
        <v>0.66666666666666696</v>
      </c>
      <c r="E94" s="7">
        <f>VLOOKUP(B94,Gesamtstunden_26!B:I,8,0)</f>
        <v>0.66666666666666663</v>
      </c>
      <c r="F94" s="13">
        <f t="shared" si="1"/>
        <v>0</v>
      </c>
    </row>
    <row r="95" spans="1:6">
      <c r="A95" s="8" t="s">
        <v>99</v>
      </c>
      <c r="B95" s="8">
        <v>544588</v>
      </c>
      <c r="D95" s="1">
        <v>15</v>
      </c>
      <c r="E95" s="8">
        <f>VLOOKUP(B95,Gesamtstunden_26!B:I,8,0)</f>
        <v>0</v>
      </c>
      <c r="F95" s="2">
        <f t="shared" si="1"/>
        <v>15</v>
      </c>
    </row>
    <row r="96" spans="1:6">
      <c r="A96" s="8" t="s">
        <v>100</v>
      </c>
      <c r="B96" s="8">
        <v>563467</v>
      </c>
      <c r="D96" s="1">
        <v>14.67</v>
      </c>
      <c r="E96" s="8">
        <f>VLOOKUP(B96,Gesamtstunden_26!B:I,8,0)</f>
        <v>0</v>
      </c>
      <c r="F96" s="2">
        <f t="shared" si="1"/>
        <v>14.67</v>
      </c>
    </row>
    <row r="97" spans="1:6">
      <c r="A97" s="10" t="s">
        <v>101</v>
      </c>
      <c r="B97" s="10">
        <v>320478</v>
      </c>
      <c r="D97" s="1">
        <v>0</v>
      </c>
      <c r="E97" s="8">
        <f>VLOOKUP(B97,Gesamtstunden_26!B:I,8,0)</f>
        <v>0.33333333333333331</v>
      </c>
      <c r="F97" s="2">
        <f t="shared" si="1"/>
        <v>-0.33333333333333331</v>
      </c>
    </row>
    <row r="98" spans="1:6">
      <c r="A98" s="10" t="s">
        <v>102</v>
      </c>
      <c r="B98" s="10">
        <v>816531</v>
      </c>
      <c r="D98" s="1">
        <v>0</v>
      </c>
      <c r="E98" s="8">
        <f>VLOOKUP(B98,Gesamtstunden_26!B:I,8,0)</f>
        <v>7.5</v>
      </c>
      <c r="F98" s="2">
        <f t="shared" si="1"/>
        <v>-7.5</v>
      </c>
    </row>
    <row r="99" spans="1:6">
      <c r="A99" s="7" t="s">
        <v>103</v>
      </c>
      <c r="B99" s="7">
        <v>710236</v>
      </c>
      <c r="D99" s="1">
        <v>0</v>
      </c>
      <c r="E99" s="8">
        <f>VLOOKUP(B99,Gesamtstunden_26!B:I,8,0)</f>
        <v>4</v>
      </c>
      <c r="F99" s="2">
        <f t="shared" si="1"/>
        <v>-4</v>
      </c>
    </row>
    <row r="100" spans="1:6">
      <c r="A100" s="7" t="s">
        <v>104</v>
      </c>
      <c r="B100" s="7">
        <v>326161</v>
      </c>
      <c r="D100" s="1">
        <v>0</v>
      </c>
      <c r="E100" s="8">
        <f>VLOOKUP(B100,Gesamtstunden_26!B:I,8,0)</f>
        <v>2.3333333333333335</v>
      </c>
      <c r="F100" s="2">
        <f t="shared" si="1"/>
        <v>-2.3333333333333335</v>
      </c>
    </row>
    <row r="101" spans="1:6">
      <c r="A101" s="17" t="s">
        <v>105</v>
      </c>
      <c r="B101" s="17">
        <v>321533</v>
      </c>
      <c r="D101" s="1">
        <v>0</v>
      </c>
      <c r="E101" s="8">
        <f>VLOOKUP(B101,Gesamtstunden_26!B:I,8,0)</f>
        <v>0</v>
      </c>
      <c r="F101" s="2">
        <f t="shared" si="1"/>
        <v>0</v>
      </c>
    </row>
    <row r="102" spans="1:6">
      <c r="A102" s="14" t="s">
        <v>106</v>
      </c>
      <c r="B102" s="14">
        <v>11382</v>
      </c>
      <c r="D102" s="1">
        <v>0</v>
      </c>
      <c r="E102" s="8">
        <f>VLOOKUP(B102,Gesamtstunden_26!B:I,8,0)</f>
        <v>0</v>
      </c>
      <c r="F102" s="2">
        <f t="shared" si="1"/>
        <v>0</v>
      </c>
    </row>
    <row r="103" spans="1:6" ht="27.6">
      <c r="A103" s="14" t="s">
        <v>107</v>
      </c>
      <c r="B103" s="14">
        <v>396854</v>
      </c>
      <c r="D103" s="1">
        <v>0</v>
      </c>
      <c r="E103" s="8">
        <f>VLOOKUP(B103,Gesamtstunden_26!B:I,8,0)</f>
        <v>0</v>
      </c>
      <c r="F103" s="2">
        <f t="shared" si="1"/>
        <v>0</v>
      </c>
    </row>
    <row r="104" spans="1:6" s="11" customFormat="1">
      <c r="A104" s="7" t="s">
        <v>108</v>
      </c>
      <c r="B104" s="7">
        <v>35574</v>
      </c>
      <c r="D104" s="12">
        <v>0</v>
      </c>
      <c r="E104" s="7">
        <f>VLOOKUP(B104,Gesamtstunden_26!B:I,8,0)</f>
        <v>0.33333333333333331</v>
      </c>
      <c r="F104" s="13">
        <f t="shared" si="1"/>
        <v>-0.33333333333333331</v>
      </c>
    </row>
    <row r="105" spans="1:6">
      <c r="A105" s="16" t="s">
        <v>109</v>
      </c>
      <c r="B105" s="16">
        <v>211216</v>
      </c>
      <c r="D105" s="1">
        <v>0</v>
      </c>
      <c r="E105" s="8">
        <f>VLOOKUP(B105,Gesamtstunden_26!B:I,8,0)</f>
        <v>0.5</v>
      </c>
      <c r="F105" s="2">
        <f t="shared" si="1"/>
        <v>-0.5</v>
      </c>
    </row>
    <row r="106" spans="1:6">
      <c r="A106" s="10" t="s">
        <v>110</v>
      </c>
      <c r="B106" s="10">
        <v>927352</v>
      </c>
      <c r="D106" s="1">
        <v>0</v>
      </c>
      <c r="E106" s="8">
        <f>VLOOKUP(B106,Gesamtstunden_26!B:I,8,0)</f>
        <v>1.3333333333333333</v>
      </c>
      <c r="F106" s="2">
        <f t="shared" si="1"/>
        <v>-1.3333333333333333</v>
      </c>
    </row>
    <row r="107" spans="1:6" s="11" customFormat="1">
      <c r="A107" s="7" t="s">
        <v>111</v>
      </c>
      <c r="B107" s="7">
        <v>821988</v>
      </c>
      <c r="D107" s="12">
        <v>0</v>
      </c>
      <c r="E107" s="7">
        <f>VLOOKUP(B107,Gesamtstunden_26!B:I,8,0)</f>
        <v>3</v>
      </c>
      <c r="F107" s="13">
        <f t="shared" si="1"/>
        <v>-3</v>
      </c>
    </row>
    <row r="108" spans="1:6">
      <c r="A108" s="8" t="s">
        <v>112</v>
      </c>
      <c r="B108" s="8">
        <v>161886</v>
      </c>
      <c r="D108" s="1">
        <v>12</v>
      </c>
      <c r="E108" s="8">
        <f>VLOOKUP(B108,Gesamtstunden_26!B:I,8,0)</f>
        <v>0</v>
      </c>
      <c r="F108" s="2">
        <f t="shared" si="1"/>
        <v>12</v>
      </c>
    </row>
    <row r="109" spans="1:6">
      <c r="A109" s="8" t="s">
        <v>113</v>
      </c>
      <c r="B109" s="8">
        <v>105763</v>
      </c>
      <c r="D109" s="1">
        <v>7.6733333333333302</v>
      </c>
      <c r="E109" s="8">
        <f>VLOOKUP(B109,Gesamtstunden_26!B:I,8,0)</f>
        <v>0.33333333333333331</v>
      </c>
      <c r="F109" s="2">
        <f t="shared" si="1"/>
        <v>7.3399999999999972</v>
      </c>
    </row>
    <row r="110" spans="1:6">
      <c r="A110" s="17" t="s">
        <v>114</v>
      </c>
      <c r="B110" s="17">
        <v>712984</v>
      </c>
      <c r="D110" s="1">
        <v>0</v>
      </c>
      <c r="E110" s="8">
        <f>VLOOKUP(B110,Gesamtstunden_26!B:I,8,0)</f>
        <v>0.66666666666666663</v>
      </c>
      <c r="F110" s="2">
        <f t="shared" si="1"/>
        <v>-0.66666666666666663</v>
      </c>
    </row>
    <row r="111" spans="1:6">
      <c r="A111" s="10" t="s">
        <v>115</v>
      </c>
      <c r="B111" s="10">
        <v>751054</v>
      </c>
      <c r="D111" s="1">
        <v>0</v>
      </c>
      <c r="E111" s="8">
        <f>VLOOKUP(B111,Gesamtstunden_26!B:I,8,0)</f>
        <v>1.3333333333333333</v>
      </c>
      <c r="F111" s="2">
        <f t="shared" si="1"/>
        <v>-1.3333333333333333</v>
      </c>
    </row>
    <row r="112" spans="1:6">
      <c r="A112" s="7" t="s">
        <v>116</v>
      </c>
      <c r="B112" s="7">
        <v>246792</v>
      </c>
      <c r="D112" s="1">
        <v>0</v>
      </c>
      <c r="E112" s="8">
        <f>VLOOKUP(B112,Gesamtstunden_26!B:I,8,0)</f>
        <v>4.666666666666667</v>
      </c>
      <c r="F112" s="2">
        <f t="shared" si="1"/>
        <v>-4.666666666666667</v>
      </c>
    </row>
    <row r="113" spans="1:6">
      <c r="A113" s="17" t="s">
        <v>117</v>
      </c>
      <c r="B113" s="17">
        <v>343330</v>
      </c>
      <c r="D113" s="1">
        <v>0</v>
      </c>
      <c r="E113" s="8">
        <f>VLOOKUP(B113,Gesamtstunden_26!B:I,8,0)</f>
        <v>4.333333333333333</v>
      </c>
      <c r="F113" s="2">
        <f t="shared" si="1"/>
        <v>-4.333333333333333</v>
      </c>
    </row>
    <row r="114" spans="1:6">
      <c r="A114" s="7" t="s">
        <v>118</v>
      </c>
      <c r="B114" s="7">
        <v>251888</v>
      </c>
      <c r="D114" s="1">
        <v>0</v>
      </c>
      <c r="E114" s="8">
        <f>VLOOKUP(B114,Gesamtstunden_26!B:I,8,0)</f>
        <v>0</v>
      </c>
      <c r="F114" s="2">
        <f t="shared" si="1"/>
        <v>0</v>
      </c>
    </row>
    <row r="115" spans="1:6">
      <c r="A115" s="7" t="s">
        <v>119</v>
      </c>
      <c r="B115" s="7">
        <v>239594</v>
      </c>
      <c r="D115" s="1">
        <v>0</v>
      </c>
      <c r="E115" s="8">
        <f>VLOOKUP(B115,Gesamtstunden_26!B:I,8,0)</f>
        <v>6.6666666666666661</v>
      </c>
      <c r="F115" s="2">
        <f t="shared" si="1"/>
        <v>-6.6666666666666661</v>
      </c>
    </row>
    <row r="116" spans="1:6">
      <c r="A116" s="14" t="s">
        <v>120</v>
      </c>
      <c r="B116" s="14">
        <v>593512</v>
      </c>
      <c r="D116" s="1">
        <v>0</v>
      </c>
      <c r="E116" s="8">
        <f>VLOOKUP(B116,Gesamtstunden_26!B:I,8,0)</f>
        <v>5.333333333333333</v>
      </c>
      <c r="F116" s="2">
        <f t="shared" si="1"/>
        <v>-5.333333333333333</v>
      </c>
    </row>
    <row r="117" spans="1:6">
      <c r="A117" s="10" t="s">
        <v>121</v>
      </c>
      <c r="B117" s="10">
        <v>378341</v>
      </c>
      <c r="D117" s="1">
        <v>0</v>
      </c>
      <c r="E117" s="8">
        <f>VLOOKUP(B117,Gesamtstunden_26!B:I,8,0)</f>
        <v>4</v>
      </c>
      <c r="F117" s="2">
        <f t="shared" si="1"/>
        <v>-4</v>
      </c>
    </row>
    <row r="118" spans="1:6">
      <c r="A118" s="18" t="s">
        <v>122</v>
      </c>
      <c r="B118" s="18">
        <v>706887</v>
      </c>
      <c r="D118" s="1">
        <v>0</v>
      </c>
      <c r="E118" s="8">
        <f>VLOOKUP(B118,Gesamtstunden_26!B:I,8,0)</f>
        <v>0.66666666666666663</v>
      </c>
      <c r="F118" s="2">
        <f t="shared" si="1"/>
        <v>-0.66666666666666663</v>
      </c>
    </row>
    <row r="119" spans="1:6">
      <c r="A119" s="8" t="s">
        <v>123</v>
      </c>
      <c r="B119" s="8">
        <v>574493</v>
      </c>
      <c r="D119" s="1">
        <v>12</v>
      </c>
      <c r="E119" s="8">
        <f>VLOOKUP(B119,Gesamtstunden_26!B:I,8,0)</f>
        <v>0</v>
      </c>
      <c r="F119" s="2">
        <f t="shared" si="1"/>
        <v>12</v>
      </c>
    </row>
    <row r="120" spans="1:6">
      <c r="A120" s="16" t="s">
        <v>124</v>
      </c>
      <c r="B120" s="16">
        <v>229379</v>
      </c>
      <c r="D120" s="1">
        <v>0</v>
      </c>
      <c r="E120" s="8">
        <f>VLOOKUP(B120,Gesamtstunden_26!B:I,8,0)</f>
        <v>0.66666666666666663</v>
      </c>
      <c r="F120" s="2">
        <f t="shared" si="1"/>
        <v>-0.66666666666666663</v>
      </c>
    </row>
    <row r="121" spans="1:6">
      <c r="A121" s="8" t="s">
        <v>125</v>
      </c>
      <c r="B121" s="8">
        <v>112263</v>
      </c>
      <c r="D121" s="1">
        <v>11</v>
      </c>
      <c r="E121" s="8">
        <f>VLOOKUP(B121,Gesamtstunden_26!B:I,8,0)</f>
        <v>0</v>
      </c>
      <c r="F121" s="2">
        <f t="shared" si="1"/>
        <v>11</v>
      </c>
    </row>
    <row r="122" spans="1:6">
      <c r="A122" s="17" t="s">
        <v>126</v>
      </c>
      <c r="B122" s="17">
        <v>620545</v>
      </c>
      <c r="D122" s="1">
        <v>0</v>
      </c>
      <c r="E122" s="8">
        <f>VLOOKUP(B122,Gesamtstunden_26!B:I,8,0)</f>
        <v>5</v>
      </c>
      <c r="F122" s="2">
        <f t="shared" si="1"/>
        <v>-5</v>
      </c>
    </row>
    <row r="123" spans="1:6">
      <c r="A123" s="8" t="s">
        <v>127</v>
      </c>
      <c r="B123" s="8">
        <v>758341</v>
      </c>
      <c r="D123" s="1">
        <v>6</v>
      </c>
      <c r="E123" s="8">
        <f>VLOOKUP(B123,Gesamtstunden_26!B:I,8,0)</f>
        <v>0</v>
      </c>
      <c r="F123" s="2">
        <f t="shared" si="1"/>
        <v>6</v>
      </c>
    </row>
    <row r="124" spans="1:6" s="11" customFormat="1">
      <c r="A124" s="7" t="s">
        <v>128</v>
      </c>
      <c r="B124" s="7">
        <v>735827</v>
      </c>
      <c r="D124" s="12">
        <v>0</v>
      </c>
      <c r="E124" s="7">
        <f>VLOOKUP(B124,Gesamtstunden_26!B:I,8,0)</f>
        <v>2.6666666666666665</v>
      </c>
      <c r="F124" s="13">
        <f t="shared" si="1"/>
        <v>-2.6666666666666665</v>
      </c>
    </row>
    <row r="125" spans="1:6">
      <c r="A125" s="8" t="s">
        <v>129</v>
      </c>
      <c r="B125" s="8">
        <v>794490</v>
      </c>
      <c r="D125" s="1">
        <v>1.6666666666666701</v>
      </c>
      <c r="E125" s="8">
        <f>VLOOKUP(B125,Gesamtstunden_26!B:I,8,0)</f>
        <v>1.6666666666666667</v>
      </c>
      <c r="F125" s="2">
        <f t="shared" si="1"/>
        <v>3.3306690738754696E-15</v>
      </c>
    </row>
    <row r="126" spans="1:6">
      <c r="A126" s="8" t="s">
        <v>130</v>
      </c>
      <c r="B126" s="8">
        <v>488514</v>
      </c>
      <c r="D126" s="1">
        <v>5.6666666666666696</v>
      </c>
      <c r="E126" s="8">
        <f>VLOOKUP(B126,Gesamtstunden_26!B:I,8,0)</f>
        <v>0</v>
      </c>
      <c r="F126" s="2">
        <f t="shared" si="1"/>
        <v>5.6666666666666696</v>
      </c>
    </row>
    <row r="127" spans="1:6">
      <c r="A127" s="7" t="s">
        <v>131</v>
      </c>
      <c r="B127" s="7">
        <v>439207</v>
      </c>
      <c r="D127" s="1">
        <v>0</v>
      </c>
      <c r="E127" s="8">
        <f>VLOOKUP(B127,Gesamtstunden_26!B:I,8,0)</f>
        <v>1.6666666666666667</v>
      </c>
      <c r="F127" s="2">
        <f t="shared" si="1"/>
        <v>-1.6666666666666667</v>
      </c>
    </row>
    <row r="128" spans="1:6">
      <c r="A128" s="8" t="s">
        <v>132</v>
      </c>
      <c r="B128" s="8">
        <v>338081</v>
      </c>
      <c r="D128" s="1">
        <v>15.5</v>
      </c>
      <c r="E128" s="8">
        <f>VLOOKUP(B128,Gesamtstunden_26!B:I,8,0)</f>
        <v>0</v>
      </c>
      <c r="F128" s="2">
        <f t="shared" si="1"/>
        <v>15.5</v>
      </c>
    </row>
    <row r="129" spans="1:6" ht="27.6">
      <c r="A129" s="8" t="s">
        <v>133</v>
      </c>
      <c r="B129" s="8">
        <v>504028</v>
      </c>
      <c r="D129" s="1">
        <v>6</v>
      </c>
      <c r="E129" s="8">
        <f>VLOOKUP(B129,Gesamtstunden_26!B:I,8,0)</f>
        <v>0</v>
      </c>
      <c r="F129" s="2">
        <f t="shared" si="1"/>
        <v>6</v>
      </c>
    </row>
    <row r="130" spans="1:6">
      <c r="A130" s="10" t="s">
        <v>134</v>
      </c>
      <c r="B130" s="10">
        <v>597830</v>
      </c>
      <c r="D130" s="1">
        <v>0</v>
      </c>
      <c r="E130" s="8">
        <f>VLOOKUP(B130,Gesamtstunden_26!B:I,8,0)</f>
        <v>3.666666666666667</v>
      </c>
      <c r="F130" s="2">
        <f t="shared" ref="F130:F193" si="2">D130-E130</f>
        <v>-3.666666666666667</v>
      </c>
    </row>
    <row r="131" spans="1:6">
      <c r="A131" s="7" t="s">
        <v>135</v>
      </c>
      <c r="B131" s="7">
        <v>472114</v>
      </c>
      <c r="D131" s="1">
        <v>0</v>
      </c>
      <c r="E131" s="8">
        <f>VLOOKUP(B131,Gesamtstunden_26!B:I,8,0)</f>
        <v>2.833333333333333</v>
      </c>
      <c r="F131" s="2">
        <f t="shared" si="2"/>
        <v>-2.833333333333333</v>
      </c>
    </row>
    <row r="132" spans="1:6">
      <c r="A132" s="8" t="s">
        <v>136</v>
      </c>
      <c r="B132" s="8">
        <v>234073</v>
      </c>
      <c r="D132" s="1">
        <v>7.6666666666666696</v>
      </c>
      <c r="E132" s="8">
        <f>VLOOKUP(B132,Gesamtstunden_26!B:I,8,0)</f>
        <v>0</v>
      </c>
      <c r="F132" s="2">
        <f t="shared" si="2"/>
        <v>7.6666666666666696</v>
      </c>
    </row>
    <row r="133" spans="1:6" s="11" customFormat="1">
      <c r="A133" s="7" t="s">
        <v>137</v>
      </c>
      <c r="B133" s="7">
        <v>473781</v>
      </c>
      <c r="D133" s="12">
        <v>0</v>
      </c>
      <c r="E133" s="7">
        <f>VLOOKUP(B133,Gesamtstunden_26!B:I,8,0)</f>
        <v>0</v>
      </c>
      <c r="F133" s="13">
        <f t="shared" si="2"/>
        <v>0</v>
      </c>
    </row>
    <row r="134" spans="1:6">
      <c r="A134" s="7" t="s">
        <v>138</v>
      </c>
      <c r="B134" s="7">
        <v>584071</v>
      </c>
      <c r="D134" s="1">
        <v>0</v>
      </c>
      <c r="E134" s="8">
        <f>VLOOKUP(B134,Gesamtstunden_26!B:I,8,0)</f>
        <v>12</v>
      </c>
      <c r="F134" s="2">
        <f t="shared" si="2"/>
        <v>-12</v>
      </c>
    </row>
    <row r="135" spans="1:6">
      <c r="A135" s="10" t="s">
        <v>139</v>
      </c>
      <c r="B135" s="10">
        <v>568137</v>
      </c>
      <c r="D135" s="1">
        <v>0</v>
      </c>
      <c r="E135" s="8">
        <f>VLOOKUP(B135,Gesamtstunden_26!B:I,8,0)</f>
        <v>0</v>
      </c>
      <c r="F135" s="2">
        <f t="shared" si="2"/>
        <v>0</v>
      </c>
    </row>
    <row r="136" spans="1:6">
      <c r="A136" s="8" t="s">
        <v>140</v>
      </c>
      <c r="B136" s="8">
        <v>630360</v>
      </c>
      <c r="D136" s="1">
        <v>13.67</v>
      </c>
      <c r="E136" s="8">
        <f>VLOOKUP(B136,Gesamtstunden_26!B:I,8,0)</f>
        <v>0</v>
      </c>
      <c r="F136" s="2">
        <f t="shared" si="2"/>
        <v>13.67</v>
      </c>
    </row>
    <row r="137" spans="1:6" ht="27.6">
      <c r="A137" s="10" t="s">
        <v>141</v>
      </c>
      <c r="B137" s="10">
        <v>887353</v>
      </c>
      <c r="D137" s="1">
        <v>0</v>
      </c>
      <c r="E137" s="8">
        <f>VLOOKUP(B137,Gesamtstunden_26!B:I,8,0)</f>
        <v>0.33333333333333331</v>
      </c>
      <c r="F137" s="2">
        <f t="shared" si="2"/>
        <v>-0.33333333333333331</v>
      </c>
    </row>
    <row r="138" spans="1:6">
      <c r="A138" s="8" t="s">
        <v>142</v>
      </c>
      <c r="B138" s="8">
        <v>330352</v>
      </c>
      <c r="D138" s="1">
        <v>12</v>
      </c>
      <c r="E138" s="8">
        <f>VLOOKUP(B138,Gesamtstunden_26!B:I,8,0)</f>
        <v>0</v>
      </c>
      <c r="F138" s="2">
        <f t="shared" si="2"/>
        <v>12</v>
      </c>
    </row>
    <row r="139" spans="1:6">
      <c r="A139" s="7" t="s">
        <v>143</v>
      </c>
      <c r="B139" s="7">
        <v>968584</v>
      </c>
      <c r="D139" s="1">
        <v>0</v>
      </c>
      <c r="E139" s="8">
        <f>VLOOKUP(B139,Gesamtstunden_26!B:I,8,0)</f>
        <v>5.333333333333333</v>
      </c>
      <c r="F139" s="2">
        <f t="shared" si="2"/>
        <v>-5.333333333333333</v>
      </c>
    </row>
    <row r="140" spans="1:6">
      <c r="A140" s="7" t="s">
        <v>144</v>
      </c>
      <c r="B140" s="7">
        <v>468386</v>
      </c>
      <c r="D140" s="1">
        <v>0</v>
      </c>
      <c r="E140" s="8">
        <f>VLOOKUP(B140,Gesamtstunden_26!B:I,8,0)</f>
        <v>0</v>
      </c>
      <c r="F140" s="2">
        <f t="shared" si="2"/>
        <v>0</v>
      </c>
    </row>
    <row r="141" spans="1:6" ht="27.6">
      <c r="A141" s="8" t="s">
        <v>145</v>
      </c>
      <c r="B141" s="8">
        <v>804250</v>
      </c>
      <c r="D141" s="1">
        <v>6</v>
      </c>
      <c r="E141" s="8">
        <f>VLOOKUP(B141,Gesamtstunden_26!B:I,8,0)</f>
        <v>2.3333333333333335</v>
      </c>
      <c r="F141" s="2">
        <f t="shared" si="2"/>
        <v>3.6666666666666665</v>
      </c>
    </row>
    <row r="142" spans="1:6">
      <c r="A142" s="8" t="s">
        <v>146</v>
      </c>
      <c r="B142" s="8">
        <v>603616</v>
      </c>
      <c r="D142" s="1">
        <v>6</v>
      </c>
      <c r="E142" s="8">
        <f>VLOOKUP(B142,Gesamtstunden_26!B:I,8,0)</f>
        <v>0</v>
      </c>
      <c r="F142" s="2">
        <f t="shared" si="2"/>
        <v>6</v>
      </c>
    </row>
    <row r="143" spans="1:6" s="11" customFormat="1">
      <c r="A143" s="7" t="s">
        <v>147</v>
      </c>
      <c r="B143" s="7">
        <v>495533</v>
      </c>
      <c r="D143" s="12">
        <v>0.83333333333333404</v>
      </c>
      <c r="E143" s="7">
        <f>VLOOKUP(B143,Gesamtstunden_26!B:I,8,0)</f>
        <v>10.5</v>
      </c>
      <c r="F143" s="13">
        <f t="shared" si="2"/>
        <v>-9.6666666666666661</v>
      </c>
    </row>
    <row r="144" spans="1:6">
      <c r="A144" s="14" t="s">
        <v>148</v>
      </c>
      <c r="B144" s="14">
        <v>149668</v>
      </c>
      <c r="D144" s="1">
        <v>0</v>
      </c>
      <c r="E144" s="8">
        <f>VLOOKUP(B144,Gesamtstunden_26!B:I,8,0)</f>
        <v>0.33333333333333331</v>
      </c>
      <c r="F144" s="2">
        <f t="shared" si="2"/>
        <v>-0.33333333333333331</v>
      </c>
    </row>
    <row r="145" spans="1:6">
      <c r="A145" s="8" t="s">
        <v>149</v>
      </c>
      <c r="B145" s="8">
        <v>559062</v>
      </c>
      <c r="D145" s="1">
        <v>4.5033333333333303</v>
      </c>
      <c r="E145" s="8">
        <f>VLOOKUP(B145,Gesamtstunden_26!B:I,8,0)</f>
        <v>0</v>
      </c>
      <c r="F145" s="2">
        <f t="shared" si="2"/>
        <v>4.5033333333333303</v>
      </c>
    </row>
    <row r="146" spans="1:6">
      <c r="A146" s="7" t="s">
        <v>150</v>
      </c>
      <c r="B146" s="7">
        <v>711240</v>
      </c>
      <c r="D146" s="1">
        <v>0</v>
      </c>
      <c r="E146" s="8">
        <f>VLOOKUP(B146,Gesamtstunden_26!B:I,8,0)</f>
        <v>1.3333333333333333</v>
      </c>
      <c r="F146" s="2">
        <f t="shared" si="2"/>
        <v>-1.3333333333333333</v>
      </c>
    </row>
    <row r="147" spans="1:6">
      <c r="A147" s="7" t="s">
        <v>151</v>
      </c>
      <c r="B147" s="7">
        <v>532286</v>
      </c>
      <c r="D147" s="1">
        <v>0</v>
      </c>
      <c r="E147" s="8">
        <f>VLOOKUP(B147,Gesamtstunden_26!B:I,8,0)</f>
        <v>0</v>
      </c>
      <c r="F147" s="2">
        <f t="shared" si="2"/>
        <v>0</v>
      </c>
    </row>
    <row r="148" spans="1:6" s="11" customFormat="1">
      <c r="A148" s="7" t="s">
        <v>152</v>
      </c>
      <c r="B148" s="7">
        <v>366232</v>
      </c>
      <c r="D148" s="12">
        <v>2</v>
      </c>
      <c r="E148" s="7">
        <f>VLOOKUP(B148,Gesamtstunden_26!B:I,8,0)</f>
        <v>3.3333333333333335</v>
      </c>
      <c r="F148" s="13">
        <f t="shared" si="2"/>
        <v>-1.3333333333333335</v>
      </c>
    </row>
    <row r="149" spans="1:6" s="11" customFormat="1">
      <c r="A149" s="7" t="s">
        <v>153</v>
      </c>
      <c r="B149" s="7">
        <v>447184</v>
      </c>
      <c r="D149" s="12">
        <v>0</v>
      </c>
      <c r="E149" s="7">
        <f>VLOOKUP(B149,Gesamtstunden_26!B:I,8,0)</f>
        <v>3</v>
      </c>
      <c r="F149" s="13">
        <f t="shared" si="2"/>
        <v>-3</v>
      </c>
    </row>
    <row r="150" spans="1:6">
      <c r="A150" s="14" t="s">
        <v>154</v>
      </c>
      <c r="B150" s="14">
        <v>896944</v>
      </c>
      <c r="D150" s="1">
        <v>0</v>
      </c>
      <c r="E150" s="8">
        <f>VLOOKUP(B150,Gesamtstunden_26!B:I,8,0)</f>
        <v>0</v>
      </c>
      <c r="F150" s="2">
        <f t="shared" si="2"/>
        <v>0</v>
      </c>
    </row>
    <row r="151" spans="1:6" ht="27.6">
      <c r="A151" s="8" t="s">
        <v>155</v>
      </c>
      <c r="B151" s="8">
        <v>2551</v>
      </c>
      <c r="D151" s="1">
        <v>6.0033333333333303</v>
      </c>
      <c r="E151" s="8">
        <f>VLOOKUP(B151,Gesamtstunden_26!B:I,8,0)</f>
        <v>0</v>
      </c>
      <c r="F151" s="2">
        <f t="shared" si="2"/>
        <v>6.0033333333333303</v>
      </c>
    </row>
    <row r="152" spans="1:6">
      <c r="A152" s="8" t="s">
        <v>156</v>
      </c>
      <c r="B152" s="8">
        <v>697569</v>
      </c>
      <c r="D152" s="1">
        <v>12</v>
      </c>
      <c r="E152" s="8">
        <f>VLOOKUP(B152,Gesamtstunden_26!B:I,8,0)</f>
        <v>0</v>
      </c>
      <c r="F152" s="2">
        <f t="shared" si="2"/>
        <v>12</v>
      </c>
    </row>
    <row r="153" spans="1:6" s="11" customFormat="1">
      <c r="A153" s="7" t="s">
        <v>157</v>
      </c>
      <c r="B153" s="7">
        <v>590029</v>
      </c>
      <c r="D153" s="12">
        <v>1</v>
      </c>
      <c r="E153" s="7">
        <f>VLOOKUP(B153,Gesamtstunden_26!B:I,8,0)</f>
        <v>4.333333333333333</v>
      </c>
      <c r="F153" s="13">
        <f t="shared" si="2"/>
        <v>-3.333333333333333</v>
      </c>
    </row>
    <row r="154" spans="1:6">
      <c r="A154" s="7" t="s">
        <v>158</v>
      </c>
      <c r="B154" s="7">
        <v>944892</v>
      </c>
      <c r="D154" s="1">
        <v>0</v>
      </c>
      <c r="E154" s="8">
        <f>VLOOKUP(B154,Gesamtstunden_26!B:I,8,0)</f>
        <v>8.6666666666666679</v>
      </c>
      <c r="F154" s="2">
        <f t="shared" si="2"/>
        <v>-8.6666666666666679</v>
      </c>
    </row>
    <row r="155" spans="1:6">
      <c r="A155" s="10" t="s">
        <v>159</v>
      </c>
      <c r="B155" s="10">
        <v>175069</v>
      </c>
      <c r="D155" s="1">
        <v>0</v>
      </c>
      <c r="E155" s="8">
        <f>VLOOKUP(B155,Gesamtstunden_26!B:I,8,0)</f>
        <v>1.3333333333333333</v>
      </c>
      <c r="F155" s="2">
        <f t="shared" si="2"/>
        <v>-1.3333333333333333</v>
      </c>
    </row>
    <row r="156" spans="1:6" ht="27.6">
      <c r="A156" s="10" t="s">
        <v>160</v>
      </c>
      <c r="B156" s="10">
        <v>875441</v>
      </c>
      <c r="D156" s="1">
        <v>0</v>
      </c>
      <c r="E156" s="8">
        <f>VLOOKUP(B156,Gesamtstunden_26!B:I,8,0)</f>
        <v>5.666666666666667</v>
      </c>
      <c r="F156" s="2">
        <f t="shared" si="2"/>
        <v>-5.666666666666667</v>
      </c>
    </row>
    <row r="157" spans="1:6">
      <c r="A157" s="16" t="s">
        <v>161</v>
      </c>
      <c r="B157" s="16">
        <v>676575</v>
      </c>
      <c r="D157" s="1">
        <v>0</v>
      </c>
      <c r="E157" s="8">
        <f>VLOOKUP(B157,Gesamtstunden_26!B:I,8,0)</f>
        <v>0</v>
      </c>
      <c r="F157" s="2">
        <f t="shared" si="2"/>
        <v>0</v>
      </c>
    </row>
    <row r="158" spans="1:6">
      <c r="A158" s="10" t="s">
        <v>162</v>
      </c>
      <c r="B158" s="10">
        <v>127590</v>
      </c>
      <c r="D158" s="1">
        <v>0</v>
      </c>
      <c r="E158" s="8">
        <f>VLOOKUP(B158,Gesamtstunden_26!B:I,8,0)</f>
        <v>2.3333333333333335</v>
      </c>
      <c r="F158" s="2">
        <f t="shared" si="2"/>
        <v>-2.3333333333333335</v>
      </c>
    </row>
    <row r="159" spans="1:6" ht="27.6">
      <c r="A159" s="8" t="s">
        <v>163</v>
      </c>
      <c r="B159" s="8">
        <v>394592</v>
      </c>
      <c r="D159" s="1">
        <v>15</v>
      </c>
      <c r="E159" s="8">
        <f>VLOOKUP(B159,Gesamtstunden_26!B:I,8,0)</f>
        <v>0</v>
      </c>
      <c r="F159" s="2">
        <f t="shared" si="2"/>
        <v>15</v>
      </c>
    </row>
    <row r="160" spans="1:6">
      <c r="A160" s="8" t="s">
        <v>164</v>
      </c>
      <c r="B160" s="8">
        <v>3790</v>
      </c>
      <c r="D160" s="1">
        <v>5.3333333333333401</v>
      </c>
      <c r="E160" s="8">
        <f>VLOOKUP(B160,Gesamtstunden_26!B:I,8,0)</f>
        <v>0</v>
      </c>
      <c r="F160" s="2">
        <f t="shared" si="2"/>
        <v>5.3333333333333401</v>
      </c>
    </row>
    <row r="161" spans="1:6">
      <c r="A161" s="8" t="s">
        <v>165</v>
      </c>
      <c r="B161" s="8">
        <v>214441</v>
      </c>
      <c r="D161" s="1">
        <v>6</v>
      </c>
      <c r="E161" s="8">
        <f>VLOOKUP(B161,Gesamtstunden_26!B:I,8,0)</f>
        <v>0</v>
      </c>
      <c r="F161" s="2">
        <f t="shared" si="2"/>
        <v>6</v>
      </c>
    </row>
    <row r="162" spans="1:6">
      <c r="A162" s="8" t="s">
        <v>166</v>
      </c>
      <c r="B162" s="8">
        <v>333374</v>
      </c>
      <c r="D162" s="1">
        <v>6</v>
      </c>
      <c r="E162" s="8">
        <f>VLOOKUP(B162,Gesamtstunden_26!B:I,8,0)</f>
        <v>0</v>
      </c>
      <c r="F162" s="2">
        <f t="shared" si="2"/>
        <v>6</v>
      </c>
    </row>
    <row r="163" spans="1:6">
      <c r="A163" s="7" t="s">
        <v>167</v>
      </c>
      <c r="B163" s="7">
        <v>801886</v>
      </c>
      <c r="D163" s="1">
        <v>0</v>
      </c>
      <c r="E163" s="8">
        <f>VLOOKUP(B163,Gesamtstunden_26!B:I,8,0)</f>
        <v>1.3333333333333333</v>
      </c>
      <c r="F163" s="2">
        <f t="shared" si="2"/>
        <v>-1.3333333333333333</v>
      </c>
    </row>
    <row r="164" spans="1:6" ht="27.6">
      <c r="A164" s="16" t="s">
        <v>168</v>
      </c>
      <c r="B164" s="16">
        <v>270157</v>
      </c>
      <c r="D164" s="1">
        <v>0</v>
      </c>
      <c r="E164" s="8">
        <f>VLOOKUP(B164,Gesamtstunden_26!B:I,8,0)</f>
        <v>1.6666666666666667</v>
      </c>
      <c r="F164" s="2">
        <f t="shared" si="2"/>
        <v>-1.6666666666666667</v>
      </c>
    </row>
    <row r="165" spans="1:6">
      <c r="A165" s="10" t="s">
        <v>169</v>
      </c>
      <c r="B165" s="10">
        <v>821407</v>
      </c>
      <c r="D165" s="1">
        <v>0</v>
      </c>
      <c r="E165" s="8">
        <f>VLOOKUP(B165,Gesamtstunden_26!B:I,8,0)</f>
        <v>0.66666666666666663</v>
      </c>
      <c r="F165" s="2">
        <f t="shared" si="2"/>
        <v>-0.66666666666666663</v>
      </c>
    </row>
    <row r="166" spans="1:6">
      <c r="A166" s="8" t="s">
        <v>170</v>
      </c>
      <c r="B166" s="8">
        <v>609293</v>
      </c>
      <c r="D166" s="1">
        <v>12</v>
      </c>
      <c r="E166" s="8">
        <f>VLOOKUP(B166,Gesamtstunden_26!B:I,8,0)</f>
        <v>0</v>
      </c>
      <c r="F166" s="2">
        <f t="shared" si="2"/>
        <v>12</v>
      </c>
    </row>
    <row r="167" spans="1:6" ht="27.6">
      <c r="A167" s="8" t="s">
        <v>171</v>
      </c>
      <c r="B167" s="8">
        <v>529283</v>
      </c>
      <c r="D167" s="1">
        <v>12.5</v>
      </c>
      <c r="E167" s="8">
        <f>VLOOKUP(B167,Gesamtstunden_26!B:I,8,0)</f>
        <v>0</v>
      </c>
      <c r="F167" s="2">
        <f t="shared" si="2"/>
        <v>12.5</v>
      </c>
    </row>
    <row r="168" spans="1:6">
      <c r="A168" s="10" t="s">
        <v>172</v>
      </c>
      <c r="B168" s="10">
        <v>734566</v>
      </c>
      <c r="D168" s="1">
        <v>0</v>
      </c>
      <c r="E168" s="8">
        <f>VLOOKUP(B168,Gesamtstunden_26!B:I,8,0)</f>
        <v>3</v>
      </c>
      <c r="F168" s="2">
        <f t="shared" si="2"/>
        <v>-3</v>
      </c>
    </row>
    <row r="169" spans="1:6" ht="27.6">
      <c r="A169" s="8" t="s">
        <v>173</v>
      </c>
      <c r="B169" s="8">
        <v>761921</v>
      </c>
      <c r="D169" s="1">
        <v>14.17</v>
      </c>
      <c r="E169" s="8">
        <f>VLOOKUP(B169,Gesamtstunden_26!B:I,8,0)</f>
        <v>0</v>
      </c>
      <c r="F169" s="2">
        <f t="shared" si="2"/>
        <v>14.17</v>
      </c>
    </row>
    <row r="170" spans="1:6">
      <c r="A170" s="10" t="s">
        <v>174</v>
      </c>
      <c r="B170" s="10">
        <v>873830</v>
      </c>
      <c r="D170" s="1">
        <v>0</v>
      </c>
      <c r="E170" s="8">
        <f>VLOOKUP(B170,Gesamtstunden_26!B:I,8,0)</f>
        <v>3.833333333333333</v>
      </c>
      <c r="F170" s="2">
        <f t="shared" si="2"/>
        <v>-3.833333333333333</v>
      </c>
    </row>
    <row r="171" spans="1:6">
      <c r="A171" s="7" t="s">
        <v>175</v>
      </c>
      <c r="B171" s="7">
        <v>115740</v>
      </c>
      <c r="D171" s="1">
        <v>0</v>
      </c>
      <c r="E171" s="8">
        <f>VLOOKUP(B171,Gesamtstunden_26!B:I,8,0)</f>
        <v>0.33333333333333331</v>
      </c>
      <c r="F171" s="2">
        <f t="shared" si="2"/>
        <v>-0.33333333333333331</v>
      </c>
    </row>
    <row r="172" spans="1:6">
      <c r="A172" s="10" t="s">
        <v>176</v>
      </c>
      <c r="B172" s="10">
        <v>724841</v>
      </c>
      <c r="D172" s="1">
        <v>0</v>
      </c>
      <c r="E172" s="8">
        <f>VLOOKUP(B172,Gesamtstunden_26!B:I,8,0)</f>
        <v>2.3333333333333335</v>
      </c>
      <c r="F172" s="2">
        <f t="shared" si="2"/>
        <v>-2.3333333333333335</v>
      </c>
    </row>
    <row r="173" spans="1:6">
      <c r="A173" s="10" t="s">
        <v>177</v>
      </c>
      <c r="B173" s="10">
        <v>100699</v>
      </c>
      <c r="D173" s="1">
        <v>0</v>
      </c>
      <c r="E173" s="8">
        <f>VLOOKUP(B173,Gesamtstunden_26!B:I,8,0)</f>
        <v>0</v>
      </c>
      <c r="F173" s="2">
        <f t="shared" si="2"/>
        <v>0</v>
      </c>
    </row>
    <row r="174" spans="1:6" ht="27.6">
      <c r="A174" s="8" t="s">
        <v>178</v>
      </c>
      <c r="B174" s="8">
        <v>847592</v>
      </c>
      <c r="D174" s="1">
        <v>13.67</v>
      </c>
      <c r="E174" s="8">
        <f>VLOOKUP(B174,Gesamtstunden_26!B:I,8,0)</f>
        <v>6</v>
      </c>
      <c r="F174" s="2">
        <f t="shared" si="2"/>
        <v>7.67</v>
      </c>
    </row>
    <row r="175" spans="1:6" s="11" customFormat="1">
      <c r="A175" s="7" t="s">
        <v>179</v>
      </c>
      <c r="B175" s="7">
        <v>359909</v>
      </c>
      <c r="D175" s="12">
        <v>0</v>
      </c>
      <c r="E175" s="7">
        <f>VLOOKUP(B175,Gesamtstunden_26!B:I,8,0)</f>
        <v>0</v>
      </c>
      <c r="F175" s="13">
        <f t="shared" si="2"/>
        <v>0</v>
      </c>
    </row>
    <row r="176" spans="1:6">
      <c r="A176" s="7" t="s">
        <v>180</v>
      </c>
      <c r="B176" s="7">
        <v>151929</v>
      </c>
      <c r="D176" s="1">
        <v>0</v>
      </c>
      <c r="E176" s="8">
        <f>VLOOKUP(B176,Gesamtstunden_26!B:I,8,0)</f>
        <v>2</v>
      </c>
      <c r="F176" s="2">
        <f t="shared" si="2"/>
        <v>-2</v>
      </c>
    </row>
    <row r="177" spans="1:6">
      <c r="A177" s="10" t="s">
        <v>181</v>
      </c>
      <c r="B177" s="10">
        <v>621916</v>
      </c>
      <c r="D177" s="1">
        <v>0</v>
      </c>
      <c r="E177" s="8">
        <f>VLOOKUP(B177,Gesamtstunden_26!B:I,8,0)</f>
        <v>4</v>
      </c>
      <c r="F177" s="2">
        <f t="shared" si="2"/>
        <v>-4</v>
      </c>
    </row>
    <row r="178" spans="1:6" s="11" customFormat="1">
      <c r="A178" s="11" t="s">
        <v>182</v>
      </c>
      <c r="B178" s="11">
        <v>638067</v>
      </c>
      <c r="D178" s="12">
        <v>0</v>
      </c>
      <c r="E178" s="7">
        <f>VLOOKUP(B178,Gesamtstunden_26!B:I,8,0)</f>
        <v>1.6666666666666667</v>
      </c>
      <c r="F178" s="13">
        <f t="shared" si="2"/>
        <v>-1.6666666666666667</v>
      </c>
    </row>
    <row r="179" spans="1:6" ht="27.6">
      <c r="A179" s="8" t="s">
        <v>183</v>
      </c>
      <c r="B179" s="8">
        <v>467716</v>
      </c>
      <c r="D179" s="1">
        <v>10.5033333333333</v>
      </c>
      <c r="E179" s="8">
        <f>VLOOKUP(B179,Gesamtstunden_26!B:I,8,0)</f>
        <v>0</v>
      </c>
      <c r="F179" s="2">
        <f t="shared" si="2"/>
        <v>10.5033333333333</v>
      </c>
    </row>
    <row r="180" spans="1:6">
      <c r="A180" s="7" t="s">
        <v>184</v>
      </c>
      <c r="B180" s="7">
        <v>95394</v>
      </c>
      <c r="D180" s="1">
        <v>0</v>
      </c>
      <c r="E180" s="8">
        <f>VLOOKUP(B180,Gesamtstunden_26!B:I,8,0)</f>
        <v>3</v>
      </c>
      <c r="F180" s="2">
        <f t="shared" si="2"/>
        <v>-3</v>
      </c>
    </row>
    <row r="181" spans="1:6">
      <c r="A181" s="8" t="s">
        <v>185</v>
      </c>
      <c r="B181" s="8">
        <v>766442</v>
      </c>
      <c r="D181" s="1">
        <v>7.1666666666666696</v>
      </c>
      <c r="E181" s="8">
        <f>VLOOKUP(B181,Gesamtstunden_26!B:I,8,0)</f>
        <v>0</v>
      </c>
      <c r="F181" s="2">
        <f t="shared" si="2"/>
        <v>7.1666666666666696</v>
      </c>
    </row>
    <row r="182" spans="1:6">
      <c r="A182" s="8" t="s">
        <v>186</v>
      </c>
      <c r="B182" s="8">
        <v>105562</v>
      </c>
      <c r="D182" s="1">
        <v>6</v>
      </c>
      <c r="E182" s="8">
        <f>VLOOKUP(B182,Gesamtstunden_26!B:I,8,0)</f>
        <v>0</v>
      </c>
      <c r="F182" s="2">
        <f t="shared" si="2"/>
        <v>6</v>
      </c>
    </row>
    <row r="183" spans="1:6">
      <c r="A183" s="8" t="s">
        <v>187</v>
      </c>
      <c r="B183" s="8">
        <v>591896</v>
      </c>
      <c r="D183" s="1">
        <v>12</v>
      </c>
      <c r="E183" s="8">
        <f>VLOOKUP(B183,Gesamtstunden_26!B:I,8,0)</f>
        <v>0</v>
      </c>
      <c r="F183" s="2">
        <f t="shared" si="2"/>
        <v>12</v>
      </c>
    </row>
    <row r="184" spans="1:6">
      <c r="A184" s="16" t="s">
        <v>188</v>
      </c>
      <c r="B184" s="16">
        <v>406588</v>
      </c>
      <c r="D184" s="1">
        <v>0</v>
      </c>
      <c r="E184" s="8">
        <f>VLOOKUP(B184,Gesamtstunden_26!B:I,8,0)</f>
        <v>0.33333333333333331</v>
      </c>
      <c r="F184" s="2">
        <f t="shared" si="2"/>
        <v>-0.33333333333333331</v>
      </c>
    </row>
    <row r="185" spans="1:6">
      <c r="A185" s="8" t="s">
        <v>189</v>
      </c>
      <c r="B185" s="8">
        <v>606741</v>
      </c>
      <c r="D185" s="1">
        <v>10</v>
      </c>
      <c r="E185" s="8">
        <f>VLOOKUP(B185,Gesamtstunden_26!B:I,8,0)</f>
        <v>0</v>
      </c>
      <c r="F185" s="2">
        <f t="shared" si="2"/>
        <v>10</v>
      </c>
    </row>
    <row r="186" spans="1:6">
      <c r="A186" s="8" t="s">
        <v>190</v>
      </c>
      <c r="B186" s="8">
        <v>474341</v>
      </c>
      <c r="D186" s="1">
        <v>1.1666666666666701</v>
      </c>
      <c r="E186" s="8">
        <f>VLOOKUP(B186,Gesamtstunden_26!B:I,8,0)</f>
        <v>0</v>
      </c>
      <c r="F186" s="2">
        <f t="shared" si="2"/>
        <v>1.1666666666666701</v>
      </c>
    </row>
    <row r="187" spans="1:6" s="11" customFormat="1">
      <c r="A187" s="7" t="s">
        <v>191</v>
      </c>
      <c r="B187" s="7">
        <v>174416</v>
      </c>
      <c r="D187" s="12">
        <v>3</v>
      </c>
      <c r="E187" s="7">
        <f>VLOOKUP(B187,Gesamtstunden_26!B:I,8,0)</f>
        <v>5.8333333333333339</v>
      </c>
      <c r="F187" s="13">
        <f t="shared" si="2"/>
        <v>-2.8333333333333339</v>
      </c>
    </row>
    <row r="188" spans="1:6">
      <c r="A188" s="7" t="s">
        <v>192</v>
      </c>
      <c r="B188" s="11">
        <v>755301</v>
      </c>
      <c r="D188" s="1">
        <v>0</v>
      </c>
      <c r="E188" s="8">
        <f>VLOOKUP(B188,Gesamtstunden_26!B:I,8,0)</f>
        <v>10.666666666666666</v>
      </c>
      <c r="F188" s="2">
        <f t="shared" si="2"/>
        <v>-10.666666666666666</v>
      </c>
    </row>
    <row r="189" spans="1:6">
      <c r="A189" s="7" t="s">
        <v>193</v>
      </c>
      <c r="B189" s="7">
        <v>871573</v>
      </c>
      <c r="D189" s="1">
        <v>0</v>
      </c>
      <c r="E189" s="8">
        <f>VLOOKUP(B189,Gesamtstunden_26!B:I,8,0)</f>
        <v>4</v>
      </c>
      <c r="F189" s="2">
        <f t="shared" si="2"/>
        <v>-4</v>
      </c>
    </row>
    <row r="190" spans="1:6">
      <c r="A190" s="8" t="s">
        <v>194</v>
      </c>
      <c r="B190" s="8">
        <v>385751</v>
      </c>
      <c r="D190" s="1">
        <v>10</v>
      </c>
      <c r="E190" s="8">
        <f>VLOOKUP(B190,Gesamtstunden_26!B:I,8,0)</f>
        <v>0</v>
      </c>
      <c r="F190" s="2">
        <f t="shared" si="2"/>
        <v>10</v>
      </c>
    </row>
    <row r="191" spans="1:6">
      <c r="A191" s="8" t="s">
        <v>195</v>
      </c>
      <c r="B191" s="8">
        <v>826687</v>
      </c>
      <c r="D191" s="1">
        <v>1.1666666666666701</v>
      </c>
      <c r="E191" s="8">
        <f>VLOOKUP(B191,Gesamtstunden_26!B:I,8,0)</f>
        <v>0</v>
      </c>
      <c r="F191" s="2">
        <f t="shared" si="2"/>
        <v>1.1666666666666701</v>
      </c>
    </row>
    <row r="192" spans="1:6">
      <c r="A192" s="17" t="s">
        <v>196</v>
      </c>
      <c r="B192" s="17">
        <v>223372</v>
      </c>
      <c r="D192" s="1">
        <v>0</v>
      </c>
      <c r="E192" s="8">
        <f>VLOOKUP(B192,Gesamtstunden_26!B:I,8,0)</f>
        <v>1.5</v>
      </c>
      <c r="F192" s="2">
        <f t="shared" si="2"/>
        <v>-1.5</v>
      </c>
    </row>
    <row r="193" spans="1:6">
      <c r="A193" s="7" t="s">
        <v>197</v>
      </c>
      <c r="B193" s="7">
        <v>175002</v>
      </c>
      <c r="D193" s="1">
        <v>0</v>
      </c>
      <c r="E193" s="8">
        <f>VLOOKUP(B193,Gesamtstunden_26!B:I,8,0)</f>
        <v>11.666666666666668</v>
      </c>
      <c r="F193" s="2">
        <f t="shared" si="2"/>
        <v>-11.666666666666668</v>
      </c>
    </row>
    <row r="194" spans="1:6">
      <c r="A194" s="7" t="s">
        <v>198</v>
      </c>
      <c r="B194" s="7">
        <v>136136</v>
      </c>
      <c r="D194" s="1">
        <v>0</v>
      </c>
      <c r="E194" s="8">
        <f>VLOOKUP(B194,Gesamtstunden_26!B:I,8,0)</f>
        <v>4.333333333333333</v>
      </c>
      <c r="F194" s="2">
        <f t="shared" ref="F194:F257" si="3">D194-E194</f>
        <v>-4.333333333333333</v>
      </c>
    </row>
    <row r="195" spans="1:6">
      <c r="A195" s="17" t="s">
        <v>199</v>
      </c>
      <c r="B195" s="17">
        <v>922976</v>
      </c>
      <c r="D195" s="1">
        <v>0</v>
      </c>
      <c r="E195" s="8">
        <f>VLOOKUP(B195,Gesamtstunden_26!B:I,8,0)</f>
        <v>2</v>
      </c>
      <c r="F195" s="2">
        <f t="shared" si="3"/>
        <v>-2</v>
      </c>
    </row>
    <row r="196" spans="1:6">
      <c r="A196" s="8" t="s">
        <v>200</v>
      </c>
      <c r="B196" s="8">
        <v>788731</v>
      </c>
      <c r="D196" s="1">
        <v>6</v>
      </c>
      <c r="E196" s="8">
        <f>VLOOKUP(B196,Gesamtstunden_26!B:I,8,0)</f>
        <v>0</v>
      </c>
      <c r="F196" s="2">
        <f t="shared" si="3"/>
        <v>6</v>
      </c>
    </row>
    <row r="197" spans="1:6">
      <c r="A197" s="10" t="s">
        <v>201</v>
      </c>
      <c r="B197" s="10">
        <v>693215</v>
      </c>
      <c r="D197" s="1">
        <v>0</v>
      </c>
      <c r="E197" s="8">
        <f>VLOOKUP(B197,Gesamtstunden_26!B:I,8,0)</f>
        <v>1</v>
      </c>
      <c r="F197" s="2">
        <f t="shared" si="3"/>
        <v>-1</v>
      </c>
    </row>
    <row r="198" spans="1:6">
      <c r="A198" s="11" t="s">
        <v>202</v>
      </c>
      <c r="B198" s="11">
        <v>772113</v>
      </c>
      <c r="D198" s="1">
        <v>0</v>
      </c>
      <c r="E198" s="8">
        <f>VLOOKUP(B198,Gesamtstunden_26!B:I,8,0)</f>
        <v>9.6666666666666661</v>
      </c>
      <c r="F198" s="2">
        <f t="shared" si="3"/>
        <v>-9.6666666666666661</v>
      </c>
    </row>
    <row r="199" spans="1:6" s="11" customFormat="1" ht="27.6">
      <c r="A199" s="7" t="s">
        <v>203</v>
      </c>
      <c r="B199" s="7">
        <v>600132</v>
      </c>
      <c r="D199" s="12">
        <v>1</v>
      </c>
      <c r="E199" s="7">
        <f>VLOOKUP(B199,Gesamtstunden_26!B:I,8,0)</f>
        <v>4</v>
      </c>
      <c r="F199" s="13">
        <f t="shared" si="3"/>
        <v>-3</v>
      </c>
    </row>
    <row r="200" spans="1:6">
      <c r="A200" s="10" t="s">
        <v>204</v>
      </c>
      <c r="B200" s="10">
        <v>659843</v>
      </c>
      <c r="D200" s="1">
        <v>0</v>
      </c>
      <c r="E200" s="8">
        <f>VLOOKUP(B200,Gesamtstunden_26!B:I,8,0)</f>
        <v>2</v>
      </c>
      <c r="F200" s="2">
        <f t="shared" si="3"/>
        <v>-2</v>
      </c>
    </row>
    <row r="201" spans="1:6">
      <c r="A201" s="15" t="s">
        <v>205</v>
      </c>
      <c r="B201" s="15">
        <v>375936</v>
      </c>
      <c r="D201" s="1">
        <v>0</v>
      </c>
      <c r="E201" s="8">
        <f>VLOOKUP(B201,Gesamtstunden_26!B:I,8,0)</f>
        <v>0</v>
      </c>
      <c r="F201" s="2">
        <f t="shared" si="3"/>
        <v>0</v>
      </c>
    </row>
    <row r="202" spans="1:6">
      <c r="A202" s="16" t="s">
        <v>206</v>
      </c>
      <c r="B202" s="16">
        <v>267168</v>
      </c>
      <c r="D202" s="1">
        <v>0</v>
      </c>
      <c r="E202" s="8">
        <f>VLOOKUP(B202,Gesamtstunden_26!B:I,8,0)</f>
        <v>8.6666666666666661</v>
      </c>
      <c r="F202" s="2">
        <f t="shared" si="3"/>
        <v>-8.6666666666666661</v>
      </c>
    </row>
    <row r="203" spans="1:6" ht="27.6">
      <c r="A203" s="8" t="s">
        <v>207</v>
      </c>
      <c r="B203" s="8">
        <v>105114</v>
      </c>
      <c r="D203" s="1">
        <v>4.34</v>
      </c>
      <c r="E203" s="8">
        <f>VLOOKUP(B203,Gesamtstunden_26!B:I,8,0)</f>
        <v>0</v>
      </c>
      <c r="F203" s="2">
        <f t="shared" si="3"/>
        <v>4.34</v>
      </c>
    </row>
    <row r="204" spans="1:6">
      <c r="A204" s="8" t="s">
        <v>208</v>
      </c>
      <c r="B204" s="8">
        <v>116455</v>
      </c>
      <c r="D204" s="1">
        <v>6.1666666666666696</v>
      </c>
      <c r="E204" s="8">
        <f>VLOOKUP(B204,Gesamtstunden_26!B:I,8,0)</f>
        <v>0</v>
      </c>
      <c r="F204" s="2">
        <f t="shared" si="3"/>
        <v>6.1666666666666696</v>
      </c>
    </row>
    <row r="205" spans="1:6" ht="27.6">
      <c r="A205" s="7" t="s">
        <v>209</v>
      </c>
      <c r="B205" s="7">
        <v>304985</v>
      </c>
      <c r="D205" s="1">
        <v>0</v>
      </c>
      <c r="E205" s="8">
        <f>VLOOKUP(B205,Gesamtstunden_26!B:I,8,0)</f>
        <v>0</v>
      </c>
      <c r="F205" s="2">
        <f t="shared" si="3"/>
        <v>0</v>
      </c>
    </row>
    <row r="206" spans="1:6">
      <c r="A206" s="8" t="s">
        <v>210</v>
      </c>
      <c r="B206" s="8">
        <v>616050</v>
      </c>
      <c r="D206" s="1">
        <v>6</v>
      </c>
      <c r="E206" s="8">
        <f>VLOOKUP(B206,Gesamtstunden_26!B:I,8,0)</f>
        <v>0</v>
      </c>
      <c r="F206" s="2">
        <f t="shared" si="3"/>
        <v>6</v>
      </c>
    </row>
    <row r="207" spans="1:6">
      <c r="A207" s="7" t="s">
        <v>211</v>
      </c>
      <c r="B207" s="7">
        <v>661416</v>
      </c>
      <c r="D207" s="1">
        <v>0</v>
      </c>
      <c r="E207" s="8">
        <f>VLOOKUP(B207,Gesamtstunden_26!B:I,8,0)</f>
        <v>2.6666666666666665</v>
      </c>
      <c r="F207" s="2">
        <f t="shared" si="3"/>
        <v>-2.6666666666666665</v>
      </c>
    </row>
    <row r="208" spans="1:6">
      <c r="A208" s="7" t="s">
        <v>212</v>
      </c>
      <c r="B208" s="7">
        <v>948789</v>
      </c>
      <c r="D208" s="1">
        <v>0</v>
      </c>
      <c r="E208" s="8">
        <f>VLOOKUP(B208,Gesamtstunden_26!B:I,8,0)</f>
        <v>8.6666666666666661</v>
      </c>
      <c r="F208" s="2">
        <f t="shared" si="3"/>
        <v>-8.6666666666666661</v>
      </c>
    </row>
    <row r="209" spans="1:6" ht="27.6">
      <c r="A209" s="8" t="s">
        <v>213</v>
      </c>
      <c r="B209" s="8">
        <v>893896</v>
      </c>
      <c r="D209" s="1">
        <v>3.8333333333333299</v>
      </c>
      <c r="E209" s="8">
        <f>VLOOKUP(B209,Gesamtstunden_26!B:I,8,0)</f>
        <v>0</v>
      </c>
      <c r="F209" s="2">
        <f t="shared" si="3"/>
        <v>3.8333333333333299</v>
      </c>
    </row>
    <row r="210" spans="1:6">
      <c r="A210" s="8" t="s">
        <v>214</v>
      </c>
      <c r="B210" s="8">
        <v>577608</v>
      </c>
      <c r="D210" s="1">
        <v>4.3366666666666696</v>
      </c>
      <c r="E210" s="8">
        <f>VLOOKUP(B210,Gesamtstunden_26!B:I,8,0)</f>
        <v>0</v>
      </c>
      <c r="F210" s="2">
        <f t="shared" si="3"/>
        <v>4.3366666666666696</v>
      </c>
    </row>
    <row r="211" spans="1:6">
      <c r="A211" s="7" t="s">
        <v>215</v>
      </c>
      <c r="B211" s="7">
        <v>910139</v>
      </c>
      <c r="D211" s="1">
        <v>0</v>
      </c>
      <c r="E211" s="8">
        <f>VLOOKUP(B211,Gesamtstunden_26!B:I,8,0)</f>
        <v>2</v>
      </c>
      <c r="F211" s="2">
        <f t="shared" si="3"/>
        <v>-2</v>
      </c>
    </row>
    <row r="212" spans="1:6">
      <c r="A212" s="8" t="s">
        <v>216</v>
      </c>
      <c r="B212" s="8">
        <v>444448</v>
      </c>
      <c r="D212" s="1">
        <v>15.67</v>
      </c>
      <c r="E212" s="8">
        <f>VLOOKUP(B212,Gesamtstunden_26!B:I,8,0)</f>
        <v>0</v>
      </c>
      <c r="F212" s="2">
        <f t="shared" si="3"/>
        <v>15.67</v>
      </c>
    </row>
    <row r="213" spans="1:6" ht="27.6">
      <c r="A213" s="16" t="s">
        <v>217</v>
      </c>
      <c r="B213" s="16">
        <v>592582</v>
      </c>
      <c r="D213" s="1">
        <v>0</v>
      </c>
      <c r="E213" s="8">
        <f>VLOOKUP(B213,Gesamtstunden_26!B:I,8,0)</f>
        <v>0</v>
      </c>
      <c r="F213" s="2">
        <f t="shared" si="3"/>
        <v>0</v>
      </c>
    </row>
    <row r="214" spans="1:6">
      <c r="A214" s="8" t="s">
        <v>218</v>
      </c>
      <c r="B214" s="8">
        <v>341374</v>
      </c>
      <c r="D214" s="1">
        <v>12.1666666666667</v>
      </c>
      <c r="E214" s="8">
        <f>VLOOKUP(B214,Gesamtstunden_26!B:I,8,0)</f>
        <v>0</v>
      </c>
      <c r="F214" s="2">
        <f t="shared" si="3"/>
        <v>12.1666666666667</v>
      </c>
    </row>
    <row r="215" spans="1:6">
      <c r="A215" s="10" t="s">
        <v>219</v>
      </c>
      <c r="B215" s="10">
        <v>613604</v>
      </c>
      <c r="D215" s="1">
        <v>0</v>
      </c>
      <c r="E215" s="8">
        <f>VLOOKUP(B215,Gesamtstunden_26!B:I,8,0)</f>
        <v>5.333333333333333</v>
      </c>
      <c r="F215" s="2">
        <f t="shared" si="3"/>
        <v>-5.333333333333333</v>
      </c>
    </row>
    <row r="216" spans="1:6">
      <c r="A216" s="8" t="s">
        <v>220</v>
      </c>
      <c r="B216" s="8">
        <v>681379</v>
      </c>
      <c r="D216" s="1">
        <v>7</v>
      </c>
      <c r="E216" s="8">
        <f>VLOOKUP(B216,Gesamtstunden_26!B:I,8,0)</f>
        <v>0</v>
      </c>
      <c r="F216" s="2">
        <f t="shared" si="3"/>
        <v>7</v>
      </c>
    </row>
    <row r="217" spans="1:6">
      <c r="A217" s="16" t="s">
        <v>221</v>
      </c>
      <c r="B217" s="16">
        <v>297914</v>
      </c>
      <c r="D217" s="1">
        <v>0</v>
      </c>
      <c r="E217" s="8">
        <f>VLOOKUP(B217,Gesamtstunden_26!B:I,8,0)</f>
        <v>0.33333333333333331</v>
      </c>
      <c r="F217" s="2">
        <f t="shared" si="3"/>
        <v>-0.33333333333333331</v>
      </c>
    </row>
    <row r="218" spans="1:6">
      <c r="A218" s="16" t="s">
        <v>222</v>
      </c>
      <c r="B218" s="16">
        <v>248564</v>
      </c>
      <c r="D218" s="1">
        <v>0</v>
      </c>
      <c r="E218" s="8">
        <f>VLOOKUP(B218,Gesamtstunden_26!B:I,8,0)</f>
        <v>0</v>
      </c>
      <c r="F218" s="2">
        <f t="shared" si="3"/>
        <v>0</v>
      </c>
    </row>
    <row r="219" spans="1:6">
      <c r="A219" s="7" t="s">
        <v>223</v>
      </c>
      <c r="B219" s="7">
        <v>987543</v>
      </c>
      <c r="D219" s="1">
        <v>0</v>
      </c>
      <c r="E219" s="8">
        <f>VLOOKUP(B219,Gesamtstunden_26!B:I,8,0)</f>
        <v>6</v>
      </c>
      <c r="F219" s="2">
        <f t="shared" si="3"/>
        <v>-6</v>
      </c>
    </row>
    <row r="220" spans="1:6">
      <c r="A220" s="7" t="s">
        <v>224</v>
      </c>
      <c r="B220" s="7">
        <v>646465</v>
      </c>
      <c r="D220" s="1">
        <v>0</v>
      </c>
      <c r="E220" s="8">
        <f>VLOOKUP(B220,Gesamtstunden_26!B:I,8,0)</f>
        <v>3.8333333333333335</v>
      </c>
      <c r="F220" s="2">
        <f t="shared" si="3"/>
        <v>-3.8333333333333335</v>
      </c>
    </row>
    <row r="221" spans="1:6">
      <c r="A221" s="8" t="s">
        <v>225</v>
      </c>
      <c r="B221" s="8">
        <v>286770</v>
      </c>
      <c r="D221" s="1">
        <v>8.5033333333333303</v>
      </c>
      <c r="E221" s="8">
        <f>VLOOKUP(B221,Gesamtstunden_26!B:I,8,0)</f>
        <v>0</v>
      </c>
      <c r="F221" s="2">
        <f t="shared" si="3"/>
        <v>8.5033333333333303</v>
      </c>
    </row>
    <row r="222" spans="1:6">
      <c r="A222" s="7" t="s">
        <v>226</v>
      </c>
      <c r="B222" s="7">
        <v>894556</v>
      </c>
      <c r="D222" s="1">
        <v>0</v>
      </c>
      <c r="E222" s="8">
        <f>VLOOKUP(B222,Gesamtstunden_26!B:I,8,0)</f>
        <v>0.33333333333333331</v>
      </c>
      <c r="F222" s="2">
        <f t="shared" si="3"/>
        <v>-0.33333333333333331</v>
      </c>
    </row>
    <row r="223" spans="1:6">
      <c r="A223" s="8" t="s">
        <v>227</v>
      </c>
      <c r="B223" s="8">
        <v>311332</v>
      </c>
      <c r="D223" s="1">
        <v>3.5</v>
      </c>
      <c r="E223" s="8">
        <f>VLOOKUP(B223,Gesamtstunden_26!B:I,8,0)</f>
        <v>0</v>
      </c>
      <c r="F223" s="2">
        <f t="shared" si="3"/>
        <v>3.5</v>
      </c>
    </row>
    <row r="224" spans="1:6">
      <c r="A224" s="8" t="s">
        <v>228</v>
      </c>
      <c r="B224" s="8">
        <v>571947</v>
      </c>
      <c r="D224" s="1">
        <v>4.3333333333333304</v>
      </c>
      <c r="E224" s="8">
        <f>VLOOKUP(B224,Gesamtstunden_26!B:I,8,0)</f>
        <v>1</v>
      </c>
      <c r="F224" s="2">
        <f t="shared" si="3"/>
        <v>3.3333333333333304</v>
      </c>
    </row>
    <row r="225" spans="1:6">
      <c r="A225" s="7" t="s">
        <v>229</v>
      </c>
      <c r="B225" s="7">
        <v>949198</v>
      </c>
      <c r="D225" s="1">
        <v>0</v>
      </c>
      <c r="E225" s="8">
        <f>VLOOKUP(B225,Gesamtstunden_26!B:I,8,0)</f>
        <v>1</v>
      </c>
      <c r="F225" s="2">
        <f t="shared" si="3"/>
        <v>-1</v>
      </c>
    </row>
    <row r="226" spans="1:6">
      <c r="A226" s="10" t="s">
        <v>230</v>
      </c>
      <c r="B226" s="10">
        <v>833503</v>
      </c>
      <c r="D226" s="1">
        <v>0</v>
      </c>
      <c r="E226" s="8">
        <f>VLOOKUP(B226,Gesamtstunden_26!B:I,8,0)</f>
        <v>2.666666666666667</v>
      </c>
      <c r="F226" s="2">
        <f t="shared" si="3"/>
        <v>-2.666666666666667</v>
      </c>
    </row>
    <row r="227" spans="1:6" s="11" customFormat="1">
      <c r="A227" s="7" t="s">
        <v>231</v>
      </c>
      <c r="B227" s="7">
        <v>902755</v>
      </c>
      <c r="D227" s="12">
        <v>2.1666666666666701</v>
      </c>
      <c r="E227" s="7">
        <f>VLOOKUP(B227,Gesamtstunden_26!B:I,8,0)</f>
        <v>3.666666666666667</v>
      </c>
      <c r="F227" s="13">
        <f t="shared" si="3"/>
        <v>-1.4999999999999969</v>
      </c>
    </row>
    <row r="228" spans="1:6">
      <c r="A228" s="16" t="s">
        <v>232</v>
      </c>
      <c r="B228" s="16">
        <v>168317</v>
      </c>
      <c r="D228" s="1">
        <v>0</v>
      </c>
      <c r="E228" s="8">
        <f>VLOOKUP(B228,Gesamtstunden_26!B:I,8,0)</f>
        <v>0</v>
      </c>
      <c r="F228" s="2">
        <f t="shared" si="3"/>
        <v>0</v>
      </c>
    </row>
    <row r="229" spans="1:6">
      <c r="A229" s="8" t="s">
        <v>233</v>
      </c>
      <c r="B229" s="8">
        <v>717272</v>
      </c>
      <c r="D229" s="1">
        <v>15</v>
      </c>
      <c r="E229" s="8">
        <f>VLOOKUP(B229,Gesamtstunden_26!B:I,8,0)</f>
        <v>0</v>
      </c>
      <c r="F229" s="2">
        <f t="shared" si="3"/>
        <v>15</v>
      </c>
    </row>
    <row r="230" spans="1:6">
      <c r="A230" s="16" t="s">
        <v>234</v>
      </c>
      <c r="B230" s="16">
        <v>130177</v>
      </c>
      <c r="D230" s="1">
        <v>0</v>
      </c>
      <c r="E230" s="8">
        <f>VLOOKUP(B230,Gesamtstunden_26!B:I,8,0)</f>
        <v>1</v>
      </c>
      <c r="F230" s="2">
        <f t="shared" si="3"/>
        <v>-1</v>
      </c>
    </row>
    <row r="231" spans="1:6">
      <c r="A231" s="10" t="s">
        <v>235</v>
      </c>
      <c r="B231" s="10">
        <v>425464</v>
      </c>
      <c r="D231" s="1">
        <v>0</v>
      </c>
      <c r="E231" s="8">
        <f>VLOOKUP(B231,Gesamtstunden_26!B:I,8,0)</f>
        <v>6</v>
      </c>
      <c r="F231" s="2">
        <f t="shared" si="3"/>
        <v>-6</v>
      </c>
    </row>
    <row r="232" spans="1:6">
      <c r="A232" s="7" t="s">
        <v>236</v>
      </c>
      <c r="B232" s="7">
        <v>384287</v>
      </c>
      <c r="D232" s="1">
        <v>0</v>
      </c>
      <c r="E232" s="8">
        <f>VLOOKUP(B232,Gesamtstunden_26!B:I,8,0)</f>
        <v>3.6666666666666665</v>
      </c>
      <c r="F232" s="2">
        <f t="shared" si="3"/>
        <v>-3.6666666666666665</v>
      </c>
    </row>
    <row r="233" spans="1:6">
      <c r="A233" s="8" t="s">
        <v>237</v>
      </c>
      <c r="B233" s="8">
        <v>898260</v>
      </c>
      <c r="D233" s="1">
        <v>3.1666666666666701</v>
      </c>
      <c r="E233" s="8">
        <f>VLOOKUP(B233,Gesamtstunden_26!B:I,8,0)</f>
        <v>0</v>
      </c>
      <c r="F233" s="2">
        <f t="shared" si="3"/>
        <v>3.1666666666666701</v>
      </c>
    </row>
    <row r="234" spans="1:6">
      <c r="A234" s="16" t="s">
        <v>238</v>
      </c>
      <c r="B234" s="16">
        <v>230889</v>
      </c>
      <c r="D234" s="1">
        <v>0</v>
      </c>
      <c r="E234" s="8">
        <f>VLOOKUP(B234,Gesamtstunden_26!B:I,8,0)</f>
        <v>0</v>
      </c>
      <c r="F234" s="2">
        <f t="shared" si="3"/>
        <v>0</v>
      </c>
    </row>
    <row r="235" spans="1:6">
      <c r="A235" s="17" t="s">
        <v>239</v>
      </c>
      <c r="B235" s="17">
        <v>926369</v>
      </c>
      <c r="D235" s="1">
        <v>0</v>
      </c>
      <c r="E235" s="8">
        <f>VLOOKUP(B235,Gesamtstunden_26!B:I,8,0)</f>
        <v>2.5</v>
      </c>
      <c r="F235" s="2">
        <f t="shared" si="3"/>
        <v>-2.5</v>
      </c>
    </row>
    <row r="236" spans="1:6">
      <c r="A236" s="10" t="s">
        <v>240</v>
      </c>
      <c r="B236" s="10">
        <v>717821</v>
      </c>
      <c r="D236" s="1">
        <v>0</v>
      </c>
      <c r="E236" s="8">
        <f>VLOOKUP(B236,Gesamtstunden_26!B:I,8,0)</f>
        <v>0.66666666666666663</v>
      </c>
      <c r="F236" s="2">
        <f t="shared" si="3"/>
        <v>-0.66666666666666663</v>
      </c>
    </row>
    <row r="237" spans="1:6">
      <c r="A237" s="8" t="s">
        <v>241</v>
      </c>
      <c r="B237" s="8">
        <v>363700</v>
      </c>
      <c r="D237" s="1">
        <v>13.67</v>
      </c>
      <c r="E237" s="8">
        <f>VLOOKUP(B237,Gesamtstunden_26!B:I,8,0)</f>
        <v>0</v>
      </c>
      <c r="F237" s="2">
        <f t="shared" si="3"/>
        <v>13.67</v>
      </c>
    </row>
    <row r="238" spans="1:6">
      <c r="A238" s="8" t="s">
        <v>242</v>
      </c>
      <c r="B238" s="8">
        <v>790266</v>
      </c>
      <c r="D238" s="1">
        <v>11</v>
      </c>
      <c r="E238" s="8">
        <f>VLOOKUP(B238,Gesamtstunden_26!B:I,8,0)</f>
        <v>0</v>
      </c>
      <c r="F238" s="2">
        <f t="shared" si="3"/>
        <v>11</v>
      </c>
    </row>
    <row r="239" spans="1:6">
      <c r="A239" s="8" t="s">
        <v>243</v>
      </c>
      <c r="B239" s="8">
        <v>266265</v>
      </c>
      <c r="D239" s="1">
        <v>6</v>
      </c>
      <c r="E239" s="8">
        <f>VLOOKUP(B239,Gesamtstunden_26!B:I,8,0)</f>
        <v>0</v>
      </c>
      <c r="F239" s="2">
        <f t="shared" si="3"/>
        <v>6</v>
      </c>
    </row>
    <row r="240" spans="1:6">
      <c r="A240" s="10" t="s">
        <v>244</v>
      </c>
      <c r="B240" s="10">
        <v>196573</v>
      </c>
      <c r="D240" s="1">
        <v>0</v>
      </c>
      <c r="E240" s="8">
        <f>VLOOKUP(B240,Gesamtstunden_26!B:I,8,0)</f>
        <v>0.66666666666666663</v>
      </c>
      <c r="F240" s="2">
        <f t="shared" si="3"/>
        <v>-0.66666666666666663</v>
      </c>
    </row>
    <row r="241" spans="1:1024">
      <c r="A241" s="8" t="s">
        <v>245</v>
      </c>
      <c r="B241" s="8">
        <v>552077</v>
      </c>
      <c r="D241" s="1">
        <v>4</v>
      </c>
      <c r="E241" s="8">
        <f>VLOOKUP(B241,Gesamtstunden_26!B:I,8,0)</f>
        <v>3.8333333333333335</v>
      </c>
      <c r="F241" s="2">
        <f t="shared" si="3"/>
        <v>0.16666666666666652</v>
      </c>
    </row>
    <row r="242" spans="1:1024">
      <c r="A242" s="8" t="s">
        <v>246</v>
      </c>
      <c r="B242" s="8">
        <v>634121</v>
      </c>
      <c r="D242" s="1">
        <v>10</v>
      </c>
      <c r="E242" s="8">
        <f>VLOOKUP(B242,Gesamtstunden_26!B:I,8,0)</f>
        <v>0</v>
      </c>
      <c r="F242" s="2">
        <f t="shared" si="3"/>
        <v>10</v>
      </c>
    </row>
    <row r="243" spans="1:1024">
      <c r="A243" s="8" t="s">
        <v>247</v>
      </c>
      <c r="B243" s="8">
        <v>270236</v>
      </c>
      <c r="D243" s="1">
        <v>13</v>
      </c>
      <c r="E243" s="8">
        <f>VLOOKUP(B243,Gesamtstunden_26!B:I,8,0)</f>
        <v>0</v>
      </c>
      <c r="F243" s="2">
        <f t="shared" si="3"/>
        <v>13</v>
      </c>
    </row>
    <row r="244" spans="1:1024">
      <c r="A244" t="s">
        <v>248</v>
      </c>
      <c r="B244">
        <v>643447</v>
      </c>
      <c r="D244" s="1">
        <v>4</v>
      </c>
      <c r="E244" s="8">
        <f>VLOOKUP(B244,Gesamtstunden_26!B:I,8,0)</f>
        <v>0</v>
      </c>
      <c r="F244" s="2">
        <f t="shared" si="3"/>
        <v>4</v>
      </c>
    </row>
    <row r="245" spans="1:1024" ht="27.6">
      <c r="A245" s="8" t="s">
        <v>249</v>
      </c>
      <c r="B245" s="8">
        <v>728700</v>
      </c>
      <c r="D245" s="1">
        <v>3.6666666666666701</v>
      </c>
      <c r="E245" s="8">
        <f>VLOOKUP(B245,Gesamtstunden_26!B:I,8,0)</f>
        <v>1.6666666666666667</v>
      </c>
      <c r="F245" s="2">
        <f t="shared" si="3"/>
        <v>2.0000000000000036</v>
      </c>
    </row>
    <row r="246" spans="1:1024">
      <c r="A246" s="10" t="s">
        <v>250</v>
      </c>
      <c r="B246" s="10">
        <v>294604</v>
      </c>
      <c r="D246" s="1">
        <v>0</v>
      </c>
      <c r="E246" s="8">
        <f>VLOOKUP(B246,Gesamtstunden_26!B:I,8,0)</f>
        <v>0</v>
      </c>
      <c r="F246" s="2">
        <f t="shared" si="3"/>
        <v>0</v>
      </c>
    </row>
    <row r="247" spans="1:1024">
      <c r="A247" s="8" t="s">
        <v>251</v>
      </c>
      <c r="B247" s="8">
        <v>227347</v>
      </c>
      <c r="D247" s="1">
        <v>15.67</v>
      </c>
      <c r="E247" s="8">
        <f>VLOOKUP(B247,Gesamtstunden_26!B:I,8,0)</f>
        <v>0</v>
      </c>
      <c r="F247" s="2">
        <f t="shared" si="3"/>
        <v>15.67</v>
      </c>
    </row>
    <row r="248" spans="1:1024">
      <c r="A248" s="10" t="s">
        <v>252</v>
      </c>
      <c r="B248" s="10">
        <v>861261</v>
      </c>
      <c r="D248" s="1">
        <v>0</v>
      </c>
      <c r="E248" s="8">
        <f>VLOOKUP(B248,Gesamtstunden_26!B:I,8,0)</f>
        <v>1.6666666666666667</v>
      </c>
      <c r="F248" s="2">
        <f t="shared" si="3"/>
        <v>-1.6666666666666667</v>
      </c>
    </row>
    <row r="249" spans="1:1024">
      <c r="A249" s="7" t="s">
        <v>253</v>
      </c>
      <c r="B249" s="7">
        <v>310787</v>
      </c>
      <c r="D249" s="1">
        <v>0</v>
      </c>
      <c r="E249" s="8">
        <f>VLOOKUP(B249,Gesamtstunden_26!B:I,8,0)</f>
        <v>0</v>
      </c>
      <c r="F249" s="2">
        <f t="shared" si="3"/>
        <v>0</v>
      </c>
    </row>
    <row r="250" spans="1:1024">
      <c r="A250" s="7" t="s">
        <v>254</v>
      </c>
      <c r="B250" s="7">
        <v>621900</v>
      </c>
      <c r="D250" s="1">
        <v>0</v>
      </c>
      <c r="E250" s="8">
        <f>VLOOKUP(B250,Gesamtstunden_26!B:I,8,0)</f>
        <v>2.6666666666666665</v>
      </c>
      <c r="F250" s="2">
        <f t="shared" si="3"/>
        <v>-2.6666666666666665</v>
      </c>
    </row>
    <row r="251" spans="1:1024">
      <c r="A251" s="10" t="s">
        <v>255</v>
      </c>
      <c r="B251" s="10">
        <v>266487</v>
      </c>
      <c r="D251" s="1">
        <v>0</v>
      </c>
      <c r="E251" s="8">
        <f>VLOOKUP(B251,Gesamtstunden_26!B:I,8,0)</f>
        <v>3.3333333333333335</v>
      </c>
      <c r="F251" s="2">
        <f t="shared" si="3"/>
        <v>-3.3333333333333335</v>
      </c>
    </row>
    <row r="252" spans="1:1024">
      <c r="A252" s="8" t="s">
        <v>256</v>
      </c>
      <c r="B252" s="8">
        <v>558310</v>
      </c>
      <c r="D252" s="1">
        <v>11</v>
      </c>
      <c r="E252" s="8">
        <f>VLOOKUP(B252,Gesamtstunden_26!B:I,8,0)</f>
        <v>0</v>
      </c>
      <c r="F252" s="2">
        <f t="shared" si="3"/>
        <v>11</v>
      </c>
    </row>
    <row r="253" spans="1:1024" s="11" customFormat="1">
      <c r="A253" s="7" t="s">
        <v>257</v>
      </c>
      <c r="B253" s="7">
        <v>729156</v>
      </c>
      <c r="C253"/>
      <c r="D253" s="1">
        <v>0</v>
      </c>
      <c r="E253" s="8">
        <f>VLOOKUP(B253,Gesamtstunden_26!B:I,8,0)</f>
        <v>1.3333333333333333</v>
      </c>
      <c r="F253" s="2">
        <f t="shared" si="3"/>
        <v>-1.3333333333333333</v>
      </c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/>
      <c r="FC253"/>
      <c r="FD253"/>
      <c r="FE253"/>
      <c r="FF253"/>
      <c r="FG253"/>
      <c r="FH253"/>
      <c r="FI253"/>
      <c r="FJ253"/>
      <c r="FK253"/>
      <c r="FL253"/>
      <c r="FM253"/>
      <c r="FN253"/>
      <c r="FO253"/>
      <c r="FP253"/>
      <c r="FQ253"/>
      <c r="FR253"/>
      <c r="FS253"/>
      <c r="FT253"/>
      <c r="FU253"/>
      <c r="FV253"/>
      <c r="FW253"/>
      <c r="FX253"/>
      <c r="FY253"/>
      <c r="FZ253"/>
      <c r="GA253"/>
      <c r="GB253"/>
      <c r="GC253"/>
      <c r="GD253"/>
      <c r="GE253"/>
      <c r="GF253"/>
      <c r="GG253"/>
      <c r="GH253"/>
      <c r="GI253"/>
      <c r="GJ253"/>
      <c r="GK253"/>
      <c r="GL253"/>
      <c r="GM253"/>
      <c r="GN253"/>
      <c r="GO253"/>
      <c r="GP253"/>
      <c r="GQ253"/>
      <c r="GR253"/>
      <c r="GS253"/>
      <c r="GT253"/>
      <c r="GU253"/>
      <c r="GV253"/>
      <c r="GW253"/>
      <c r="GX253"/>
      <c r="GY253"/>
      <c r="GZ253"/>
      <c r="HA253"/>
      <c r="HB253"/>
      <c r="HC253"/>
      <c r="HD253"/>
      <c r="HE253"/>
      <c r="HF253"/>
      <c r="HG253"/>
      <c r="HH253"/>
      <c r="HI253"/>
      <c r="HJ253"/>
      <c r="HK253"/>
      <c r="HL253"/>
      <c r="HM253"/>
      <c r="HN253"/>
      <c r="HO253"/>
      <c r="HP253"/>
      <c r="HQ253"/>
      <c r="HR253"/>
      <c r="HS253"/>
      <c r="HT253"/>
      <c r="HU253"/>
      <c r="HV253"/>
      <c r="HW253"/>
      <c r="HX253"/>
      <c r="HY253"/>
      <c r="HZ253"/>
      <c r="IA253"/>
      <c r="IB253"/>
      <c r="IC253"/>
      <c r="ID253"/>
      <c r="IE253"/>
      <c r="IF253"/>
      <c r="IG253"/>
      <c r="IH253"/>
      <c r="II253"/>
      <c r="IJ253"/>
      <c r="IK253"/>
      <c r="IL253"/>
      <c r="IM253"/>
      <c r="IN253"/>
      <c r="IO253"/>
      <c r="IP253"/>
      <c r="IQ253"/>
      <c r="IR253"/>
      <c r="IS253"/>
      <c r="IT253"/>
      <c r="IU253"/>
      <c r="IV253"/>
      <c r="IW253"/>
      <c r="IX253"/>
      <c r="IY253"/>
      <c r="IZ253"/>
      <c r="JA253"/>
      <c r="JB253"/>
      <c r="JC253"/>
      <c r="JD253"/>
      <c r="JE253"/>
      <c r="JF253"/>
      <c r="JG253"/>
      <c r="JH253"/>
      <c r="JI253"/>
      <c r="JJ253"/>
      <c r="JK253"/>
      <c r="JL253"/>
      <c r="JM253"/>
      <c r="JN253"/>
      <c r="JO253"/>
      <c r="JP253"/>
      <c r="JQ253"/>
      <c r="JR253"/>
      <c r="JS253"/>
      <c r="JT253"/>
      <c r="JU253"/>
      <c r="JV253"/>
      <c r="JW253"/>
      <c r="JX253"/>
      <c r="JY253"/>
      <c r="JZ253"/>
      <c r="KA253"/>
      <c r="KB253"/>
      <c r="KC253"/>
      <c r="KD253"/>
      <c r="KE253"/>
      <c r="KF253"/>
      <c r="KG253"/>
      <c r="KH253"/>
      <c r="KI253"/>
      <c r="KJ253"/>
      <c r="KK253"/>
      <c r="KL253"/>
      <c r="KM253"/>
      <c r="KN253"/>
      <c r="KO253"/>
      <c r="KP253"/>
      <c r="KQ253"/>
      <c r="KR253"/>
      <c r="KS253"/>
      <c r="KT253"/>
      <c r="KU253"/>
      <c r="KV253"/>
      <c r="KW253"/>
      <c r="KX253"/>
      <c r="KY253"/>
      <c r="KZ253"/>
      <c r="LA253"/>
      <c r="LB253"/>
      <c r="LC253"/>
      <c r="LD253"/>
      <c r="LE253"/>
      <c r="LF253"/>
      <c r="LG253"/>
      <c r="LH253"/>
      <c r="LI253"/>
      <c r="LJ253"/>
      <c r="LK253"/>
      <c r="LL253"/>
      <c r="LM253"/>
      <c r="LN253"/>
      <c r="LO253"/>
      <c r="LP253"/>
      <c r="LQ253"/>
      <c r="LR253"/>
      <c r="LS253"/>
      <c r="LT253"/>
      <c r="LU253"/>
      <c r="LV253"/>
      <c r="LW253"/>
      <c r="LX253"/>
      <c r="LY253"/>
      <c r="LZ253"/>
      <c r="MA253"/>
      <c r="MB253"/>
      <c r="MC253"/>
      <c r="MD253"/>
      <c r="ME253"/>
      <c r="MF253"/>
      <c r="MG253"/>
      <c r="MH253"/>
      <c r="MI253"/>
      <c r="MJ253"/>
      <c r="MK253"/>
      <c r="ML253"/>
      <c r="MM253"/>
      <c r="MN253"/>
      <c r="MO253"/>
      <c r="MP253"/>
      <c r="MQ253"/>
      <c r="MR253"/>
      <c r="MS253"/>
      <c r="MT253"/>
      <c r="MU253"/>
      <c r="MV253"/>
      <c r="MW253"/>
      <c r="MX253"/>
      <c r="MY253"/>
      <c r="MZ253"/>
      <c r="NA253"/>
      <c r="NB253"/>
      <c r="NC253"/>
      <c r="ND253"/>
      <c r="NE253"/>
      <c r="NF253"/>
      <c r="NG253"/>
      <c r="NH253"/>
      <c r="NI253"/>
      <c r="NJ253"/>
      <c r="NK253"/>
      <c r="NL253"/>
      <c r="NM253"/>
      <c r="NN253"/>
      <c r="NO253"/>
      <c r="NP253"/>
      <c r="NQ253"/>
      <c r="NR253"/>
      <c r="NS253"/>
      <c r="NT253"/>
      <c r="NU253"/>
      <c r="NV253"/>
      <c r="NW253"/>
      <c r="NX253"/>
      <c r="NY253"/>
      <c r="NZ253"/>
      <c r="OA253"/>
      <c r="OB253"/>
      <c r="OC253"/>
      <c r="OD253"/>
      <c r="OE253"/>
      <c r="OF253"/>
      <c r="OG253"/>
      <c r="OH253"/>
      <c r="OI253"/>
      <c r="OJ253"/>
      <c r="OK253"/>
      <c r="OL253"/>
      <c r="OM253"/>
      <c r="ON253"/>
      <c r="OO253"/>
      <c r="OP253"/>
      <c r="OQ253"/>
      <c r="OR253"/>
      <c r="OS253"/>
      <c r="OT253"/>
      <c r="OU253"/>
      <c r="OV253"/>
      <c r="OW253"/>
      <c r="OX253"/>
      <c r="OY253"/>
      <c r="OZ253"/>
      <c r="PA253"/>
      <c r="PB253"/>
      <c r="PC253"/>
      <c r="PD253"/>
      <c r="PE253"/>
      <c r="PF253"/>
      <c r="PG253"/>
      <c r="PH253"/>
      <c r="PI253"/>
      <c r="PJ253"/>
      <c r="PK253"/>
      <c r="PL253"/>
      <c r="PM253"/>
      <c r="PN253"/>
      <c r="PO253"/>
      <c r="PP253"/>
      <c r="PQ253"/>
      <c r="PR253"/>
      <c r="PS253"/>
      <c r="PT253"/>
      <c r="PU253"/>
      <c r="PV253"/>
      <c r="PW253"/>
      <c r="PX253"/>
      <c r="PY253"/>
      <c r="PZ253"/>
      <c r="QA253"/>
      <c r="QB253"/>
      <c r="QC253"/>
      <c r="QD253"/>
      <c r="QE253"/>
      <c r="QF253"/>
      <c r="QG253"/>
      <c r="QH253"/>
      <c r="QI253"/>
      <c r="QJ253"/>
      <c r="QK253"/>
      <c r="QL253"/>
      <c r="QM253"/>
      <c r="QN253"/>
      <c r="QO253"/>
      <c r="QP253"/>
      <c r="QQ253"/>
      <c r="QR253"/>
      <c r="QS253"/>
      <c r="QT253"/>
      <c r="QU253"/>
      <c r="QV253"/>
      <c r="QW253"/>
      <c r="QX253"/>
      <c r="QY253"/>
      <c r="QZ253"/>
      <c r="RA253"/>
      <c r="RB253"/>
      <c r="RC253"/>
      <c r="RD253"/>
      <c r="RE253"/>
      <c r="RF253"/>
      <c r="RG253"/>
      <c r="RH253"/>
      <c r="RI253"/>
      <c r="RJ253"/>
      <c r="RK253"/>
      <c r="RL253"/>
      <c r="RM253"/>
      <c r="RN253"/>
      <c r="RO253"/>
      <c r="RP253"/>
      <c r="RQ253"/>
      <c r="RR253"/>
      <c r="RS253"/>
      <c r="RT253"/>
      <c r="RU253"/>
      <c r="RV253"/>
      <c r="RW253"/>
      <c r="RX253"/>
      <c r="RY253"/>
      <c r="RZ253"/>
      <c r="SA253"/>
      <c r="SB253"/>
      <c r="SC253"/>
      <c r="SD253"/>
      <c r="SE253"/>
      <c r="SF253"/>
      <c r="SG253"/>
      <c r="SH253"/>
      <c r="SI253"/>
      <c r="SJ253"/>
      <c r="SK253"/>
      <c r="SL253"/>
      <c r="SM253"/>
      <c r="SN253"/>
      <c r="SO253"/>
      <c r="SP253"/>
      <c r="SQ253"/>
      <c r="SR253"/>
      <c r="SS253"/>
      <c r="ST253"/>
      <c r="SU253"/>
      <c r="SV253"/>
      <c r="SW253"/>
      <c r="SX253"/>
      <c r="SY253"/>
      <c r="SZ253"/>
      <c r="TA253"/>
      <c r="TB253"/>
      <c r="TC253"/>
      <c r="TD253"/>
      <c r="TE253"/>
      <c r="TF253"/>
      <c r="TG253"/>
      <c r="TH253"/>
      <c r="TI253"/>
      <c r="TJ253"/>
      <c r="TK253"/>
      <c r="TL253"/>
      <c r="TM253"/>
      <c r="TN253"/>
      <c r="TO253"/>
      <c r="TP253"/>
      <c r="TQ253"/>
      <c r="TR253"/>
      <c r="TS253"/>
      <c r="TT253"/>
      <c r="TU253"/>
      <c r="TV253"/>
      <c r="TW253"/>
      <c r="TX253"/>
      <c r="TY253"/>
      <c r="TZ253"/>
      <c r="UA253"/>
      <c r="UB253"/>
      <c r="UC253"/>
      <c r="UD253"/>
      <c r="UE253"/>
      <c r="UF253"/>
      <c r="UG253"/>
      <c r="UH253"/>
      <c r="UI253"/>
      <c r="UJ253"/>
      <c r="UK253"/>
      <c r="UL253"/>
      <c r="UM253"/>
      <c r="UN253"/>
      <c r="UO253"/>
      <c r="UP253"/>
      <c r="UQ253"/>
      <c r="UR253"/>
      <c r="US253"/>
      <c r="UT253"/>
      <c r="UU253"/>
      <c r="UV253"/>
      <c r="UW253"/>
      <c r="UX253"/>
      <c r="UY253"/>
      <c r="UZ253"/>
      <c r="VA253"/>
      <c r="VB253"/>
      <c r="VC253"/>
      <c r="VD253"/>
      <c r="VE253"/>
      <c r="VF253"/>
      <c r="VG253"/>
      <c r="VH253"/>
      <c r="VI253"/>
      <c r="VJ253"/>
      <c r="VK253"/>
      <c r="VL253"/>
      <c r="VM253"/>
      <c r="VN253"/>
      <c r="VO253"/>
      <c r="VP253"/>
      <c r="VQ253"/>
      <c r="VR253"/>
      <c r="VS253"/>
      <c r="VT253"/>
      <c r="VU253"/>
      <c r="VV253"/>
      <c r="VW253"/>
      <c r="VX253"/>
      <c r="VY253"/>
      <c r="VZ253"/>
      <c r="WA253"/>
      <c r="WB253"/>
      <c r="WC253"/>
      <c r="WD253"/>
      <c r="WE253"/>
      <c r="WF253"/>
      <c r="WG253"/>
      <c r="WH253"/>
      <c r="WI253"/>
      <c r="WJ253"/>
      <c r="WK253"/>
      <c r="WL253"/>
      <c r="WM253"/>
      <c r="WN253"/>
      <c r="WO253"/>
      <c r="WP253"/>
      <c r="WQ253"/>
      <c r="WR253"/>
      <c r="WS253"/>
      <c r="WT253"/>
      <c r="WU253"/>
      <c r="WV253"/>
      <c r="WW253"/>
      <c r="WX253"/>
      <c r="WY253"/>
      <c r="WZ253"/>
      <c r="XA253"/>
      <c r="XB253"/>
      <c r="XC253"/>
      <c r="XD253"/>
      <c r="XE253"/>
      <c r="XF253"/>
      <c r="XG253"/>
      <c r="XH253"/>
      <c r="XI253"/>
      <c r="XJ253"/>
      <c r="XK253"/>
      <c r="XL253"/>
      <c r="XM253"/>
      <c r="XN253"/>
      <c r="XO253"/>
      <c r="XP253"/>
      <c r="XQ253"/>
      <c r="XR253"/>
      <c r="XS253"/>
      <c r="XT253"/>
      <c r="XU253"/>
      <c r="XV253"/>
      <c r="XW253"/>
      <c r="XX253"/>
      <c r="XY253"/>
      <c r="XZ253"/>
      <c r="YA253"/>
      <c r="YB253"/>
      <c r="YC253"/>
      <c r="YD253"/>
      <c r="YE253"/>
      <c r="YF253"/>
      <c r="YG253"/>
      <c r="YH253"/>
      <c r="YI253"/>
      <c r="YJ253"/>
      <c r="YK253"/>
      <c r="YL253"/>
      <c r="YM253"/>
      <c r="YN253"/>
      <c r="YO253"/>
      <c r="YP253"/>
      <c r="YQ253"/>
      <c r="YR253"/>
      <c r="YS253"/>
      <c r="YT253"/>
      <c r="YU253"/>
      <c r="YV253"/>
      <c r="YW253"/>
      <c r="YX253"/>
      <c r="YY253"/>
      <c r="YZ253"/>
      <c r="ZA253"/>
      <c r="ZB253"/>
      <c r="ZC253"/>
      <c r="ZD253"/>
      <c r="ZE253"/>
      <c r="ZF253"/>
      <c r="ZG253"/>
      <c r="ZH253"/>
      <c r="ZI253"/>
      <c r="ZJ253"/>
      <c r="ZK253"/>
      <c r="ZL253"/>
      <c r="ZM253"/>
      <c r="ZN253"/>
      <c r="ZO253"/>
      <c r="ZP253"/>
      <c r="ZQ253"/>
      <c r="ZR253"/>
      <c r="ZS253"/>
      <c r="ZT253"/>
      <c r="ZU253"/>
      <c r="ZV253"/>
      <c r="ZW253"/>
      <c r="ZX253"/>
      <c r="ZY253"/>
      <c r="ZZ253"/>
      <c r="AAA253"/>
      <c r="AAB253"/>
      <c r="AAC253"/>
      <c r="AAD253"/>
      <c r="AAE253"/>
      <c r="AAF253"/>
      <c r="AAG253"/>
      <c r="AAH253"/>
      <c r="AAI253"/>
      <c r="AAJ253"/>
      <c r="AAK253"/>
      <c r="AAL253"/>
      <c r="AAM253"/>
      <c r="AAN253"/>
      <c r="AAO253"/>
      <c r="AAP253"/>
      <c r="AAQ253"/>
      <c r="AAR253"/>
      <c r="AAS253"/>
      <c r="AAT253"/>
      <c r="AAU253"/>
      <c r="AAV253"/>
      <c r="AAW253"/>
      <c r="AAX253"/>
      <c r="AAY253"/>
      <c r="AAZ253"/>
      <c r="ABA253"/>
      <c r="ABB253"/>
      <c r="ABC253"/>
      <c r="ABD253"/>
      <c r="ABE253"/>
      <c r="ABF253"/>
      <c r="ABG253"/>
      <c r="ABH253"/>
      <c r="ABI253"/>
      <c r="ABJ253"/>
      <c r="ABK253"/>
      <c r="ABL253"/>
      <c r="ABM253"/>
      <c r="ABN253"/>
      <c r="ABO253"/>
      <c r="ABP253"/>
      <c r="ABQ253"/>
      <c r="ABR253"/>
      <c r="ABS253"/>
      <c r="ABT253"/>
      <c r="ABU253"/>
      <c r="ABV253"/>
      <c r="ABW253"/>
      <c r="ABX253"/>
      <c r="ABY253"/>
      <c r="ABZ253"/>
      <c r="ACA253"/>
      <c r="ACB253"/>
      <c r="ACC253"/>
      <c r="ACD253"/>
      <c r="ACE253"/>
      <c r="ACF253"/>
      <c r="ACG253"/>
      <c r="ACH253"/>
      <c r="ACI253"/>
      <c r="ACJ253"/>
      <c r="ACK253"/>
      <c r="ACL253"/>
      <c r="ACM253"/>
      <c r="ACN253"/>
      <c r="ACO253"/>
      <c r="ACP253"/>
      <c r="ACQ253"/>
      <c r="ACR253"/>
      <c r="ACS253"/>
      <c r="ACT253"/>
      <c r="ACU253"/>
      <c r="ACV253"/>
      <c r="ACW253"/>
      <c r="ACX253"/>
      <c r="ACY253"/>
      <c r="ACZ253"/>
      <c r="ADA253"/>
      <c r="ADB253"/>
      <c r="ADC253"/>
      <c r="ADD253"/>
      <c r="ADE253"/>
      <c r="ADF253"/>
      <c r="ADG253"/>
      <c r="ADH253"/>
      <c r="ADI253"/>
      <c r="ADJ253"/>
      <c r="ADK253"/>
      <c r="ADL253"/>
      <c r="ADM253"/>
      <c r="ADN253"/>
      <c r="ADO253"/>
      <c r="ADP253"/>
      <c r="ADQ253"/>
      <c r="ADR253"/>
      <c r="ADS253"/>
      <c r="ADT253"/>
      <c r="ADU253"/>
      <c r="ADV253"/>
      <c r="ADW253"/>
      <c r="ADX253"/>
      <c r="ADY253"/>
      <c r="ADZ253"/>
      <c r="AEA253"/>
      <c r="AEB253"/>
      <c r="AEC253"/>
      <c r="AED253"/>
      <c r="AEE253"/>
      <c r="AEF253"/>
      <c r="AEG253"/>
      <c r="AEH253"/>
      <c r="AEI253"/>
      <c r="AEJ253"/>
      <c r="AEK253"/>
      <c r="AEL253"/>
      <c r="AEM253"/>
      <c r="AEN253"/>
      <c r="AEO253"/>
      <c r="AEP253"/>
      <c r="AEQ253"/>
      <c r="AER253"/>
      <c r="AES253"/>
      <c r="AET253"/>
      <c r="AEU253"/>
      <c r="AEV253"/>
      <c r="AEW253"/>
      <c r="AEX253"/>
      <c r="AEY253"/>
      <c r="AEZ253"/>
      <c r="AFA253"/>
      <c r="AFB253"/>
      <c r="AFC253"/>
      <c r="AFD253"/>
      <c r="AFE253"/>
      <c r="AFF253"/>
      <c r="AFG253"/>
      <c r="AFH253"/>
      <c r="AFI253"/>
      <c r="AFJ253"/>
      <c r="AFK253"/>
      <c r="AFL253"/>
      <c r="AFM253"/>
      <c r="AFN253"/>
      <c r="AFO253"/>
      <c r="AFP253"/>
      <c r="AFQ253"/>
      <c r="AFR253"/>
      <c r="AFS253"/>
      <c r="AFT253"/>
      <c r="AFU253"/>
      <c r="AFV253"/>
      <c r="AFW253"/>
      <c r="AFX253"/>
      <c r="AFY253"/>
      <c r="AFZ253"/>
      <c r="AGA253"/>
      <c r="AGB253"/>
      <c r="AGC253"/>
      <c r="AGD253"/>
      <c r="AGE253"/>
      <c r="AGF253"/>
      <c r="AGG253"/>
      <c r="AGH253"/>
      <c r="AGI253"/>
      <c r="AGJ253"/>
      <c r="AGK253"/>
      <c r="AGL253"/>
      <c r="AGM253"/>
      <c r="AGN253"/>
      <c r="AGO253"/>
      <c r="AGP253"/>
      <c r="AGQ253"/>
      <c r="AGR253"/>
      <c r="AGS253"/>
      <c r="AGT253"/>
      <c r="AGU253"/>
      <c r="AGV253"/>
      <c r="AGW253"/>
      <c r="AGX253"/>
      <c r="AGY253"/>
      <c r="AGZ253"/>
      <c r="AHA253"/>
      <c r="AHB253"/>
      <c r="AHC253"/>
      <c r="AHD253"/>
      <c r="AHE253"/>
      <c r="AHF253"/>
      <c r="AHG253"/>
      <c r="AHH253"/>
      <c r="AHI253"/>
      <c r="AHJ253"/>
      <c r="AHK253"/>
      <c r="AHL253"/>
      <c r="AHM253"/>
      <c r="AHN253"/>
      <c r="AHO253"/>
      <c r="AHP253"/>
      <c r="AHQ253"/>
      <c r="AHR253"/>
      <c r="AHS253"/>
      <c r="AHT253"/>
      <c r="AHU253"/>
      <c r="AHV253"/>
      <c r="AHW253"/>
      <c r="AHX253"/>
      <c r="AHY253"/>
      <c r="AHZ253"/>
      <c r="AIA253"/>
      <c r="AIB253"/>
      <c r="AIC253"/>
      <c r="AID253"/>
      <c r="AIE253"/>
      <c r="AIF253"/>
      <c r="AIG253"/>
      <c r="AIH253"/>
      <c r="AII253"/>
      <c r="AIJ253"/>
      <c r="AIK253"/>
      <c r="AIL253"/>
      <c r="AIM253"/>
      <c r="AIN253"/>
      <c r="AIO253"/>
      <c r="AIP253"/>
      <c r="AIQ253"/>
      <c r="AIR253"/>
      <c r="AIS253"/>
      <c r="AIT253"/>
      <c r="AIU253"/>
      <c r="AIV253"/>
      <c r="AIW253"/>
      <c r="AIX253"/>
      <c r="AIY253"/>
      <c r="AIZ253"/>
      <c r="AJA253"/>
      <c r="AJB253"/>
      <c r="AJC253"/>
      <c r="AJD253"/>
      <c r="AJE253"/>
      <c r="AJF253"/>
      <c r="AJG253"/>
      <c r="AJH253"/>
      <c r="AJI253"/>
      <c r="AJJ253"/>
      <c r="AJK253"/>
      <c r="AJL253"/>
      <c r="AJM253"/>
      <c r="AJN253"/>
      <c r="AJO253"/>
      <c r="AJP253"/>
      <c r="AJQ253"/>
      <c r="AJR253"/>
      <c r="AJS253"/>
      <c r="AJT253"/>
      <c r="AJU253"/>
      <c r="AJV253"/>
      <c r="AJW253"/>
      <c r="AJX253"/>
      <c r="AJY253"/>
      <c r="AJZ253"/>
      <c r="AKA253"/>
      <c r="AKB253"/>
      <c r="AKC253"/>
      <c r="AKD253"/>
      <c r="AKE253"/>
      <c r="AKF253"/>
      <c r="AKG253"/>
      <c r="AKH253"/>
      <c r="AKI253"/>
      <c r="AKJ253"/>
      <c r="AKK253"/>
      <c r="AKL253"/>
      <c r="AKM253"/>
      <c r="AKN253"/>
      <c r="AKO253"/>
      <c r="AKP253"/>
      <c r="AKQ253"/>
      <c r="AKR253"/>
      <c r="AKS253"/>
      <c r="AKT253"/>
      <c r="AKU253"/>
      <c r="AKV253"/>
      <c r="AKW253"/>
      <c r="AKX253"/>
      <c r="AKY253"/>
      <c r="AKZ253"/>
      <c r="ALA253"/>
      <c r="ALB253"/>
      <c r="ALC253"/>
      <c r="ALD253"/>
      <c r="ALE253"/>
      <c r="ALF253"/>
      <c r="ALG253"/>
      <c r="ALH253"/>
      <c r="ALI253"/>
      <c r="ALJ253"/>
      <c r="ALK253"/>
      <c r="ALL253"/>
      <c r="ALM253"/>
      <c r="ALN253"/>
      <c r="ALO253"/>
      <c r="ALP253"/>
      <c r="ALQ253"/>
      <c r="ALR253"/>
      <c r="ALS253"/>
      <c r="ALT253"/>
      <c r="ALU253"/>
      <c r="ALV253"/>
      <c r="ALW253"/>
      <c r="ALX253"/>
      <c r="ALY253"/>
      <c r="ALZ253"/>
      <c r="AMA253"/>
      <c r="AMB253"/>
      <c r="AMC253"/>
      <c r="AMD253"/>
      <c r="AME253"/>
      <c r="AMF253"/>
      <c r="AMG253"/>
      <c r="AMH253"/>
      <c r="AMI253"/>
      <c r="AMJ253"/>
    </row>
    <row r="254" spans="1:1024">
      <c r="A254" s="7" t="s">
        <v>258</v>
      </c>
      <c r="B254" s="7">
        <v>717142</v>
      </c>
      <c r="C254" s="11"/>
      <c r="D254" s="12">
        <v>2.5</v>
      </c>
      <c r="E254" s="7">
        <f>VLOOKUP(B254,Gesamtstunden_26!B:I,8,0)</f>
        <v>6.5</v>
      </c>
      <c r="F254" s="13">
        <f t="shared" si="3"/>
        <v>-4</v>
      </c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  <c r="BU254" s="11"/>
      <c r="BV254" s="11"/>
      <c r="BW254" s="11"/>
      <c r="BX254" s="11"/>
      <c r="BY254" s="11"/>
      <c r="BZ254" s="11"/>
      <c r="CA254" s="11"/>
      <c r="CB254" s="11"/>
      <c r="CC254" s="11"/>
      <c r="CD254" s="11"/>
      <c r="CE254" s="11"/>
      <c r="CF254" s="11"/>
      <c r="CG254" s="11"/>
      <c r="CH254" s="11"/>
      <c r="CI254" s="11"/>
      <c r="CJ254" s="11"/>
      <c r="CK254" s="11"/>
      <c r="CL254" s="11"/>
      <c r="CM254" s="11"/>
      <c r="CN254" s="11"/>
      <c r="CO254" s="11"/>
      <c r="CP254" s="11"/>
      <c r="CQ254" s="11"/>
      <c r="CR254" s="11"/>
      <c r="CS254" s="11"/>
      <c r="CT254" s="11"/>
      <c r="CU254" s="11"/>
      <c r="CV254" s="11"/>
      <c r="CW254" s="11"/>
      <c r="CX254" s="11"/>
      <c r="CY254" s="11"/>
      <c r="CZ254" s="11"/>
      <c r="DA254" s="11"/>
      <c r="DB254" s="11"/>
      <c r="DC254" s="11"/>
      <c r="DD254" s="11"/>
      <c r="DE254" s="11"/>
      <c r="DF254" s="11"/>
      <c r="DG254" s="11"/>
      <c r="DH254" s="11"/>
      <c r="DI254" s="11"/>
      <c r="DJ254" s="11"/>
      <c r="DK254" s="11"/>
      <c r="DL254" s="11"/>
      <c r="DM254" s="11"/>
      <c r="DN254" s="11"/>
      <c r="DO254" s="11"/>
      <c r="DP254" s="11"/>
      <c r="DQ254" s="11"/>
      <c r="DR254" s="11"/>
      <c r="DS254" s="11"/>
      <c r="DT254" s="11"/>
      <c r="DU254" s="11"/>
      <c r="DV254" s="11"/>
      <c r="DW254" s="11"/>
      <c r="DX254" s="11"/>
      <c r="DY254" s="11"/>
      <c r="DZ254" s="11"/>
      <c r="EA254" s="11"/>
      <c r="EB254" s="11"/>
      <c r="EC254" s="11"/>
      <c r="ED254" s="11"/>
      <c r="EE254" s="11"/>
      <c r="EF254" s="11"/>
      <c r="EG254" s="11"/>
      <c r="EH254" s="11"/>
      <c r="EI254" s="11"/>
      <c r="EJ254" s="11"/>
      <c r="EK254" s="11"/>
      <c r="EL254" s="11"/>
      <c r="EM254" s="11"/>
      <c r="EN254" s="11"/>
      <c r="EO254" s="11"/>
      <c r="EP254" s="11"/>
      <c r="EQ254" s="11"/>
      <c r="ER254" s="11"/>
      <c r="ES254" s="11"/>
      <c r="ET254" s="11"/>
      <c r="EU254" s="11"/>
      <c r="EV254" s="11"/>
      <c r="EW254" s="11"/>
      <c r="EX254" s="11"/>
      <c r="EY254" s="11"/>
      <c r="EZ254" s="11"/>
      <c r="FA254" s="11"/>
      <c r="FB254" s="11"/>
      <c r="FC254" s="11"/>
      <c r="FD254" s="11"/>
      <c r="FE254" s="11"/>
      <c r="FF254" s="11"/>
      <c r="FG254" s="11"/>
      <c r="FH254" s="11"/>
      <c r="FI254" s="11"/>
      <c r="FJ254" s="11"/>
      <c r="FK254" s="11"/>
      <c r="FL254" s="11"/>
      <c r="FM254" s="11"/>
      <c r="FN254" s="11"/>
      <c r="FO254" s="11"/>
      <c r="FP254" s="11"/>
      <c r="FQ254" s="11"/>
      <c r="FR254" s="11"/>
      <c r="FS254" s="11"/>
      <c r="FT254" s="11"/>
      <c r="FU254" s="11"/>
      <c r="FV254" s="11"/>
      <c r="FW254" s="11"/>
      <c r="FX254" s="11"/>
      <c r="FY254" s="11"/>
      <c r="FZ254" s="11"/>
      <c r="GA254" s="11"/>
      <c r="GB254" s="11"/>
      <c r="GC254" s="11"/>
      <c r="GD254" s="11"/>
      <c r="GE254" s="11"/>
      <c r="GF254" s="11"/>
      <c r="GG254" s="11"/>
      <c r="GH254" s="11"/>
      <c r="GI254" s="11"/>
      <c r="GJ254" s="11"/>
      <c r="GK254" s="11"/>
      <c r="GL254" s="11"/>
      <c r="GM254" s="11"/>
      <c r="GN254" s="11"/>
      <c r="GO254" s="11"/>
      <c r="GP254" s="11"/>
      <c r="GQ254" s="11"/>
      <c r="GR254" s="11"/>
      <c r="GS254" s="11"/>
      <c r="GT254" s="11"/>
      <c r="GU254" s="11"/>
      <c r="GV254" s="11"/>
      <c r="GW254" s="11"/>
      <c r="GX254" s="11"/>
      <c r="GY254" s="11"/>
      <c r="GZ254" s="11"/>
      <c r="HA254" s="11"/>
      <c r="HB254" s="11"/>
      <c r="HC254" s="11"/>
      <c r="HD254" s="11"/>
      <c r="HE254" s="11"/>
      <c r="HF254" s="11"/>
      <c r="HG254" s="11"/>
      <c r="HH254" s="11"/>
      <c r="HI254" s="11"/>
      <c r="HJ254" s="11"/>
      <c r="HK254" s="11"/>
      <c r="HL254" s="11"/>
      <c r="HM254" s="11"/>
      <c r="HN254" s="11"/>
      <c r="HO254" s="11"/>
      <c r="HP254" s="11"/>
      <c r="HQ254" s="11"/>
      <c r="HR254" s="11"/>
      <c r="HS254" s="11"/>
      <c r="HT254" s="11"/>
      <c r="HU254" s="11"/>
      <c r="HV254" s="11"/>
      <c r="HW254" s="11"/>
      <c r="HX254" s="11"/>
      <c r="HY254" s="11"/>
      <c r="HZ254" s="11"/>
      <c r="IA254" s="11"/>
      <c r="IB254" s="11"/>
      <c r="IC254" s="11"/>
      <c r="ID254" s="11"/>
      <c r="IE254" s="11"/>
      <c r="IF254" s="11"/>
      <c r="IG254" s="11"/>
      <c r="IH254" s="11"/>
      <c r="II254" s="11"/>
      <c r="IJ254" s="11"/>
      <c r="IK254" s="11"/>
      <c r="IL254" s="11"/>
      <c r="IM254" s="11"/>
      <c r="IN254" s="11"/>
      <c r="IO254" s="11"/>
      <c r="IP254" s="11"/>
      <c r="IQ254" s="11"/>
      <c r="IR254" s="11"/>
      <c r="IS254" s="11"/>
      <c r="IT254" s="11"/>
      <c r="IU254" s="11"/>
      <c r="IV254" s="11"/>
      <c r="IW254" s="11"/>
      <c r="IX254" s="11"/>
      <c r="IY254" s="11"/>
      <c r="IZ254" s="11"/>
      <c r="JA254" s="11"/>
      <c r="JB254" s="11"/>
      <c r="JC254" s="11"/>
      <c r="JD254" s="11"/>
      <c r="JE254" s="11"/>
      <c r="JF254" s="11"/>
      <c r="JG254" s="11"/>
      <c r="JH254" s="11"/>
      <c r="JI254" s="11"/>
      <c r="JJ254" s="11"/>
      <c r="JK254" s="11"/>
      <c r="JL254" s="11"/>
      <c r="JM254" s="11"/>
      <c r="JN254" s="11"/>
      <c r="JO254" s="11"/>
      <c r="JP254" s="11"/>
      <c r="JQ254" s="11"/>
      <c r="JR254" s="11"/>
      <c r="JS254" s="11"/>
      <c r="JT254" s="11"/>
      <c r="JU254" s="11"/>
      <c r="JV254" s="11"/>
      <c r="JW254" s="11"/>
      <c r="JX254" s="11"/>
      <c r="JY254" s="11"/>
      <c r="JZ254" s="11"/>
      <c r="KA254" s="11"/>
      <c r="KB254" s="11"/>
      <c r="KC254" s="11"/>
      <c r="KD254" s="11"/>
      <c r="KE254" s="11"/>
      <c r="KF254" s="11"/>
      <c r="KG254" s="11"/>
      <c r="KH254" s="11"/>
      <c r="KI254" s="11"/>
      <c r="KJ254" s="11"/>
      <c r="KK254" s="11"/>
      <c r="KL254" s="11"/>
      <c r="KM254" s="11"/>
      <c r="KN254" s="11"/>
      <c r="KO254" s="11"/>
      <c r="KP254" s="11"/>
      <c r="KQ254" s="11"/>
      <c r="KR254" s="11"/>
      <c r="KS254" s="11"/>
      <c r="KT254" s="11"/>
      <c r="KU254" s="11"/>
      <c r="KV254" s="11"/>
      <c r="KW254" s="11"/>
      <c r="KX254" s="11"/>
      <c r="KY254" s="11"/>
      <c r="KZ254" s="11"/>
      <c r="LA254" s="11"/>
      <c r="LB254" s="11"/>
      <c r="LC254" s="11"/>
      <c r="LD254" s="11"/>
      <c r="LE254" s="11"/>
      <c r="LF254" s="11"/>
      <c r="LG254" s="11"/>
      <c r="LH254" s="11"/>
      <c r="LI254" s="11"/>
      <c r="LJ254" s="11"/>
      <c r="LK254" s="11"/>
      <c r="LL254" s="11"/>
      <c r="LM254" s="11"/>
      <c r="LN254" s="11"/>
      <c r="LO254" s="11"/>
      <c r="LP254" s="11"/>
      <c r="LQ254" s="11"/>
      <c r="LR254" s="11"/>
      <c r="LS254" s="11"/>
      <c r="LT254" s="11"/>
      <c r="LU254" s="11"/>
      <c r="LV254" s="11"/>
      <c r="LW254" s="11"/>
      <c r="LX254" s="11"/>
      <c r="LY254" s="11"/>
      <c r="LZ254" s="11"/>
      <c r="MA254" s="11"/>
      <c r="MB254" s="11"/>
      <c r="MC254" s="11"/>
      <c r="MD254" s="11"/>
      <c r="ME254" s="11"/>
      <c r="MF254" s="11"/>
      <c r="MG254" s="11"/>
      <c r="MH254" s="11"/>
      <c r="MI254" s="11"/>
      <c r="MJ254" s="11"/>
      <c r="MK254" s="11"/>
      <c r="ML254" s="11"/>
      <c r="MM254" s="11"/>
      <c r="MN254" s="11"/>
      <c r="MO254" s="11"/>
      <c r="MP254" s="11"/>
      <c r="MQ254" s="11"/>
      <c r="MR254" s="11"/>
      <c r="MS254" s="11"/>
      <c r="MT254" s="11"/>
      <c r="MU254" s="11"/>
      <c r="MV254" s="11"/>
      <c r="MW254" s="11"/>
      <c r="MX254" s="11"/>
      <c r="MY254" s="11"/>
      <c r="MZ254" s="11"/>
      <c r="NA254" s="11"/>
      <c r="NB254" s="11"/>
      <c r="NC254" s="11"/>
      <c r="ND254" s="11"/>
      <c r="NE254" s="11"/>
      <c r="NF254" s="11"/>
      <c r="NG254" s="11"/>
      <c r="NH254" s="11"/>
      <c r="NI254" s="11"/>
      <c r="NJ254" s="11"/>
      <c r="NK254" s="11"/>
      <c r="NL254" s="11"/>
      <c r="NM254" s="11"/>
      <c r="NN254" s="11"/>
      <c r="NO254" s="11"/>
      <c r="NP254" s="11"/>
      <c r="NQ254" s="11"/>
      <c r="NR254" s="11"/>
      <c r="NS254" s="11"/>
      <c r="NT254" s="11"/>
      <c r="NU254" s="11"/>
      <c r="NV254" s="11"/>
      <c r="NW254" s="11"/>
      <c r="NX254" s="11"/>
      <c r="NY254" s="11"/>
      <c r="NZ254" s="11"/>
      <c r="OA254" s="11"/>
      <c r="OB254" s="11"/>
      <c r="OC254" s="11"/>
      <c r="OD254" s="11"/>
      <c r="OE254" s="11"/>
      <c r="OF254" s="11"/>
      <c r="OG254" s="11"/>
      <c r="OH254" s="11"/>
      <c r="OI254" s="11"/>
      <c r="OJ254" s="11"/>
      <c r="OK254" s="11"/>
      <c r="OL254" s="11"/>
      <c r="OM254" s="11"/>
      <c r="ON254" s="11"/>
      <c r="OO254" s="11"/>
      <c r="OP254" s="11"/>
      <c r="OQ254" s="11"/>
      <c r="OR254" s="11"/>
      <c r="OS254" s="11"/>
      <c r="OT254" s="11"/>
      <c r="OU254" s="11"/>
      <c r="OV254" s="11"/>
      <c r="OW254" s="11"/>
      <c r="OX254" s="11"/>
      <c r="OY254" s="11"/>
      <c r="OZ254" s="11"/>
      <c r="PA254" s="11"/>
      <c r="PB254" s="11"/>
      <c r="PC254" s="11"/>
      <c r="PD254" s="11"/>
      <c r="PE254" s="11"/>
      <c r="PF254" s="11"/>
      <c r="PG254" s="11"/>
      <c r="PH254" s="11"/>
      <c r="PI254" s="11"/>
      <c r="PJ254" s="11"/>
      <c r="PK254" s="11"/>
      <c r="PL254" s="11"/>
      <c r="PM254" s="11"/>
      <c r="PN254" s="11"/>
      <c r="PO254" s="11"/>
      <c r="PP254" s="11"/>
      <c r="PQ254" s="11"/>
      <c r="PR254" s="11"/>
      <c r="PS254" s="11"/>
      <c r="PT254" s="11"/>
      <c r="PU254" s="11"/>
      <c r="PV254" s="11"/>
      <c r="PW254" s="11"/>
      <c r="PX254" s="11"/>
      <c r="PY254" s="11"/>
      <c r="PZ254" s="11"/>
      <c r="QA254" s="11"/>
      <c r="QB254" s="11"/>
      <c r="QC254" s="11"/>
      <c r="QD254" s="11"/>
      <c r="QE254" s="11"/>
      <c r="QF254" s="11"/>
      <c r="QG254" s="11"/>
      <c r="QH254" s="11"/>
      <c r="QI254" s="11"/>
      <c r="QJ254" s="11"/>
      <c r="QK254" s="11"/>
      <c r="QL254" s="11"/>
      <c r="QM254" s="11"/>
      <c r="QN254" s="11"/>
      <c r="QO254" s="11"/>
      <c r="QP254" s="11"/>
      <c r="QQ254" s="11"/>
      <c r="QR254" s="11"/>
      <c r="QS254" s="11"/>
      <c r="QT254" s="11"/>
      <c r="QU254" s="11"/>
      <c r="QV254" s="11"/>
      <c r="QW254" s="11"/>
      <c r="QX254" s="11"/>
      <c r="QY254" s="11"/>
      <c r="QZ254" s="11"/>
      <c r="RA254" s="11"/>
      <c r="RB254" s="11"/>
      <c r="RC254" s="11"/>
      <c r="RD254" s="11"/>
      <c r="RE254" s="11"/>
      <c r="RF254" s="11"/>
      <c r="RG254" s="11"/>
      <c r="RH254" s="11"/>
      <c r="RI254" s="11"/>
      <c r="RJ254" s="11"/>
      <c r="RK254" s="11"/>
      <c r="RL254" s="11"/>
      <c r="RM254" s="11"/>
      <c r="RN254" s="11"/>
      <c r="RO254" s="11"/>
      <c r="RP254" s="11"/>
      <c r="RQ254" s="11"/>
      <c r="RR254" s="11"/>
      <c r="RS254" s="11"/>
      <c r="RT254" s="11"/>
      <c r="RU254" s="11"/>
      <c r="RV254" s="11"/>
      <c r="RW254" s="11"/>
      <c r="RX254" s="11"/>
      <c r="RY254" s="11"/>
      <c r="RZ254" s="11"/>
      <c r="SA254" s="11"/>
      <c r="SB254" s="11"/>
      <c r="SC254" s="11"/>
      <c r="SD254" s="11"/>
      <c r="SE254" s="11"/>
      <c r="SF254" s="11"/>
      <c r="SG254" s="11"/>
      <c r="SH254" s="11"/>
      <c r="SI254" s="11"/>
      <c r="SJ254" s="11"/>
      <c r="SK254" s="11"/>
      <c r="SL254" s="11"/>
      <c r="SM254" s="11"/>
      <c r="SN254" s="11"/>
      <c r="SO254" s="11"/>
      <c r="SP254" s="11"/>
      <c r="SQ254" s="11"/>
      <c r="SR254" s="11"/>
      <c r="SS254" s="11"/>
      <c r="ST254" s="11"/>
      <c r="SU254" s="11"/>
      <c r="SV254" s="11"/>
      <c r="SW254" s="11"/>
      <c r="SX254" s="11"/>
      <c r="SY254" s="11"/>
      <c r="SZ254" s="11"/>
      <c r="TA254" s="11"/>
      <c r="TB254" s="11"/>
      <c r="TC254" s="11"/>
      <c r="TD254" s="11"/>
      <c r="TE254" s="11"/>
      <c r="TF254" s="11"/>
      <c r="TG254" s="11"/>
      <c r="TH254" s="11"/>
      <c r="TI254" s="11"/>
      <c r="TJ254" s="11"/>
      <c r="TK254" s="11"/>
      <c r="TL254" s="11"/>
      <c r="TM254" s="11"/>
      <c r="TN254" s="11"/>
      <c r="TO254" s="11"/>
      <c r="TP254" s="11"/>
      <c r="TQ254" s="11"/>
      <c r="TR254" s="11"/>
      <c r="TS254" s="11"/>
      <c r="TT254" s="11"/>
      <c r="TU254" s="11"/>
      <c r="TV254" s="11"/>
      <c r="TW254" s="11"/>
      <c r="TX254" s="11"/>
      <c r="TY254" s="11"/>
      <c r="TZ254" s="11"/>
      <c r="UA254" s="11"/>
      <c r="UB254" s="11"/>
      <c r="UC254" s="11"/>
      <c r="UD254" s="11"/>
      <c r="UE254" s="11"/>
      <c r="UF254" s="11"/>
      <c r="UG254" s="11"/>
      <c r="UH254" s="11"/>
      <c r="UI254" s="11"/>
      <c r="UJ254" s="11"/>
      <c r="UK254" s="11"/>
      <c r="UL254" s="11"/>
      <c r="UM254" s="11"/>
      <c r="UN254" s="11"/>
      <c r="UO254" s="11"/>
      <c r="UP254" s="11"/>
      <c r="UQ254" s="11"/>
      <c r="UR254" s="11"/>
      <c r="US254" s="11"/>
      <c r="UT254" s="11"/>
      <c r="UU254" s="11"/>
      <c r="UV254" s="11"/>
      <c r="UW254" s="11"/>
      <c r="UX254" s="11"/>
      <c r="UY254" s="11"/>
      <c r="UZ254" s="11"/>
      <c r="VA254" s="11"/>
      <c r="VB254" s="11"/>
      <c r="VC254" s="11"/>
      <c r="VD254" s="11"/>
      <c r="VE254" s="11"/>
      <c r="VF254" s="11"/>
      <c r="VG254" s="11"/>
      <c r="VH254" s="11"/>
      <c r="VI254" s="11"/>
      <c r="VJ254" s="11"/>
      <c r="VK254" s="11"/>
      <c r="VL254" s="11"/>
      <c r="VM254" s="11"/>
      <c r="VN254" s="11"/>
      <c r="VO254" s="11"/>
      <c r="VP254" s="11"/>
      <c r="VQ254" s="11"/>
      <c r="VR254" s="11"/>
      <c r="VS254" s="11"/>
      <c r="VT254" s="11"/>
      <c r="VU254" s="11"/>
      <c r="VV254" s="11"/>
      <c r="VW254" s="11"/>
      <c r="VX254" s="11"/>
      <c r="VY254" s="11"/>
      <c r="VZ254" s="11"/>
      <c r="WA254" s="11"/>
      <c r="WB254" s="11"/>
      <c r="WC254" s="11"/>
      <c r="WD254" s="11"/>
      <c r="WE254" s="11"/>
      <c r="WF254" s="11"/>
      <c r="WG254" s="11"/>
      <c r="WH254" s="11"/>
      <c r="WI254" s="11"/>
      <c r="WJ254" s="11"/>
      <c r="WK254" s="11"/>
      <c r="WL254" s="11"/>
      <c r="WM254" s="11"/>
      <c r="WN254" s="11"/>
      <c r="WO254" s="11"/>
      <c r="WP254" s="11"/>
      <c r="WQ254" s="11"/>
      <c r="WR254" s="11"/>
      <c r="WS254" s="11"/>
      <c r="WT254" s="11"/>
      <c r="WU254" s="11"/>
      <c r="WV254" s="11"/>
      <c r="WW254" s="11"/>
      <c r="WX254" s="11"/>
      <c r="WY254" s="11"/>
      <c r="WZ254" s="11"/>
      <c r="XA254" s="11"/>
      <c r="XB254" s="11"/>
      <c r="XC254" s="11"/>
      <c r="XD254" s="11"/>
      <c r="XE254" s="11"/>
      <c r="XF254" s="11"/>
      <c r="XG254" s="11"/>
      <c r="XH254" s="11"/>
      <c r="XI254" s="11"/>
      <c r="XJ254" s="11"/>
      <c r="XK254" s="11"/>
      <c r="XL254" s="11"/>
      <c r="XM254" s="11"/>
      <c r="XN254" s="11"/>
      <c r="XO254" s="11"/>
      <c r="XP254" s="11"/>
      <c r="XQ254" s="11"/>
      <c r="XR254" s="11"/>
      <c r="XS254" s="11"/>
      <c r="XT254" s="11"/>
      <c r="XU254" s="11"/>
      <c r="XV254" s="11"/>
      <c r="XW254" s="11"/>
      <c r="XX254" s="11"/>
      <c r="XY254" s="11"/>
      <c r="XZ254" s="11"/>
      <c r="YA254" s="11"/>
      <c r="YB254" s="11"/>
      <c r="YC254" s="11"/>
      <c r="YD254" s="11"/>
      <c r="YE254" s="11"/>
      <c r="YF254" s="11"/>
      <c r="YG254" s="11"/>
      <c r="YH254" s="11"/>
      <c r="YI254" s="11"/>
      <c r="YJ254" s="11"/>
      <c r="YK254" s="11"/>
      <c r="YL254" s="11"/>
      <c r="YM254" s="11"/>
      <c r="YN254" s="11"/>
      <c r="YO254" s="11"/>
      <c r="YP254" s="11"/>
      <c r="YQ254" s="11"/>
      <c r="YR254" s="11"/>
      <c r="YS254" s="11"/>
      <c r="YT254" s="11"/>
      <c r="YU254" s="11"/>
      <c r="YV254" s="11"/>
      <c r="YW254" s="11"/>
      <c r="YX254" s="11"/>
      <c r="YY254" s="11"/>
      <c r="YZ254" s="11"/>
      <c r="ZA254" s="11"/>
      <c r="ZB254" s="11"/>
      <c r="ZC254" s="11"/>
      <c r="ZD254" s="11"/>
      <c r="ZE254" s="11"/>
      <c r="ZF254" s="11"/>
      <c r="ZG254" s="11"/>
      <c r="ZH254" s="11"/>
      <c r="ZI254" s="11"/>
      <c r="ZJ254" s="11"/>
      <c r="ZK254" s="11"/>
      <c r="ZL254" s="11"/>
      <c r="ZM254" s="11"/>
      <c r="ZN254" s="11"/>
      <c r="ZO254" s="11"/>
      <c r="ZP254" s="11"/>
      <c r="ZQ254" s="11"/>
      <c r="ZR254" s="11"/>
      <c r="ZS254" s="11"/>
      <c r="ZT254" s="11"/>
      <c r="ZU254" s="11"/>
      <c r="ZV254" s="11"/>
      <c r="ZW254" s="11"/>
      <c r="ZX254" s="11"/>
      <c r="ZY254" s="11"/>
      <c r="ZZ254" s="11"/>
      <c r="AAA254" s="11"/>
      <c r="AAB254" s="11"/>
      <c r="AAC254" s="11"/>
      <c r="AAD254" s="11"/>
      <c r="AAE254" s="11"/>
      <c r="AAF254" s="11"/>
      <c r="AAG254" s="11"/>
      <c r="AAH254" s="11"/>
      <c r="AAI254" s="11"/>
      <c r="AAJ254" s="11"/>
      <c r="AAK254" s="11"/>
      <c r="AAL254" s="11"/>
      <c r="AAM254" s="11"/>
      <c r="AAN254" s="11"/>
      <c r="AAO254" s="11"/>
      <c r="AAP254" s="11"/>
      <c r="AAQ254" s="11"/>
      <c r="AAR254" s="11"/>
      <c r="AAS254" s="11"/>
      <c r="AAT254" s="11"/>
      <c r="AAU254" s="11"/>
      <c r="AAV254" s="11"/>
      <c r="AAW254" s="11"/>
      <c r="AAX254" s="11"/>
      <c r="AAY254" s="11"/>
      <c r="AAZ254" s="11"/>
      <c r="ABA254" s="11"/>
      <c r="ABB254" s="11"/>
      <c r="ABC254" s="11"/>
      <c r="ABD254" s="11"/>
      <c r="ABE254" s="11"/>
      <c r="ABF254" s="11"/>
      <c r="ABG254" s="11"/>
      <c r="ABH254" s="11"/>
      <c r="ABI254" s="11"/>
      <c r="ABJ254" s="11"/>
      <c r="ABK254" s="11"/>
      <c r="ABL254" s="11"/>
      <c r="ABM254" s="11"/>
      <c r="ABN254" s="11"/>
      <c r="ABO254" s="11"/>
      <c r="ABP254" s="11"/>
      <c r="ABQ254" s="11"/>
      <c r="ABR254" s="11"/>
      <c r="ABS254" s="11"/>
      <c r="ABT254" s="11"/>
      <c r="ABU254" s="11"/>
      <c r="ABV254" s="11"/>
      <c r="ABW254" s="11"/>
      <c r="ABX254" s="11"/>
      <c r="ABY254" s="11"/>
      <c r="ABZ254" s="11"/>
      <c r="ACA254" s="11"/>
      <c r="ACB254" s="11"/>
      <c r="ACC254" s="11"/>
      <c r="ACD254" s="11"/>
      <c r="ACE254" s="11"/>
      <c r="ACF254" s="11"/>
      <c r="ACG254" s="11"/>
      <c r="ACH254" s="11"/>
      <c r="ACI254" s="11"/>
      <c r="ACJ254" s="11"/>
      <c r="ACK254" s="11"/>
      <c r="ACL254" s="11"/>
      <c r="ACM254" s="11"/>
      <c r="ACN254" s="11"/>
      <c r="ACO254" s="11"/>
      <c r="ACP254" s="11"/>
      <c r="ACQ254" s="11"/>
      <c r="ACR254" s="11"/>
      <c r="ACS254" s="11"/>
      <c r="ACT254" s="11"/>
      <c r="ACU254" s="11"/>
      <c r="ACV254" s="11"/>
      <c r="ACW254" s="11"/>
      <c r="ACX254" s="11"/>
      <c r="ACY254" s="11"/>
      <c r="ACZ254" s="11"/>
      <c r="ADA254" s="11"/>
      <c r="ADB254" s="11"/>
      <c r="ADC254" s="11"/>
      <c r="ADD254" s="11"/>
      <c r="ADE254" s="11"/>
      <c r="ADF254" s="11"/>
      <c r="ADG254" s="11"/>
      <c r="ADH254" s="11"/>
      <c r="ADI254" s="11"/>
      <c r="ADJ254" s="11"/>
      <c r="ADK254" s="11"/>
      <c r="ADL254" s="11"/>
      <c r="ADM254" s="11"/>
      <c r="ADN254" s="11"/>
      <c r="ADO254" s="11"/>
      <c r="ADP254" s="11"/>
      <c r="ADQ254" s="11"/>
      <c r="ADR254" s="11"/>
      <c r="ADS254" s="11"/>
      <c r="ADT254" s="11"/>
      <c r="ADU254" s="11"/>
      <c r="ADV254" s="11"/>
      <c r="ADW254" s="11"/>
      <c r="ADX254" s="11"/>
      <c r="ADY254" s="11"/>
      <c r="ADZ254" s="11"/>
      <c r="AEA254" s="11"/>
      <c r="AEB254" s="11"/>
      <c r="AEC254" s="11"/>
      <c r="AED254" s="11"/>
      <c r="AEE254" s="11"/>
      <c r="AEF254" s="11"/>
      <c r="AEG254" s="11"/>
      <c r="AEH254" s="11"/>
      <c r="AEI254" s="11"/>
      <c r="AEJ254" s="11"/>
      <c r="AEK254" s="11"/>
      <c r="AEL254" s="11"/>
      <c r="AEM254" s="11"/>
      <c r="AEN254" s="11"/>
      <c r="AEO254" s="11"/>
      <c r="AEP254" s="11"/>
      <c r="AEQ254" s="11"/>
      <c r="AER254" s="11"/>
      <c r="AES254" s="11"/>
      <c r="AET254" s="11"/>
      <c r="AEU254" s="11"/>
      <c r="AEV254" s="11"/>
      <c r="AEW254" s="11"/>
      <c r="AEX254" s="11"/>
      <c r="AEY254" s="11"/>
      <c r="AEZ254" s="11"/>
      <c r="AFA254" s="11"/>
      <c r="AFB254" s="11"/>
      <c r="AFC254" s="11"/>
      <c r="AFD254" s="11"/>
      <c r="AFE254" s="11"/>
      <c r="AFF254" s="11"/>
      <c r="AFG254" s="11"/>
      <c r="AFH254" s="11"/>
      <c r="AFI254" s="11"/>
      <c r="AFJ254" s="11"/>
      <c r="AFK254" s="11"/>
      <c r="AFL254" s="11"/>
      <c r="AFM254" s="11"/>
      <c r="AFN254" s="11"/>
      <c r="AFO254" s="11"/>
      <c r="AFP254" s="11"/>
      <c r="AFQ254" s="11"/>
      <c r="AFR254" s="11"/>
      <c r="AFS254" s="11"/>
      <c r="AFT254" s="11"/>
      <c r="AFU254" s="11"/>
      <c r="AFV254" s="11"/>
      <c r="AFW254" s="11"/>
      <c r="AFX254" s="11"/>
      <c r="AFY254" s="11"/>
      <c r="AFZ254" s="11"/>
      <c r="AGA254" s="11"/>
      <c r="AGB254" s="11"/>
      <c r="AGC254" s="11"/>
      <c r="AGD254" s="11"/>
      <c r="AGE254" s="11"/>
      <c r="AGF254" s="11"/>
      <c r="AGG254" s="11"/>
      <c r="AGH254" s="11"/>
      <c r="AGI254" s="11"/>
      <c r="AGJ254" s="11"/>
      <c r="AGK254" s="11"/>
      <c r="AGL254" s="11"/>
      <c r="AGM254" s="11"/>
      <c r="AGN254" s="11"/>
      <c r="AGO254" s="11"/>
      <c r="AGP254" s="11"/>
      <c r="AGQ254" s="11"/>
      <c r="AGR254" s="11"/>
      <c r="AGS254" s="11"/>
      <c r="AGT254" s="11"/>
      <c r="AGU254" s="11"/>
      <c r="AGV254" s="11"/>
      <c r="AGW254" s="11"/>
      <c r="AGX254" s="11"/>
      <c r="AGY254" s="11"/>
      <c r="AGZ254" s="11"/>
      <c r="AHA254" s="11"/>
      <c r="AHB254" s="11"/>
      <c r="AHC254" s="11"/>
      <c r="AHD254" s="11"/>
      <c r="AHE254" s="11"/>
      <c r="AHF254" s="11"/>
      <c r="AHG254" s="11"/>
      <c r="AHH254" s="11"/>
      <c r="AHI254" s="11"/>
      <c r="AHJ254" s="11"/>
      <c r="AHK254" s="11"/>
      <c r="AHL254" s="11"/>
      <c r="AHM254" s="11"/>
      <c r="AHN254" s="11"/>
      <c r="AHO254" s="11"/>
      <c r="AHP254" s="11"/>
      <c r="AHQ254" s="11"/>
      <c r="AHR254" s="11"/>
      <c r="AHS254" s="11"/>
      <c r="AHT254" s="11"/>
      <c r="AHU254" s="11"/>
      <c r="AHV254" s="11"/>
      <c r="AHW254" s="11"/>
      <c r="AHX254" s="11"/>
      <c r="AHY254" s="11"/>
      <c r="AHZ254" s="11"/>
      <c r="AIA254" s="11"/>
      <c r="AIB254" s="11"/>
      <c r="AIC254" s="11"/>
      <c r="AID254" s="11"/>
      <c r="AIE254" s="11"/>
      <c r="AIF254" s="11"/>
      <c r="AIG254" s="11"/>
      <c r="AIH254" s="11"/>
      <c r="AII254" s="11"/>
      <c r="AIJ254" s="11"/>
      <c r="AIK254" s="11"/>
      <c r="AIL254" s="11"/>
      <c r="AIM254" s="11"/>
      <c r="AIN254" s="11"/>
      <c r="AIO254" s="11"/>
      <c r="AIP254" s="11"/>
      <c r="AIQ254" s="11"/>
      <c r="AIR254" s="11"/>
      <c r="AIS254" s="11"/>
      <c r="AIT254" s="11"/>
      <c r="AIU254" s="11"/>
      <c r="AIV254" s="11"/>
      <c r="AIW254" s="11"/>
      <c r="AIX254" s="11"/>
      <c r="AIY254" s="11"/>
      <c r="AIZ254" s="11"/>
      <c r="AJA254" s="11"/>
      <c r="AJB254" s="11"/>
      <c r="AJC254" s="11"/>
      <c r="AJD254" s="11"/>
      <c r="AJE254" s="11"/>
      <c r="AJF254" s="11"/>
      <c r="AJG254" s="11"/>
      <c r="AJH254" s="11"/>
      <c r="AJI254" s="11"/>
      <c r="AJJ254" s="11"/>
      <c r="AJK254" s="11"/>
      <c r="AJL254" s="11"/>
      <c r="AJM254" s="11"/>
      <c r="AJN254" s="11"/>
      <c r="AJO254" s="11"/>
      <c r="AJP254" s="11"/>
      <c r="AJQ254" s="11"/>
      <c r="AJR254" s="11"/>
      <c r="AJS254" s="11"/>
      <c r="AJT254" s="11"/>
      <c r="AJU254" s="11"/>
      <c r="AJV254" s="11"/>
      <c r="AJW254" s="11"/>
      <c r="AJX254" s="11"/>
      <c r="AJY254" s="11"/>
      <c r="AJZ254" s="11"/>
      <c r="AKA254" s="11"/>
      <c r="AKB254" s="11"/>
      <c r="AKC254" s="11"/>
      <c r="AKD254" s="11"/>
      <c r="AKE254" s="11"/>
      <c r="AKF254" s="11"/>
      <c r="AKG254" s="11"/>
      <c r="AKH254" s="11"/>
      <c r="AKI254" s="11"/>
      <c r="AKJ254" s="11"/>
      <c r="AKK254" s="11"/>
      <c r="AKL254" s="11"/>
      <c r="AKM254" s="11"/>
      <c r="AKN254" s="11"/>
      <c r="AKO254" s="11"/>
      <c r="AKP254" s="11"/>
      <c r="AKQ254" s="11"/>
      <c r="AKR254" s="11"/>
      <c r="AKS254" s="11"/>
      <c r="AKT254" s="11"/>
      <c r="AKU254" s="11"/>
      <c r="AKV254" s="11"/>
      <c r="AKW254" s="11"/>
      <c r="AKX254" s="11"/>
      <c r="AKY254" s="11"/>
      <c r="AKZ254" s="11"/>
      <c r="ALA254" s="11"/>
      <c r="ALB254" s="11"/>
      <c r="ALC254" s="11"/>
      <c r="ALD254" s="11"/>
      <c r="ALE254" s="11"/>
      <c r="ALF254" s="11"/>
      <c r="ALG254" s="11"/>
      <c r="ALH254" s="11"/>
      <c r="ALI254" s="11"/>
      <c r="ALJ254" s="11"/>
      <c r="ALK254" s="11"/>
      <c r="ALL254" s="11"/>
      <c r="ALM254" s="11"/>
      <c r="ALN254" s="11"/>
      <c r="ALO254" s="11"/>
      <c r="ALP254" s="11"/>
      <c r="ALQ254" s="11"/>
      <c r="ALR254" s="11"/>
      <c r="ALS254" s="11"/>
      <c r="ALT254" s="11"/>
      <c r="ALU254" s="11"/>
      <c r="ALV254" s="11"/>
      <c r="ALW254" s="11"/>
      <c r="ALX254" s="11"/>
      <c r="ALY254" s="11"/>
      <c r="ALZ254" s="11"/>
      <c r="AMA254" s="11"/>
      <c r="AMB254" s="11"/>
      <c r="AMC254" s="11"/>
      <c r="AMD254" s="11"/>
      <c r="AME254" s="11"/>
      <c r="AMF254" s="11"/>
      <c r="AMG254" s="11"/>
      <c r="AMH254" s="11"/>
      <c r="AMI254" s="11"/>
      <c r="AMJ254" s="11"/>
    </row>
    <row r="255" spans="1:1024" ht="27.6">
      <c r="A255" s="16" t="s">
        <v>259</v>
      </c>
      <c r="B255" s="16">
        <v>434194</v>
      </c>
      <c r="D255" s="1">
        <v>0</v>
      </c>
      <c r="E255" s="8">
        <f>VLOOKUP(B255,Gesamtstunden_26!B:I,8,0)</f>
        <v>0</v>
      </c>
      <c r="F255" s="2">
        <f t="shared" si="3"/>
        <v>0</v>
      </c>
    </row>
    <row r="256" spans="1:1024" ht="27.6">
      <c r="A256" s="7" t="s">
        <v>260</v>
      </c>
      <c r="B256" s="7">
        <v>632638</v>
      </c>
      <c r="D256" s="1">
        <v>0</v>
      </c>
      <c r="E256" s="8">
        <f>VLOOKUP(B256,Gesamtstunden_26!B:I,8,0)</f>
        <v>2.6666666666666665</v>
      </c>
      <c r="F256" s="2">
        <f t="shared" si="3"/>
        <v>-2.6666666666666665</v>
      </c>
    </row>
    <row r="257" spans="1:6">
      <c r="A257" s="8" t="s">
        <v>261</v>
      </c>
      <c r="B257" s="8">
        <v>403781</v>
      </c>
      <c r="D257" s="1">
        <v>6.3333333333333304</v>
      </c>
      <c r="E257" s="8" t="e">
        <f>VLOOKUP(B257,Gesamtstunden_26!B:I,8,0)</f>
        <v>#N/A</v>
      </c>
      <c r="F257" s="2" t="e">
        <f t="shared" si="3"/>
        <v>#N/A</v>
      </c>
    </row>
    <row r="258" spans="1:6">
      <c r="A258" s="16" t="s">
        <v>262</v>
      </c>
      <c r="B258" s="16">
        <v>164702</v>
      </c>
      <c r="D258" s="1">
        <v>0</v>
      </c>
      <c r="E258" s="8">
        <f>VLOOKUP(B258,Gesamtstunden_26!B:I,8,0)</f>
        <v>0.33333333333333331</v>
      </c>
      <c r="F258" s="2">
        <f t="shared" ref="F258:F321" si="4">D258-E258</f>
        <v>-0.33333333333333331</v>
      </c>
    </row>
    <row r="259" spans="1:6">
      <c r="A259" s="10" t="s">
        <v>263</v>
      </c>
      <c r="B259" s="10">
        <v>177147</v>
      </c>
      <c r="D259" s="1">
        <v>0</v>
      </c>
      <c r="E259" s="8">
        <f>VLOOKUP(B259,Gesamtstunden_26!B:I,8,0)</f>
        <v>1.3333333333333333</v>
      </c>
      <c r="F259" s="2">
        <f t="shared" si="4"/>
        <v>-1.3333333333333333</v>
      </c>
    </row>
    <row r="260" spans="1:6">
      <c r="A260" s="8" t="s">
        <v>264</v>
      </c>
      <c r="B260" s="8">
        <v>124815</v>
      </c>
      <c r="D260" s="1">
        <v>4.5</v>
      </c>
      <c r="E260" s="8">
        <f>VLOOKUP(B260,Gesamtstunden_26!B:I,8,0)</f>
        <v>0</v>
      </c>
      <c r="F260" s="2">
        <f t="shared" si="4"/>
        <v>4.5</v>
      </c>
    </row>
    <row r="261" spans="1:6" ht="27.6">
      <c r="A261" s="8" t="s">
        <v>265</v>
      </c>
      <c r="B261" s="8">
        <v>141131</v>
      </c>
      <c r="D261" s="1">
        <v>9.0033333333333303</v>
      </c>
      <c r="E261" s="8">
        <f>VLOOKUP(B261,Gesamtstunden_26!B:I,8,0)</f>
        <v>0</v>
      </c>
      <c r="F261" s="2">
        <f t="shared" si="4"/>
        <v>9.0033333333333303</v>
      </c>
    </row>
    <row r="262" spans="1:6">
      <c r="A262" s="11" t="s">
        <v>266</v>
      </c>
      <c r="B262" s="11">
        <v>154044</v>
      </c>
      <c r="D262" s="1">
        <v>0</v>
      </c>
      <c r="E262" s="8">
        <f>VLOOKUP(B262,Gesamtstunden_26!B:I,8,0)</f>
        <v>1.3333333333333333</v>
      </c>
      <c r="F262" s="2">
        <f t="shared" si="4"/>
        <v>-1.3333333333333333</v>
      </c>
    </row>
    <row r="263" spans="1:6">
      <c r="A263" s="7" t="s">
        <v>267</v>
      </c>
      <c r="B263" s="7">
        <v>741443</v>
      </c>
      <c r="D263" s="1">
        <v>0</v>
      </c>
      <c r="E263" s="8">
        <f>VLOOKUP(B263,Gesamtstunden_26!B:I,8,0)</f>
        <v>6.5</v>
      </c>
      <c r="F263" s="2">
        <f t="shared" si="4"/>
        <v>-6.5</v>
      </c>
    </row>
    <row r="264" spans="1:6">
      <c r="A264" s="8" t="s">
        <v>268</v>
      </c>
      <c r="B264" s="8">
        <v>271042</v>
      </c>
      <c r="D264" s="1">
        <v>12</v>
      </c>
      <c r="E264" s="8">
        <f>VLOOKUP(B264,Gesamtstunden_26!B:I,8,0)</f>
        <v>0</v>
      </c>
      <c r="F264" s="2">
        <f t="shared" si="4"/>
        <v>12</v>
      </c>
    </row>
    <row r="265" spans="1:6">
      <c r="A265" s="8" t="s">
        <v>269</v>
      </c>
      <c r="B265" s="8">
        <v>673173</v>
      </c>
      <c r="D265" s="1">
        <v>11.67</v>
      </c>
      <c r="E265" s="8">
        <f>VLOOKUP(B265,Gesamtstunden_26!B:I,8,0)</f>
        <v>0</v>
      </c>
      <c r="F265" s="2">
        <f t="shared" si="4"/>
        <v>11.67</v>
      </c>
    </row>
    <row r="266" spans="1:6">
      <c r="A266" s="7" t="s">
        <v>270</v>
      </c>
      <c r="B266" s="7">
        <v>92567</v>
      </c>
      <c r="D266" s="1">
        <v>0</v>
      </c>
      <c r="E266" s="8">
        <f>VLOOKUP(B266,Gesamtstunden_26!B:I,8,0)</f>
        <v>3.3333333333333335</v>
      </c>
      <c r="F266" s="2">
        <f t="shared" si="4"/>
        <v>-3.3333333333333335</v>
      </c>
    </row>
    <row r="267" spans="1:6">
      <c r="A267" s="7" t="s">
        <v>271</v>
      </c>
      <c r="B267" s="7">
        <v>859332</v>
      </c>
      <c r="D267" s="1">
        <v>0</v>
      </c>
      <c r="E267" s="8">
        <f>VLOOKUP(B267,Gesamtstunden_26!B:I,8,0)</f>
        <v>3.3333333333333335</v>
      </c>
      <c r="F267" s="2">
        <f t="shared" si="4"/>
        <v>-3.3333333333333335</v>
      </c>
    </row>
    <row r="268" spans="1:6">
      <c r="A268" s="8" t="s">
        <v>272</v>
      </c>
      <c r="B268" s="8">
        <v>460979</v>
      </c>
      <c r="D268" s="1">
        <v>15.67</v>
      </c>
      <c r="E268" s="8">
        <f>VLOOKUP(B268,Gesamtstunden_26!B:I,8,0)</f>
        <v>0</v>
      </c>
      <c r="F268" s="2">
        <f t="shared" si="4"/>
        <v>15.67</v>
      </c>
    </row>
    <row r="269" spans="1:6" ht="27.6">
      <c r="A269" s="16" t="s">
        <v>273</v>
      </c>
      <c r="B269" s="16">
        <v>331144</v>
      </c>
      <c r="D269" s="1">
        <v>0</v>
      </c>
      <c r="E269" s="8">
        <f>VLOOKUP(B269,Gesamtstunden_26!B:I,8,0)</f>
        <v>3.3333333333333335</v>
      </c>
      <c r="F269" s="2">
        <f t="shared" si="4"/>
        <v>-3.3333333333333335</v>
      </c>
    </row>
    <row r="270" spans="1:6">
      <c r="A270" s="10" t="s">
        <v>274</v>
      </c>
      <c r="B270" s="10">
        <v>209946</v>
      </c>
      <c r="D270" s="1">
        <v>0</v>
      </c>
      <c r="E270" s="8">
        <f>VLOOKUP(B270,Gesamtstunden_26!B:I,8,0)</f>
        <v>2.6666666666666665</v>
      </c>
      <c r="F270" s="2">
        <f t="shared" si="4"/>
        <v>-2.6666666666666665</v>
      </c>
    </row>
    <row r="271" spans="1:6" ht="27.6">
      <c r="A271" s="15" t="s">
        <v>275</v>
      </c>
      <c r="B271" s="15">
        <v>262000</v>
      </c>
      <c r="D271" s="1">
        <v>0</v>
      </c>
      <c r="E271" s="8">
        <f>VLOOKUP(B271,Gesamtstunden_26!B:I,8,0)</f>
        <v>5</v>
      </c>
      <c r="F271" s="2">
        <f t="shared" si="4"/>
        <v>-5</v>
      </c>
    </row>
    <row r="272" spans="1:6">
      <c r="A272" s="16" t="s">
        <v>276</v>
      </c>
      <c r="B272" s="16">
        <v>562264</v>
      </c>
      <c r="D272" s="1">
        <v>0</v>
      </c>
      <c r="E272" s="8">
        <f>VLOOKUP(B272,Gesamtstunden_26!B:I,8,0)</f>
        <v>3</v>
      </c>
      <c r="F272" s="2">
        <f t="shared" si="4"/>
        <v>-3</v>
      </c>
    </row>
    <row r="273" spans="1:6">
      <c r="A273" s="8" t="s">
        <v>277</v>
      </c>
      <c r="B273" s="8">
        <v>2311</v>
      </c>
      <c r="D273" s="1">
        <v>14.67</v>
      </c>
      <c r="E273" s="8">
        <f>VLOOKUP(B273,Gesamtstunden_26!B:I,8,0)</f>
        <v>0</v>
      </c>
      <c r="F273" s="2">
        <f t="shared" si="4"/>
        <v>14.67</v>
      </c>
    </row>
    <row r="274" spans="1:6" ht="27.6">
      <c r="A274" s="15" t="s">
        <v>278</v>
      </c>
      <c r="B274" s="15">
        <v>231210</v>
      </c>
      <c r="D274" s="1">
        <v>0</v>
      </c>
      <c r="E274" s="8">
        <f>VLOOKUP(B274,Gesamtstunden_26!B:I,8,0)</f>
        <v>3.833333333333333</v>
      </c>
      <c r="F274" s="2">
        <f t="shared" si="4"/>
        <v>-3.833333333333333</v>
      </c>
    </row>
    <row r="275" spans="1:6" ht="27.6">
      <c r="A275" s="7" t="s">
        <v>279</v>
      </c>
      <c r="B275" s="7">
        <v>320172</v>
      </c>
      <c r="D275" s="1">
        <v>0</v>
      </c>
      <c r="E275" s="8">
        <f>VLOOKUP(B275,Gesamtstunden_26!B:I,8,0)</f>
        <v>0.33333333333333331</v>
      </c>
      <c r="F275" s="2">
        <f t="shared" si="4"/>
        <v>-0.33333333333333331</v>
      </c>
    </row>
    <row r="276" spans="1:6">
      <c r="A276" s="8" t="s">
        <v>280</v>
      </c>
      <c r="B276" s="8">
        <v>863369</v>
      </c>
      <c r="D276" s="1">
        <v>6.3333333333333304</v>
      </c>
      <c r="E276" s="8">
        <f>VLOOKUP(B276,Gesamtstunden_26!B:I,8,0)</f>
        <v>0</v>
      </c>
      <c r="F276" s="2">
        <f t="shared" si="4"/>
        <v>6.3333333333333304</v>
      </c>
    </row>
    <row r="277" spans="1:6">
      <c r="A277" s="10" t="s">
        <v>281</v>
      </c>
      <c r="B277" s="10">
        <v>671261</v>
      </c>
      <c r="D277" s="1">
        <v>0</v>
      </c>
      <c r="E277" s="8">
        <f>VLOOKUP(B277,Gesamtstunden_26!B:I,8,0)</f>
        <v>7.5</v>
      </c>
      <c r="F277" s="2">
        <f t="shared" si="4"/>
        <v>-7.5</v>
      </c>
    </row>
    <row r="278" spans="1:6">
      <c r="A278" s="8" t="s">
        <v>282</v>
      </c>
      <c r="B278" s="8">
        <v>540731</v>
      </c>
      <c r="D278" s="1">
        <v>4</v>
      </c>
      <c r="E278" s="8">
        <f>VLOOKUP(B278,Gesamtstunden_26!B:I,8,0)</f>
        <v>0</v>
      </c>
      <c r="F278" s="2">
        <f t="shared" si="4"/>
        <v>4</v>
      </c>
    </row>
    <row r="279" spans="1:6">
      <c r="A279" s="7" t="s">
        <v>283</v>
      </c>
      <c r="B279" s="7">
        <v>858791</v>
      </c>
      <c r="D279" s="1">
        <v>0</v>
      </c>
      <c r="E279" s="8">
        <f>VLOOKUP(B279,Gesamtstunden_26!B:I,8,0)</f>
        <v>3</v>
      </c>
      <c r="F279" s="2">
        <f t="shared" si="4"/>
        <v>-3</v>
      </c>
    </row>
    <row r="280" spans="1:6">
      <c r="A280" s="8" t="s">
        <v>284</v>
      </c>
      <c r="B280" s="8">
        <v>713200</v>
      </c>
      <c r="D280" s="1">
        <v>12</v>
      </c>
      <c r="E280" s="8">
        <f>VLOOKUP(B280,Gesamtstunden_26!B:I,8,0)</f>
        <v>0</v>
      </c>
      <c r="F280" s="2">
        <f t="shared" si="4"/>
        <v>12</v>
      </c>
    </row>
    <row r="281" spans="1:6">
      <c r="A281" s="8" t="s">
        <v>285</v>
      </c>
      <c r="B281" s="8">
        <v>679346</v>
      </c>
      <c r="D281" s="1">
        <v>15</v>
      </c>
      <c r="E281" s="8">
        <f>VLOOKUP(B281,Gesamtstunden_26!B:I,8,0)</f>
        <v>0</v>
      </c>
      <c r="F281" s="2">
        <f t="shared" si="4"/>
        <v>15</v>
      </c>
    </row>
    <row r="282" spans="1:6">
      <c r="A282" s="8" t="s">
        <v>286</v>
      </c>
      <c r="B282" s="8">
        <v>440596</v>
      </c>
      <c r="D282" s="1">
        <v>9.3333333333333304</v>
      </c>
      <c r="E282" s="8">
        <f>VLOOKUP(B282,Gesamtstunden_26!B:I,8,0)</f>
        <v>0</v>
      </c>
      <c r="F282" s="2">
        <f t="shared" si="4"/>
        <v>9.3333333333333304</v>
      </c>
    </row>
    <row r="283" spans="1:6">
      <c r="A283" s="7" t="s">
        <v>287</v>
      </c>
      <c r="B283" s="7">
        <v>828379</v>
      </c>
      <c r="D283" s="1">
        <v>0</v>
      </c>
      <c r="E283" s="8">
        <f>VLOOKUP(B283,Gesamtstunden_26!B:I,8,0)</f>
        <v>5</v>
      </c>
      <c r="F283" s="2">
        <f t="shared" si="4"/>
        <v>-5</v>
      </c>
    </row>
    <row r="284" spans="1:6">
      <c r="A284" s="17" t="s">
        <v>288</v>
      </c>
      <c r="B284" s="17">
        <v>745275</v>
      </c>
      <c r="D284" s="1">
        <v>0</v>
      </c>
      <c r="E284" s="8">
        <f>VLOOKUP(B284,Gesamtstunden_26!B:I,8,0)</f>
        <v>3.1666666666666665</v>
      </c>
      <c r="F284" s="2">
        <f t="shared" si="4"/>
        <v>-3.1666666666666665</v>
      </c>
    </row>
    <row r="285" spans="1:6">
      <c r="A285" t="s">
        <v>289</v>
      </c>
      <c r="B285">
        <v>822861</v>
      </c>
      <c r="D285" s="1">
        <v>8.1666666666666696</v>
      </c>
      <c r="E285" s="8">
        <f>VLOOKUP(B285,Gesamtstunden_26!B:I,8,0)</f>
        <v>0</v>
      </c>
      <c r="F285" s="2">
        <f t="shared" si="4"/>
        <v>8.1666666666666696</v>
      </c>
    </row>
    <row r="286" spans="1:6">
      <c r="A286" s="7" t="s">
        <v>290</v>
      </c>
      <c r="B286" s="7">
        <v>83613</v>
      </c>
      <c r="D286" s="1">
        <v>0</v>
      </c>
      <c r="E286" s="8">
        <f>VLOOKUP(B286,Gesamtstunden_26!B:I,8,0)</f>
        <v>2.3333333333333335</v>
      </c>
      <c r="F286" s="2">
        <f t="shared" si="4"/>
        <v>-2.3333333333333335</v>
      </c>
    </row>
    <row r="287" spans="1:6">
      <c r="A287" s="18" t="s">
        <v>291</v>
      </c>
      <c r="B287" s="18">
        <v>770361</v>
      </c>
      <c r="D287" s="1">
        <v>0</v>
      </c>
      <c r="E287" s="8">
        <f>VLOOKUP(B287,Gesamtstunden_26!B:I,8,0)</f>
        <v>0</v>
      </c>
      <c r="F287" s="2">
        <f t="shared" si="4"/>
        <v>0</v>
      </c>
    </row>
    <row r="288" spans="1:6">
      <c r="A288" s="10" t="s">
        <v>292</v>
      </c>
      <c r="B288" s="10">
        <v>464045</v>
      </c>
      <c r="D288" s="1">
        <v>0</v>
      </c>
      <c r="E288" s="8">
        <f>VLOOKUP(B288,Gesamtstunden_26!B:I,8,0)</f>
        <v>0</v>
      </c>
      <c r="F288" s="2">
        <f t="shared" si="4"/>
        <v>0</v>
      </c>
    </row>
    <row r="289" spans="1:1024">
      <c r="A289" s="16" t="s">
        <v>293</v>
      </c>
      <c r="B289" s="16">
        <v>510212</v>
      </c>
      <c r="D289" s="1">
        <v>0</v>
      </c>
      <c r="E289" s="8">
        <f>VLOOKUP(B289,Gesamtstunden_26!B:I,8,0)</f>
        <v>2.6666666666666665</v>
      </c>
      <c r="F289" s="2">
        <f t="shared" si="4"/>
        <v>-2.6666666666666665</v>
      </c>
    </row>
    <row r="290" spans="1:1024" s="11" customFormat="1">
      <c r="A290" s="8" t="s">
        <v>294</v>
      </c>
      <c r="B290" s="8">
        <v>520209</v>
      </c>
      <c r="C290"/>
      <c r="D290" s="1">
        <v>5.6733333333333302</v>
      </c>
      <c r="E290" s="8">
        <f>VLOOKUP(B290,Gesamtstunden_26!B:I,8,0)</f>
        <v>0</v>
      </c>
      <c r="F290" s="2">
        <f t="shared" si="4"/>
        <v>5.6733333333333302</v>
      </c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/>
      <c r="DY290"/>
      <c r="DZ290"/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/>
      <c r="FA290"/>
      <c r="FB290"/>
      <c r="FC290"/>
      <c r="FD290"/>
      <c r="FE290"/>
      <c r="FF290"/>
      <c r="FG290"/>
      <c r="FH290"/>
      <c r="FI290"/>
      <c r="FJ290"/>
      <c r="FK290"/>
      <c r="FL290"/>
      <c r="FM290"/>
      <c r="FN290"/>
      <c r="FO290"/>
      <c r="FP290"/>
      <c r="FQ290"/>
      <c r="FR290"/>
      <c r="FS290"/>
      <c r="FT290"/>
      <c r="FU290"/>
      <c r="FV290"/>
      <c r="FW290"/>
      <c r="FX290"/>
      <c r="FY290"/>
      <c r="FZ290"/>
      <c r="GA290"/>
      <c r="GB290"/>
      <c r="GC290"/>
      <c r="GD290"/>
      <c r="GE290"/>
      <c r="GF290"/>
      <c r="GG290"/>
      <c r="GH290"/>
      <c r="GI290"/>
      <c r="GJ290"/>
      <c r="GK290"/>
      <c r="GL290"/>
      <c r="GM290"/>
      <c r="GN290"/>
      <c r="GO290"/>
      <c r="GP290"/>
      <c r="GQ290"/>
      <c r="GR290"/>
      <c r="GS290"/>
      <c r="GT290"/>
      <c r="GU290"/>
      <c r="GV290"/>
      <c r="GW290"/>
      <c r="GX290"/>
      <c r="GY290"/>
      <c r="GZ290"/>
      <c r="HA290"/>
      <c r="HB290"/>
      <c r="HC290"/>
      <c r="HD290"/>
      <c r="HE290"/>
      <c r="HF290"/>
      <c r="HG290"/>
      <c r="HH290"/>
      <c r="HI290"/>
      <c r="HJ290"/>
      <c r="HK290"/>
      <c r="HL290"/>
      <c r="HM290"/>
      <c r="HN290"/>
      <c r="HO290"/>
      <c r="HP290"/>
      <c r="HQ290"/>
      <c r="HR290"/>
      <c r="HS290"/>
      <c r="HT290"/>
      <c r="HU290"/>
      <c r="HV290"/>
      <c r="HW290"/>
      <c r="HX290"/>
      <c r="HY290"/>
      <c r="HZ290"/>
      <c r="IA290"/>
      <c r="IB290"/>
      <c r="IC290"/>
      <c r="ID290"/>
      <c r="IE290"/>
      <c r="IF290"/>
      <c r="IG290"/>
      <c r="IH290"/>
      <c r="II290"/>
      <c r="IJ290"/>
      <c r="IK290"/>
      <c r="IL290"/>
      <c r="IM290"/>
      <c r="IN290"/>
      <c r="IO290"/>
      <c r="IP290"/>
      <c r="IQ290"/>
      <c r="IR290"/>
      <c r="IS290"/>
      <c r="IT290"/>
      <c r="IU290"/>
      <c r="IV290"/>
      <c r="IW290"/>
      <c r="IX290"/>
      <c r="IY290"/>
      <c r="IZ290"/>
      <c r="JA290"/>
      <c r="JB290"/>
      <c r="JC290"/>
      <c r="JD290"/>
      <c r="JE290"/>
      <c r="JF290"/>
      <c r="JG290"/>
      <c r="JH290"/>
      <c r="JI290"/>
      <c r="JJ290"/>
      <c r="JK290"/>
      <c r="JL290"/>
      <c r="JM290"/>
      <c r="JN290"/>
      <c r="JO290"/>
      <c r="JP290"/>
      <c r="JQ290"/>
      <c r="JR290"/>
      <c r="JS290"/>
      <c r="JT290"/>
      <c r="JU290"/>
      <c r="JV290"/>
      <c r="JW290"/>
      <c r="JX290"/>
      <c r="JY290"/>
      <c r="JZ290"/>
      <c r="KA290"/>
      <c r="KB290"/>
      <c r="KC290"/>
      <c r="KD290"/>
      <c r="KE290"/>
      <c r="KF290"/>
      <c r="KG290"/>
      <c r="KH290"/>
      <c r="KI290"/>
      <c r="KJ290"/>
      <c r="KK290"/>
      <c r="KL290"/>
      <c r="KM290"/>
      <c r="KN290"/>
      <c r="KO290"/>
      <c r="KP290"/>
      <c r="KQ290"/>
      <c r="KR290"/>
      <c r="KS290"/>
      <c r="KT290"/>
      <c r="KU290"/>
      <c r="KV290"/>
      <c r="KW290"/>
      <c r="KX290"/>
      <c r="KY290"/>
      <c r="KZ290"/>
      <c r="LA290"/>
      <c r="LB290"/>
      <c r="LC290"/>
      <c r="LD290"/>
      <c r="LE290"/>
      <c r="LF290"/>
      <c r="LG290"/>
      <c r="LH290"/>
      <c r="LI290"/>
      <c r="LJ290"/>
      <c r="LK290"/>
      <c r="LL290"/>
      <c r="LM290"/>
      <c r="LN290"/>
      <c r="LO290"/>
      <c r="LP290"/>
      <c r="LQ290"/>
      <c r="LR290"/>
      <c r="LS290"/>
      <c r="LT290"/>
      <c r="LU290"/>
      <c r="LV290"/>
      <c r="LW290"/>
      <c r="LX290"/>
      <c r="LY290"/>
      <c r="LZ290"/>
      <c r="MA290"/>
      <c r="MB290"/>
      <c r="MC290"/>
      <c r="MD290"/>
      <c r="ME290"/>
      <c r="MF290"/>
      <c r="MG290"/>
      <c r="MH290"/>
      <c r="MI290"/>
      <c r="MJ290"/>
      <c r="MK290"/>
      <c r="ML290"/>
      <c r="MM290"/>
      <c r="MN290"/>
      <c r="MO290"/>
      <c r="MP290"/>
      <c r="MQ290"/>
      <c r="MR290"/>
      <c r="MS290"/>
      <c r="MT290"/>
      <c r="MU290"/>
      <c r="MV290"/>
      <c r="MW290"/>
      <c r="MX290"/>
      <c r="MY290"/>
      <c r="MZ290"/>
      <c r="NA290"/>
      <c r="NB290"/>
      <c r="NC290"/>
      <c r="ND290"/>
      <c r="NE290"/>
      <c r="NF290"/>
      <c r="NG290"/>
      <c r="NH290"/>
      <c r="NI290"/>
      <c r="NJ290"/>
      <c r="NK290"/>
      <c r="NL290"/>
      <c r="NM290"/>
      <c r="NN290"/>
      <c r="NO290"/>
      <c r="NP290"/>
      <c r="NQ290"/>
      <c r="NR290"/>
      <c r="NS290"/>
      <c r="NT290"/>
      <c r="NU290"/>
      <c r="NV290"/>
      <c r="NW290"/>
      <c r="NX290"/>
      <c r="NY290"/>
      <c r="NZ290"/>
      <c r="OA290"/>
      <c r="OB290"/>
      <c r="OC290"/>
      <c r="OD290"/>
      <c r="OE290"/>
      <c r="OF290"/>
      <c r="OG290"/>
      <c r="OH290"/>
      <c r="OI290"/>
      <c r="OJ290"/>
      <c r="OK290"/>
      <c r="OL290"/>
      <c r="OM290"/>
      <c r="ON290"/>
      <c r="OO290"/>
      <c r="OP290"/>
      <c r="OQ290"/>
      <c r="OR290"/>
      <c r="OS290"/>
      <c r="OT290"/>
      <c r="OU290"/>
      <c r="OV290"/>
      <c r="OW290"/>
      <c r="OX290"/>
      <c r="OY290"/>
      <c r="OZ290"/>
      <c r="PA290"/>
      <c r="PB290"/>
      <c r="PC290"/>
      <c r="PD290"/>
      <c r="PE290"/>
      <c r="PF290"/>
      <c r="PG290"/>
      <c r="PH290"/>
      <c r="PI290"/>
      <c r="PJ290"/>
      <c r="PK290"/>
      <c r="PL290"/>
      <c r="PM290"/>
      <c r="PN290"/>
      <c r="PO290"/>
      <c r="PP290"/>
      <c r="PQ290"/>
      <c r="PR290"/>
      <c r="PS290"/>
      <c r="PT290"/>
      <c r="PU290"/>
      <c r="PV290"/>
      <c r="PW290"/>
      <c r="PX290"/>
      <c r="PY290"/>
      <c r="PZ290"/>
      <c r="QA290"/>
      <c r="QB290"/>
      <c r="QC290"/>
      <c r="QD290"/>
      <c r="QE290"/>
      <c r="QF290"/>
      <c r="QG290"/>
      <c r="QH290"/>
      <c r="QI290"/>
      <c r="QJ290"/>
      <c r="QK290"/>
      <c r="QL290"/>
      <c r="QM290"/>
      <c r="QN290"/>
      <c r="QO290"/>
      <c r="QP290"/>
      <c r="QQ290"/>
      <c r="QR290"/>
      <c r="QS290"/>
      <c r="QT290"/>
      <c r="QU290"/>
      <c r="QV290"/>
      <c r="QW290"/>
      <c r="QX290"/>
      <c r="QY290"/>
      <c r="QZ290"/>
      <c r="RA290"/>
      <c r="RB290"/>
      <c r="RC290"/>
      <c r="RD290"/>
      <c r="RE290"/>
      <c r="RF290"/>
      <c r="RG290"/>
      <c r="RH290"/>
      <c r="RI290"/>
      <c r="RJ290"/>
      <c r="RK290"/>
      <c r="RL290"/>
      <c r="RM290"/>
      <c r="RN290"/>
      <c r="RO290"/>
      <c r="RP290"/>
      <c r="RQ290"/>
      <c r="RR290"/>
      <c r="RS290"/>
      <c r="RT290"/>
      <c r="RU290"/>
      <c r="RV290"/>
      <c r="RW290"/>
      <c r="RX290"/>
      <c r="RY290"/>
      <c r="RZ290"/>
      <c r="SA290"/>
      <c r="SB290"/>
      <c r="SC290"/>
      <c r="SD290"/>
      <c r="SE290"/>
      <c r="SF290"/>
      <c r="SG290"/>
      <c r="SH290"/>
      <c r="SI290"/>
      <c r="SJ290"/>
      <c r="SK290"/>
      <c r="SL290"/>
      <c r="SM290"/>
      <c r="SN290"/>
      <c r="SO290"/>
      <c r="SP290"/>
      <c r="SQ290"/>
      <c r="SR290"/>
      <c r="SS290"/>
      <c r="ST290"/>
      <c r="SU290"/>
      <c r="SV290"/>
      <c r="SW290"/>
      <c r="SX290"/>
      <c r="SY290"/>
      <c r="SZ290"/>
      <c r="TA290"/>
      <c r="TB290"/>
      <c r="TC290"/>
      <c r="TD290"/>
      <c r="TE290"/>
      <c r="TF290"/>
      <c r="TG290"/>
      <c r="TH290"/>
      <c r="TI290"/>
      <c r="TJ290"/>
      <c r="TK290"/>
      <c r="TL290"/>
      <c r="TM290"/>
      <c r="TN290"/>
      <c r="TO290"/>
      <c r="TP290"/>
      <c r="TQ290"/>
      <c r="TR290"/>
      <c r="TS290"/>
      <c r="TT290"/>
      <c r="TU290"/>
      <c r="TV290"/>
      <c r="TW290"/>
      <c r="TX290"/>
      <c r="TY290"/>
      <c r="TZ290"/>
      <c r="UA290"/>
      <c r="UB290"/>
      <c r="UC290"/>
      <c r="UD290"/>
      <c r="UE290"/>
      <c r="UF290"/>
      <c r="UG290"/>
      <c r="UH290"/>
      <c r="UI290"/>
      <c r="UJ290"/>
      <c r="UK290"/>
      <c r="UL290"/>
      <c r="UM290"/>
      <c r="UN290"/>
      <c r="UO290"/>
      <c r="UP290"/>
      <c r="UQ290"/>
      <c r="UR290"/>
      <c r="US290"/>
      <c r="UT290"/>
      <c r="UU290"/>
      <c r="UV290"/>
      <c r="UW290"/>
      <c r="UX290"/>
      <c r="UY290"/>
      <c r="UZ290"/>
      <c r="VA290"/>
      <c r="VB290"/>
      <c r="VC290"/>
      <c r="VD290"/>
      <c r="VE290"/>
      <c r="VF290"/>
      <c r="VG290"/>
      <c r="VH290"/>
      <c r="VI290"/>
      <c r="VJ290"/>
      <c r="VK290"/>
      <c r="VL290"/>
      <c r="VM290"/>
      <c r="VN290"/>
      <c r="VO290"/>
      <c r="VP290"/>
      <c r="VQ290"/>
      <c r="VR290"/>
      <c r="VS290"/>
      <c r="VT290"/>
      <c r="VU290"/>
      <c r="VV290"/>
      <c r="VW290"/>
      <c r="VX290"/>
      <c r="VY290"/>
      <c r="VZ290"/>
      <c r="WA290"/>
      <c r="WB290"/>
      <c r="WC290"/>
      <c r="WD290"/>
      <c r="WE290"/>
      <c r="WF290"/>
      <c r="WG290"/>
      <c r="WH290"/>
      <c r="WI290"/>
      <c r="WJ290"/>
      <c r="WK290"/>
      <c r="WL290"/>
      <c r="WM290"/>
      <c r="WN290"/>
      <c r="WO290"/>
      <c r="WP290"/>
      <c r="WQ290"/>
      <c r="WR290"/>
      <c r="WS290"/>
      <c r="WT290"/>
      <c r="WU290"/>
      <c r="WV290"/>
      <c r="WW290"/>
      <c r="WX290"/>
      <c r="WY290"/>
      <c r="WZ290"/>
      <c r="XA290"/>
      <c r="XB290"/>
      <c r="XC290"/>
      <c r="XD290"/>
      <c r="XE290"/>
      <c r="XF290"/>
      <c r="XG290"/>
      <c r="XH290"/>
      <c r="XI290"/>
      <c r="XJ290"/>
      <c r="XK290"/>
      <c r="XL290"/>
      <c r="XM290"/>
      <c r="XN290"/>
      <c r="XO290"/>
      <c r="XP290"/>
      <c r="XQ290"/>
      <c r="XR290"/>
      <c r="XS290"/>
      <c r="XT290"/>
      <c r="XU290"/>
      <c r="XV290"/>
      <c r="XW290"/>
      <c r="XX290"/>
      <c r="XY290"/>
      <c r="XZ290"/>
      <c r="YA290"/>
      <c r="YB290"/>
      <c r="YC290"/>
      <c r="YD290"/>
      <c r="YE290"/>
      <c r="YF290"/>
      <c r="YG290"/>
      <c r="YH290"/>
      <c r="YI290"/>
      <c r="YJ290"/>
      <c r="YK290"/>
      <c r="YL290"/>
      <c r="YM290"/>
      <c r="YN290"/>
      <c r="YO290"/>
      <c r="YP290"/>
      <c r="YQ290"/>
      <c r="YR290"/>
      <c r="YS290"/>
      <c r="YT290"/>
      <c r="YU290"/>
      <c r="YV290"/>
      <c r="YW290"/>
      <c r="YX290"/>
      <c r="YY290"/>
      <c r="YZ290"/>
      <c r="ZA290"/>
      <c r="ZB290"/>
      <c r="ZC290"/>
      <c r="ZD290"/>
      <c r="ZE290"/>
      <c r="ZF290"/>
      <c r="ZG290"/>
      <c r="ZH290"/>
      <c r="ZI290"/>
      <c r="ZJ290"/>
      <c r="ZK290"/>
      <c r="ZL290"/>
      <c r="ZM290"/>
      <c r="ZN290"/>
      <c r="ZO290"/>
      <c r="ZP290"/>
      <c r="ZQ290"/>
      <c r="ZR290"/>
      <c r="ZS290"/>
      <c r="ZT290"/>
      <c r="ZU290"/>
      <c r="ZV290"/>
      <c r="ZW290"/>
      <c r="ZX290"/>
      <c r="ZY290"/>
      <c r="ZZ290"/>
      <c r="AAA290"/>
      <c r="AAB290"/>
      <c r="AAC290"/>
      <c r="AAD290"/>
      <c r="AAE290"/>
      <c r="AAF290"/>
      <c r="AAG290"/>
      <c r="AAH290"/>
      <c r="AAI290"/>
      <c r="AAJ290"/>
      <c r="AAK290"/>
      <c r="AAL290"/>
      <c r="AAM290"/>
      <c r="AAN290"/>
      <c r="AAO290"/>
      <c r="AAP290"/>
      <c r="AAQ290"/>
      <c r="AAR290"/>
      <c r="AAS290"/>
      <c r="AAT290"/>
      <c r="AAU290"/>
      <c r="AAV290"/>
      <c r="AAW290"/>
      <c r="AAX290"/>
      <c r="AAY290"/>
      <c r="AAZ290"/>
      <c r="ABA290"/>
      <c r="ABB290"/>
      <c r="ABC290"/>
      <c r="ABD290"/>
      <c r="ABE290"/>
      <c r="ABF290"/>
      <c r="ABG290"/>
      <c r="ABH290"/>
      <c r="ABI290"/>
      <c r="ABJ290"/>
      <c r="ABK290"/>
      <c r="ABL290"/>
      <c r="ABM290"/>
      <c r="ABN290"/>
      <c r="ABO290"/>
      <c r="ABP290"/>
      <c r="ABQ290"/>
      <c r="ABR290"/>
      <c r="ABS290"/>
      <c r="ABT290"/>
      <c r="ABU290"/>
      <c r="ABV290"/>
      <c r="ABW290"/>
      <c r="ABX290"/>
      <c r="ABY290"/>
      <c r="ABZ290"/>
      <c r="ACA290"/>
      <c r="ACB290"/>
      <c r="ACC290"/>
      <c r="ACD290"/>
      <c r="ACE290"/>
      <c r="ACF290"/>
      <c r="ACG290"/>
      <c r="ACH290"/>
      <c r="ACI290"/>
      <c r="ACJ290"/>
      <c r="ACK290"/>
      <c r="ACL290"/>
      <c r="ACM290"/>
      <c r="ACN290"/>
      <c r="ACO290"/>
      <c r="ACP290"/>
      <c r="ACQ290"/>
      <c r="ACR290"/>
      <c r="ACS290"/>
      <c r="ACT290"/>
      <c r="ACU290"/>
      <c r="ACV290"/>
      <c r="ACW290"/>
      <c r="ACX290"/>
      <c r="ACY290"/>
      <c r="ACZ290"/>
      <c r="ADA290"/>
      <c r="ADB290"/>
      <c r="ADC290"/>
      <c r="ADD290"/>
      <c r="ADE290"/>
      <c r="ADF290"/>
      <c r="ADG290"/>
      <c r="ADH290"/>
      <c r="ADI290"/>
      <c r="ADJ290"/>
      <c r="ADK290"/>
      <c r="ADL290"/>
      <c r="ADM290"/>
      <c r="ADN290"/>
      <c r="ADO290"/>
      <c r="ADP290"/>
      <c r="ADQ290"/>
      <c r="ADR290"/>
      <c r="ADS290"/>
      <c r="ADT290"/>
      <c r="ADU290"/>
      <c r="ADV290"/>
      <c r="ADW290"/>
      <c r="ADX290"/>
      <c r="ADY290"/>
      <c r="ADZ290"/>
      <c r="AEA290"/>
      <c r="AEB290"/>
      <c r="AEC290"/>
      <c r="AED290"/>
      <c r="AEE290"/>
      <c r="AEF290"/>
      <c r="AEG290"/>
      <c r="AEH290"/>
      <c r="AEI290"/>
      <c r="AEJ290"/>
      <c r="AEK290"/>
      <c r="AEL290"/>
      <c r="AEM290"/>
      <c r="AEN290"/>
      <c r="AEO290"/>
      <c r="AEP290"/>
      <c r="AEQ290"/>
      <c r="AER290"/>
      <c r="AES290"/>
      <c r="AET290"/>
      <c r="AEU290"/>
      <c r="AEV290"/>
      <c r="AEW290"/>
      <c r="AEX290"/>
      <c r="AEY290"/>
      <c r="AEZ290"/>
      <c r="AFA290"/>
      <c r="AFB290"/>
      <c r="AFC290"/>
      <c r="AFD290"/>
      <c r="AFE290"/>
      <c r="AFF290"/>
      <c r="AFG290"/>
      <c r="AFH290"/>
      <c r="AFI290"/>
      <c r="AFJ290"/>
      <c r="AFK290"/>
      <c r="AFL290"/>
      <c r="AFM290"/>
      <c r="AFN290"/>
      <c r="AFO290"/>
      <c r="AFP290"/>
      <c r="AFQ290"/>
      <c r="AFR290"/>
      <c r="AFS290"/>
      <c r="AFT290"/>
      <c r="AFU290"/>
      <c r="AFV290"/>
      <c r="AFW290"/>
      <c r="AFX290"/>
      <c r="AFY290"/>
      <c r="AFZ290"/>
      <c r="AGA290"/>
      <c r="AGB290"/>
      <c r="AGC290"/>
      <c r="AGD290"/>
      <c r="AGE290"/>
      <c r="AGF290"/>
      <c r="AGG290"/>
      <c r="AGH290"/>
      <c r="AGI290"/>
      <c r="AGJ290"/>
      <c r="AGK290"/>
      <c r="AGL290"/>
      <c r="AGM290"/>
      <c r="AGN290"/>
      <c r="AGO290"/>
      <c r="AGP290"/>
      <c r="AGQ290"/>
      <c r="AGR290"/>
      <c r="AGS290"/>
      <c r="AGT290"/>
      <c r="AGU290"/>
      <c r="AGV290"/>
      <c r="AGW290"/>
      <c r="AGX290"/>
      <c r="AGY290"/>
      <c r="AGZ290"/>
      <c r="AHA290"/>
      <c r="AHB290"/>
      <c r="AHC290"/>
      <c r="AHD290"/>
      <c r="AHE290"/>
      <c r="AHF290"/>
      <c r="AHG290"/>
      <c r="AHH290"/>
      <c r="AHI290"/>
      <c r="AHJ290"/>
      <c r="AHK290"/>
      <c r="AHL290"/>
      <c r="AHM290"/>
      <c r="AHN290"/>
      <c r="AHO290"/>
      <c r="AHP290"/>
      <c r="AHQ290"/>
      <c r="AHR290"/>
      <c r="AHS290"/>
      <c r="AHT290"/>
      <c r="AHU290"/>
      <c r="AHV290"/>
      <c r="AHW290"/>
      <c r="AHX290"/>
      <c r="AHY290"/>
      <c r="AHZ290"/>
      <c r="AIA290"/>
      <c r="AIB290"/>
      <c r="AIC290"/>
      <c r="AID290"/>
      <c r="AIE290"/>
      <c r="AIF290"/>
      <c r="AIG290"/>
      <c r="AIH290"/>
      <c r="AII290"/>
      <c r="AIJ290"/>
      <c r="AIK290"/>
      <c r="AIL290"/>
      <c r="AIM290"/>
      <c r="AIN290"/>
      <c r="AIO290"/>
      <c r="AIP290"/>
      <c r="AIQ290"/>
      <c r="AIR290"/>
      <c r="AIS290"/>
      <c r="AIT290"/>
      <c r="AIU290"/>
      <c r="AIV290"/>
      <c r="AIW290"/>
      <c r="AIX290"/>
      <c r="AIY290"/>
      <c r="AIZ290"/>
      <c r="AJA290"/>
      <c r="AJB290"/>
      <c r="AJC290"/>
      <c r="AJD290"/>
      <c r="AJE290"/>
      <c r="AJF290"/>
      <c r="AJG290"/>
      <c r="AJH290"/>
      <c r="AJI290"/>
      <c r="AJJ290"/>
      <c r="AJK290"/>
      <c r="AJL290"/>
      <c r="AJM290"/>
      <c r="AJN290"/>
      <c r="AJO290"/>
      <c r="AJP290"/>
      <c r="AJQ290"/>
      <c r="AJR290"/>
      <c r="AJS290"/>
      <c r="AJT290"/>
      <c r="AJU290"/>
      <c r="AJV290"/>
      <c r="AJW290"/>
      <c r="AJX290"/>
      <c r="AJY290"/>
      <c r="AJZ290"/>
      <c r="AKA290"/>
      <c r="AKB290"/>
      <c r="AKC290"/>
      <c r="AKD290"/>
      <c r="AKE290"/>
      <c r="AKF290"/>
      <c r="AKG290"/>
      <c r="AKH290"/>
      <c r="AKI290"/>
      <c r="AKJ290"/>
      <c r="AKK290"/>
      <c r="AKL290"/>
      <c r="AKM290"/>
      <c r="AKN290"/>
      <c r="AKO290"/>
      <c r="AKP290"/>
      <c r="AKQ290"/>
      <c r="AKR290"/>
      <c r="AKS290"/>
      <c r="AKT290"/>
      <c r="AKU290"/>
      <c r="AKV290"/>
      <c r="AKW290"/>
      <c r="AKX290"/>
      <c r="AKY290"/>
      <c r="AKZ290"/>
      <c r="ALA290"/>
      <c r="ALB290"/>
      <c r="ALC290"/>
      <c r="ALD290"/>
      <c r="ALE290"/>
      <c r="ALF290"/>
      <c r="ALG290"/>
      <c r="ALH290"/>
      <c r="ALI290"/>
      <c r="ALJ290"/>
      <c r="ALK290"/>
      <c r="ALL290"/>
      <c r="ALM290"/>
      <c r="ALN290"/>
      <c r="ALO290"/>
      <c r="ALP290"/>
      <c r="ALQ290"/>
      <c r="ALR290"/>
      <c r="ALS290"/>
      <c r="ALT290"/>
      <c r="ALU290"/>
      <c r="ALV290"/>
      <c r="ALW290"/>
      <c r="ALX290"/>
      <c r="ALY290"/>
      <c r="ALZ290"/>
      <c r="AMA290"/>
      <c r="AMB290"/>
      <c r="AMC290"/>
      <c r="AMD290"/>
      <c r="AME290"/>
      <c r="AMF290"/>
      <c r="AMG290"/>
      <c r="AMH290"/>
      <c r="AMI290"/>
      <c r="AMJ290"/>
    </row>
    <row r="291" spans="1:1024">
      <c r="A291" s="7" t="s">
        <v>295</v>
      </c>
      <c r="B291" s="7">
        <v>445999</v>
      </c>
      <c r="C291" s="11"/>
      <c r="D291" s="12">
        <v>2.3333333333333299</v>
      </c>
      <c r="E291" s="7">
        <f>VLOOKUP(B291,Gesamtstunden_26!B:I,8,0)</f>
        <v>6.1666666666666661</v>
      </c>
      <c r="F291" s="13">
        <f t="shared" si="4"/>
        <v>-3.8333333333333361</v>
      </c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  <c r="BN291" s="11"/>
      <c r="BO291" s="11"/>
      <c r="BP291" s="11"/>
      <c r="BQ291" s="11"/>
      <c r="BR291" s="11"/>
      <c r="BS291" s="11"/>
      <c r="BT291" s="11"/>
      <c r="BU291" s="11"/>
      <c r="BV291" s="11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  <c r="EM291" s="11"/>
      <c r="EN291" s="11"/>
      <c r="EO291" s="11"/>
      <c r="EP291" s="11"/>
      <c r="EQ291" s="11"/>
      <c r="ER291" s="11"/>
      <c r="ES291" s="11"/>
      <c r="ET291" s="11"/>
      <c r="EU291" s="11"/>
      <c r="EV291" s="11"/>
      <c r="EW291" s="11"/>
      <c r="EX291" s="11"/>
      <c r="EY291" s="11"/>
      <c r="EZ291" s="11"/>
      <c r="FA291" s="11"/>
      <c r="FB291" s="11"/>
      <c r="FC291" s="11"/>
      <c r="FD291" s="11"/>
      <c r="FE291" s="11"/>
      <c r="FF291" s="11"/>
      <c r="FG291" s="11"/>
      <c r="FH291" s="11"/>
      <c r="FI291" s="11"/>
      <c r="FJ291" s="11"/>
      <c r="FK291" s="11"/>
      <c r="FL291" s="11"/>
      <c r="FM291" s="11"/>
      <c r="FN291" s="11"/>
      <c r="FO291" s="11"/>
      <c r="FP291" s="11"/>
      <c r="FQ291" s="11"/>
      <c r="FR291" s="11"/>
      <c r="FS291" s="11"/>
      <c r="FT291" s="11"/>
      <c r="FU291" s="11"/>
      <c r="FV291" s="11"/>
      <c r="FW291" s="11"/>
      <c r="FX291" s="11"/>
      <c r="FY291" s="11"/>
      <c r="FZ291" s="11"/>
      <c r="GA291" s="11"/>
      <c r="GB291" s="11"/>
      <c r="GC291" s="11"/>
      <c r="GD291" s="11"/>
      <c r="GE291" s="11"/>
      <c r="GF291" s="11"/>
      <c r="GG291" s="11"/>
      <c r="GH291" s="11"/>
      <c r="GI291" s="11"/>
      <c r="GJ291" s="11"/>
      <c r="GK291" s="11"/>
      <c r="GL291" s="11"/>
      <c r="GM291" s="11"/>
      <c r="GN291" s="11"/>
      <c r="GO291" s="11"/>
      <c r="GP291" s="11"/>
      <c r="GQ291" s="11"/>
      <c r="GR291" s="11"/>
      <c r="GS291" s="11"/>
      <c r="GT291" s="11"/>
      <c r="GU291" s="11"/>
      <c r="GV291" s="11"/>
      <c r="GW291" s="11"/>
      <c r="GX291" s="11"/>
      <c r="GY291" s="11"/>
      <c r="GZ291" s="11"/>
      <c r="HA291" s="11"/>
      <c r="HB291" s="11"/>
      <c r="HC291" s="11"/>
      <c r="HD291" s="11"/>
      <c r="HE291" s="11"/>
      <c r="HF291" s="11"/>
      <c r="HG291" s="11"/>
      <c r="HH291" s="11"/>
      <c r="HI291" s="11"/>
      <c r="HJ291" s="11"/>
      <c r="HK291" s="11"/>
      <c r="HL291" s="11"/>
      <c r="HM291" s="11"/>
      <c r="HN291" s="11"/>
      <c r="HO291" s="11"/>
      <c r="HP291" s="11"/>
      <c r="HQ291" s="11"/>
      <c r="HR291" s="11"/>
      <c r="HS291" s="11"/>
      <c r="HT291" s="11"/>
      <c r="HU291" s="11"/>
      <c r="HV291" s="11"/>
      <c r="HW291" s="11"/>
      <c r="HX291" s="11"/>
      <c r="HY291" s="11"/>
      <c r="HZ291" s="11"/>
      <c r="IA291" s="11"/>
      <c r="IB291" s="11"/>
      <c r="IC291" s="11"/>
      <c r="ID291" s="11"/>
      <c r="IE291" s="11"/>
      <c r="IF291" s="11"/>
      <c r="IG291" s="11"/>
      <c r="IH291" s="11"/>
      <c r="II291" s="11"/>
      <c r="IJ291" s="11"/>
      <c r="IK291" s="11"/>
      <c r="IL291" s="11"/>
      <c r="IM291" s="11"/>
      <c r="IN291" s="11"/>
      <c r="IO291" s="11"/>
      <c r="IP291" s="11"/>
      <c r="IQ291" s="11"/>
      <c r="IR291" s="11"/>
      <c r="IS291" s="11"/>
      <c r="IT291" s="11"/>
      <c r="IU291" s="11"/>
      <c r="IV291" s="11"/>
      <c r="IW291" s="11"/>
      <c r="IX291" s="11"/>
      <c r="IY291" s="11"/>
      <c r="IZ291" s="11"/>
      <c r="JA291" s="11"/>
      <c r="JB291" s="11"/>
      <c r="JC291" s="11"/>
      <c r="JD291" s="11"/>
      <c r="JE291" s="11"/>
      <c r="JF291" s="11"/>
      <c r="JG291" s="11"/>
      <c r="JH291" s="11"/>
      <c r="JI291" s="11"/>
      <c r="JJ291" s="11"/>
      <c r="JK291" s="11"/>
      <c r="JL291" s="11"/>
      <c r="JM291" s="11"/>
      <c r="JN291" s="11"/>
      <c r="JO291" s="11"/>
      <c r="JP291" s="11"/>
      <c r="JQ291" s="11"/>
      <c r="JR291" s="11"/>
      <c r="JS291" s="11"/>
      <c r="JT291" s="11"/>
      <c r="JU291" s="11"/>
      <c r="JV291" s="11"/>
      <c r="JW291" s="11"/>
      <c r="JX291" s="11"/>
      <c r="JY291" s="11"/>
      <c r="JZ291" s="11"/>
      <c r="KA291" s="11"/>
      <c r="KB291" s="11"/>
      <c r="KC291" s="11"/>
      <c r="KD291" s="11"/>
      <c r="KE291" s="11"/>
      <c r="KF291" s="11"/>
      <c r="KG291" s="11"/>
      <c r="KH291" s="11"/>
      <c r="KI291" s="11"/>
      <c r="KJ291" s="11"/>
      <c r="KK291" s="11"/>
      <c r="KL291" s="11"/>
      <c r="KM291" s="11"/>
      <c r="KN291" s="11"/>
      <c r="KO291" s="11"/>
      <c r="KP291" s="11"/>
      <c r="KQ291" s="11"/>
      <c r="KR291" s="11"/>
      <c r="KS291" s="11"/>
      <c r="KT291" s="11"/>
      <c r="KU291" s="11"/>
      <c r="KV291" s="11"/>
      <c r="KW291" s="11"/>
      <c r="KX291" s="11"/>
      <c r="KY291" s="11"/>
      <c r="KZ291" s="11"/>
      <c r="LA291" s="11"/>
      <c r="LB291" s="11"/>
      <c r="LC291" s="11"/>
      <c r="LD291" s="11"/>
      <c r="LE291" s="11"/>
      <c r="LF291" s="11"/>
      <c r="LG291" s="11"/>
      <c r="LH291" s="11"/>
      <c r="LI291" s="11"/>
      <c r="LJ291" s="11"/>
      <c r="LK291" s="11"/>
      <c r="LL291" s="11"/>
      <c r="LM291" s="11"/>
      <c r="LN291" s="11"/>
      <c r="LO291" s="11"/>
      <c r="LP291" s="11"/>
      <c r="LQ291" s="11"/>
      <c r="LR291" s="11"/>
      <c r="LS291" s="11"/>
      <c r="LT291" s="11"/>
      <c r="LU291" s="11"/>
      <c r="LV291" s="11"/>
      <c r="LW291" s="11"/>
      <c r="LX291" s="11"/>
      <c r="LY291" s="11"/>
      <c r="LZ291" s="11"/>
      <c r="MA291" s="11"/>
      <c r="MB291" s="11"/>
      <c r="MC291" s="11"/>
      <c r="MD291" s="11"/>
      <c r="ME291" s="11"/>
      <c r="MF291" s="11"/>
      <c r="MG291" s="11"/>
      <c r="MH291" s="11"/>
      <c r="MI291" s="11"/>
      <c r="MJ291" s="11"/>
      <c r="MK291" s="11"/>
      <c r="ML291" s="11"/>
      <c r="MM291" s="11"/>
      <c r="MN291" s="11"/>
      <c r="MO291" s="11"/>
      <c r="MP291" s="11"/>
      <c r="MQ291" s="11"/>
      <c r="MR291" s="11"/>
      <c r="MS291" s="11"/>
      <c r="MT291" s="11"/>
      <c r="MU291" s="11"/>
      <c r="MV291" s="11"/>
      <c r="MW291" s="11"/>
      <c r="MX291" s="11"/>
      <c r="MY291" s="11"/>
      <c r="MZ291" s="11"/>
      <c r="NA291" s="11"/>
      <c r="NB291" s="11"/>
      <c r="NC291" s="11"/>
      <c r="ND291" s="11"/>
      <c r="NE291" s="11"/>
      <c r="NF291" s="11"/>
      <c r="NG291" s="11"/>
      <c r="NH291" s="11"/>
      <c r="NI291" s="11"/>
      <c r="NJ291" s="11"/>
      <c r="NK291" s="11"/>
      <c r="NL291" s="11"/>
      <c r="NM291" s="11"/>
      <c r="NN291" s="11"/>
      <c r="NO291" s="11"/>
      <c r="NP291" s="11"/>
      <c r="NQ291" s="11"/>
      <c r="NR291" s="11"/>
      <c r="NS291" s="11"/>
      <c r="NT291" s="11"/>
      <c r="NU291" s="11"/>
      <c r="NV291" s="11"/>
      <c r="NW291" s="11"/>
      <c r="NX291" s="11"/>
      <c r="NY291" s="11"/>
      <c r="NZ291" s="11"/>
      <c r="OA291" s="11"/>
      <c r="OB291" s="11"/>
      <c r="OC291" s="11"/>
      <c r="OD291" s="11"/>
      <c r="OE291" s="11"/>
      <c r="OF291" s="11"/>
      <c r="OG291" s="11"/>
      <c r="OH291" s="11"/>
      <c r="OI291" s="11"/>
      <c r="OJ291" s="11"/>
      <c r="OK291" s="11"/>
      <c r="OL291" s="11"/>
      <c r="OM291" s="11"/>
      <c r="ON291" s="11"/>
      <c r="OO291" s="11"/>
      <c r="OP291" s="11"/>
      <c r="OQ291" s="11"/>
      <c r="OR291" s="11"/>
      <c r="OS291" s="11"/>
      <c r="OT291" s="11"/>
      <c r="OU291" s="11"/>
      <c r="OV291" s="11"/>
      <c r="OW291" s="11"/>
      <c r="OX291" s="11"/>
      <c r="OY291" s="11"/>
      <c r="OZ291" s="11"/>
      <c r="PA291" s="11"/>
      <c r="PB291" s="11"/>
      <c r="PC291" s="11"/>
      <c r="PD291" s="11"/>
      <c r="PE291" s="11"/>
      <c r="PF291" s="11"/>
      <c r="PG291" s="11"/>
      <c r="PH291" s="11"/>
      <c r="PI291" s="11"/>
      <c r="PJ291" s="11"/>
      <c r="PK291" s="11"/>
      <c r="PL291" s="11"/>
      <c r="PM291" s="11"/>
      <c r="PN291" s="11"/>
      <c r="PO291" s="11"/>
      <c r="PP291" s="11"/>
      <c r="PQ291" s="11"/>
      <c r="PR291" s="11"/>
      <c r="PS291" s="11"/>
      <c r="PT291" s="11"/>
      <c r="PU291" s="11"/>
      <c r="PV291" s="11"/>
      <c r="PW291" s="11"/>
      <c r="PX291" s="11"/>
      <c r="PY291" s="11"/>
      <c r="PZ291" s="11"/>
      <c r="QA291" s="11"/>
      <c r="QB291" s="11"/>
      <c r="QC291" s="11"/>
      <c r="QD291" s="11"/>
      <c r="QE291" s="11"/>
      <c r="QF291" s="11"/>
      <c r="QG291" s="11"/>
      <c r="QH291" s="11"/>
      <c r="QI291" s="11"/>
      <c r="QJ291" s="11"/>
      <c r="QK291" s="11"/>
      <c r="QL291" s="11"/>
      <c r="QM291" s="11"/>
      <c r="QN291" s="11"/>
      <c r="QO291" s="11"/>
      <c r="QP291" s="11"/>
      <c r="QQ291" s="11"/>
      <c r="QR291" s="11"/>
      <c r="QS291" s="11"/>
      <c r="QT291" s="11"/>
      <c r="QU291" s="11"/>
      <c r="QV291" s="11"/>
      <c r="QW291" s="11"/>
      <c r="QX291" s="11"/>
      <c r="QY291" s="11"/>
      <c r="QZ291" s="11"/>
      <c r="RA291" s="11"/>
      <c r="RB291" s="11"/>
      <c r="RC291" s="11"/>
      <c r="RD291" s="11"/>
      <c r="RE291" s="11"/>
      <c r="RF291" s="11"/>
      <c r="RG291" s="11"/>
      <c r="RH291" s="11"/>
      <c r="RI291" s="11"/>
      <c r="RJ291" s="11"/>
      <c r="RK291" s="11"/>
      <c r="RL291" s="11"/>
      <c r="RM291" s="11"/>
      <c r="RN291" s="11"/>
      <c r="RO291" s="11"/>
      <c r="RP291" s="11"/>
      <c r="RQ291" s="11"/>
      <c r="RR291" s="11"/>
      <c r="RS291" s="11"/>
      <c r="RT291" s="11"/>
      <c r="RU291" s="11"/>
      <c r="RV291" s="11"/>
      <c r="RW291" s="11"/>
      <c r="RX291" s="11"/>
      <c r="RY291" s="11"/>
      <c r="RZ291" s="11"/>
      <c r="SA291" s="11"/>
      <c r="SB291" s="11"/>
      <c r="SC291" s="11"/>
      <c r="SD291" s="11"/>
      <c r="SE291" s="11"/>
      <c r="SF291" s="11"/>
      <c r="SG291" s="11"/>
      <c r="SH291" s="11"/>
      <c r="SI291" s="11"/>
      <c r="SJ291" s="11"/>
      <c r="SK291" s="11"/>
      <c r="SL291" s="11"/>
      <c r="SM291" s="11"/>
      <c r="SN291" s="11"/>
      <c r="SO291" s="11"/>
      <c r="SP291" s="11"/>
      <c r="SQ291" s="11"/>
      <c r="SR291" s="11"/>
      <c r="SS291" s="11"/>
      <c r="ST291" s="11"/>
      <c r="SU291" s="11"/>
      <c r="SV291" s="11"/>
      <c r="SW291" s="11"/>
      <c r="SX291" s="11"/>
      <c r="SY291" s="11"/>
      <c r="SZ291" s="11"/>
      <c r="TA291" s="11"/>
      <c r="TB291" s="11"/>
      <c r="TC291" s="11"/>
      <c r="TD291" s="11"/>
      <c r="TE291" s="11"/>
      <c r="TF291" s="11"/>
      <c r="TG291" s="11"/>
      <c r="TH291" s="11"/>
      <c r="TI291" s="11"/>
      <c r="TJ291" s="11"/>
      <c r="TK291" s="11"/>
      <c r="TL291" s="11"/>
      <c r="TM291" s="11"/>
      <c r="TN291" s="11"/>
      <c r="TO291" s="11"/>
      <c r="TP291" s="11"/>
      <c r="TQ291" s="11"/>
      <c r="TR291" s="11"/>
      <c r="TS291" s="11"/>
      <c r="TT291" s="11"/>
      <c r="TU291" s="11"/>
      <c r="TV291" s="11"/>
      <c r="TW291" s="11"/>
      <c r="TX291" s="11"/>
      <c r="TY291" s="11"/>
      <c r="TZ291" s="11"/>
      <c r="UA291" s="11"/>
      <c r="UB291" s="11"/>
      <c r="UC291" s="11"/>
      <c r="UD291" s="11"/>
      <c r="UE291" s="11"/>
      <c r="UF291" s="11"/>
      <c r="UG291" s="11"/>
      <c r="UH291" s="11"/>
      <c r="UI291" s="11"/>
      <c r="UJ291" s="11"/>
      <c r="UK291" s="11"/>
      <c r="UL291" s="11"/>
      <c r="UM291" s="11"/>
      <c r="UN291" s="11"/>
      <c r="UO291" s="11"/>
      <c r="UP291" s="11"/>
      <c r="UQ291" s="11"/>
      <c r="UR291" s="11"/>
      <c r="US291" s="11"/>
      <c r="UT291" s="11"/>
      <c r="UU291" s="11"/>
      <c r="UV291" s="11"/>
      <c r="UW291" s="11"/>
      <c r="UX291" s="11"/>
      <c r="UY291" s="11"/>
      <c r="UZ291" s="11"/>
      <c r="VA291" s="11"/>
      <c r="VB291" s="11"/>
      <c r="VC291" s="11"/>
      <c r="VD291" s="11"/>
      <c r="VE291" s="11"/>
      <c r="VF291" s="11"/>
      <c r="VG291" s="11"/>
      <c r="VH291" s="11"/>
      <c r="VI291" s="11"/>
      <c r="VJ291" s="11"/>
      <c r="VK291" s="11"/>
      <c r="VL291" s="11"/>
      <c r="VM291" s="11"/>
      <c r="VN291" s="11"/>
      <c r="VO291" s="11"/>
      <c r="VP291" s="11"/>
      <c r="VQ291" s="11"/>
      <c r="VR291" s="11"/>
      <c r="VS291" s="11"/>
      <c r="VT291" s="11"/>
      <c r="VU291" s="11"/>
      <c r="VV291" s="11"/>
      <c r="VW291" s="11"/>
      <c r="VX291" s="11"/>
      <c r="VY291" s="11"/>
      <c r="VZ291" s="11"/>
      <c r="WA291" s="11"/>
      <c r="WB291" s="11"/>
      <c r="WC291" s="11"/>
      <c r="WD291" s="11"/>
      <c r="WE291" s="11"/>
      <c r="WF291" s="11"/>
      <c r="WG291" s="11"/>
      <c r="WH291" s="11"/>
      <c r="WI291" s="11"/>
      <c r="WJ291" s="11"/>
      <c r="WK291" s="11"/>
      <c r="WL291" s="11"/>
      <c r="WM291" s="11"/>
      <c r="WN291" s="11"/>
      <c r="WO291" s="11"/>
      <c r="WP291" s="11"/>
      <c r="WQ291" s="11"/>
      <c r="WR291" s="11"/>
      <c r="WS291" s="11"/>
      <c r="WT291" s="11"/>
      <c r="WU291" s="11"/>
      <c r="WV291" s="11"/>
      <c r="WW291" s="11"/>
      <c r="WX291" s="11"/>
      <c r="WY291" s="11"/>
      <c r="WZ291" s="11"/>
      <c r="XA291" s="11"/>
      <c r="XB291" s="11"/>
      <c r="XC291" s="11"/>
      <c r="XD291" s="11"/>
      <c r="XE291" s="11"/>
      <c r="XF291" s="11"/>
      <c r="XG291" s="11"/>
      <c r="XH291" s="11"/>
      <c r="XI291" s="11"/>
      <c r="XJ291" s="11"/>
      <c r="XK291" s="11"/>
      <c r="XL291" s="11"/>
      <c r="XM291" s="11"/>
      <c r="XN291" s="11"/>
      <c r="XO291" s="11"/>
      <c r="XP291" s="11"/>
      <c r="XQ291" s="11"/>
      <c r="XR291" s="11"/>
      <c r="XS291" s="11"/>
      <c r="XT291" s="11"/>
      <c r="XU291" s="11"/>
      <c r="XV291" s="11"/>
      <c r="XW291" s="11"/>
      <c r="XX291" s="11"/>
      <c r="XY291" s="11"/>
      <c r="XZ291" s="11"/>
      <c r="YA291" s="11"/>
      <c r="YB291" s="11"/>
      <c r="YC291" s="11"/>
      <c r="YD291" s="11"/>
      <c r="YE291" s="11"/>
      <c r="YF291" s="11"/>
      <c r="YG291" s="11"/>
      <c r="YH291" s="11"/>
      <c r="YI291" s="11"/>
      <c r="YJ291" s="11"/>
      <c r="YK291" s="11"/>
      <c r="YL291" s="11"/>
      <c r="YM291" s="11"/>
      <c r="YN291" s="11"/>
      <c r="YO291" s="11"/>
      <c r="YP291" s="11"/>
      <c r="YQ291" s="11"/>
      <c r="YR291" s="11"/>
      <c r="YS291" s="11"/>
      <c r="YT291" s="11"/>
      <c r="YU291" s="11"/>
      <c r="YV291" s="11"/>
      <c r="YW291" s="11"/>
      <c r="YX291" s="11"/>
      <c r="YY291" s="11"/>
      <c r="YZ291" s="11"/>
      <c r="ZA291" s="11"/>
      <c r="ZB291" s="11"/>
      <c r="ZC291" s="11"/>
      <c r="ZD291" s="11"/>
      <c r="ZE291" s="11"/>
      <c r="ZF291" s="11"/>
      <c r="ZG291" s="11"/>
      <c r="ZH291" s="11"/>
      <c r="ZI291" s="11"/>
      <c r="ZJ291" s="11"/>
      <c r="ZK291" s="11"/>
      <c r="ZL291" s="11"/>
      <c r="ZM291" s="11"/>
      <c r="ZN291" s="11"/>
      <c r="ZO291" s="11"/>
      <c r="ZP291" s="11"/>
      <c r="ZQ291" s="11"/>
      <c r="ZR291" s="11"/>
      <c r="ZS291" s="11"/>
      <c r="ZT291" s="11"/>
      <c r="ZU291" s="11"/>
      <c r="ZV291" s="11"/>
      <c r="ZW291" s="11"/>
      <c r="ZX291" s="11"/>
      <c r="ZY291" s="11"/>
      <c r="ZZ291" s="11"/>
      <c r="AAA291" s="11"/>
      <c r="AAB291" s="11"/>
      <c r="AAC291" s="11"/>
      <c r="AAD291" s="11"/>
      <c r="AAE291" s="11"/>
      <c r="AAF291" s="11"/>
      <c r="AAG291" s="11"/>
      <c r="AAH291" s="11"/>
      <c r="AAI291" s="11"/>
      <c r="AAJ291" s="11"/>
      <c r="AAK291" s="11"/>
      <c r="AAL291" s="11"/>
      <c r="AAM291" s="11"/>
      <c r="AAN291" s="11"/>
      <c r="AAO291" s="11"/>
      <c r="AAP291" s="11"/>
      <c r="AAQ291" s="11"/>
      <c r="AAR291" s="11"/>
      <c r="AAS291" s="11"/>
      <c r="AAT291" s="11"/>
      <c r="AAU291" s="11"/>
      <c r="AAV291" s="11"/>
      <c r="AAW291" s="11"/>
      <c r="AAX291" s="11"/>
      <c r="AAY291" s="11"/>
      <c r="AAZ291" s="11"/>
      <c r="ABA291" s="11"/>
      <c r="ABB291" s="11"/>
      <c r="ABC291" s="11"/>
      <c r="ABD291" s="11"/>
      <c r="ABE291" s="11"/>
      <c r="ABF291" s="11"/>
      <c r="ABG291" s="11"/>
      <c r="ABH291" s="11"/>
      <c r="ABI291" s="11"/>
      <c r="ABJ291" s="11"/>
      <c r="ABK291" s="11"/>
      <c r="ABL291" s="11"/>
      <c r="ABM291" s="11"/>
      <c r="ABN291" s="11"/>
      <c r="ABO291" s="11"/>
      <c r="ABP291" s="11"/>
      <c r="ABQ291" s="11"/>
      <c r="ABR291" s="11"/>
      <c r="ABS291" s="11"/>
      <c r="ABT291" s="11"/>
      <c r="ABU291" s="11"/>
      <c r="ABV291" s="11"/>
      <c r="ABW291" s="11"/>
      <c r="ABX291" s="11"/>
      <c r="ABY291" s="11"/>
      <c r="ABZ291" s="11"/>
      <c r="ACA291" s="11"/>
      <c r="ACB291" s="11"/>
      <c r="ACC291" s="11"/>
      <c r="ACD291" s="11"/>
      <c r="ACE291" s="11"/>
      <c r="ACF291" s="11"/>
      <c r="ACG291" s="11"/>
      <c r="ACH291" s="11"/>
      <c r="ACI291" s="11"/>
      <c r="ACJ291" s="11"/>
      <c r="ACK291" s="11"/>
      <c r="ACL291" s="11"/>
      <c r="ACM291" s="11"/>
      <c r="ACN291" s="11"/>
      <c r="ACO291" s="11"/>
      <c r="ACP291" s="11"/>
      <c r="ACQ291" s="11"/>
      <c r="ACR291" s="11"/>
      <c r="ACS291" s="11"/>
      <c r="ACT291" s="11"/>
      <c r="ACU291" s="11"/>
      <c r="ACV291" s="11"/>
      <c r="ACW291" s="11"/>
      <c r="ACX291" s="11"/>
      <c r="ACY291" s="11"/>
      <c r="ACZ291" s="11"/>
      <c r="ADA291" s="11"/>
      <c r="ADB291" s="11"/>
      <c r="ADC291" s="11"/>
      <c r="ADD291" s="11"/>
      <c r="ADE291" s="11"/>
      <c r="ADF291" s="11"/>
      <c r="ADG291" s="11"/>
      <c r="ADH291" s="11"/>
      <c r="ADI291" s="11"/>
      <c r="ADJ291" s="11"/>
      <c r="ADK291" s="11"/>
      <c r="ADL291" s="11"/>
      <c r="ADM291" s="11"/>
      <c r="ADN291" s="11"/>
      <c r="ADO291" s="11"/>
      <c r="ADP291" s="11"/>
      <c r="ADQ291" s="11"/>
      <c r="ADR291" s="11"/>
      <c r="ADS291" s="11"/>
      <c r="ADT291" s="11"/>
      <c r="ADU291" s="11"/>
      <c r="ADV291" s="11"/>
      <c r="ADW291" s="11"/>
      <c r="ADX291" s="11"/>
      <c r="ADY291" s="11"/>
      <c r="ADZ291" s="11"/>
      <c r="AEA291" s="11"/>
      <c r="AEB291" s="11"/>
      <c r="AEC291" s="11"/>
      <c r="AED291" s="11"/>
      <c r="AEE291" s="11"/>
      <c r="AEF291" s="11"/>
      <c r="AEG291" s="11"/>
      <c r="AEH291" s="11"/>
      <c r="AEI291" s="11"/>
      <c r="AEJ291" s="11"/>
      <c r="AEK291" s="11"/>
      <c r="AEL291" s="11"/>
      <c r="AEM291" s="11"/>
      <c r="AEN291" s="11"/>
      <c r="AEO291" s="11"/>
      <c r="AEP291" s="11"/>
      <c r="AEQ291" s="11"/>
      <c r="AER291" s="11"/>
      <c r="AES291" s="11"/>
      <c r="AET291" s="11"/>
      <c r="AEU291" s="11"/>
      <c r="AEV291" s="11"/>
      <c r="AEW291" s="11"/>
      <c r="AEX291" s="11"/>
      <c r="AEY291" s="11"/>
      <c r="AEZ291" s="11"/>
      <c r="AFA291" s="11"/>
      <c r="AFB291" s="11"/>
      <c r="AFC291" s="11"/>
      <c r="AFD291" s="11"/>
      <c r="AFE291" s="11"/>
      <c r="AFF291" s="11"/>
      <c r="AFG291" s="11"/>
      <c r="AFH291" s="11"/>
      <c r="AFI291" s="11"/>
      <c r="AFJ291" s="11"/>
      <c r="AFK291" s="11"/>
      <c r="AFL291" s="11"/>
      <c r="AFM291" s="11"/>
      <c r="AFN291" s="11"/>
      <c r="AFO291" s="11"/>
      <c r="AFP291" s="11"/>
      <c r="AFQ291" s="11"/>
      <c r="AFR291" s="11"/>
      <c r="AFS291" s="11"/>
      <c r="AFT291" s="11"/>
      <c r="AFU291" s="11"/>
      <c r="AFV291" s="11"/>
      <c r="AFW291" s="11"/>
      <c r="AFX291" s="11"/>
      <c r="AFY291" s="11"/>
      <c r="AFZ291" s="11"/>
      <c r="AGA291" s="11"/>
      <c r="AGB291" s="11"/>
      <c r="AGC291" s="11"/>
      <c r="AGD291" s="11"/>
      <c r="AGE291" s="11"/>
      <c r="AGF291" s="11"/>
      <c r="AGG291" s="11"/>
      <c r="AGH291" s="11"/>
      <c r="AGI291" s="11"/>
      <c r="AGJ291" s="11"/>
      <c r="AGK291" s="11"/>
      <c r="AGL291" s="11"/>
      <c r="AGM291" s="11"/>
      <c r="AGN291" s="11"/>
      <c r="AGO291" s="11"/>
      <c r="AGP291" s="11"/>
      <c r="AGQ291" s="11"/>
      <c r="AGR291" s="11"/>
      <c r="AGS291" s="11"/>
      <c r="AGT291" s="11"/>
      <c r="AGU291" s="11"/>
      <c r="AGV291" s="11"/>
      <c r="AGW291" s="11"/>
      <c r="AGX291" s="11"/>
      <c r="AGY291" s="11"/>
      <c r="AGZ291" s="11"/>
      <c r="AHA291" s="11"/>
      <c r="AHB291" s="11"/>
      <c r="AHC291" s="11"/>
      <c r="AHD291" s="11"/>
      <c r="AHE291" s="11"/>
      <c r="AHF291" s="11"/>
      <c r="AHG291" s="11"/>
      <c r="AHH291" s="11"/>
      <c r="AHI291" s="11"/>
      <c r="AHJ291" s="11"/>
      <c r="AHK291" s="11"/>
      <c r="AHL291" s="11"/>
      <c r="AHM291" s="11"/>
      <c r="AHN291" s="11"/>
      <c r="AHO291" s="11"/>
      <c r="AHP291" s="11"/>
      <c r="AHQ291" s="11"/>
      <c r="AHR291" s="11"/>
      <c r="AHS291" s="11"/>
      <c r="AHT291" s="11"/>
      <c r="AHU291" s="11"/>
      <c r="AHV291" s="11"/>
      <c r="AHW291" s="11"/>
      <c r="AHX291" s="11"/>
      <c r="AHY291" s="11"/>
      <c r="AHZ291" s="11"/>
      <c r="AIA291" s="11"/>
      <c r="AIB291" s="11"/>
      <c r="AIC291" s="11"/>
      <c r="AID291" s="11"/>
      <c r="AIE291" s="11"/>
      <c r="AIF291" s="11"/>
      <c r="AIG291" s="11"/>
      <c r="AIH291" s="11"/>
      <c r="AII291" s="11"/>
      <c r="AIJ291" s="11"/>
      <c r="AIK291" s="11"/>
      <c r="AIL291" s="11"/>
      <c r="AIM291" s="11"/>
      <c r="AIN291" s="11"/>
      <c r="AIO291" s="11"/>
      <c r="AIP291" s="11"/>
      <c r="AIQ291" s="11"/>
      <c r="AIR291" s="11"/>
      <c r="AIS291" s="11"/>
      <c r="AIT291" s="11"/>
      <c r="AIU291" s="11"/>
      <c r="AIV291" s="11"/>
      <c r="AIW291" s="11"/>
      <c r="AIX291" s="11"/>
      <c r="AIY291" s="11"/>
      <c r="AIZ291" s="11"/>
      <c r="AJA291" s="11"/>
      <c r="AJB291" s="11"/>
      <c r="AJC291" s="11"/>
      <c r="AJD291" s="11"/>
      <c r="AJE291" s="11"/>
      <c r="AJF291" s="11"/>
      <c r="AJG291" s="11"/>
      <c r="AJH291" s="11"/>
      <c r="AJI291" s="11"/>
      <c r="AJJ291" s="11"/>
      <c r="AJK291" s="11"/>
      <c r="AJL291" s="11"/>
      <c r="AJM291" s="11"/>
      <c r="AJN291" s="11"/>
      <c r="AJO291" s="11"/>
      <c r="AJP291" s="11"/>
      <c r="AJQ291" s="11"/>
      <c r="AJR291" s="11"/>
      <c r="AJS291" s="11"/>
      <c r="AJT291" s="11"/>
      <c r="AJU291" s="11"/>
      <c r="AJV291" s="11"/>
      <c r="AJW291" s="11"/>
      <c r="AJX291" s="11"/>
      <c r="AJY291" s="11"/>
      <c r="AJZ291" s="11"/>
      <c r="AKA291" s="11"/>
      <c r="AKB291" s="11"/>
      <c r="AKC291" s="11"/>
      <c r="AKD291" s="11"/>
      <c r="AKE291" s="11"/>
      <c r="AKF291" s="11"/>
      <c r="AKG291" s="11"/>
      <c r="AKH291" s="11"/>
      <c r="AKI291" s="11"/>
      <c r="AKJ291" s="11"/>
      <c r="AKK291" s="11"/>
      <c r="AKL291" s="11"/>
      <c r="AKM291" s="11"/>
      <c r="AKN291" s="11"/>
      <c r="AKO291" s="11"/>
      <c r="AKP291" s="11"/>
      <c r="AKQ291" s="11"/>
      <c r="AKR291" s="11"/>
      <c r="AKS291" s="11"/>
      <c r="AKT291" s="11"/>
      <c r="AKU291" s="11"/>
      <c r="AKV291" s="11"/>
      <c r="AKW291" s="11"/>
      <c r="AKX291" s="11"/>
      <c r="AKY291" s="11"/>
      <c r="AKZ291" s="11"/>
      <c r="ALA291" s="11"/>
      <c r="ALB291" s="11"/>
      <c r="ALC291" s="11"/>
      <c r="ALD291" s="11"/>
      <c r="ALE291" s="11"/>
      <c r="ALF291" s="11"/>
      <c r="ALG291" s="11"/>
      <c r="ALH291" s="11"/>
      <c r="ALI291" s="11"/>
      <c r="ALJ291" s="11"/>
      <c r="ALK291" s="11"/>
      <c r="ALL291" s="11"/>
      <c r="ALM291" s="11"/>
      <c r="ALN291" s="11"/>
      <c r="ALO291" s="11"/>
      <c r="ALP291" s="11"/>
      <c r="ALQ291" s="11"/>
      <c r="ALR291" s="11"/>
      <c r="ALS291" s="11"/>
      <c r="ALT291" s="11"/>
      <c r="ALU291" s="11"/>
      <c r="ALV291" s="11"/>
      <c r="ALW291" s="11"/>
      <c r="ALX291" s="11"/>
      <c r="ALY291" s="11"/>
      <c r="ALZ291" s="11"/>
      <c r="AMA291" s="11"/>
      <c r="AMB291" s="11"/>
      <c r="AMC291" s="11"/>
      <c r="AMD291" s="11"/>
      <c r="AME291" s="11"/>
      <c r="AMF291" s="11"/>
      <c r="AMG291" s="11"/>
      <c r="AMH291" s="11"/>
      <c r="AMI291" s="11"/>
      <c r="AMJ291" s="11"/>
    </row>
    <row r="292" spans="1:1024">
      <c r="A292" s="10" t="s">
        <v>296</v>
      </c>
      <c r="B292" s="10">
        <v>660813</v>
      </c>
      <c r="D292" s="1">
        <v>0</v>
      </c>
      <c r="E292" s="8">
        <f>VLOOKUP(B292,Gesamtstunden_26!B:I,8,0)</f>
        <v>1.5</v>
      </c>
      <c r="F292" s="2">
        <f t="shared" si="4"/>
        <v>-1.5</v>
      </c>
    </row>
    <row r="293" spans="1:1024" ht="27.6">
      <c r="A293" s="8" t="s">
        <v>297</v>
      </c>
      <c r="B293" s="19">
        <v>824174</v>
      </c>
      <c r="D293" s="1">
        <v>9.6666666666666696</v>
      </c>
      <c r="E293" s="8">
        <f>VLOOKUP(B293,Gesamtstunden_26!B:I,8,0)</f>
        <v>0</v>
      </c>
      <c r="F293" s="2">
        <f t="shared" si="4"/>
        <v>9.6666666666666696</v>
      </c>
    </row>
    <row r="294" spans="1:1024">
      <c r="A294" s="8" t="s">
        <v>298</v>
      </c>
      <c r="B294" s="8">
        <v>783441</v>
      </c>
      <c r="D294" s="1">
        <v>7.0033333333333401</v>
      </c>
      <c r="E294" s="8">
        <f>VLOOKUP(B294,Gesamtstunden_26!B:I,8,0)</f>
        <v>0</v>
      </c>
      <c r="F294" s="2">
        <f t="shared" si="4"/>
        <v>7.0033333333333401</v>
      </c>
    </row>
    <row r="295" spans="1:1024">
      <c r="A295" s="15" t="s">
        <v>299</v>
      </c>
      <c r="B295" s="15">
        <v>340877</v>
      </c>
      <c r="D295" s="1">
        <v>0</v>
      </c>
      <c r="E295" s="8">
        <f>VLOOKUP(B295,Gesamtstunden_26!B:I,8,0)</f>
        <v>5.333333333333333</v>
      </c>
      <c r="F295" s="2">
        <f t="shared" si="4"/>
        <v>-5.333333333333333</v>
      </c>
    </row>
    <row r="296" spans="1:1024">
      <c r="A296" s="18" t="s">
        <v>300</v>
      </c>
      <c r="B296" s="18">
        <v>268853</v>
      </c>
      <c r="D296" s="1">
        <v>0</v>
      </c>
      <c r="E296" s="8">
        <f>VLOOKUP(B296,Gesamtstunden_26!B:I,8,0)</f>
        <v>1</v>
      </c>
      <c r="F296" s="2">
        <f t="shared" si="4"/>
        <v>-1</v>
      </c>
    </row>
    <row r="297" spans="1:1024">
      <c r="A297" s="10" t="s">
        <v>301</v>
      </c>
      <c r="B297" s="10">
        <v>898849</v>
      </c>
      <c r="D297" s="1">
        <v>0</v>
      </c>
      <c r="E297" s="8">
        <f>VLOOKUP(B297,Gesamtstunden_26!B:I,8,0)</f>
        <v>6.333333333333333</v>
      </c>
      <c r="F297" s="2">
        <f t="shared" si="4"/>
        <v>-6.333333333333333</v>
      </c>
    </row>
    <row r="298" spans="1:1024">
      <c r="A298" s="7" t="s">
        <v>302</v>
      </c>
      <c r="B298" s="7">
        <v>572589</v>
      </c>
      <c r="D298" s="1">
        <v>0</v>
      </c>
      <c r="E298" s="8">
        <f>VLOOKUP(B298,Gesamtstunden_26!B:I,8,0)</f>
        <v>1</v>
      </c>
      <c r="F298" s="2">
        <f t="shared" si="4"/>
        <v>-1</v>
      </c>
    </row>
    <row r="299" spans="1:1024">
      <c r="A299" s="15" t="s">
        <v>303</v>
      </c>
      <c r="B299" s="15">
        <v>102703</v>
      </c>
      <c r="D299" s="1">
        <v>0</v>
      </c>
      <c r="E299" s="8">
        <f>VLOOKUP(B299,Gesamtstunden_26!B:I,8,0)</f>
        <v>0.33333333333333331</v>
      </c>
      <c r="F299" s="2">
        <f t="shared" si="4"/>
        <v>-0.33333333333333331</v>
      </c>
    </row>
    <row r="300" spans="1:1024">
      <c r="A300" s="16" t="s">
        <v>304</v>
      </c>
      <c r="B300" s="16">
        <v>466400</v>
      </c>
      <c r="D300" s="1">
        <v>0</v>
      </c>
      <c r="E300" s="8">
        <f>VLOOKUP(B300,Gesamtstunden_26!B:I,8,0)</f>
        <v>8</v>
      </c>
      <c r="F300" s="2">
        <f t="shared" si="4"/>
        <v>-8</v>
      </c>
    </row>
    <row r="301" spans="1:1024">
      <c r="A301" s="10" t="s">
        <v>305</v>
      </c>
      <c r="B301" s="10">
        <v>657156</v>
      </c>
      <c r="D301" s="1">
        <v>0</v>
      </c>
      <c r="E301" s="8">
        <f>VLOOKUP(B301,Gesamtstunden_26!B:I,8,0)</f>
        <v>2</v>
      </c>
      <c r="F301" s="2">
        <f t="shared" si="4"/>
        <v>-2</v>
      </c>
    </row>
    <row r="302" spans="1:1024" ht="27.6">
      <c r="A302" s="8" t="s">
        <v>306</v>
      </c>
      <c r="B302" s="8">
        <v>529912</v>
      </c>
      <c r="D302" s="1">
        <v>6</v>
      </c>
      <c r="E302" s="8">
        <f>VLOOKUP(B302,Gesamtstunden_26!B:I,8,0)</f>
        <v>0</v>
      </c>
      <c r="F302" s="2">
        <f t="shared" si="4"/>
        <v>6</v>
      </c>
    </row>
    <row r="303" spans="1:1024">
      <c r="A303" s="8" t="s">
        <v>307</v>
      </c>
      <c r="B303" s="8">
        <v>203822</v>
      </c>
      <c r="D303" s="1">
        <v>14.5</v>
      </c>
      <c r="E303" s="8">
        <f>VLOOKUP(B303,Gesamtstunden_26!B:I,8,0)</f>
        <v>0</v>
      </c>
      <c r="F303" s="2">
        <f t="shared" si="4"/>
        <v>14.5</v>
      </c>
    </row>
    <row r="304" spans="1:1024">
      <c r="A304" s="14" t="s">
        <v>308</v>
      </c>
      <c r="B304" s="14">
        <v>166419</v>
      </c>
      <c r="D304" s="1">
        <v>0</v>
      </c>
      <c r="E304" s="8">
        <f>VLOOKUP(B304,Gesamtstunden_26!B:I,8,0)</f>
        <v>1.5</v>
      </c>
      <c r="F304" s="2">
        <f t="shared" si="4"/>
        <v>-1.5</v>
      </c>
    </row>
    <row r="305" spans="1:1024">
      <c r="A305" s="14" t="s">
        <v>309</v>
      </c>
      <c r="B305" s="14">
        <v>623731</v>
      </c>
      <c r="D305" s="1">
        <v>0</v>
      </c>
      <c r="E305" s="8">
        <f>VLOOKUP(B305,Gesamtstunden_26!B:I,8,0)</f>
        <v>0.66666666666666663</v>
      </c>
      <c r="F305" s="2">
        <f t="shared" si="4"/>
        <v>-0.66666666666666663</v>
      </c>
    </row>
    <row r="306" spans="1:1024">
      <c r="A306" s="16" t="s">
        <v>310</v>
      </c>
      <c r="B306" s="16">
        <v>321254</v>
      </c>
      <c r="D306" s="1">
        <v>0</v>
      </c>
      <c r="E306" s="8">
        <f>VLOOKUP(B306,Gesamtstunden_26!B:I,8,0)</f>
        <v>0.66666666666666663</v>
      </c>
      <c r="F306" s="2">
        <f t="shared" si="4"/>
        <v>-0.66666666666666663</v>
      </c>
    </row>
    <row r="307" spans="1:1024">
      <c r="A307" s="14" t="s">
        <v>311</v>
      </c>
      <c r="B307" s="14">
        <v>652313</v>
      </c>
      <c r="D307" s="1">
        <v>0</v>
      </c>
      <c r="E307" s="8">
        <f>VLOOKUP(B307,Gesamtstunden_26!B:I,8,0)</f>
        <v>0</v>
      </c>
      <c r="F307" s="2">
        <f t="shared" si="4"/>
        <v>0</v>
      </c>
    </row>
    <row r="308" spans="1:1024">
      <c r="A308" s="10" t="s">
        <v>312</v>
      </c>
      <c r="B308" s="10">
        <v>5221</v>
      </c>
      <c r="D308" s="1">
        <v>0</v>
      </c>
      <c r="E308" s="8">
        <f>VLOOKUP(B308,Gesamtstunden_26!B:I,8,0)</f>
        <v>1.3333333333333333</v>
      </c>
      <c r="F308" s="2">
        <f t="shared" si="4"/>
        <v>-1.3333333333333333</v>
      </c>
    </row>
    <row r="309" spans="1:1024">
      <c r="A309" s="17" t="s">
        <v>313</v>
      </c>
      <c r="B309" s="17">
        <v>343175</v>
      </c>
      <c r="D309" s="1">
        <v>0</v>
      </c>
      <c r="E309" s="8">
        <f>VLOOKUP(B309,Gesamtstunden_26!B:I,8,0)</f>
        <v>0.66666666666666663</v>
      </c>
      <c r="F309" s="2">
        <f t="shared" si="4"/>
        <v>-0.66666666666666663</v>
      </c>
    </row>
    <row r="310" spans="1:1024">
      <c r="A310" s="15" t="s">
        <v>314</v>
      </c>
      <c r="B310" s="15">
        <v>191302</v>
      </c>
      <c r="D310" s="1">
        <v>0</v>
      </c>
      <c r="E310" s="8">
        <f>VLOOKUP(B310,Gesamtstunden_26!B:I,8,0)</f>
        <v>3.3333333333333335</v>
      </c>
      <c r="F310" s="2">
        <f t="shared" si="4"/>
        <v>-3.3333333333333335</v>
      </c>
    </row>
    <row r="311" spans="1:1024">
      <c r="A311" s="18" t="s">
        <v>315</v>
      </c>
      <c r="B311" s="18">
        <v>887940</v>
      </c>
      <c r="D311" s="1">
        <v>0</v>
      </c>
      <c r="E311" s="8">
        <f>VLOOKUP(B311,Gesamtstunden_26!B:I,8,0)</f>
        <v>5.5</v>
      </c>
      <c r="F311" s="2">
        <f t="shared" si="4"/>
        <v>-5.5</v>
      </c>
    </row>
    <row r="312" spans="1:1024">
      <c r="A312" s="7" t="s">
        <v>316</v>
      </c>
      <c r="B312" s="7">
        <v>355365</v>
      </c>
      <c r="D312" s="1">
        <v>0</v>
      </c>
      <c r="E312" s="8">
        <f>VLOOKUP(B312,Gesamtstunden_26!B:I,8,0)</f>
        <v>1</v>
      </c>
      <c r="F312" s="2">
        <f t="shared" si="4"/>
        <v>-1</v>
      </c>
    </row>
    <row r="313" spans="1:1024">
      <c r="A313" s="8" t="s">
        <v>317</v>
      </c>
      <c r="B313" s="8">
        <v>251356</v>
      </c>
      <c r="D313" s="1">
        <v>6</v>
      </c>
      <c r="E313" s="8">
        <f>VLOOKUP(B313,Gesamtstunden_26!B:I,8,0)</f>
        <v>0</v>
      </c>
      <c r="F313" s="2">
        <f t="shared" si="4"/>
        <v>6</v>
      </c>
    </row>
    <row r="314" spans="1:1024">
      <c r="A314" s="10" t="s">
        <v>318</v>
      </c>
      <c r="B314" s="10">
        <v>560546</v>
      </c>
      <c r="D314" s="1">
        <v>0</v>
      </c>
      <c r="E314" s="8">
        <f>VLOOKUP(B314,Gesamtstunden_26!B:I,8,0)</f>
        <v>3.6666666666666665</v>
      </c>
      <c r="F314" s="2">
        <f t="shared" si="4"/>
        <v>-3.6666666666666665</v>
      </c>
    </row>
    <row r="315" spans="1:1024">
      <c r="A315" s="16" t="s">
        <v>319</v>
      </c>
      <c r="B315" s="16">
        <v>571329</v>
      </c>
      <c r="D315" s="1">
        <v>0</v>
      </c>
      <c r="E315" s="8">
        <f>VLOOKUP(B315,Gesamtstunden_26!B:I,8,0)</f>
        <v>14</v>
      </c>
      <c r="F315" s="2">
        <f t="shared" si="4"/>
        <v>-14</v>
      </c>
    </row>
    <row r="316" spans="1:1024">
      <c r="A316" s="18" t="s">
        <v>320</v>
      </c>
      <c r="B316" s="18">
        <v>903811</v>
      </c>
      <c r="D316" s="1">
        <v>0</v>
      </c>
      <c r="E316" s="8">
        <f>VLOOKUP(B316,Gesamtstunden_26!B:I,8,0)</f>
        <v>1.6666666666666667</v>
      </c>
      <c r="F316" s="2">
        <f t="shared" si="4"/>
        <v>-1.6666666666666667</v>
      </c>
    </row>
    <row r="317" spans="1:1024">
      <c r="A317" s="8" t="s">
        <v>321</v>
      </c>
      <c r="B317" s="8">
        <v>460635</v>
      </c>
      <c r="D317" s="1">
        <v>12</v>
      </c>
      <c r="E317" s="8">
        <f>VLOOKUP(B317,Gesamtstunden_26!B:I,8,0)</f>
        <v>0</v>
      </c>
      <c r="F317" s="2">
        <f t="shared" si="4"/>
        <v>12</v>
      </c>
    </row>
    <row r="318" spans="1:1024">
      <c r="A318" s="7" t="s">
        <v>322</v>
      </c>
      <c r="B318" s="7">
        <v>933107</v>
      </c>
      <c r="D318" s="1">
        <v>0</v>
      </c>
      <c r="E318" s="8">
        <f>VLOOKUP(B318,Gesamtstunden_26!B:I,8,0)</f>
        <v>5</v>
      </c>
      <c r="F318" s="2">
        <f t="shared" si="4"/>
        <v>-5</v>
      </c>
    </row>
    <row r="319" spans="1:1024" s="11" customFormat="1">
      <c r="A319" s="7" t="s">
        <v>323</v>
      </c>
      <c r="B319" s="7">
        <v>394805</v>
      </c>
      <c r="C319"/>
      <c r="D319" s="1">
        <v>0</v>
      </c>
      <c r="E319" s="8">
        <f>VLOOKUP(B319,Gesamtstunden_26!B:I,8,0)</f>
        <v>2</v>
      </c>
      <c r="F319" s="2">
        <f t="shared" si="4"/>
        <v>-2</v>
      </c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DV319"/>
      <c r="DW319"/>
      <c r="DX319"/>
      <c r="DY319"/>
      <c r="DZ319"/>
      <c r="EA319"/>
      <c r="EB319"/>
      <c r="EC319"/>
      <c r="ED319"/>
      <c r="EE319"/>
      <c r="EF319"/>
      <c r="EG319"/>
      <c r="EH319"/>
      <c r="EI319"/>
      <c r="EJ319"/>
      <c r="EK319"/>
      <c r="EL319"/>
      <c r="EM319"/>
      <c r="EN319"/>
      <c r="EO319"/>
      <c r="EP319"/>
      <c r="EQ319"/>
      <c r="ER319"/>
      <c r="ES319"/>
      <c r="ET319"/>
      <c r="EU319"/>
      <c r="EV319"/>
      <c r="EW319"/>
      <c r="EX319"/>
      <c r="EY319"/>
      <c r="EZ319"/>
      <c r="FA319"/>
      <c r="FB319"/>
      <c r="FC319"/>
      <c r="FD319"/>
      <c r="FE319"/>
      <c r="FF319"/>
      <c r="FG319"/>
      <c r="FH319"/>
      <c r="FI319"/>
      <c r="FJ319"/>
      <c r="FK319"/>
      <c r="FL319"/>
      <c r="FM319"/>
      <c r="FN319"/>
      <c r="FO319"/>
      <c r="FP319"/>
      <c r="FQ319"/>
      <c r="FR319"/>
      <c r="FS319"/>
      <c r="FT319"/>
      <c r="FU319"/>
      <c r="FV319"/>
      <c r="FW319"/>
      <c r="FX319"/>
      <c r="FY319"/>
      <c r="FZ319"/>
      <c r="GA319"/>
      <c r="GB319"/>
      <c r="GC319"/>
      <c r="GD319"/>
      <c r="GE319"/>
      <c r="GF319"/>
      <c r="GG319"/>
      <c r="GH319"/>
      <c r="GI319"/>
      <c r="GJ319"/>
      <c r="GK319"/>
      <c r="GL319"/>
      <c r="GM319"/>
      <c r="GN319"/>
      <c r="GO319"/>
      <c r="GP319"/>
      <c r="GQ319"/>
      <c r="GR319"/>
      <c r="GS319"/>
      <c r="GT319"/>
      <c r="GU319"/>
      <c r="GV319"/>
      <c r="GW319"/>
      <c r="GX319"/>
      <c r="GY319"/>
      <c r="GZ319"/>
      <c r="HA319"/>
      <c r="HB319"/>
      <c r="HC319"/>
      <c r="HD319"/>
      <c r="HE319"/>
      <c r="HF319"/>
      <c r="HG319"/>
      <c r="HH319"/>
      <c r="HI319"/>
      <c r="HJ319"/>
      <c r="HK319"/>
      <c r="HL319"/>
      <c r="HM319"/>
      <c r="HN319"/>
      <c r="HO319"/>
      <c r="HP319"/>
      <c r="HQ319"/>
      <c r="HR319"/>
      <c r="HS319"/>
      <c r="HT319"/>
      <c r="HU319"/>
      <c r="HV319"/>
      <c r="HW319"/>
      <c r="HX319"/>
      <c r="HY319"/>
      <c r="HZ319"/>
      <c r="IA319"/>
      <c r="IB319"/>
      <c r="IC319"/>
      <c r="ID319"/>
      <c r="IE319"/>
      <c r="IF319"/>
      <c r="IG319"/>
      <c r="IH319"/>
      <c r="II319"/>
      <c r="IJ319"/>
      <c r="IK319"/>
      <c r="IL319"/>
      <c r="IM319"/>
      <c r="IN319"/>
      <c r="IO319"/>
      <c r="IP319"/>
      <c r="IQ319"/>
      <c r="IR319"/>
      <c r="IS319"/>
      <c r="IT319"/>
      <c r="IU319"/>
      <c r="IV319"/>
      <c r="IW319"/>
      <c r="IX319"/>
      <c r="IY319"/>
      <c r="IZ319"/>
      <c r="JA319"/>
      <c r="JB319"/>
      <c r="JC319"/>
      <c r="JD319"/>
      <c r="JE319"/>
      <c r="JF319"/>
      <c r="JG319"/>
      <c r="JH319"/>
      <c r="JI319"/>
      <c r="JJ319"/>
      <c r="JK319"/>
      <c r="JL319"/>
      <c r="JM319"/>
      <c r="JN319"/>
      <c r="JO319"/>
      <c r="JP319"/>
      <c r="JQ319"/>
      <c r="JR319"/>
      <c r="JS319"/>
      <c r="JT319"/>
      <c r="JU319"/>
      <c r="JV319"/>
      <c r="JW319"/>
      <c r="JX319"/>
      <c r="JY319"/>
      <c r="JZ319"/>
      <c r="KA319"/>
      <c r="KB319"/>
      <c r="KC319"/>
      <c r="KD319"/>
      <c r="KE319"/>
      <c r="KF319"/>
      <c r="KG319"/>
      <c r="KH319"/>
      <c r="KI319"/>
      <c r="KJ319"/>
      <c r="KK319"/>
      <c r="KL319"/>
      <c r="KM319"/>
      <c r="KN319"/>
      <c r="KO319"/>
      <c r="KP319"/>
      <c r="KQ319"/>
      <c r="KR319"/>
      <c r="KS319"/>
      <c r="KT319"/>
      <c r="KU319"/>
      <c r="KV319"/>
      <c r="KW319"/>
      <c r="KX319"/>
      <c r="KY319"/>
      <c r="KZ319"/>
      <c r="LA319"/>
      <c r="LB319"/>
      <c r="LC319"/>
      <c r="LD319"/>
      <c r="LE319"/>
      <c r="LF319"/>
      <c r="LG319"/>
      <c r="LH319"/>
      <c r="LI319"/>
      <c r="LJ319"/>
      <c r="LK319"/>
      <c r="LL319"/>
      <c r="LM319"/>
      <c r="LN319"/>
      <c r="LO319"/>
      <c r="LP319"/>
      <c r="LQ319"/>
      <c r="LR319"/>
      <c r="LS319"/>
      <c r="LT319"/>
      <c r="LU319"/>
      <c r="LV319"/>
      <c r="LW319"/>
      <c r="LX319"/>
      <c r="LY319"/>
      <c r="LZ319"/>
      <c r="MA319"/>
      <c r="MB319"/>
      <c r="MC319"/>
      <c r="MD319"/>
      <c r="ME319"/>
      <c r="MF319"/>
      <c r="MG319"/>
      <c r="MH319"/>
      <c r="MI319"/>
      <c r="MJ319"/>
      <c r="MK319"/>
      <c r="ML319"/>
      <c r="MM319"/>
      <c r="MN319"/>
      <c r="MO319"/>
      <c r="MP319"/>
      <c r="MQ319"/>
      <c r="MR319"/>
      <c r="MS319"/>
      <c r="MT319"/>
      <c r="MU319"/>
      <c r="MV319"/>
      <c r="MW319"/>
      <c r="MX319"/>
      <c r="MY319"/>
      <c r="MZ319"/>
      <c r="NA319"/>
      <c r="NB319"/>
      <c r="NC319"/>
      <c r="ND319"/>
      <c r="NE319"/>
      <c r="NF319"/>
      <c r="NG319"/>
      <c r="NH319"/>
      <c r="NI319"/>
      <c r="NJ319"/>
      <c r="NK319"/>
      <c r="NL319"/>
      <c r="NM319"/>
      <c r="NN319"/>
      <c r="NO319"/>
      <c r="NP319"/>
      <c r="NQ319"/>
      <c r="NR319"/>
      <c r="NS319"/>
      <c r="NT319"/>
      <c r="NU319"/>
      <c r="NV319"/>
      <c r="NW319"/>
      <c r="NX319"/>
      <c r="NY319"/>
      <c r="NZ319"/>
      <c r="OA319"/>
      <c r="OB319"/>
      <c r="OC319"/>
      <c r="OD319"/>
      <c r="OE319"/>
      <c r="OF319"/>
      <c r="OG319"/>
      <c r="OH319"/>
      <c r="OI319"/>
      <c r="OJ319"/>
      <c r="OK319"/>
      <c r="OL319"/>
      <c r="OM319"/>
      <c r="ON319"/>
      <c r="OO319"/>
      <c r="OP319"/>
      <c r="OQ319"/>
      <c r="OR319"/>
      <c r="OS319"/>
      <c r="OT319"/>
      <c r="OU319"/>
      <c r="OV319"/>
      <c r="OW319"/>
      <c r="OX319"/>
      <c r="OY319"/>
      <c r="OZ319"/>
      <c r="PA319"/>
      <c r="PB319"/>
      <c r="PC319"/>
      <c r="PD319"/>
      <c r="PE319"/>
      <c r="PF319"/>
      <c r="PG319"/>
      <c r="PH319"/>
      <c r="PI319"/>
      <c r="PJ319"/>
      <c r="PK319"/>
      <c r="PL319"/>
      <c r="PM319"/>
      <c r="PN319"/>
      <c r="PO319"/>
      <c r="PP319"/>
      <c r="PQ319"/>
      <c r="PR319"/>
      <c r="PS319"/>
      <c r="PT319"/>
      <c r="PU319"/>
      <c r="PV319"/>
      <c r="PW319"/>
      <c r="PX319"/>
      <c r="PY319"/>
      <c r="PZ319"/>
      <c r="QA319"/>
      <c r="QB319"/>
      <c r="QC319"/>
      <c r="QD319"/>
      <c r="QE319"/>
      <c r="QF319"/>
      <c r="QG319"/>
      <c r="QH319"/>
      <c r="QI319"/>
      <c r="QJ319"/>
      <c r="QK319"/>
      <c r="QL319"/>
      <c r="QM319"/>
      <c r="QN319"/>
      <c r="QO319"/>
      <c r="QP319"/>
      <c r="QQ319"/>
      <c r="QR319"/>
      <c r="QS319"/>
      <c r="QT319"/>
      <c r="QU319"/>
      <c r="QV319"/>
      <c r="QW319"/>
      <c r="QX319"/>
      <c r="QY319"/>
      <c r="QZ319"/>
      <c r="RA319"/>
      <c r="RB319"/>
      <c r="RC319"/>
      <c r="RD319"/>
      <c r="RE319"/>
      <c r="RF319"/>
      <c r="RG319"/>
      <c r="RH319"/>
      <c r="RI319"/>
      <c r="RJ319"/>
      <c r="RK319"/>
      <c r="RL319"/>
      <c r="RM319"/>
      <c r="RN319"/>
      <c r="RO319"/>
      <c r="RP319"/>
      <c r="RQ319"/>
      <c r="RR319"/>
      <c r="RS319"/>
      <c r="RT319"/>
      <c r="RU319"/>
      <c r="RV319"/>
      <c r="RW319"/>
      <c r="RX319"/>
      <c r="RY319"/>
      <c r="RZ319"/>
      <c r="SA319"/>
      <c r="SB319"/>
      <c r="SC319"/>
      <c r="SD319"/>
      <c r="SE319"/>
      <c r="SF319"/>
      <c r="SG319"/>
      <c r="SH319"/>
      <c r="SI319"/>
      <c r="SJ319"/>
      <c r="SK319"/>
      <c r="SL319"/>
      <c r="SM319"/>
      <c r="SN319"/>
      <c r="SO319"/>
      <c r="SP319"/>
      <c r="SQ319"/>
      <c r="SR319"/>
      <c r="SS319"/>
      <c r="ST319"/>
      <c r="SU319"/>
      <c r="SV319"/>
      <c r="SW319"/>
      <c r="SX319"/>
      <c r="SY319"/>
      <c r="SZ319"/>
      <c r="TA319"/>
      <c r="TB319"/>
      <c r="TC319"/>
      <c r="TD319"/>
      <c r="TE319"/>
      <c r="TF319"/>
      <c r="TG319"/>
      <c r="TH319"/>
      <c r="TI319"/>
      <c r="TJ319"/>
      <c r="TK319"/>
      <c r="TL319"/>
      <c r="TM319"/>
      <c r="TN319"/>
      <c r="TO319"/>
      <c r="TP319"/>
      <c r="TQ319"/>
      <c r="TR319"/>
      <c r="TS319"/>
      <c r="TT319"/>
      <c r="TU319"/>
      <c r="TV319"/>
      <c r="TW319"/>
      <c r="TX319"/>
      <c r="TY319"/>
      <c r="TZ319"/>
      <c r="UA319"/>
      <c r="UB319"/>
      <c r="UC319"/>
      <c r="UD319"/>
      <c r="UE319"/>
      <c r="UF319"/>
      <c r="UG319"/>
      <c r="UH319"/>
      <c r="UI319"/>
      <c r="UJ319"/>
      <c r="UK319"/>
      <c r="UL319"/>
      <c r="UM319"/>
      <c r="UN319"/>
      <c r="UO319"/>
      <c r="UP319"/>
      <c r="UQ319"/>
      <c r="UR319"/>
      <c r="US319"/>
      <c r="UT319"/>
      <c r="UU319"/>
      <c r="UV319"/>
      <c r="UW319"/>
      <c r="UX319"/>
      <c r="UY319"/>
      <c r="UZ319"/>
      <c r="VA319"/>
      <c r="VB319"/>
      <c r="VC319"/>
      <c r="VD319"/>
      <c r="VE319"/>
      <c r="VF319"/>
      <c r="VG319"/>
      <c r="VH319"/>
      <c r="VI319"/>
      <c r="VJ319"/>
      <c r="VK319"/>
      <c r="VL319"/>
      <c r="VM319"/>
      <c r="VN319"/>
      <c r="VO319"/>
      <c r="VP319"/>
      <c r="VQ319"/>
      <c r="VR319"/>
      <c r="VS319"/>
      <c r="VT319"/>
      <c r="VU319"/>
      <c r="VV319"/>
      <c r="VW319"/>
      <c r="VX319"/>
      <c r="VY319"/>
      <c r="VZ319"/>
      <c r="WA319"/>
      <c r="WB319"/>
      <c r="WC319"/>
      <c r="WD319"/>
      <c r="WE319"/>
      <c r="WF319"/>
      <c r="WG319"/>
      <c r="WH319"/>
      <c r="WI319"/>
      <c r="WJ319"/>
      <c r="WK319"/>
      <c r="WL319"/>
      <c r="WM319"/>
      <c r="WN319"/>
      <c r="WO319"/>
      <c r="WP319"/>
      <c r="WQ319"/>
      <c r="WR319"/>
      <c r="WS319"/>
      <c r="WT319"/>
      <c r="WU319"/>
      <c r="WV319"/>
      <c r="WW319"/>
      <c r="WX319"/>
      <c r="WY319"/>
      <c r="WZ319"/>
      <c r="XA319"/>
      <c r="XB319"/>
      <c r="XC319"/>
      <c r="XD319"/>
      <c r="XE319"/>
      <c r="XF319"/>
      <c r="XG319"/>
      <c r="XH319"/>
      <c r="XI319"/>
      <c r="XJ319"/>
      <c r="XK319"/>
      <c r="XL319"/>
      <c r="XM319"/>
      <c r="XN319"/>
      <c r="XO319"/>
      <c r="XP319"/>
      <c r="XQ319"/>
      <c r="XR319"/>
      <c r="XS319"/>
      <c r="XT319"/>
      <c r="XU319"/>
      <c r="XV319"/>
      <c r="XW319"/>
      <c r="XX319"/>
      <c r="XY319"/>
      <c r="XZ319"/>
      <c r="YA319"/>
      <c r="YB319"/>
      <c r="YC319"/>
      <c r="YD319"/>
      <c r="YE319"/>
      <c r="YF319"/>
      <c r="YG319"/>
      <c r="YH319"/>
      <c r="YI319"/>
      <c r="YJ319"/>
      <c r="YK319"/>
      <c r="YL319"/>
      <c r="YM319"/>
      <c r="YN319"/>
      <c r="YO319"/>
      <c r="YP319"/>
      <c r="YQ319"/>
      <c r="YR319"/>
      <c r="YS319"/>
      <c r="YT319"/>
      <c r="YU319"/>
      <c r="YV319"/>
      <c r="YW319"/>
      <c r="YX319"/>
      <c r="YY319"/>
      <c r="YZ319"/>
      <c r="ZA319"/>
      <c r="ZB319"/>
      <c r="ZC319"/>
      <c r="ZD319"/>
      <c r="ZE319"/>
      <c r="ZF319"/>
      <c r="ZG319"/>
      <c r="ZH319"/>
      <c r="ZI319"/>
      <c r="ZJ319"/>
      <c r="ZK319"/>
      <c r="ZL319"/>
      <c r="ZM319"/>
      <c r="ZN319"/>
      <c r="ZO319"/>
      <c r="ZP319"/>
      <c r="ZQ319"/>
      <c r="ZR319"/>
      <c r="ZS319"/>
      <c r="ZT319"/>
      <c r="ZU319"/>
      <c r="ZV319"/>
      <c r="ZW319"/>
      <c r="ZX319"/>
      <c r="ZY319"/>
      <c r="ZZ319"/>
      <c r="AAA319"/>
      <c r="AAB319"/>
      <c r="AAC319"/>
      <c r="AAD319"/>
      <c r="AAE319"/>
      <c r="AAF319"/>
      <c r="AAG319"/>
      <c r="AAH319"/>
      <c r="AAI319"/>
      <c r="AAJ319"/>
      <c r="AAK319"/>
      <c r="AAL319"/>
      <c r="AAM319"/>
      <c r="AAN319"/>
      <c r="AAO319"/>
      <c r="AAP319"/>
      <c r="AAQ319"/>
      <c r="AAR319"/>
      <c r="AAS319"/>
      <c r="AAT319"/>
      <c r="AAU319"/>
      <c r="AAV319"/>
      <c r="AAW319"/>
      <c r="AAX319"/>
      <c r="AAY319"/>
      <c r="AAZ319"/>
      <c r="ABA319"/>
      <c r="ABB319"/>
      <c r="ABC319"/>
      <c r="ABD319"/>
      <c r="ABE319"/>
      <c r="ABF319"/>
      <c r="ABG319"/>
      <c r="ABH319"/>
      <c r="ABI319"/>
      <c r="ABJ319"/>
      <c r="ABK319"/>
      <c r="ABL319"/>
      <c r="ABM319"/>
      <c r="ABN319"/>
      <c r="ABO319"/>
      <c r="ABP319"/>
      <c r="ABQ319"/>
      <c r="ABR319"/>
      <c r="ABS319"/>
      <c r="ABT319"/>
      <c r="ABU319"/>
      <c r="ABV319"/>
      <c r="ABW319"/>
      <c r="ABX319"/>
      <c r="ABY319"/>
      <c r="ABZ319"/>
      <c r="ACA319"/>
      <c r="ACB319"/>
      <c r="ACC319"/>
      <c r="ACD319"/>
      <c r="ACE319"/>
      <c r="ACF319"/>
      <c r="ACG319"/>
      <c r="ACH319"/>
      <c r="ACI319"/>
      <c r="ACJ319"/>
      <c r="ACK319"/>
      <c r="ACL319"/>
      <c r="ACM319"/>
      <c r="ACN319"/>
      <c r="ACO319"/>
      <c r="ACP319"/>
      <c r="ACQ319"/>
      <c r="ACR319"/>
      <c r="ACS319"/>
      <c r="ACT319"/>
      <c r="ACU319"/>
      <c r="ACV319"/>
      <c r="ACW319"/>
      <c r="ACX319"/>
      <c r="ACY319"/>
      <c r="ACZ319"/>
      <c r="ADA319"/>
      <c r="ADB319"/>
      <c r="ADC319"/>
      <c r="ADD319"/>
      <c r="ADE319"/>
      <c r="ADF319"/>
      <c r="ADG319"/>
      <c r="ADH319"/>
      <c r="ADI319"/>
      <c r="ADJ319"/>
      <c r="ADK319"/>
      <c r="ADL319"/>
      <c r="ADM319"/>
      <c r="ADN319"/>
      <c r="ADO319"/>
      <c r="ADP319"/>
      <c r="ADQ319"/>
      <c r="ADR319"/>
      <c r="ADS319"/>
      <c r="ADT319"/>
      <c r="ADU319"/>
      <c r="ADV319"/>
      <c r="ADW319"/>
      <c r="ADX319"/>
      <c r="ADY319"/>
      <c r="ADZ319"/>
      <c r="AEA319"/>
      <c r="AEB319"/>
      <c r="AEC319"/>
      <c r="AED319"/>
      <c r="AEE319"/>
      <c r="AEF319"/>
      <c r="AEG319"/>
      <c r="AEH319"/>
      <c r="AEI319"/>
      <c r="AEJ319"/>
      <c r="AEK319"/>
      <c r="AEL319"/>
      <c r="AEM319"/>
      <c r="AEN319"/>
      <c r="AEO319"/>
      <c r="AEP319"/>
      <c r="AEQ319"/>
      <c r="AER319"/>
      <c r="AES319"/>
      <c r="AET319"/>
      <c r="AEU319"/>
      <c r="AEV319"/>
      <c r="AEW319"/>
      <c r="AEX319"/>
      <c r="AEY319"/>
      <c r="AEZ319"/>
      <c r="AFA319"/>
      <c r="AFB319"/>
      <c r="AFC319"/>
      <c r="AFD319"/>
      <c r="AFE319"/>
      <c r="AFF319"/>
      <c r="AFG319"/>
      <c r="AFH319"/>
      <c r="AFI319"/>
      <c r="AFJ319"/>
      <c r="AFK319"/>
      <c r="AFL319"/>
      <c r="AFM319"/>
      <c r="AFN319"/>
      <c r="AFO319"/>
      <c r="AFP319"/>
      <c r="AFQ319"/>
      <c r="AFR319"/>
      <c r="AFS319"/>
      <c r="AFT319"/>
      <c r="AFU319"/>
      <c r="AFV319"/>
      <c r="AFW319"/>
      <c r="AFX319"/>
      <c r="AFY319"/>
      <c r="AFZ319"/>
      <c r="AGA319"/>
      <c r="AGB319"/>
      <c r="AGC319"/>
      <c r="AGD319"/>
      <c r="AGE319"/>
      <c r="AGF319"/>
      <c r="AGG319"/>
      <c r="AGH319"/>
      <c r="AGI319"/>
      <c r="AGJ319"/>
      <c r="AGK319"/>
      <c r="AGL319"/>
      <c r="AGM319"/>
      <c r="AGN319"/>
      <c r="AGO319"/>
      <c r="AGP319"/>
      <c r="AGQ319"/>
      <c r="AGR319"/>
      <c r="AGS319"/>
      <c r="AGT319"/>
      <c r="AGU319"/>
      <c r="AGV319"/>
      <c r="AGW319"/>
      <c r="AGX319"/>
      <c r="AGY319"/>
      <c r="AGZ319"/>
      <c r="AHA319"/>
      <c r="AHB319"/>
      <c r="AHC319"/>
      <c r="AHD319"/>
      <c r="AHE319"/>
      <c r="AHF319"/>
      <c r="AHG319"/>
      <c r="AHH319"/>
      <c r="AHI319"/>
      <c r="AHJ319"/>
      <c r="AHK319"/>
      <c r="AHL319"/>
      <c r="AHM319"/>
      <c r="AHN319"/>
      <c r="AHO319"/>
      <c r="AHP319"/>
      <c r="AHQ319"/>
      <c r="AHR319"/>
      <c r="AHS319"/>
      <c r="AHT319"/>
      <c r="AHU319"/>
      <c r="AHV319"/>
      <c r="AHW319"/>
      <c r="AHX319"/>
      <c r="AHY319"/>
      <c r="AHZ319"/>
      <c r="AIA319"/>
      <c r="AIB319"/>
      <c r="AIC319"/>
      <c r="AID319"/>
      <c r="AIE319"/>
      <c r="AIF319"/>
      <c r="AIG319"/>
      <c r="AIH319"/>
      <c r="AII319"/>
      <c r="AIJ319"/>
      <c r="AIK319"/>
      <c r="AIL319"/>
      <c r="AIM319"/>
      <c r="AIN319"/>
      <c r="AIO319"/>
      <c r="AIP319"/>
      <c r="AIQ319"/>
      <c r="AIR319"/>
      <c r="AIS319"/>
      <c r="AIT319"/>
      <c r="AIU319"/>
      <c r="AIV319"/>
      <c r="AIW319"/>
      <c r="AIX319"/>
      <c r="AIY319"/>
      <c r="AIZ319"/>
      <c r="AJA319"/>
      <c r="AJB319"/>
      <c r="AJC319"/>
      <c r="AJD319"/>
      <c r="AJE319"/>
      <c r="AJF319"/>
      <c r="AJG319"/>
      <c r="AJH319"/>
      <c r="AJI319"/>
      <c r="AJJ319"/>
      <c r="AJK319"/>
      <c r="AJL319"/>
      <c r="AJM319"/>
      <c r="AJN319"/>
      <c r="AJO319"/>
      <c r="AJP319"/>
      <c r="AJQ319"/>
      <c r="AJR319"/>
      <c r="AJS319"/>
      <c r="AJT319"/>
      <c r="AJU319"/>
      <c r="AJV319"/>
      <c r="AJW319"/>
      <c r="AJX319"/>
      <c r="AJY319"/>
      <c r="AJZ319"/>
      <c r="AKA319"/>
      <c r="AKB319"/>
      <c r="AKC319"/>
      <c r="AKD319"/>
      <c r="AKE319"/>
      <c r="AKF319"/>
      <c r="AKG319"/>
      <c r="AKH319"/>
      <c r="AKI319"/>
      <c r="AKJ319"/>
      <c r="AKK319"/>
      <c r="AKL319"/>
      <c r="AKM319"/>
      <c r="AKN319"/>
      <c r="AKO319"/>
      <c r="AKP319"/>
      <c r="AKQ319"/>
      <c r="AKR319"/>
      <c r="AKS319"/>
      <c r="AKT319"/>
      <c r="AKU319"/>
      <c r="AKV319"/>
      <c r="AKW319"/>
      <c r="AKX319"/>
      <c r="AKY319"/>
      <c r="AKZ319"/>
      <c r="ALA319"/>
      <c r="ALB319"/>
      <c r="ALC319"/>
      <c r="ALD319"/>
      <c r="ALE319"/>
      <c r="ALF319"/>
      <c r="ALG319"/>
      <c r="ALH319"/>
      <c r="ALI319"/>
      <c r="ALJ319"/>
      <c r="ALK319"/>
      <c r="ALL319"/>
      <c r="ALM319"/>
      <c r="ALN319"/>
      <c r="ALO319"/>
      <c r="ALP319"/>
      <c r="ALQ319"/>
      <c r="ALR319"/>
      <c r="ALS319"/>
      <c r="ALT319"/>
      <c r="ALU319"/>
      <c r="ALV319"/>
      <c r="ALW319"/>
      <c r="ALX319"/>
      <c r="ALY319"/>
      <c r="ALZ319"/>
      <c r="AMA319"/>
      <c r="AMB319"/>
      <c r="AMC319"/>
      <c r="AMD319"/>
      <c r="AME319"/>
      <c r="AMF319"/>
      <c r="AMG319"/>
      <c r="AMH319"/>
      <c r="AMI319"/>
      <c r="AMJ319"/>
    </row>
    <row r="320" spans="1:1024">
      <c r="A320" s="7" t="s">
        <v>324</v>
      </c>
      <c r="B320" s="7">
        <v>455417</v>
      </c>
      <c r="C320" s="11"/>
      <c r="D320" s="12">
        <v>2</v>
      </c>
      <c r="E320" s="7">
        <f>VLOOKUP(B320,Gesamtstunden_26!B:I,8,0)</f>
        <v>4</v>
      </c>
      <c r="F320" s="13">
        <f t="shared" si="4"/>
        <v>-2</v>
      </c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  <c r="BM320" s="11"/>
      <c r="BN320" s="11"/>
      <c r="BO320" s="11"/>
      <c r="BP320" s="11"/>
      <c r="BQ320" s="11"/>
      <c r="BR320" s="11"/>
      <c r="BS320" s="11"/>
      <c r="BT320" s="11"/>
      <c r="BU320" s="11"/>
      <c r="BV320" s="11"/>
      <c r="BW320" s="11"/>
      <c r="BX320" s="11"/>
      <c r="BY320" s="11"/>
      <c r="BZ320" s="11"/>
      <c r="CA320" s="11"/>
      <c r="CB320" s="11"/>
      <c r="CC320" s="11"/>
      <c r="CD320" s="11"/>
      <c r="CE320" s="11"/>
      <c r="CF320" s="11"/>
      <c r="CG320" s="11"/>
      <c r="CH320" s="11"/>
      <c r="CI320" s="11"/>
      <c r="CJ320" s="11"/>
      <c r="CK320" s="11"/>
      <c r="CL320" s="11"/>
      <c r="CM320" s="11"/>
      <c r="CN320" s="11"/>
      <c r="CO320" s="11"/>
      <c r="CP320" s="11"/>
      <c r="CQ320" s="11"/>
      <c r="CR320" s="11"/>
      <c r="CS320" s="11"/>
      <c r="CT320" s="11"/>
      <c r="CU320" s="11"/>
      <c r="CV320" s="11"/>
      <c r="CW320" s="11"/>
      <c r="CX320" s="11"/>
      <c r="CY320" s="11"/>
      <c r="CZ320" s="11"/>
      <c r="DA320" s="11"/>
      <c r="DB320" s="11"/>
      <c r="DC320" s="11"/>
      <c r="DD320" s="11"/>
      <c r="DE320" s="11"/>
      <c r="DF320" s="11"/>
      <c r="DG320" s="11"/>
      <c r="DH320" s="11"/>
      <c r="DI320" s="11"/>
      <c r="DJ320" s="11"/>
      <c r="DK320" s="11"/>
      <c r="DL320" s="11"/>
      <c r="DM320" s="11"/>
      <c r="DN320" s="11"/>
      <c r="DO320" s="11"/>
      <c r="DP320" s="11"/>
      <c r="DQ320" s="11"/>
      <c r="DR320" s="11"/>
      <c r="DS320" s="11"/>
      <c r="DT320" s="11"/>
      <c r="DU320" s="11"/>
      <c r="DV320" s="11"/>
      <c r="DW320" s="11"/>
      <c r="DX320" s="11"/>
      <c r="DY320" s="11"/>
      <c r="DZ320" s="11"/>
      <c r="EA320" s="11"/>
      <c r="EB320" s="11"/>
      <c r="EC320" s="11"/>
      <c r="ED320" s="11"/>
      <c r="EE320" s="11"/>
      <c r="EF320" s="11"/>
      <c r="EG320" s="11"/>
      <c r="EH320" s="11"/>
      <c r="EI320" s="11"/>
      <c r="EJ320" s="11"/>
      <c r="EK320" s="11"/>
      <c r="EL320" s="11"/>
      <c r="EM320" s="11"/>
      <c r="EN320" s="11"/>
      <c r="EO320" s="11"/>
      <c r="EP320" s="11"/>
      <c r="EQ320" s="11"/>
      <c r="ER320" s="11"/>
      <c r="ES320" s="11"/>
      <c r="ET320" s="11"/>
      <c r="EU320" s="11"/>
      <c r="EV320" s="11"/>
      <c r="EW320" s="11"/>
      <c r="EX320" s="11"/>
      <c r="EY320" s="11"/>
      <c r="EZ320" s="11"/>
      <c r="FA320" s="11"/>
      <c r="FB320" s="11"/>
      <c r="FC320" s="11"/>
      <c r="FD320" s="11"/>
      <c r="FE320" s="11"/>
      <c r="FF320" s="11"/>
      <c r="FG320" s="11"/>
      <c r="FH320" s="11"/>
      <c r="FI320" s="11"/>
      <c r="FJ320" s="11"/>
      <c r="FK320" s="11"/>
      <c r="FL320" s="11"/>
      <c r="FM320" s="11"/>
      <c r="FN320" s="11"/>
      <c r="FO320" s="11"/>
      <c r="FP320" s="11"/>
      <c r="FQ320" s="11"/>
      <c r="FR320" s="11"/>
      <c r="FS320" s="11"/>
      <c r="FT320" s="11"/>
      <c r="FU320" s="11"/>
      <c r="FV320" s="11"/>
      <c r="FW320" s="11"/>
      <c r="FX320" s="11"/>
      <c r="FY320" s="11"/>
      <c r="FZ320" s="11"/>
      <c r="GA320" s="11"/>
      <c r="GB320" s="11"/>
      <c r="GC320" s="11"/>
      <c r="GD320" s="11"/>
      <c r="GE320" s="11"/>
      <c r="GF320" s="11"/>
      <c r="GG320" s="11"/>
      <c r="GH320" s="11"/>
      <c r="GI320" s="11"/>
      <c r="GJ320" s="11"/>
      <c r="GK320" s="11"/>
      <c r="GL320" s="11"/>
      <c r="GM320" s="11"/>
      <c r="GN320" s="11"/>
      <c r="GO320" s="11"/>
      <c r="GP320" s="11"/>
      <c r="GQ320" s="11"/>
      <c r="GR320" s="11"/>
      <c r="GS320" s="11"/>
      <c r="GT320" s="11"/>
      <c r="GU320" s="11"/>
      <c r="GV320" s="11"/>
      <c r="GW320" s="11"/>
      <c r="GX320" s="11"/>
      <c r="GY320" s="11"/>
      <c r="GZ320" s="11"/>
      <c r="HA320" s="11"/>
      <c r="HB320" s="11"/>
      <c r="HC320" s="11"/>
      <c r="HD320" s="11"/>
      <c r="HE320" s="11"/>
      <c r="HF320" s="11"/>
      <c r="HG320" s="11"/>
      <c r="HH320" s="11"/>
      <c r="HI320" s="11"/>
      <c r="HJ320" s="11"/>
      <c r="HK320" s="11"/>
      <c r="HL320" s="11"/>
      <c r="HM320" s="11"/>
      <c r="HN320" s="11"/>
      <c r="HO320" s="11"/>
      <c r="HP320" s="11"/>
      <c r="HQ320" s="11"/>
      <c r="HR320" s="11"/>
      <c r="HS320" s="11"/>
      <c r="HT320" s="11"/>
      <c r="HU320" s="11"/>
      <c r="HV320" s="11"/>
      <c r="HW320" s="11"/>
      <c r="HX320" s="11"/>
      <c r="HY320" s="11"/>
      <c r="HZ320" s="11"/>
      <c r="IA320" s="11"/>
      <c r="IB320" s="11"/>
      <c r="IC320" s="11"/>
      <c r="ID320" s="11"/>
      <c r="IE320" s="11"/>
      <c r="IF320" s="11"/>
      <c r="IG320" s="11"/>
      <c r="IH320" s="11"/>
      <c r="II320" s="11"/>
      <c r="IJ320" s="11"/>
      <c r="IK320" s="11"/>
      <c r="IL320" s="11"/>
      <c r="IM320" s="11"/>
      <c r="IN320" s="11"/>
      <c r="IO320" s="11"/>
      <c r="IP320" s="11"/>
      <c r="IQ320" s="11"/>
      <c r="IR320" s="11"/>
      <c r="IS320" s="11"/>
      <c r="IT320" s="11"/>
      <c r="IU320" s="11"/>
      <c r="IV320" s="11"/>
      <c r="IW320" s="11"/>
      <c r="IX320" s="11"/>
      <c r="IY320" s="11"/>
      <c r="IZ320" s="11"/>
      <c r="JA320" s="11"/>
      <c r="JB320" s="11"/>
      <c r="JC320" s="11"/>
      <c r="JD320" s="11"/>
      <c r="JE320" s="11"/>
      <c r="JF320" s="11"/>
      <c r="JG320" s="11"/>
      <c r="JH320" s="11"/>
      <c r="JI320" s="11"/>
      <c r="JJ320" s="11"/>
      <c r="JK320" s="11"/>
      <c r="JL320" s="11"/>
      <c r="JM320" s="11"/>
      <c r="JN320" s="11"/>
      <c r="JO320" s="11"/>
      <c r="JP320" s="11"/>
      <c r="JQ320" s="11"/>
      <c r="JR320" s="11"/>
      <c r="JS320" s="11"/>
      <c r="JT320" s="11"/>
      <c r="JU320" s="11"/>
      <c r="JV320" s="11"/>
      <c r="JW320" s="11"/>
      <c r="JX320" s="11"/>
      <c r="JY320" s="11"/>
      <c r="JZ320" s="11"/>
      <c r="KA320" s="11"/>
      <c r="KB320" s="11"/>
      <c r="KC320" s="11"/>
      <c r="KD320" s="11"/>
      <c r="KE320" s="11"/>
      <c r="KF320" s="11"/>
      <c r="KG320" s="11"/>
      <c r="KH320" s="11"/>
      <c r="KI320" s="11"/>
      <c r="KJ320" s="11"/>
      <c r="KK320" s="11"/>
      <c r="KL320" s="11"/>
      <c r="KM320" s="11"/>
      <c r="KN320" s="11"/>
      <c r="KO320" s="11"/>
      <c r="KP320" s="11"/>
      <c r="KQ320" s="11"/>
      <c r="KR320" s="11"/>
      <c r="KS320" s="11"/>
      <c r="KT320" s="11"/>
      <c r="KU320" s="11"/>
      <c r="KV320" s="11"/>
      <c r="KW320" s="11"/>
      <c r="KX320" s="11"/>
      <c r="KY320" s="11"/>
      <c r="KZ320" s="11"/>
      <c r="LA320" s="11"/>
      <c r="LB320" s="11"/>
      <c r="LC320" s="11"/>
      <c r="LD320" s="11"/>
      <c r="LE320" s="11"/>
      <c r="LF320" s="11"/>
      <c r="LG320" s="11"/>
      <c r="LH320" s="11"/>
      <c r="LI320" s="11"/>
      <c r="LJ320" s="11"/>
      <c r="LK320" s="11"/>
      <c r="LL320" s="11"/>
      <c r="LM320" s="11"/>
      <c r="LN320" s="11"/>
      <c r="LO320" s="11"/>
      <c r="LP320" s="11"/>
      <c r="LQ320" s="11"/>
      <c r="LR320" s="11"/>
      <c r="LS320" s="11"/>
      <c r="LT320" s="11"/>
      <c r="LU320" s="11"/>
      <c r="LV320" s="11"/>
      <c r="LW320" s="11"/>
      <c r="LX320" s="11"/>
      <c r="LY320" s="11"/>
      <c r="LZ320" s="11"/>
      <c r="MA320" s="11"/>
      <c r="MB320" s="11"/>
      <c r="MC320" s="11"/>
      <c r="MD320" s="11"/>
      <c r="ME320" s="11"/>
      <c r="MF320" s="11"/>
      <c r="MG320" s="11"/>
      <c r="MH320" s="11"/>
      <c r="MI320" s="11"/>
      <c r="MJ320" s="11"/>
      <c r="MK320" s="11"/>
      <c r="ML320" s="11"/>
      <c r="MM320" s="11"/>
      <c r="MN320" s="11"/>
      <c r="MO320" s="11"/>
      <c r="MP320" s="11"/>
      <c r="MQ320" s="11"/>
      <c r="MR320" s="11"/>
      <c r="MS320" s="11"/>
      <c r="MT320" s="11"/>
      <c r="MU320" s="11"/>
      <c r="MV320" s="11"/>
      <c r="MW320" s="11"/>
      <c r="MX320" s="11"/>
      <c r="MY320" s="11"/>
      <c r="MZ320" s="11"/>
      <c r="NA320" s="11"/>
      <c r="NB320" s="11"/>
      <c r="NC320" s="11"/>
      <c r="ND320" s="11"/>
      <c r="NE320" s="11"/>
      <c r="NF320" s="11"/>
      <c r="NG320" s="11"/>
      <c r="NH320" s="11"/>
      <c r="NI320" s="11"/>
      <c r="NJ320" s="11"/>
      <c r="NK320" s="11"/>
      <c r="NL320" s="11"/>
      <c r="NM320" s="11"/>
      <c r="NN320" s="11"/>
      <c r="NO320" s="11"/>
      <c r="NP320" s="11"/>
      <c r="NQ320" s="11"/>
      <c r="NR320" s="11"/>
      <c r="NS320" s="11"/>
      <c r="NT320" s="11"/>
      <c r="NU320" s="11"/>
      <c r="NV320" s="11"/>
      <c r="NW320" s="11"/>
      <c r="NX320" s="11"/>
      <c r="NY320" s="11"/>
      <c r="NZ320" s="11"/>
      <c r="OA320" s="11"/>
      <c r="OB320" s="11"/>
      <c r="OC320" s="11"/>
      <c r="OD320" s="11"/>
      <c r="OE320" s="11"/>
      <c r="OF320" s="11"/>
      <c r="OG320" s="11"/>
      <c r="OH320" s="11"/>
      <c r="OI320" s="11"/>
      <c r="OJ320" s="11"/>
      <c r="OK320" s="11"/>
      <c r="OL320" s="11"/>
      <c r="OM320" s="11"/>
      <c r="ON320" s="11"/>
      <c r="OO320" s="11"/>
      <c r="OP320" s="11"/>
      <c r="OQ320" s="11"/>
      <c r="OR320" s="11"/>
      <c r="OS320" s="11"/>
      <c r="OT320" s="11"/>
      <c r="OU320" s="11"/>
      <c r="OV320" s="11"/>
      <c r="OW320" s="11"/>
      <c r="OX320" s="11"/>
      <c r="OY320" s="11"/>
      <c r="OZ320" s="11"/>
      <c r="PA320" s="11"/>
      <c r="PB320" s="11"/>
      <c r="PC320" s="11"/>
      <c r="PD320" s="11"/>
      <c r="PE320" s="11"/>
      <c r="PF320" s="11"/>
      <c r="PG320" s="11"/>
      <c r="PH320" s="11"/>
      <c r="PI320" s="11"/>
      <c r="PJ320" s="11"/>
      <c r="PK320" s="11"/>
      <c r="PL320" s="11"/>
      <c r="PM320" s="11"/>
      <c r="PN320" s="11"/>
      <c r="PO320" s="11"/>
      <c r="PP320" s="11"/>
      <c r="PQ320" s="11"/>
      <c r="PR320" s="11"/>
      <c r="PS320" s="11"/>
      <c r="PT320" s="11"/>
      <c r="PU320" s="11"/>
      <c r="PV320" s="11"/>
      <c r="PW320" s="11"/>
      <c r="PX320" s="11"/>
      <c r="PY320" s="11"/>
      <c r="PZ320" s="11"/>
      <c r="QA320" s="11"/>
      <c r="QB320" s="11"/>
      <c r="QC320" s="11"/>
      <c r="QD320" s="11"/>
      <c r="QE320" s="11"/>
      <c r="QF320" s="11"/>
      <c r="QG320" s="11"/>
      <c r="QH320" s="11"/>
      <c r="QI320" s="11"/>
      <c r="QJ320" s="11"/>
      <c r="QK320" s="11"/>
      <c r="QL320" s="11"/>
      <c r="QM320" s="11"/>
      <c r="QN320" s="11"/>
      <c r="QO320" s="11"/>
      <c r="QP320" s="11"/>
      <c r="QQ320" s="11"/>
      <c r="QR320" s="11"/>
      <c r="QS320" s="11"/>
      <c r="QT320" s="11"/>
      <c r="QU320" s="11"/>
      <c r="QV320" s="11"/>
      <c r="QW320" s="11"/>
      <c r="QX320" s="11"/>
      <c r="QY320" s="11"/>
      <c r="QZ320" s="11"/>
      <c r="RA320" s="11"/>
      <c r="RB320" s="11"/>
      <c r="RC320" s="11"/>
      <c r="RD320" s="11"/>
      <c r="RE320" s="11"/>
      <c r="RF320" s="11"/>
      <c r="RG320" s="11"/>
      <c r="RH320" s="11"/>
      <c r="RI320" s="11"/>
      <c r="RJ320" s="11"/>
      <c r="RK320" s="11"/>
      <c r="RL320" s="11"/>
      <c r="RM320" s="11"/>
      <c r="RN320" s="11"/>
      <c r="RO320" s="11"/>
      <c r="RP320" s="11"/>
      <c r="RQ320" s="11"/>
      <c r="RR320" s="11"/>
      <c r="RS320" s="11"/>
      <c r="RT320" s="11"/>
      <c r="RU320" s="11"/>
      <c r="RV320" s="11"/>
      <c r="RW320" s="11"/>
      <c r="RX320" s="11"/>
      <c r="RY320" s="11"/>
      <c r="RZ320" s="11"/>
      <c r="SA320" s="11"/>
      <c r="SB320" s="11"/>
      <c r="SC320" s="11"/>
      <c r="SD320" s="11"/>
      <c r="SE320" s="11"/>
      <c r="SF320" s="11"/>
      <c r="SG320" s="11"/>
      <c r="SH320" s="11"/>
      <c r="SI320" s="11"/>
      <c r="SJ320" s="11"/>
      <c r="SK320" s="11"/>
      <c r="SL320" s="11"/>
      <c r="SM320" s="11"/>
      <c r="SN320" s="11"/>
      <c r="SO320" s="11"/>
      <c r="SP320" s="11"/>
      <c r="SQ320" s="11"/>
      <c r="SR320" s="11"/>
      <c r="SS320" s="11"/>
      <c r="ST320" s="11"/>
      <c r="SU320" s="11"/>
      <c r="SV320" s="11"/>
      <c r="SW320" s="11"/>
      <c r="SX320" s="11"/>
      <c r="SY320" s="11"/>
      <c r="SZ320" s="11"/>
      <c r="TA320" s="11"/>
      <c r="TB320" s="11"/>
      <c r="TC320" s="11"/>
      <c r="TD320" s="11"/>
      <c r="TE320" s="11"/>
      <c r="TF320" s="11"/>
      <c r="TG320" s="11"/>
      <c r="TH320" s="11"/>
      <c r="TI320" s="11"/>
      <c r="TJ320" s="11"/>
      <c r="TK320" s="11"/>
      <c r="TL320" s="11"/>
      <c r="TM320" s="11"/>
      <c r="TN320" s="11"/>
      <c r="TO320" s="11"/>
      <c r="TP320" s="11"/>
      <c r="TQ320" s="11"/>
      <c r="TR320" s="11"/>
      <c r="TS320" s="11"/>
      <c r="TT320" s="11"/>
      <c r="TU320" s="11"/>
      <c r="TV320" s="11"/>
      <c r="TW320" s="11"/>
      <c r="TX320" s="11"/>
      <c r="TY320" s="11"/>
      <c r="TZ320" s="11"/>
      <c r="UA320" s="11"/>
      <c r="UB320" s="11"/>
      <c r="UC320" s="11"/>
      <c r="UD320" s="11"/>
      <c r="UE320" s="11"/>
      <c r="UF320" s="11"/>
      <c r="UG320" s="11"/>
      <c r="UH320" s="11"/>
      <c r="UI320" s="11"/>
      <c r="UJ320" s="11"/>
      <c r="UK320" s="11"/>
      <c r="UL320" s="11"/>
      <c r="UM320" s="11"/>
      <c r="UN320" s="11"/>
      <c r="UO320" s="11"/>
      <c r="UP320" s="11"/>
      <c r="UQ320" s="11"/>
      <c r="UR320" s="11"/>
      <c r="US320" s="11"/>
      <c r="UT320" s="11"/>
      <c r="UU320" s="11"/>
      <c r="UV320" s="11"/>
      <c r="UW320" s="11"/>
      <c r="UX320" s="11"/>
      <c r="UY320" s="11"/>
      <c r="UZ320" s="11"/>
      <c r="VA320" s="11"/>
      <c r="VB320" s="11"/>
      <c r="VC320" s="11"/>
      <c r="VD320" s="11"/>
      <c r="VE320" s="11"/>
      <c r="VF320" s="11"/>
      <c r="VG320" s="11"/>
      <c r="VH320" s="11"/>
      <c r="VI320" s="11"/>
      <c r="VJ320" s="11"/>
      <c r="VK320" s="11"/>
      <c r="VL320" s="11"/>
      <c r="VM320" s="11"/>
      <c r="VN320" s="11"/>
      <c r="VO320" s="11"/>
      <c r="VP320" s="11"/>
      <c r="VQ320" s="11"/>
      <c r="VR320" s="11"/>
      <c r="VS320" s="11"/>
      <c r="VT320" s="11"/>
      <c r="VU320" s="11"/>
      <c r="VV320" s="11"/>
      <c r="VW320" s="11"/>
      <c r="VX320" s="11"/>
      <c r="VY320" s="11"/>
      <c r="VZ320" s="11"/>
      <c r="WA320" s="11"/>
      <c r="WB320" s="11"/>
      <c r="WC320" s="11"/>
      <c r="WD320" s="11"/>
      <c r="WE320" s="11"/>
      <c r="WF320" s="11"/>
      <c r="WG320" s="11"/>
      <c r="WH320" s="11"/>
      <c r="WI320" s="11"/>
      <c r="WJ320" s="11"/>
      <c r="WK320" s="11"/>
      <c r="WL320" s="11"/>
      <c r="WM320" s="11"/>
      <c r="WN320" s="11"/>
      <c r="WO320" s="11"/>
      <c r="WP320" s="11"/>
      <c r="WQ320" s="11"/>
      <c r="WR320" s="11"/>
      <c r="WS320" s="11"/>
      <c r="WT320" s="11"/>
      <c r="WU320" s="11"/>
      <c r="WV320" s="11"/>
      <c r="WW320" s="11"/>
      <c r="WX320" s="11"/>
      <c r="WY320" s="11"/>
      <c r="WZ320" s="11"/>
      <c r="XA320" s="11"/>
      <c r="XB320" s="11"/>
      <c r="XC320" s="11"/>
      <c r="XD320" s="11"/>
      <c r="XE320" s="11"/>
      <c r="XF320" s="11"/>
      <c r="XG320" s="11"/>
      <c r="XH320" s="11"/>
      <c r="XI320" s="11"/>
      <c r="XJ320" s="11"/>
      <c r="XK320" s="11"/>
      <c r="XL320" s="11"/>
      <c r="XM320" s="11"/>
      <c r="XN320" s="11"/>
      <c r="XO320" s="11"/>
      <c r="XP320" s="11"/>
      <c r="XQ320" s="11"/>
      <c r="XR320" s="11"/>
      <c r="XS320" s="11"/>
      <c r="XT320" s="11"/>
      <c r="XU320" s="11"/>
      <c r="XV320" s="11"/>
      <c r="XW320" s="11"/>
      <c r="XX320" s="11"/>
      <c r="XY320" s="11"/>
      <c r="XZ320" s="11"/>
      <c r="YA320" s="11"/>
      <c r="YB320" s="11"/>
      <c r="YC320" s="11"/>
      <c r="YD320" s="11"/>
      <c r="YE320" s="11"/>
      <c r="YF320" s="11"/>
      <c r="YG320" s="11"/>
      <c r="YH320" s="11"/>
      <c r="YI320" s="11"/>
      <c r="YJ320" s="11"/>
      <c r="YK320" s="11"/>
      <c r="YL320" s="11"/>
      <c r="YM320" s="11"/>
      <c r="YN320" s="11"/>
      <c r="YO320" s="11"/>
      <c r="YP320" s="11"/>
      <c r="YQ320" s="11"/>
      <c r="YR320" s="11"/>
      <c r="YS320" s="11"/>
      <c r="YT320" s="11"/>
      <c r="YU320" s="11"/>
      <c r="YV320" s="11"/>
      <c r="YW320" s="11"/>
      <c r="YX320" s="11"/>
      <c r="YY320" s="11"/>
      <c r="YZ320" s="11"/>
      <c r="ZA320" s="11"/>
      <c r="ZB320" s="11"/>
      <c r="ZC320" s="11"/>
      <c r="ZD320" s="11"/>
      <c r="ZE320" s="11"/>
      <c r="ZF320" s="11"/>
      <c r="ZG320" s="11"/>
      <c r="ZH320" s="11"/>
      <c r="ZI320" s="11"/>
      <c r="ZJ320" s="11"/>
      <c r="ZK320" s="11"/>
      <c r="ZL320" s="11"/>
      <c r="ZM320" s="11"/>
      <c r="ZN320" s="11"/>
      <c r="ZO320" s="11"/>
      <c r="ZP320" s="11"/>
      <c r="ZQ320" s="11"/>
      <c r="ZR320" s="11"/>
      <c r="ZS320" s="11"/>
      <c r="ZT320" s="11"/>
      <c r="ZU320" s="11"/>
      <c r="ZV320" s="11"/>
      <c r="ZW320" s="11"/>
      <c r="ZX320" s="11"/>
      <c r="ZY320" s="11"/>
      <c r="ZZ320" s="11"/>
      <c r="AAA320" s="11"/>
      <c r="AAB320" s="11"/>
      <c r="AAC320" s="11"/>
      <c r="AAD320" s="11"/>
      <c r="AAE320" s="11"/>
      <c r="AAF320" s="11"/>
      <c r="AAG320" s="11"/>
      <c r="AAH320" s="11"/>
      <c r="AAI320" s="11"/>
      <c r="AAJ320" s="11"/>
      <c r="AAK320" s="11"/>
      <c r="AAL320" s="11"/>
      <c r="AAM320" s="11"/>
      <c r="AAN320" s="11"/>
      <c r="AAO320" s="11"/>
      <c r="AAP320" s="11"/>
      <c r="AAQ320" s="11"/>
      <c r="AAR320" s="11"/>
      <c r="AAS320" s="11"/>
      <c r="AAT320" s="11"/>
      <c r="AAU320" s="11"/>
      <c r="AAV320" s="11"/>
      <c r="AAW320" s="11"/>
      <c r="AAX320" s="11"/>
      <c r="AAY320" s="11"/>
      <c r="AAZ320" s="11"/>
      <c r="ABA320" s="11"/>
      <c r="ABB320" s="11"/>
      <c r="ABC320" s="11"/>
      <c r="ABD320" s="11"/>
      <c r="ABE320" s="11"/>
      <c r="ABF320" s="11"/>
      <c r="ABG320" s="11"/>
      <c r="ABH320" s="11"/>
      <c r="ABI320" s="11"/>
      <c r="ABJ320" s="11"/>
      <c r="ABK320" s="11"/>
      <c r="ABL320" s="11"/>
      <c r="ABM320" s="11"/>
      <c r="ABN320" s="11"/>
      <c r="ABO320" s="11"/>
      <c r="ABP320" s="11"/>
      <c r="ABQ320" s="11"/>
      <c r="ABR320" s="11"/>
      <c r="ABS320" s="11"/>
      <c r="ABT320" s="11"/>
      <c r="ABU320" s="11"/>
      <c r="ABV320" s="11"/>
      <c r="ABW320" s="11"/>
      <c r="ABX320" s="11"/>
      <c r="ABY320" s="11"/>
      <c r="ABZ320" s="11"/>
      <c r="ACA320" s="11"/>
      <c r="ACB320" s="11"/>
      <c r="ACC320" s="11"/>
      <c r="ACD320" s="11"/>
      <c r="ACE320" s="11"/>
      <c r="ACF320" s="11"/>
      <c r="ACG320" s="11"/>
      <c r="ACH320" s="11"/>
      <c r="ACI320" s="11"/>
      <c r="ACJ320" s="11"/>
      <c r="ACK320" s="11"/>
      <c r="ACL320" s="11"/>
      <c r="ACM320" s="11"/>
      <c r="ACN320" s="11"/>
      <c r="ACO320" s="11"/>
      <c r="ACP320" s="11"/>
      <c r="ACQ320" s="11"/>
      <c r="ACR320" s="11"/>
      <c r="ACS320" s="11"/>
      <c r="ACT320" s="11"/>
      <c r="ACU320" s="11"/>
      <c r="ACV320" s="11"/>
      <c r="ACW320" s="11"/>
      <c r="ACX320" s="11"/>
      <c r="ACY320" s="11"/>
      <c r="ACZ320" s="11"/>
      <c r="ADA320" s="11"/>
      <c r="ADB320" s="11"/>
      <c r="ADC320" s="11"/>
      <c r="ADD320" s="11"/>
      <c r="ADE320" s="11"/>
      <c r="ADF320" s="11"/>
      <c r="ADG320" s="11"/>
      <c r="ADH320" s="11"/>
      <c r="ADI320" s="11"/>
      <c r="ADJ320" s="11"/>
      <c r="ADK320" s="11"/>
      <c r="ADL320" s="11"/>
      <c r="ADM320" s="11"/>
      <c r="ADN320" s="11"/>
      <c r="ADO320" s="11"/>
      <c r="ADP320" s="11"/>
      <c r="ADQ320" s="11"/>
      <c r="ADR320" s="11"/>
      <c r="ADS320" s="11"/>
      <c r="ADT320" s="11"/>
      <c r="ADU320" s="11"/>
      <c r="ADV320" s="11"/>
      <c r="ADW320" s="11"/>
      <c r="ADX320" s="11"/>
      <c r="ADY320" s="11"/>
      <c r="ADZ320" s="11"/>
      <c r="AEA320" s="11"/>
      <c r="AEB320" s="11"/>
      <c r="AEC320" s="11"/>
      <c r="AED320" s="11"/>
      <c r="AEE320" s="11"/>
      <c r="AEF320" s="11"/>
      <c r="AEG320" s="11"/>
      <c r="AEH320" s="11"/>
      <c r="AEI320" s="11"/>
      <c r="AEJ320" s="11"/>
      <c r="AEK320" s="11"/>
      <c r="AEL320" s="11"/>
      <c r="AEM320" s="11"/>
      <c r="AEN320" s="11"/>
      <c r="AEO320" s="11"/>
      <c r="AEP320" s="11"/>
      <c r="AEQ320" s="11"/>
      <c r="AER320" s="11"/>
      <c r="AES320" s="11"/>
      <c r="AET320" s="11"/>
      <c r="AEU320" s="11"/>
      <c r="AEV320" s="11"/>
      <c r="AEW320" s="11"/>
      <c r="AEX320" s="11"/>
      <c r="AEY320" s="11"/>
      <c r="AEZ320" s="11"/>
      <c r="AFA320" s="11"/>
      <c r="AFB320" s="11"/>
      <c r="AFC320" s="11"/>
      <c r="AFD320" s="11"/>
      <c r="AFE320" s="11"/>
      <c r="AFF320" s="11"/>
      <c r="AFG320" s="11"/>
      <c r="AFH320" s="11"/>
      <c r="AFI320" s="11"/>
      <c r="AFJ320" s="11"/>
      <c r="AFK320" s="11"/>
      <c r="AFL320" s="11"/>
      <c r="AFM320" s="11"/>
      <c r="AFN320" s="11"/>
      <c r="AFO320" s="11"/>
      <c r="AFP320" s="11"/>
      <c r="AFQ320" s="11"/>
      <c r="AFR320" s="11"/>
      <c r="AFS320" s="11"/>
      <c r="AFT320" s="11"/>
      <c r="AFU320" s="11"/>
      <c r="AFV320" s="11"/>
      <c r="AFW320" s="11"/>
      <c r="AFX320" s="11"/>
      <c r="AFY320" s="11"/>
      <c r="AFZ320" s="11"/>
      <c r="AGA320" s="11"/>
      <c r="AGB320" s="11"/>
      <c r="AGC320" s="11"/>
      <c r="AGD320" s="11"/>
      <c r="AGE320" s="11"/>
      <c r="AGF320" s="11"/>
      <c r="AGG320" s="11"/>
      <c r="AGH320" s="11"/>
      <c r="AGI320" s="11"/>
      <c r="AGJ320" s="11"/>
      <c r="AGK320" s="11"/>
      <c r="AGL320" s="11"/>
      <c r="AGM320" s="11"/>
      <c r="AGN320" s="11"/>
      <c r="AGO320" s="11"/>
      <c r="AGP320" s="11"/>
      <c r="AGQ320" s="11"/>
      <c r="AGR320" s="11"/>
      <c r="AGS320" s="11"/>
      <c r="AGT320" s="11"/>
      <c r="AGU320" s="11"/>
      <c r="AGV320" s="11"/>
      <c r="AGW320" s="11"/>
      <c r="AGX320" s="11"/>
      <c r="AGY320" s="11"/>
      <c r="AGZ320" s="11"/>
      <c r="AHA320" s="11"/>
      <c r="AHB320" s="11"/>
      <c r="AHC320" s="11"/>
      <c r="AHD320" s="11"/>
      <c r="AHE320" s="11"/>
      <c r="AHF320" s="11"/>
      <c r="AHG320" s="11"/>
      <c r="AHH320" s="11"/>
      <c r="AHI320" s="11"/>
      <c r="AHJ320" s="11"/>
      <c r="AHK320" s="11"/>
      <c r="AHL320" s="11"/>
      <c r="AHM320" s="11"/>
      <c r="AHN320" s="11"/>
      <c r="AHO320" s="11"/>
      <c r="AHP320" s="11"/>
      <c r="AHQ320" s="11"/>
      <c r="AHR320" s="11"/>
      <c r="AHS320" s="11"/>
      <c r="AHT320" s="11"/>
      <c r="AHU320" s="11"/>
      <c r="AHV320" s="11"/>
      <c r="AHW320" s="11"/>
      <c r="AHX320" s="11"/>
      <c r="AHY320" s="11"/>
      <c r="AHZ320" s="11"/>
      <c r="AIA320" s="11"/>
      <c r="AIB320" s="11"/>
      <c r="AIC320" s="11"/>
      <c r="AID320" s="11"/>
      <c r="AIE320" s="11"/>
      <c r="AIF320" s="11"/>
      <c r="AIG320" s="11"/>
      <c r="AIH320" s="11"/>
      <c r="AII320" s="11"/>
      <c r="AIJ320" s="11"/>
      <c r="AIK320" s="11"/>
      <c r="AIL320" s="11"/>
      <c r="AIM320" s="11"/>
      <c r="AIN320" s="11"/>
      <c r="AIO320" s="11"/>
      <c r="AIP320" s="11"/>
      <c r="AIQ320" s="11"/>
      <c r="AIR320" s="11"/>
      <c r="AIS320" s="11"/>
      <c r="AIT320" s="11"/>
      <c r="AIU320" s="11"/>
      <c r="AIV320" s="11"/>
      <c r="AIW320" s="11"/>
      <c r="AIX320" s="11"/>
      <c r="AIY320" s="11"/>
      <c r="AIZ320" s="11"/>
      <c r="AJA320" s="11"/>
      <c r="AJB320" s="11"/>
      <c r="AJC320" s="11"/>
      <c r="AJD320" s="11"/>
      <c r="AJE320" s="11"/>
      <c r="AJF320" s="11"/>
      <c r="AJG320" s="11"/>
      <c r="AJH320" s="11"/>
      <c r="AJI320" s="11"/>
      <c r="AJJ320" s="11"/>
      <c r="AJK320" s="11"/>
      <c r="AJL320" s="11"/>
      <c r="AJM320" s="11"/>
      <c r="AJN320" s="11"/>
      <c r="AJO320" s="11"/>
      <c r="AJP320" s="11"/>
      <c r="AJQ320" s="11"/>
      <c r="AJR320" s="11"/>
      <c r="AJS320" s="11"/>
      <c r="AJT320" s="11"/>
      <c r="AJU320" s="11"/>
      <c r="AJV320" s="11"/>
      <c r="AJW320" s="11"/>
      <c r="AJX320" s="11"/>
      <c r="AJY320" s="11"/>
      <c r="AJZ320" s="11"/>
      <c r="AKA320" s="11"/>
      <c r="AKB320" s="11"/>
      <c r="AKC320" s="11"/>
      <c r="AKD320" s="11"/>
      <c r="AKE320" s="11"/>
      <c r="AKF320" s="11"/>
      <c r="AKG320" s="11"/>
      <c r="AKH320" s="11"/>
      <c r="AKI320" s="11"/>
      <c r="AKJ320" s="11"/>
      <c r="AKK320" s="11"/>
      <c r="AKL320" s="11"/>
      <c r="AKM320" s="11"/>
      <c r="AKN320" s="11"/>
      <c r="AKO320" s="11"/>
      <c r="AKP320" s="11"/>
      <c r="AKQ320" s="11"/>
      <c r="AKR320" s="11"/>
      <c r="AKS320" s="11"/>
      <c r="AKT320" s="11"/>
      <c r="AKU320" s="11"/>
      <c r="AKV320" s="11"/>
      <c r="AKW320" s="11"/>
      <c r="AKX320" s="11"/>
      <c r="AKY320" s="11"/>
      <c r="AKZ320" s="11"/>
      <c r="ALA320" s="11"/>
      <c r="ALB320" s="11"/>
      <c r="ALC320" s="11"/>
      <c r="ALD320" s="11"/>
      <c r="ALE320" s="11"/>
      <c r="ALF320" s="11"/>
      <c r="ALG320" s="11"/>
      <c r="ALH320" s="11"/>
      <c r="ALI320" s="11"/>
      <c r="ALJ320" s="11"/>
      <c r="ALK320" s="11"/>
      <c r="ALL320" s="11"/>
      <c r="ALM320" s="11"/>
      <c r="ALN320" s="11"/>
      <c r="ALO320" s="11"/>
      <c r="ALP320" s="11"/>
      <c r="ALQ320" s="11"/>
      <c r="ALR320" s="11"/>
      <c r="ALS320" s="11"/>
      <c r="ALT320" s="11"/>
      <c r="ALU320" s="11"/>
      <c r="ALV320" s="11"/>
      <c r="ALW320" s="11"/>
      <c r="ALX320" s="11"/>
      <c r="ALY320" s="11"/>
      <c r="ALZ320" s="11"/>
      <c r="AMA320" s="11"/>
      <c r="AMB320" s="11"/>
      <c r="AMC320" s="11"/>
      <c r="AMD320" s="11"/>
      <c r="AME320" s="11"/>
      <c r="AMF320" s="11"/>
      <c r="AMG320" s="11"/>
      <c r="AMH320" s="11"/>
      <c r="AMI320" s="11"/>
      <c r="AMJ320" s="11"/>
    </row>
    <row r="321" spans="1:6">
      <c r="A321" s="7" t="s">
        <v>325</v>
      </c>
      <c r="B321" s="7">
        <v>532833</v>
      </c>
      <c r="D321" s="1">
        <v>0</v>
      </c>
      <c r="E321" s="8">
        <f>VLOOKUP(B321,Gesamtstunden_26!B:I,8,0)</f>
        <v>7.833333333333333</v>
      </c>
      <c r="F321" s="2">
        <f t="shared" si="4"/>
        <v>-7.833333333333333</v>
      </c>
    </row>
    <row r="322" spans="1:6">
      <c r="A322" s="8" t="s">
        <v>326</v>
      </c>
      <c r="B322" s="8">
        <v>372832</v>
      </c>
      <c r="D322" s="1">
        <v>5.6666666666666696</v>
      </c>
      <c r="E322" s="8">
        <f>VLOOKUP(B322,Gesamtstunden_26!B:I,8,0)</f>
        <v>2.5</v>
      </c>
      <c r="F322" s="2">
        <f t="shared" ref="F322:F385" si="5">D322-E322</f>
        <v>3.1666666666666696</v>
      </c>
    </row>
    <row r="323" spans="1:6">
      <c r="A323" s="7" t="s">
        <v>327</v>
      </c>
      <c r="B323" s="7">
        <v>789082</v>
      </c>
      <c r="D323" s="1">
        <v>0</v>
      </c>
      <c r="E323" s="8">
        <f>VLOOKUP(B323,Gesamtstunden_26!B:I,8,0)</f>
        <v>2.5</v>
      </c>
      <c r="F323" s="2">
        <f t="shared" si="5"/>
        <v>-2.5</v>
      </c>
    </row>
    <row r="324" spans="1:6">
      <c r="A324" s="8" t="s">
        <v>328</v>
      </c>
      <c r="B324" s="8">
        <v>185445</v>
      </c>
      <c r="D324" s="1">
        <v>11</v>
      </c>
      <c r="E324" s="8">
        <f>VLOOKUP(B324,Gesamtstunden_26!B:I,8,0)</f>
        <v>0</v>
      </c>
      <c r="F324" s="2">
        <f t="shared" si="5"/>
        <v>11</v>
      </c>
    </row>
    <row r="325" spans="1:6">
      <c r="A325" s="8" t="s">
        <v>329</v>
      </c>
      <c r="B325" s="8">
        <v>204751</v>
      </c>
      <c r="D325" s="1">
        <v>15</v>
      </c>
      <c r="E325" s="8">
        <f>VLOOKUP(B325,Gesamtstunden_26!B:I,8,0)</f>
        <v>0</v>
      </c>
      <c r="F325" s="2">
        <f t="shared" si="5"/>
        <v>15</v>
      </c>
    </row>
    <row r="326" spans="1:6">
      <c r="A326" s="14" t="s">
        <v>330</v>
      </c>
      <c r="B326" s="14">
        <v>568837</v>
      </c>
      <c r="D326" s="1">
        <v>0</v>
      </c>
      <c r="E326" s="8">
        <f>VLOOKUP(B326,Gesamtstunden_26!B:I,8,0)</f>
        <v>0</v>
      </c>
      <c r="F326" s="2">
        <f t="shared" si="5"/>
        <v>0</v>
      </c>
    </row>
    <row r="327" spans="1:6">
      <c r="A327" s="10" t="s">
        <v>331</v>
      </c>
      <c r="B327" s="10">
        <v>606598</v>
      </c>
      <c r="D327" s="1">
        <v>0</v>
      </c>
      <c r="E327" s="8">
        <f>VLOOKUP(B327,Gesamtstunden_26!B:I,8,0)</f>
        <v>1.3333333333333333</v>
      </c>
      <c r="F327" s="2">
        <f t="shared" si="5"/>
        <v>-1.3333333333333333</v>
      </c>
    </row>
    <row r="328" spans="1:6" ht="27.6">
      <c r="A328" s="8" t="s">
        <v>332</v>
      </c>
      <c r="B328" s="8">
        <v>337958</v>
      </c>
      <c r="D328" s="1">
        <v>6.0066666666666704</v>
      </c>
      <c r="E328" s="8">
        <f>VLOOKUP(B328,Gesamtstunden_26!B:I,8,0)</f>
        <v>0</v>
      </c>
      <c r="F328" s="2">
        <f t="shared" si="5"/>
        <v>6.0066666666666704</v>
      </c>
    </row>
    <row r="329" spans="1:6">
      <c r="A329" s="8" t="s">
        <v>333</v>
      </c>
      <c r="B329" s="8">
        <v>183805</v>
      </c>
      <c r="D329" s="1">
        <v>8</v>
      </c>
      <c r="E329" s="8">
        <f>VLOOKUP(B329,Gesamtstunden_26!B:I,8,0)</f>
        <v>0</v>
      </c>
      <c r="F329" s="2">
        <f t="shared" si="5"/>
        <v>8</v>
      </c>
    </row>
    <row r="330" spans="1:6">
      <c r="A330" s="8" t="s">
        <v>334</v>
      </c>
      <c r="B330" s="8">
        <v>445879</v>
      </c>
      <c r="D330" s="1">
        <v>14.5</v>
      </c>
      <c r="E330" s="8">
        <f>VLOOKUP(B330,Gesamtstunden_26!B:I,8,0)</f>
        <v>0</v>
      </c>
      <c r="F330" s="2">
        <f t="shared" si="5"/>
        <v>14.5</v>
      </c>
    </row>
    <row r="331" spans="1:6">
      <c r="A331" s="10" t="s">
        <v>335</v>
      </c>
      <c r="B331" s="10">
        <v>932894</v>
      </c>
      <c r="D331" s="1">
        <v>0</v>
      </c>
      <c r="E331" s="8">
        <f>VLOOKUP(B331,Gesamtstunden_26!B:I,8,0)</f>
        <v>3.3333333333333335</v>
      </c>
      <c r="F331" s="2">
        <f t="shared" si="5"/>
        <v>-3.3333333333333335</v>
      </c>
    </row>
    <row r="332" spans="1:6">
      <c r="A332" s="7" t="s">
        <v>336</v>
      </c>
      <c r="B332" s="7">
        <v>239819</v>
      </c>
      <c r="D332" s="1">
        <v>0</v>
      </c>
      <c r="E332" s="8">
        <f>VLOOKUP(B332,Gesamtstunden_26!B:I,8,0)</f>
        <v>2.3333333333333335</v>
      </c>
      <c r="F332" s="2">
        <f t="shared" si="5"/>
        <v>-2.3333333333333335</v>
      </c>
    </row>
    <row r="333" spans="1:6">
      <c r="A333" s="7" t="s">
        <v>337</v>
      </c>
      <c r="B333" s="7">
        <v>797989</v>
      </c>
      <c r="D333" s="1">
        <v>0</v>
      </c>
      <c r="E333" s="8">
        <f>VLOOKUP(B333,Gesamtstunden_26!B:I,8,0)</f>
        <v>1.5</v>
      </c>
      <c r="F333" s="2">
        <f t="shared" si="5"/>
        <v>-1.5</v>
      </c>
    </row>
    <row r="334" spans="1:6">
      <c r="A334" s="7" t="s">
        <v>338</v>
      </c>
      <c r="B334" s="7">
        <v>470409</v>
      </c>
      <c r="D334" s="1">
        <v>0</v>
      </c>
      <c r="E334" s="8">
        <f>VLOOKUP(B334,Gesamtstunden_26!B:I,8,0)</f>
        <v>3</v>
      </c>
      <c r="F334" s="2">
        <f t="shared" si="5"/>
        <v>-3</v>
      </c>
    </row>
    <row r="335" spans="1:6" ht="41.4">
      <c r="A335" s="16" t="s">
        <v>339</v>
      </c>
      <c r="B335" s="16">
        <v>333377</v>
      </c>
      <c r="D335" s="1">
        <v>0</v>
      </c>
      <c r="E335" s="8">
        <f>VLOOKUP(B335,Gesamtstunden_26!B:I,8,0)</f>
        <v>0.66666666666666663</v>
      </c>
      <c r="F335" s="2">
        <f t="shared" si="5"/>
        <v>-0.66666666666666663</v>
      </c>
    </row>
    <row r="336" spans="1:6" ht="27.6">
      <c r="A336" s="7" t="s">
        <v>340</v>
      </c>
      <c r="B336" s="7">
        <v>614883</v>
      </c>
      <c r="D336" s="1">
        <v>0</v>
      </c>
      <c r="E336" s="8">
        <f>VLOOKUP(B336,Gesamtstunden_26!B:I,8,0)</f>
        <v>3</v>
      </c>
      <c r="F336" s="2">
        <f t="shared" si="5"/>
        <v>-3</v>
      </c>
    </row>
    <row r="337" spans="1:1024">
      <c r="A337" s="16" t="s">
        <v>341</v>
      </c>
      <c r="B337" s="16">
        <v>386173</v>
      </c>
      <c r="D337" s="1">
        <v>0</v>
      </c>
      <c r="E337" s="8">
        <f>VLOOKUP(B337,Gesamtstunden_26!B:I,8,0)</f>
        <v>0.83333333333333326</v>
      </c>
      <c r="F337" s="2">
        <f t="shared" si="5"/>
        <v>-0.83333333333333326</v>
      </c>
    </row>
    <row r="338" spans="1:1024" ht="27.6">
      <c r="A338" s="10" t="s">
        <v>342</v>
      </c>
      <c r="B338" s="10">
        <v>558558</v>
      </c>
      <c r="D338" s="1">
        <v>0</v>
      </c>
      <c r="E338" s="8">
        <f>VLOOKUP(B338,Gesamtstunden_26!B:I,8,0)</f>
        <v>0</v>
      </c>
      <c r="F338" s="2">
        <f t="shared" si="5"/>
        <v>0</v>
      </c>
    </row>
    <row r="339" spans="1:1024">
      <c r="A339" s="11" t="s">
        <v>343</v>
      </c>
      <c r="B339" s="7">
        <v>847686</v>
      </c>
      <c r="D339" s="1">
        <v>0</v>
      </c>
      <c r="E339" s="8">
        <f>VLOOKUP(B339,Gesamtstunden_26!B:I,8,0)</f>
        <v>3</v>
      </c>
      <c r="F339" s="2">
        <f t="shared" si="5"/>
        <v>-3</v>
      </c>
    </row>
    <row r="340" spans="1:1024" s="11" customFormat="1">
      <c r="A340" s="8" t="s">
        <v>344</v>
      </c>
      <c r="B340" s="8">
        <v>374452</v>
      </c>
      <c r="C340"/>
      <c r="D340" s="1">
        <v>15.3333333333333</v>
      </c>
      <c r="E340" s="8">
        <f>VLOOKUP(B340,Gesamtstunden_26!B:I,8,0)</f>
        <v>0</v>
      </c>
      <c r="F340" s="2">
        <f t="shared" si="5"/>
        <v>15.3333333333333</v>
      </c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DV340"/>
      <c r="DW340"/>
      <c r="DX340"/>
      <c r="DY340"/>
      <c r="DZ340"/>
      <c r="EA340"/>
      <c r="EB340"/>
      <c r="EC340"/>
      <c r="ED340"/>
      <c r="EE340"/>
      <c r="EF340"/>
      <c r="EG340"/>
      <c r="EH340"/>
      <c r="EI340"/>
      <c r="EJ340"/>
      <c r="EK340"/>
      <c r="EL340"/>
      <c r="EM340"/>
      <c r="EN340"/>
      <c r="EO340"/>
      <c r="EP340"/>
      <c r="EQ340"/>
      <c r="ER340"/>
      <c r="ES340"/>
      <c r="ET340"/>
      <c r="EU340"/>
      <c r="EV340"/>
      <c r="EW340"/>
      <c r="EX340"/>
      <c r="EY340"/>
      <c r="EZ340"/>
      <c r="FA340"/>
      <c r="FB340"/>
      <c r="FC340"/>
      <c r="FD340"/>
      <c r="FE340"/>
      <c r="FF340"/>
      <c r="FG340"/>
      <c r="FH340"/>
      <c r="FI340"/>
      <c r="FJ340"/>
      <c r="FK340"/>
      <c r="FL340"/>
      <c r="FM340"/>
      <c r="FN340"/>
      <c r="FO340"/>
      <c r="FP340"/>
      <c r="FQ340"/>
      <c r="FR340"/>
      <c r="FS340"/>
      <c r="FT340"/>
      <c r="FU340"/>
      <c r="FV340"/>
      <c r="FW340"/>
      <c r="FX340"/>
      <c r="FY340"/>
      <c r="FZ340"/>
      <c r="GA340"/>
      <c r="GB340"/>
      <c r="GC340"/>
      <c r="GD340"/>
      <c r="GE340"/>
      <c r="GF340"/>
      <c r="GG340"/>
      <c r="GH340"/>
      <c r="GI340"/>
      <c r="GJ340"/>
      <c r="GK340"/>
      <c r="GL340"/>
      <c r="GM340"/>
      <c r="GN340"/>
      <c r="GO340"/>
      <c r="GP340"/>
      <c r="GQ340"/>
      <c r="GR340"/>
      <c r="GS340"/>
      <c r="GT340"/>
      <c r="GU340"/>
      <c r="GV340"/>
      <c r="GW340"/>
      <c r="GX340"/>
      <c r="GY340"/>
      <c r="GZ340"/>
      <c r="HA340"/>
      <c r="HB340"/>
      <c r="HC340"/>
      <c r="HD340"/>
      <c r="HE340"/>
      <c r="HF340"/>
      <c r="HG340"/>
      <c r="HH340"/>
      <c r="HI340"/>
      <c r="HJ340"/>
      <c r="HK340"/>
      <c r="HL340"/>
      <c r="HM340"/>
      <c r="HN340"/>
      <c r="HO340"/>
      <c r="HP340"/>
      <c r="HQ340"/>
      <c r="HR340"/>
      <c r="HS340"/>
      <c r="HT340"/>
      <c r="HU340"/>
      <c r="HV340"/>
      <c r="HW340"/>
      <c r="HX340"/>
      <c r="HY340"/>
      <c r="HZ340"/>
      <c r="IA340"/>
      <c r="IB340"/>
      <c r="IC340"/>
      <c r="ID340"/>
      <c r="IE340"/>
      <c r="IF340"/>
      <c r="IG340"/>
      <c r="IH340"/>
      <c r="II340"/>
      <c r="IJ340"/>
      <c r="IK340"/>
      <c r="IL340"/>
      <c r="IM340"/>
      <c r="IN340"/>
      <c r="IO340"/>
      <c r="IP340"/>
      <c r="IQ340"/>
      <c r="IR340"/>
      <c r="IS340"/>
      <c r="IT340"/>
      <c r="IU340"/>
      <c r="IV340"/>
      <c r="IW340"/>
      <c r="IX340"/>
      <c r="IY340"/>
      <c r="IZ340"/>
      <c r="JA340"/>
      <c r="JB340"/>
      <c r="JC340"/>
      <c r="JD340"/>
      <c r="JE340"/>
      <c r="JF340"/>
      <c r="JG340"/>
      <c r="JH340"/>
      <c r="JI340"/>
      <c r="JJ340"/>
      <c r="JK340"/>
      <c r="JL340"/>
      <c r="JM340"/>
      <c r="JN340"/>
      <c r="JO340"/>
      <c r="JP340"/>
      <c r="JQ340"/>
      <c r="JR340"/>
      <c r="JS340"/>
      <c r="JT340"/>
      <c r="JU340"/>
      <c r="JV340"/>
      <c r="JW340"/>
      <c r="JX340"/>
      <c r="JY340"/>
      <c r="JZ340"/>
      <c r="KA340"/>
      <c r="KB340"/>
      <c r="KC340"/>
      <c r="KD340"/>
      <c r="KE340"/>
      <c r="KF340"/>
      <c r="KG340"/>
      <c r="KH340"/>
      <c r="KI340"/>
      <c r="KJ340"/>
      <c r="KK340"/>
      <c r="KL340"/>
      <c r="KM340"/>
      <c r="KN340"/>
      <c r="KO340"/>
      <c r="KP340"/>
      <c r="KQ340"/>
      <c r="KR340"/>
      <c r="KS340"/>
      <c r="KT340"/>
      <c r="KU340"/>
      <c r="KV340"/>
      <c r="KW340"/>
      <c r="KX340"/>
      <c r="KY340"/>
      <c r="KZ340"/>
      <c r="LA340"/>
      <c r="LB340"/>
      <c r="LC340"/>
      <c r="LD340"/>
      <c r="LE340"/>
      <c r="LF340"/>
      <c r="LG340"/>
      <c r="LH340"/>
      <c r="LI340"/>
      <c r="LJ340"/>
      <c r="LK340"/>
      <c r="LL340"/>
      <c r="LM340"/>
      <c r="LN340"/>
      <c r="LO340"/>
      <c r="LP340"/>
      <c r="LQ340"/>
      <c r="LR340"/>
      <c r="LS340"/>
      <c r="LT340"/>
      <c r="LU340"/>
      <c r="LV340"/>
      <c r="LW340"/>
      <c r="LX340"/>
      <c r="LY340"/>
      <c r="LZ340"/>
      <c r="MA340"/>
      <c r="MB340"/>
      <c r="MC340"/>
      <c r="MD340"/>
      <c r="ME340"/>
      <c r="MF340"/>
      <c r="MG340"/>
      <c r="MH340"/>
      <c r="MI340"/>
      <c r="MJ340"/>
      <c r="MK340"/>
      <c r="ML340"/>
      <c r="MM340"/>
      <c r="MN340"/>
      <c r="MO340"/>
      <c r="MP340"/>
      <c r="MQ340"/>
      <c r="MR340"/>
      <c r="MS340"/>
      <c r="MT340"/>
      <c r="MU340"/>
      <c r="MV340"/>
      <c r="MW340"/>
      <c r="MX340"/>
      <c r="MY340"/>
      <c r="MZ340"/>
      <c r="NA340"/>
      <c r="NB340"/>
      <c r="NC340"/>
      <c r="ND340"/>
      <c r="NE340"/>
      <c r="NF340"/>
      <c r="NG340"/>
      <c r="NH340"/>
      <c r="NI340"/>
      <c r="NJ340"/>
      <c r="NK340"/>
      <c r="NL340"/>
      <c r="NM340"/>
      <c r="NN340"/>
      <c r="NO340"/>
      <c r="NP340"/>
      <c r="NQ340"/>
      <c r="NR340"/>
      <c r="NS340"/>
      <c r="NT340"/>
      <c r="NU340"/>
      <c r="NV340"/>
      <c r="NW340"/>
      <c r="NX340"/>
      <c r="NY340"/>
      <c r="NZ340"/>
      <c r="OA340"/>
      <c r="OB340"/>
      <c r="OC340"/>
      <c r="OD340"/>
      <c r="OE340"/>
      <c r="OF340"/>
      <c r="OG340"/>
      <c r="OH340"/>
      <c r="OI340"/>
      <c r="OJ340"/>
      <c r="OK340"/>
      <c r="OL340"/>
      <c r="OM340"/>
      <c r="ON340"/>
      <c r="OO340"/>
      <c r="OP340"/>
      <c r="OQ340"/>
      <c r="OR340"/>
      <c r="OS340"/>
      <c r="OT340"/>
      <c r="OU340"/>
      <c r="OV340"/>
      <c r="OW340"/>
      <c r="OX340"/>
      <c r="OY340"/>
      <c r="OZ340"/>
      <c r="PA340"/>
      <c r="PB340"/>
      <c r="PC340"/>
      <c r="PD340"/>
      <c r="PE340"/>
      <c r="PF340"/>
      <c r="PG340"/>
      <c r="PH340"/>
      <c r="PI340"/>
      <c r="PJ340"/>
      <c r="PK340"/>
      <c r="PL340"/>
      <c r="PM340"/>
      <c r="PN340"/>
      <c r="PO340"/>
      <c r="PP340"/>
      <c r="PQ340"/>
      <c r="PR340"/>
      <c r="PS340"/>
      <c r="PT340"/>
      <c r="PU340"/>
      <c r="PV340"/>
      <c r="PW340"/>
      <c r="PX340"/>
      <c r="PY340"/>
      <c r="PZ340"/>
      <c r="QA340"/>
      <c r="QB340"/>
      <c r="QC340"/>
      <c r="QD340"/>
      <c r="QE340"/>
      <c r="QF340"/>
      <c r="QG340"/>
      <c r="QH340"/>
      <c r="QI340"/>
      <c r="QJ340"/>
      <c r="QK340"/>
      <c r="QL340"/>
      <c r="QM340"/>
      <c r="QN340"/>
      <c r="QO340"/>
      <c r="QP340"/>
      <c r="QQ340"/>
      <c r="QR340"/>
      <c r="QS340"/>
      <c r="QT340"/>
      <c r="QU340"/>
      <c r="QV340"/>
      <c r="QW340"/>
      <c r="QX340"/>
      <c r="QY340"/>
      <c r="QZ340"/>
      <c r="RA340"/>
      <c r="RB340"/>
      <c r="RC340"/>
      <c r="RD340"/>
      <c r="RE340"/>
      <c r="RF340"/>
      <c r="RG340"/>
      <c r="RH340"/>
      <c r="RI340"/>
      <c r="RJ340"/>
      <c r="RK340"/>
      <c r="RL340"/>
      <c r="RM340"/>
      <c r="RN340"/>
      <c r="RO340"/>
      <c r="RP340"/>
      <c r="RQ340"/>
      <c r="RR340"/>
      <c r="RS340"/>
      <c r="RT340"/>
      <c r="RU340"/>
      <c r="RV340"/>
      <c r="RW340"/>
      <c r="RX340"/>
      <c r="RY340"/>
      <c r="RZ340"/>
      <c r="SA340"/>
      <c r="SB340"/>
      <c r="SC340"/>
      <c r="SD340"/>
      <c r="SE340"/>
      <c r="SF340"/>
      <c r="SG340"/>
      <c r="SH340"/>
      <c r="SI340"/>
      <c r="SJ340"/>
      <c r="SK340"/>
      <c r="SL340"/>
      <c r="SM340"/>
      <c r="SN340"/>
      <c r="SO340"/>
      <c r="SP340"/>
      <c r="SQ340"/>
      <c r="SR340"/>
      <c r="SS340"/>
      <c r="ST340"/>
      <c r="SU340"/>
      <c r="SV340"/>
      <c r="SW340"/>
      <c r="SX340"/>
      <c r="SY340"/>
      <c r="SZ340"/>
      <c r="TA340"/>
      <c r="TB340"/>
      <c r="TC340"/>
      <c r="TD340"/>
      <c r="TE340"/>
      <c r="TF340"/>
      <c r="TG340"/>
      <c r="TH340"/>
      <c r="TI340"/>
      <c r="TJ340"/>
      <c r="TK340"/>
      <c r="TL340"/>
      <c r="TM340"/>
      <c r="TN340"/>
      <c r="TO340"/>
      <c r="TP340"/>
      <c r="TQ340"/>
      <c r="TR340"/>
      <c r="TS340"/>
      <c r="TT340"/>
      <c r="TU340"/>
      <c r="TV340"/>
      <c r="TW340"/>
      <c r="TX340"/>
      <c r="TY340"/>
      <c r="TZ340"/>
      <c r="UA340"/>
      <c r="UB340"/>
      <c r="UC340"/>
      <c r="UD340"/>
      <c r="UE340"/>
      <c r="UF340"/>
      <c r="UG340"/>
      <c r="UH340"/>
      <c r="UI340"/>
      <c r="UJ340"/>
      <c r="UK340"/>
      <c r="UL340"/>
      <c r="UM340"/>
      <c r="UN340"/>
      <c r="UO340"/>
      <c r="UP340"/>
      <c r="UQ340"/>
      <c r="UR340"/>
      <c r="US340"/>
      <c r="UT340"/>
      <c r="UU340"/>
      <c r="UV340"/>
      <c r="UW340"/>
      <c r="UX340"/>
      <c r="UY340"/>
      <c r="UZ340"/>
      <c r="VA340"/>
      <c r="VB340"/>
      <c r="VC340"/>
      <c r="VD340"/>
      <c r="VE340"/>
      <c r="VF340"/>
      <c r="VG340"/>
      <c r="VH340"/>
      <c r="VI340"/>
      <c r="VJ340"/>
      <c r="VK340"/>
      <c r="VL340"/>
      <c r="VM340"/>
      <c r="VN340"/>
      <c r="VO340"/>
      <c r="VP340"/>
      <c r="VQ340"/>
      <c r="VR340"/>
      <c r="VS340"/>
      <c r="VT340"/>
      <c r="VU340"/>
      <c r="VV340"/>
      <c r="VW340"/>
      <c r="VX340"/>
      <c r="VY340"/>
      <c r="VZ340"/>
      <c r="WA340"/>
      <c r="WB340"/>
      <c r="WC340"/>
      <c r="WD340"/>
      <c r="WE340"/>
      <c r="WF340"/>
      <c r="WG340"/>
      <c r="WH340"/>
      <c r="WI340"/>
      <c r="WJ340"/>
      <c r="WK340"/>
      <c r="WL340"/>
      <c r="WM340"/>
      <c r="WN340"/>
      <c r="WO340"/>
      <c r="WP340"/>
      <c r="WQ340"/>
      <c r="WR340"/>
      <c r="WS340"/>
      <c r="WT340"/>
      <c r="WU340"/>
      <c r="WV340"/>
      <c r="WW340"/>
      <c r="WX340"/>
      <c r="WY340"/>
      <c r="WZ340"/>
      <c r="XA340"/>
      <c r="XB340"/>
      <c r="XC340"/>
      <c r="XD340"/>
      <c r="XE340"/>
      <c r="XF340"/>
      <c r="XG340"/>
      <c r="XH340"/>
      <c r="XI340"/>
      <c r="XJ340"/>
      <c r="XK340"/>
      <c r="XL340"/>
      <c r="XM340"/>
      <c r="XN340"/>
      <c r="XO340"/>
      <c r="XP340"/>
      <c r="XQ340"/>
      <c r="XR340"/>
      <c r="XS340"/>
      <c r="XT340"/>
      <c r="XU340"/>
      <c r="XV340"/>
      <c r="XW340"/>
      <c r="XX340"/>
      <c r="XY340"/>
      <c r="XZ340"/>
      <c r="YA340"/>
      <c r="YB340"/>
      <c r="YC340"/>
      <c r="YD340"/>
      <c r="YE340"/>
      <c r="YF340"/>
      <c r="YG340"/>
      <c r="YH340"/>
      <c r="YI340"/>
      <c r="YJ340"/>
      <c r="YK340"/>
      <c r="YL340"/>
      <c r="YM340"/>
      <c r="YN340"/>
      <c r="YO340"/>
      <c r="YP340"/>
      <c r="YQ340"/>
      <c r="YR340"/>
      <c r="YS340"/>
      <c r="YT340"/>
      <c r="YU340"/>
      <c r="YV340"/>
      <c r="YW340"/>
      <c r="YX340"/>
      <c r="YY340"/>
      <c r="YZ340"/>
      <c r="ZA340"/>
      <c r="ZB340"/>
      <c r="ZC340"/>
      <c r="ZD340"/>
      <c r="ZE340"/>
      <c r="ZF340"/>
      <c r="ZG340"/>
      <c r="ZH340"/>
      <c r="ZI340"/>
      <c r="ZJ340"/>
      <c r="ZK340"/>
      <c r="ZL340"/>
      <c r="ZM340"/>
      <c r="ZN340"/>
      <c r="ZO340"/>
      <c r="ZP340"/>
      <c r="ZQ340"/>
      <c r="ZR340"/>
      <c r="ZS340"/>
      <c r="ZT340"/>
      <c r="ZU340"/>
      <c r="ZV340"/>
      <c r="ZW340"/>
      <c r="ZX340"/>
      <c r="ZY340"/>
      <c r="ZZ340"/>
      <c r="AAA340"/>
      <c r="AAB340"/>
      <c r="AAC340"/>
      <c r="AAD340"/>
      <c r="AAE340"/>
      <c r="AAF340"/>
      <c r="AAG340"/>
      <c r="AAH340"/>
      <c r="AAI340"/>
      <c r="AAJ340"/>
      <c r="AAK340"/>
      <c r="AAL340"/>
      <c r="AAM340"/>
      <c r="AAN340"/>
      <c r="AAO340"/>
      <c r="AAP340"/>
      <c r="AAQ340"/>
      <c r="AAR340"/>
      <c r="AAS340"/>
      <c r="AAT340"/>
      <c r="AAU340"/>
      <c r="AAV340"/>
      <c r="AAW340"/>
      <c r="AAX340"/>
      <c r="AAY340"/>
      <c r="AAZ340"/>
      <c r="ABA340"/>
      <c r="ABB340"/>
      <c r="ABC340"/>
      <c r="ABD340"/>
      <c r="ABE340"/>
      <c r="ABF340"/>
      <c r="ABG340"/>
      <c r="ABH340"/>
      <c r="ABI340"/>
      <c r="ABJ340"/>
      <c r="ABK340"/>
      <c r="ABL340"/>
      <c r="ABM340"/>
      <c r="ABN340"/>
      <c r="ABO340"/>
      <c r="ABP340"/>
      <c r="ABQ340"/>
      <c r="ABR340"/>
      <c r="ABS340"/>
      <c r="ABT340"/>
      <c r="ABU340"/>
      <c r="ABV340"/>
      <c r="ABW340"/>
      <c r="ABX340"/>
      <c r="ABY340"/>
      <c r="ABZ340"/>
      <c r="ACA340"/>
      <c r="ACB340"/>
      <c r="ACC340"/>
      <c r="ACD340"/>
      <c r="ACE340"/>
      <c r="ACF340"/>
      <c r="ACG340"/>
      <c r="ACH340"/>
      <c r="ACI340"/>
      <c r="ACJ340"/>
      <c r="ACK340"/>
      <c r="ACL340"/>
      <c r="ACM340"/>
      <c r="ACN340"/>
      <c r="ACO340"/>
      <c r="ACP340"/>
      <c r="ACQ340"/>
      <c r="ACR340"/>
      <c r="ACS340"/>
      <c r="ACT340"/>
      <c r="ACU340"/>
      <c r="ACV340"/>
      <c r="ACW340"/>
      <c r="ACX340"/>
      <c r="ACY340"/>
      <c r="ACZ340"/>
      <c r="ADA340"/>
      <c r="ADB340"/>
      <c r="ADC340"/>
      <c r="ADD340"/>
      <c r="ADE340"/>
      <c r="ADF340"/>
      <c r="ADG340"/>
      <c r="ADH340"/>
      <c r="ADI340"/>
      <c r="ADJ340"/>
      <c r="ADK340"/>
      <c r="ADL340"/>
      <c r="ADM340"/>
      <c r="ADN340"/>
      <c r="ADO340"/>
      <c r="ADP340"/>
      <c r="ADQ340"/>
      <c r="ADR340"/>
      <c r="ADS340"/>
      <c r="ADT340"/>
      <c r="ADU340"/>
      <c r="ADV340"/>
      <c r="ADW340"/>
      <c r="ADX340"/>
      <c r="ADY340"/>
      <c r="ADZ340"/>
      <c r="AEA340"/>
      <c r="AEB340"/>
      <c r="AEC340"/>
      <c r="AED340"/>
      <c r="AEE340"/>
      <c r="AEF340"/>
      <c r="AEG340"/>
      <c r="AEH340"/>
      <c r="AEI340"/>
      <c r="AEJ340"/>
      <c r="AEK340"/>
      <c r="AEL340"/>
      <c r="AEM340"/>
      <c r="AEN340"/>
      <c r="AEO340"/>
      <c r="AEP340"/>
      <c r="AEQ340"/>
      <c r="AER340"/>
      <c r="AES340"/>
      <c r="AET340"/>
      <c r="AEU340"/>
      <c r="AEV340"/>
      <c r="AEW340"/>
      <c r="AEX340"/>
      <c r="AEY340"/>
      <c r="AEZ340"/>
      <c r="AFA340"/>
      <c r="AFB340"/>
      <c r="AFC340"/>
      <c r="AFD340"/>
      <c r="AFE340"/>
      <c r="AFF340"/>
      <c r="AFG340"/>
      <c r="AFH340"/>
      <c r="AFI340"/>
      <c r="AFJ340"/>
      <c r="AFK340"/>
      <c r="AFL340"/>
      <c r="AFM340"/>
      <c r="AFN340"/>
      <c r="AFO340"/>
      <c r="AFP340"/>
      <c r="AFQ340"/>
      <c r="AFR340"/>
      <c r="AFS340"/>
      <c r="AFT340"/>
      <c r="AFU340"/>
      <c r="AFV340"/>
      <c r="AFW340"/>
      <c r="AFX340"/>
      <c r="AFY340"/>
      <c r="AFZ340"/>
      <c r="AGA340"/>
      <c r="AGB340"/>
      <c r="AGC340"/>
      <c r="AGD340"/>
      <c r="AGE340"/>
      <c r="AGF340"/>
      <c r="AGG340"/>
      <c r="AGH340"/>
      <c r="AGI340"/>
      <c r="AGJ340"/>
      <c r="AGK340"/>
      <c r="AGL340"/>
      <c r="AGM340"/>
      <c r="AGN340"/>
      <c r="AGO340"/>
      <c r="AGP340"/>
      <c r="AGQ340"/>
      <c r="AGR340"/>
      <c r="AGS340"/>
      <c r="AGT340"/>
      <c r="AGU340"/>
      <c r="AGV340"/>
      <c r="AGW340"/>
      <c r="AGX340"/>
      <c r="AGY340"/>
      <c r="AGZ340"/>
      <c r="AHA340"/>
      <c r="AHB340"/>
      <c r="AHC340"/>
      <c r="AHD340"/>
      <c r="AHE340"/>
      <c r="AHF340"/>
      <c r="AHG340"/>
      <c r="AHH340"/>
      <c r="AHI340"/>
      <c r="AHJ340"/>
      <c r="AHK340"/>
      <c r="AHL340"/>
      <c r="AHM340"/>
      <c r="AHN340"/>
      <c r="AHO340"/>
      <c r="AHP340"/>
      <c r="AHQ340"/>
      <c r="AHR340"/>
      <c r="AHS340"/>
      <c r="AHT340"/>
      <c r="AHU340"/>
      <c r="AHV340"/>
      <c r="AHW340"/>
      <c r="AHX340"/>
      <c r="AHY340"/>
      <c r="AHZ340"/>
      <c r="AIA340"/>
      <c r="AIB340"/>
      <c r="AIC340"/>
      <c r="AID340"/>
      <c r="AIE340"/>
      <c r="AIF340"/>
      <c r="AIG340"/>
      <c r="AIH340"/>
      <c r="AII340"/>
      <c r="AIJ340"/>
      <c r="AIK340"/>
      <c r="AIL340"/>
      <c r="AIM340"/>
      <c r="AIN340"/>
      <c r="AIO340"/>
      <c r="AIP340"/>
      <c r="AIQ340"/>
      <c r="AIR340"/>
      <c r="AIS340"/>
      <c r="AIT340"/>
      <c r="AIU340"/>
      <c r="AIV340"/>
      <c r="AIW340"/>
      <c r="AIX340"/>
      <c r="AIY340"/>
      <c r="AIZ340"/>
      <c r="AJA340"/>
      <c r="AJB340"/>
      <c r="AJC340"/>
      <c r="AJD340"/>
      <c r="AJE340"/>
      <c r="AJF340"/>
      <c r="AJG340"/>
      <c r="AJH340"/>
      <c r="AJI340"/>
      <c r="AJJ340"/>
      <c r="AJK340"/>
      <c r="AJL340"/>
      <c r="AJM340"/>
      <c r="AJN340"/>
      <c r="AJO340"/>
      <c r="AJP340"/>
      <c r="AJQ340"/>
      <c r="AJR340"/>
      <c r="AJS340"/>
      <c r="AJT340"/>
      <c r="AJU340"/>
      <c r="AJV340"/>
      <c r="AJW340"/>
      <c r="AJX340"/>
      <c r="AJY340"/>
      <c r="AJZ340"/>
      <c r="AKA340"/>
      <c r="AKB340"/>
      <c r="AKC340"/>
      <c r="AKD340"/>
      <c r="AKE340"/>
      <c r="AKF340"/>
      <c r="AKG340"/>
      <c r="AKH340"/>
      <c r="AKI340"/>
      <c r="AKJ340"/>
      <c r="AKK340"/>
      <c r="AKL340"/>
      <c r="AKM340"/>
      <c r="AKN340"/>
      <c r="AKO340"/>
      <c r="AKP340"/>
      <c r="AKQ340"/>
      <c r="AKR340"/>
      <c r="AKS340"/>
      <c r="AKT340"/>
      <c r="AKU340"/>
      <c r="AKV340"/>
      <c r="AKW340"/>
      <c r="AKX340"/>
      <c r="AKY340"/>
      <c r="AKZ340"/>
      <c r="ALA340"/>
      <c r="ALB340"/>
      <c r="ALC340"/>
      <c r="ALD340"/>
      <c r="ALE340"/>
      <c r="ALF340"/>
      <c r="ALG340"/>
      <c r="ALH340"/>
      <c r="ALI340"/>
      <c r="ALJ340"/>
      <c r="ALK340"/>
      <c r="ALL340"/>
      <c r="ALM340"/>
      <c r="ALN340"/>
      <c r="ALO340"/>
      <c r="ALP340"/>
      <c r="ALQ340"/>
      <c r="ALR340"/>
      <c r="ALS340"/>
      <c r="ALT340"/>
      <c r="ALU340"/>
      <c r="ALV340"/>
      <c r="ALW340"/>
      <c r="ALX340"/>
      <c r="ALY340"/>
      <c r="ALZ340"/>
      <c r="AMA340"/>
      <c r="AMB340"/>
      <c r="AMC340"/>
      <c r="AMD340"/>
      <c r="AME340"/>
      <c r="AMF340"/>
      <c r="AMG340"/>
      <c r="AMH340"/>
      <c r="AMI340"/>
      <c r="AMJ340"/>
    </row>
    <row r="341" spans="1:1024">
      <c r="A341" s="7" t="s">
        <v>345</v>
      </c>
      <c r="B341" s="7">
        <v>778500</v>
      </c>
      <c r="C341" s="11"/>
      <c r="D341" s="12">
        <v>2</v>
      </c>
      <c r="E341" s="7">
        <f>VLOOKUP(B341,Gesamtstunden_26!B:I,8,0)</f>
        <v>3.6666666666666665</v>
      </c>
      <c r="F341" s="13">
        <f t="shared" si="5"/>
        <v>-1.6666666666666665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  <c r="BK341" s="11"/>
      <c r="BL341" s="11"/>
      <c r="BM341" s="11"/>
      <c r="BN341" s="11"/>
      <c r="BO341" s="11"/>
      <c r="BP341" s="11"/>
      <c r="BQ341" s="11"/>
      <c r="BR341" s="11"/>
      <c r="BS341" s="11"/>
      <c r="BT341" s="11"/>
      <c r="BU341" s="11"/>
      <c r="BV341" s="11"/>
      <c r="BW341" s="11"/>
      <c r="BX341" s="11"/>
      <c r="BY341" s="11"/>
      <c r="BZ341" s="11"/>
      <c r="CA341" s="11"/>
      <c r="CB341" s="11"/>
      <c r="CC341" s="11"/>
      <c r="CD341" s="11"/>
      <c r="CE341" s="11"/>
      <c r="CF341" s="11"/>
      <c r="CG341" s="11"/>
      <c r="CH341" s="11"/>
      <c r="CI341" s="11"/>
      <c r="CJ341" s="11"/>
      <c r="CK341" s="11"/>
      <c r="CL341" s="11"/>
      <c r="CM341" s="11"/>
      <c r="CN341" s="11"/>
      <c r="CO341" s="11"/>
      <c r="CP341" s="11"/>
      <c r="CQ341" s="11"/>
      <c r="CR341" s="11"/>
      <c r="CS341" s="11"/>
      <c r="CT341" s="11"/>
      <c r="CU341" s="11"/>
      <c r="CV341" s="11"/>
      <c r="CW341" s="11"/>
      <c r="CX341" s="11"/>
      <c r="CY341" s="11"/>
      <c r="CZ341" s="11"/>
      <c r="DA341" s="11"/>
      <c r="DB341" s="11"/>
      <c r="DC341" s="11"/>
      <c r="DD341" s="11"/>
      <c r="DE341" s="11"/>
      <c r="DF341" s="11"/>
      <c r="DG341" s="11"/>
      <c r="DH341" s="11"/>
      <c r="DI341" s="11"/>
      <c r="DJ341" s="11"/>
      <c r="DK341" s="11"/>
      <c r="DL341" s="11"/>
      <c r="DM341" s="11"/>
      <c r="DN341" s="11"/>
      <c r="DO341" s="11"/>
      <c r="DP341" s="11"/>
      <c r="DQ341" s="11"/>
      <c r="DR341" s="11"/>
      <c r="DS341" s="11"/>
      <c r="DT341" s="11"/>
      <c r="DU341" s="11"/>
      <c r="DV341" s="11"/>
      <c r="DW341" s="11"/>
      <c r="DX341" s="11"/>
      <c r="DY341" s="11"/>
      <c r="DZ341" s="11"/>
      <c r="EA341" s="11"/>
      <c r="EB341" s="11"/>
      <c r="EC341" s="11"/>
      <c r="ED341" s="11"/>
      <c r="EE341" s="11"/>
      <c r="EF341" s="11"/>
      <c r="EG341" s="11"/>
      <c r="EH341" s="11"/>
      <c r="EI341" s="11"/>
      <c r="EJ341" s="11"/>
      <c r="EK341" s="11"/>
      <c r="EL341" s="11"/>
      <c r="EM341" s="11"/>
      <c r="EN341" s="11"/>
      <c r="EO341" s="11"/>
      <c r="EP341" s="11"/>
      <c r="EQ341" s="11"/>
      <c r="ER341" s="11"/>
      <c r="ES341" s="11"/>
      <c r="ET341" s="11"/>
      <c r="EU341" s="11"/>
      <c r="EV341" s="11"/>
      <c r="EW341" s="11"/>
      <c r="EX341" s="11"/>
      <c r="EY341" s="11"/>
      <c r="EZ341" s="11"/>
      <c r="FA341" s="11"/>
      <c r="FB341" s="11"/>
      <c r="FC341" s="11"/>
      <c r="FD341" s="11"/>
      <c r="FE341" s="11"/>
      <c r="FF341" s="11"/>
      <c r="FG341" s="11"/>
      <c r="FH341" s="11"/>
      <c r="FI341" s="11"/>
      <c r="FJ341" s="11"/>
      <c r="FK341" s="11"/>
      <c r="FL341" s="11"/>
      <c r="FM341" s="11"/>
      <c r="FN341" s="11"/>
      <c r="FO341" s="11"/>
      <c r="FP341" s="11"/>
      <c r="FQ341" s="11"/>
      <c r="FR341" s="11"/>
      <c r="FS341" s="11"/>
      <c r="FT341" s="11"/>
      <c r="FU341" s="11"/>
      <c r="FV341" s="11"/>
      <c r="FW341" s="11"/>
      <c r="FX341" s="11"/>
      <c r="FY341" s="11"/>
      <c r="FZ341" s="11"/>
      <c r="GA341" s="11"/>
      <c r="GB341" s="11"/>
      <c r="GC341" s="11"/>
      <c r="GD341" s="11"/>
      <c r="GE341" s="11"/>
      <c r="GF341" s="11"/>
      <c r="GG341" s="11"/>
      <c r="GH341" s="11"/>
      <c r="GI341" s="11"/>
      <c r="GJ341" s="11"/>
      <c r="GK341" s="11"/>
      <c r="GL341" s="11"/>
      <c r="GM341" s="11"/>
      <c r="GN341" s="11"/>
      <c r="GO341" s="11"/>
      <c r="GP341" s="11"/>
      <c r="GQ341" s="11"/>
      <c r="GR341" s="11"/>
      <c r="GS341" s="11"/>
      <c r="GT341" s="11"/>
      <c r="GU341" s="11"/>
      <c r="GV341" s="11"/>
      <c r="GW341" s="11"/>
      <c r="GX341" s="11"/>
      <c r="GY341" s="11"/>
      <c r="GZ341" s="11"/>
      <c r="HA341" s="11"/>
      <c r="HB341" s="11"/>
      <c r="HC341" s="11"/>
      <c r="HD341" s="11"/>
      <c r="HE341" s="11"/>
      <c r="HF341" s="11"/>
      <c r="HG341" s="11"/>
      <c r="HH341" s="11"/>
      <c r="HI341" s="11"/>
      <c r="HJ341" s="11"/>
      <c r="HK341" s="11"/>
      <c r="HL341" s="11"/>
      <c r="HM341" s="11"/>
      <c r="HN341" s="11"/>
      <c r="HO341" s="11"/>
      <c r="HP341" s="11"/>
      <c r="HQ341" s="11"/>
      <c r="HR341" s="11"/>
      <c r="HS341" s="11"/>
      <c r="HT341" s="11"/>
      <c r="HU341" s="11"/>
      <c r="HV341" s="11"/>
      <c r="HW341" s="11"/>
      <c r="HX341" s="11"/>
      <c r="HY341" s="11"/>
      <c r="HZ341" s="11"/>
      <c r="IA341" s="11"/>
      <c r="IB341" s="11"/>
      <c r="IC341" s="11"/>
      <c r="ID341" s="11"/>
      <c r="IE341" s="11"/>
      <c r="IF341" s="11"/>
      <c r="IG341" s="11"/>
      <c r="IH341" s="11"/>
      <c r="II341" s="11"/>
      <c r="IJ341" s="11"/>
      <c r="IK341" s="11"/>
      <c r="IL341" s="11"/>
      <c r="IM341" s="11"/>
      <c r="IN341" s="11"/>
      <c r="IO341" s="11"/>
      <c r="IP341" s="11"/>
      <c r="IQ341" s="11"/>
      <c r="IR341" s="11"/>
      <c r="IS341" s="11"/>
      <c r="IT341" s="11"/>
      <c r="IU341" s="11"/>
      <c r="IV341" s="11"/>
      <c r="IW341" s="11"/>
      <c r="IX341" s="11"/>
      <c r="IY341" s="11"/>
      <c r="IZ341" s="11"/>
      <c r="JA341" s="11"/>
      <c r="JB341" s="11"/>
      <c r="JC341" s="11"/>
      <c r="JD341" s="11"/>
      <c r="JE341" s="11"/>
      <c r="JF341" s="11"/>
      <c r="JG341" s="11"/>
      <c r="JH341" s="11"/>
      <c r="JI341" s="11"/>
      <c r="JJ341" s="11"/>
      <c r="JK341" s="11"/>
      <c r="JL341" s="11"/>
      <c r="JM341" s="11"/>
      <c r="JN341" s="11"/>
      <c r="JO341" s="11"/>
      <c r="JP341" s="11"/>
      <c r="JQ341" s="11"/>
      <c r="JR341" s="11"/>
      <c r="JS341" s="11"/>
      <c r="JT341" s="11"/>
      <c r="JU341" s="11"/>
      <c r="JV341" s="11"/>
      <c r="JW341" s="11"/>
      <c r="JX341" s="11"/>
      <c r="JY341" s="11"/>
      <c r="JZ341" s="11"/>
      <c r="KA341" s="11"/>
      <c r="KB341" s="11"/>
      <c r="KC341" s="11"/>
      <c r="KD341" s="11"/>
      <c r="KE341" s="11"/>
      <c r="KF341" s="11"/>
      <c r="KG341" s="11"/>
      <c r="KH341" s="11"/>
      <c r="KI341" s="11"/>
      <c r="KJ341" s="11"/>
      <c r="KK341" s="11"/>
      <c r="KL341" s="11"/>
      <c r="KM341" s="11"/>
      <c r="KN341" s="11"/>
      <c r="KO341" s="11"/>
      <c r="KP341" s="11"/>
      <c r="KQ341" s="11"/>
      <c r="KR341" s="11"/>
      <c r="KS341" s="11"/>
      <c r="KT341" s="11"/>
      <c r="KU341" s="11"/>
      <c r="KV341" s="11"/>
      <c r="KW341" s="11"/>
      <c r="KX341" s="11"/>
      <c r="KY341" s="11"/>
      <c r="KZ341" s="11"/>
      <c r="LA341" s="11"/>
      <c r="LB341" s="11"/>
      <c r="LC341" s="11"/>
      <c r="LD341" s="11"/>
      <c r="LE341" s="11"/>
      <c r="LF341" s="11"/>
      <c r="LG341" s="11"/>
      <c r="LH341" s="11"/>
      <c r="LI341" s="11"/>
      <c r="LJ341" s="11"/>
      <c r="LK341" s="11"/>
      <c r="LL341" s="11"/>
      <c r="LM341" s="11"/>
      <c r="LN341" s="11"/>
      <c r="LO341" s="11"/>
      <c r="LP341" s="11"/>
      <c r="LQ341" s="11"/>
      <c r="LR341" s="11"/>
      <c r="LS341" s="11"/>
      <c r="LT341" s="11"/>
      <c r="LU341" s="11"/>
      <c r="LV341" s="11"/>
      <c r="LW341" s="11"/>
      <c r="LX341" s="11"/>
      <c r="LY341" s="11"/>
      <c r="LZ341" s="11"/>
      <c r="MA341" s="11"/>
      <c r="MB341" s="11"/>
      <c r="MC341" s="11"/>
      <c r="MD341" s="11"/>
      <c r="ME341" s="11"/>
      <c r="MF341" s="11"/>
      <c r="MG341" s="11"/>
      <c r="MH341" s="11"/>
      <c r="MI341" s="11"/>
      <c r="MJ341" s="11"/>
      <c r="MK341" s="11"/>
      <c r="ML341" s="11"/>
      <c r="MM341" s="11"/>
      <c r="MN341" s="11"/>
      <c r="MO341" s="11"/>
      <c r="MP341" s="11"/>
      <c r="MQ341" s="11"/>
      <c r="MR341" s="11"/>
      <c r="MS341" s="11"/>
      <c r="MT341" s="11"/>
      <c r="MU341" s="11"/>
      <c r="MV341" s="11"/>
      <c r="MW341" s="11"/>
      <c r="MX341" s="11"/>
      <c r="MY341" s="11"/>
      <c r="MZ341" s="11"/>
      <c r="NA341" s="11"/>
      <c r="NB341" s="11"/>
      <c r="NC341" s="11"/>
      <c r="ND341" s="11"/>
      <c r="NE341" s="11"/>
      <c r="NF341" s="11"/>
      <c r="NG341" s="11"/>
      <c r="NH341" s="11"/>
      <c r="NI341" s="11"/>
      <c r="NJ341" s="11"/>
      <c r="NK341" s="11"/>
      <c r="NL341" s="11"/>
      <c r="NM341" s="11"/>
      <c r="NN341" s="11"/>
      <c r="NO341" s="11"/>
      <c r="NP341" s="11"/>
      <c r="NQ341" s="11"/>
      <c r="NR341" s="11"/>
      <c r="NS341" s="11"/>
      <c r="NT341" s="11"/>
      <c r="NU341" s="11"/>
      <c r="NV341" s="11"/>
      <c r="NW341" s="11"/>
      <c r="NX341" s="11"/>
      <c r="NY341" s="11"/>
      <c r="NZ341" s="11"/>
      <c r="OA341" s="11"/>
      <c r="OB341" s="11"/>
      <c r="OC341" s="11"/>
      <c r="OD341" s="11"/>
      <c r="OE341" s="11"/>
      <c r="OF341" s="11"/>
      <c r="OG341" s="11"/>
      <c r="OH341" s="11"/>
      <c r="OI341" s="11"/>
      <c r="OJ341" s="11"/>
      <c r="OK341" s="11"/>
      <c r="OL341" s="11"/>
      <c r="OM341" s="11"/>
      <c r="ON341" s="11"/>
      <c r="OO341" s="11"/>
      <c r="OP341" s="11"/>
      <c r="OQ341" s="11"/>
      <c r="OR341" s="11"/>
      <c r="OS341" s="11"/>
      <c r="OT341" s="11"/>
      <c r="OU341" s="11"/>
      <c r="OV341" s="11"/>
      <c r="OW341" s="11"/>
      <c r="OX341" s="11"/>
      <c r="OY341" s="11"/>
      <c r="OZ341" s="11"/>
      <c r="PA341" s="11"/>
      <c r="PB341" s="11"/>
      <c r="PC341" s="11"/>
      <c r="PD341" s="11"/>
      <c r="PE341" s="11"/>
      <c r="PF341" s="11"/>
      <c r="PG341" s="11"/>
      <c r="PH341" s="11"/>
      <c r="PI341" s="11"/>
      <c r="PJ341" s="11"/>
      <c r="PK341" s="11"/>
      <c r="PL341" s="11"/>
      <c r="PM341" s="11"/>
      <c r="PN341" s="11"/>
      <c r="PO341" s="11"/>
      <c r="PP341" s="11"/>
      <c r="PQ341" s="11"/>
      <c r="PR341" s="11"/>
      <c r="PS341" s="11"/>
      <c r="PT341" s="11"/>
      <c r="PU341" s="11"/>
      <c r="PV341" s="11"/>
      <c r="PW341" s="11"/>
      <c r="PX341" s="11"/>
      <c r="PY341" s="11"/>
      <c r="PZ341" s="11"/>
      <c r="QA341" s="11"/>
      <c r="QB341" s="11"/>
      <c r="QC341" s="11"/>
      <c r="QD341" s="11"/>
      <c r="QE341" s="11"/>
      <c r="QF341" s="11"/>
      <c r="QG341" s="11"/>
      <c r="QH341" s="11"/>
      <c r="QI341" s="11"/>
      <c r="QJ341" s="11"/>
      <c r="QK341" s="11"/>
      <c r="QL341" s="11"/>
      <c r="QM341" s="11"/>
      <c r="QN341" s="11"/>
      <c r="QO341" s="11"/>
      <c r="QP341" s="11"/>
      <c r="QQ341" s="11"/>
      <c r="QR341" s="11"/>
      <c r="QS341" s="11"/>
      <c r="QT341" s="11"/>
      <c r="QU341" s="11"/>
      <c r="QV341" s="11"/>
      <c r="QW341" s="11"/>
      <c r="QX341" s="11"/>
      <c r="QY341" s="11"/>
      <c r="QZ341" s="11"/>
      <c r="RA341" s="11"/>
      <c r="RB341" s="11"/>
      <c r="RC341" s="11"/>
      <c r="RD341" s="11"/>
      <c r="RE341" s="11"/>
      <c r="RF341" s="11"/>
      <c r="RG341" s="11"/>
      <c r="RH341" s="11"/>
      <c r="RI341" s="11"/>
      <c r="RJ341" s="11"/>
      <c r="RK341" s="11"/>
      <c r="RL341" s="11"/>
      <c r="RM341" s="11"/>
      <c r="RN341" s="11"/>
      <c r="RO341" s="11"/>
      <c r="RP341" s="11"/>
      <c r="RQ341" s="11"/>
      <c r="RR341" s="11"/>
      <c r="RS341" s="11"/>
      <c r="RT341" s="11"/>
      <c r="RU341" s="11"/>
      <c r="RV341" s="11"/>
      <c r="RW341" s="11"/>
      <c r="RX341" s="11"/>
      <c r="RY341" s="11"/>
      <c r="RZ341" s="11"/>
      <c r="SA341" s="11"/>
      <c r="SB341" s="11"/>
      <c r="SC341" s="11"/>
      <c r="SD341" s="11"/>
      <c r="SE341" s="11"/>
      <c r="SF341" s="11"/>
      <c r="SG341" s="11"/>
      <c r="SH341" s="11"/>
      <c r="SI341" s="11"/>
      <c r="SJ341" s="11"/>
      <c r="SK341" s="11"/>
      <c r="SL341" s="11"/>
      <c r="SM341" s="11"/>
      <c r="SN341" s="11"/>
      <c r="SO341" s="11"/>
      <c r="SP341" s="11"/>
      <c r="SQ341" s="11"/>
      <c r="SR341" s="11"/>
      <c r="SS341" s="11"/>
      <c r="ST341" s="11"/>
      <c r="SU341" s="11"/>
      <c r="SV341" s="11"/>
      <c r="SW341" s="11"/>
      <c r="SX341" s="11"/>
      <c r="SY341" s="11"/>
      <c r="SZ341" s="11"/>
      <c r="TA341" s="11"/>
      <c r="TB341" s="11"/>
      <c r="TC341" s="11"/>
      <c r="TD341" s="11"/>
      <c r="TE341" s="11"/>
      <c r="TF341" s="11"/>
      <c r="TG341" s="11"/>
      <c r="TH341" s="11"/>
      <c r="TI341" s="11"/>
      <c r="TJ341" s="11"/>
      <c r="TK341" s="11"/>
      <c r="TL341" s="11"/>
      <c r="TM341" s="11"/>
      <c r="TN341" s="11"/>
      <c r="TO341" s="11"/>
      <c r="TP341" s="11"/>
      <c r="TQ341" s="11"/>
      <c r="TR341" s="11"/>
      <c r="TS341" s="11"/>
      <c r="TT341" s="11"/>
      <c r="TU341" s="11"/>
      <c r="TV341" s="11"/>
      <c r="TW341" s="11"/>
      <c r="TX341" s="11"/>
      <c r="TY341" s="11"/>
      <c r="TZ341" s="11"/>
      <c r="UA341" s="11"/>
      <c r="UB341" s="11"/>
      <c r="UC341" s="11"/>
      <c r="UD341" s="11"/>
      <c r="UE341" s="11"/>
      <c r="UF341" s="11"/>
      <c r="UG341" s="11"/>
      <c r="UH341" s="11"/>
      <c r="UI341" s="11"/>
      <c r="UJ341" s="11"/>
      <c r="UK341" s="11"/>
      <c r="UL341" s="11"/>
      <c r="UM341" s="11"/>
      <c r="UN341" s="11"/>
      <c r="UO341" s="11"/>
      <c r="UP341" s="11"/>
      <c r="UQ341" s="11"/>
      <c r="UR341" s="11"/>
      <c r="US341" s="11"/>
      <c r="UT341" s="11"/>
      <c r="UU341" s="11"/>
      <c r="UV341" s="11"/>
      <c r="UW341" s="11"/>
      <c r="UX341" s="11"/>
      <c r="UY341" s="11"/>
      <c r="UZ341" s="11"/>
      <c r="VA341" s="11"/>
      <c r="VB341" s="11"/>
      <c r="VC341" s="11"/>
      <c r="VD341" s="11"/>
      <c r="VE341" s="11"/>
      <c r="VF341" s="11"/>
      <c r="VG341" s="11"/>
      <c r="VH341" s="11"/>
      <c r="VI341" s="11"/>
      <c r="VJ341" s="11"/>
      <c r="VK341" s="11"/>
      <c r="VL341" s="11"/>
      <c r="VM341" s="11"/>
      <c r="VN341" s="11"/>
      <c r="VO341" s="11"/>
      <c r="VP341" s="11"/>
      <c r="VQ341" s="11"/>
      <c r="VR341" s="11"/>
      <c r="VS341" s="11"/>
      <c r="VT341" s="11"/>
      <c r="VU341" s="11"/>
      <c r="VV341" s="11"/>
      <c r="VW341" s="11"/>
      <c r="VX341" s="11"/>
      <c r="VY341" s="11"/>
      <c r="VZ341" s="11"/>
      <c r="WA341" s="11"/>
      <c r="WB341" s="11"/>
      <c r="WC341" s="11"/>
      <c r="WD341" s="11"/>
      <c r="WE341" s="11"/>
      <c r="WF341" s="11"/>
      <c r="WG341" s="11"/>
      <c r="WH341" s="11"/>
      <c r="WI341" s="11"/>
      <c r="WJ341" s="11"/>
      <c r="WK341" s="11"/>
      <c r="WL341" s="11"/>
      <c r="WM341" s="11"/>
      <c r="WN341" s="11"/>
      <c r="WO341" s="11"/>
      <c r="WP341" s="11"/>
      <c r="WQ341" s="11"/>
      <c r="WR341" s="11"/>
      <c r="WS341" s="11"/>
      <c r="WT341" s="11"/>
      <c r="WU341" s="11"/>
      <c r="WV341" s="11"/>
      <c r="WW341" s="11"/>
      <c r="WX341" s="11"/>
      <c r="WY341" s="11"/>
      <c r="WZ341" s="11"/>
      <c r="XA341" s="11"/>
      <c r="XB341" s="11"/>
      <c r="XC341" s="11"/>
      <c r="XD341" s="11"/>
      <c r="XE341" s="11"/>
      <c r="XF341" s="11"/>
      <c r="XG341" s="11"/>
      <c r="XH341" s="11"/>
      <c r="XI341" s="11"/>
      <c r="XJ341" s="11"/>
      <c r="XK341" s="11"/>
      <c r="XL341" s="11"/>
      <c r="XM341" s="11"/>
      <c r="XN341" s="11"/>
      <c r="XO341" s="11"/>
      <c r="XP341" s="11"/>
      <c r="XQ341" s="11"/>
      <c r="XR341" s="11"/>
      <c r="XS341" s="11"/>
      <c r="XT341" s="11"/>
      <c r="XU341" s="11"/>
      <c r="XV341" s="11"/>
      <c r="XW341" s="11"/>
      <c r="XX341" s="11"/>
      <c r="XY341" s="11"/>
      <c r="XZ341" s="11"/>
      <c r="YA341" s="11"/>
      <c r="YB341" s="11"/>
      <c r="YC341" s="11"/>
      <c r="YD341" s="11"/>
      <c r="YE341" s="11"/>
      <c r="YF341" s="11"/>
      <c r="YG341" s="11"/>
      <c r="YH341" s="11"/>
      <c r="YI341" s="11"/>
      <c r="YJ341" s="11"/>
      <c r="YK341" s="11"/>
      <c r="YL341" s="11"/>
      <c r="YM341" s="11"/>
      <c r="YN341" s="11"/>
      <c r="YO341" s="11"/>
      <c r="YP341" s="11"/>
      <c r="YQ341" s="11"/>
      <c r="YR341" s="11"/>
      <c r="YS341" s="11"/>
      <c r="YT341" s="11"/>
      <c r="YU341" s="11"/>
      <c r="YV341" s="11"/>
      <c r="YW341" s="11"/>
      <c r="YX341" s="11"/>
      <c r="YY341" s="11"/>
      <c r="YZ341" s="11"/>
      <c r="ZA341" s="11"/>
      <c r="ZB341" s="11"/>
      <c r="ZC341" s="11"/>
      <c r="ZD341" s="11"/>
      <c r="ZE341" s="11"/>
      <c r="ZF341" s="11"/>
      <c r="ZG341" s="11"/>
      <c r="ZH341" s="11"/>
      <c r="ZI341" s="11"/>
      <c r="ZJ341" s="11"/>
      <c r="ZK341" s="11"/>
      <c r="ZL341" s="11"/>
      <c r="ZM341" s="11"/>
      <c r="ZN341" s="11"/>
      <c r="ZO341" s="11"/>
      <c r="ZP341" s="11"/>
      <c r="ZQ341" s="11"/>
      <c r="ZR341" s="11"/>
      <c r="ZS341" s="11"/>
      <c r="ZT341" s="11"/>
      <c r="ZU341" s="11"/>
      <c r="ZV341" s="11"/>
      <c r="ZW341" s="11"/>
      <c r="ZX341" s="11"/>
      <c r="ZY341" s="11"/>
      <c r="ZZ341" s="11"/>
      <c r="AAA341" s="11"/>
      <c r="AAB341" s="11"/>
      <c r="AAC341" s="11"/>
      <c r="AAD341" s="11"/>
      <c r="AAE341" s="11"/>
      <c r="AAF341" s="11"/>
      <c r="AAG341" s="11"/>
      <c r="AAH341" s="11"/>
      <c r="AAI341" s="11"/>
      <c r="AAJ341" s="11"/>
      <c r="AAK341" s="11"/>
      <c r="AAL341" s="11"/>
      <c r="AAM341" s="11"/>
      <c r="AAN341" s="11"/>
      <c r="AAO341" s="11"/>
      <c r="AAP341" s="11"/>
      <c r="AAQ341" s="11"/>
      <c r="AAR341" s="11"/>
      <c r="AAS341" s="11"/>
      <c r="AAT341" s="11"/>
      <c r="AAU341" s="11"/>
      <c r="AAV341" s="11"/>
      <c r="AAW341" s="11"/>
      <c r="AAX341" s="11"/>
      <c r="AAY341" s="11"/>
      <c r="AAZ341" s="11"/>
      <c r="ABA341" s="11"/>
      <c r="ABB341" s="11"/>
      <c r="ABC341" s="11"/>
      <c r="ABD341" s="11"/>
      <c r="ABE341" s="11"/>
      <c r="ABF341" s="11"/>
      <c r="ABG341" s="11"/>
      <c r="ABH341" s="11"/>
      <c r="ABI341" s="11"/>
      <c r="ABJ341" s="11"/>
      <c r="ABK341" s="11"/>
      <c r="ABL341" s="11"/>
      <c r="ABM341" s="11"/>
      <c r="ABN341" s="11"/>
      <c r="ABO341" s="11"/>
      <c r="ABP341" s="11"/>
      <c r="ABQ341" s="11"/>
      <c r="ABR341" s="11"/>
      <c r="ABS341" s="11"/>
      <c r="ABT341" s="11"/>
      <c r="ABU341" s="11"/>
      <c r="ABV341" s="11"/>
      <c r="ABW341" s="11"/>
      <c r="ABX341" s="11"/>
      <c r="ABY341" s="11"/>
      <c r="ABZ341" s="11"/>
      <c r="ACA341" s="11"/>
      <c r="ACB341" s="11"/>
      <c r="ACC341" s="11"/>
      <c r="ACD341" s="11"/>
      <c r="ACE341" s="11"/>
      <c r="ACF341" s="11"/>
      <c r="ACG341" s="11"/>
      <c r="ACH341" s="11"/>
      <c r="ACI341" s="11"/>
      <c r="ACJ341" s="11"/>
      <c r="ACK341" s="11"/>
      <c r="ACL341" s="11"/>
      <c r="ACM341" s="11"/>
      <c r="ACN341" s="11"/>
      <c r="ACO341" s="11"/>
      <c r="ACP341" s="11"/>
      <c r="ACQ341" s="11"/>
      <c r="ACR341" s="11"/>
      <c r="ACS341" s="11"/>
      <c r="ACT341" s="11"/>
      <c r="ACU341" s="11"/>
      <c r="ACV341" s="11"/>
      <c r="ACW341" s="11"/>
      <c r="ACX341" s="11"/>
      <c r="ACY341" s="11"/>
      <c r="ACZ341" s="11"/>
      <c r="ADA341" s="11"/>
      <c r="ADB341" s="11"/>
      <c r="ADC341" s="11"/>
      <c r="ADD341" s="11"/>
      <c r="ADE341" s="11"/>
      <c r="ADF341" s="11"/>
      <c r="ADG341" s="11"/>
      <c r="ADH341" s="11"/>
      <c r="ADI341" s="11"/>
      <c r="ADJ341" s="11"/>
      <c r="ADK341" s="11"/>
      <c r="ADL341" s="11"/>
      <c r="ADM341" s="11"/>
      <c r="ADN341" s="11"/>
      <c r="ADO341" s="11"/>
      <c r="ADP341" s="11"/>
      <c r="ADQ341" s="11"/>
      <c r="ADR341" s="11"/>
      <c r="ADS341" s="11"/>
      <c r="ADT341" s="11"/>
      <c r="ADU341" s="11"/>
      <c r="ADV341" s="11"/>
      <c r="ADW341" s="11"/>
      <c r="ADX341" s="11"/>
      <c r="ADY341" s="11"/>
      <c r="ADZ341" s="11"/>
      <c r="AEA341" s="11"/>
      <c r="AEB341" s="11"/>
      <c r="AEC341" s="11"/>
      <c r="AED341" s="11"/>
      <c r="AEE341" s="11"/>
      <c r="AEF341" s="11"/>
      <c r="AEG341" s="11"/>
      <c r="AEH341" s="11"/>
      <c r="AEI341" s="11"/>
      <c r="AEJ341" s="11"/>
      <c r="AEK341" s="11"/>
      <c r="AEL341" s="11"/>
      <c r="AEM341" s="11"/>
      <c r="AEN341" s="11"/>
      <c r="AEO341" s="11"/>
      <c r="AEP341" s="11"/>
      <c r="AEQ341" s="11"/>
      <c r="AER341" s="11"/>
      <c r="AES341" s="11"/>
      <c r="AET341" s="11"/>
      <c r="AEU341" s="11"/>
      <c r="AEV341" s="11"/>
      <c r="AEW341" s="11"/>
      <c r="AEX341" s="11"/>
      <c r="AEY341" s="11"/>
      <c r="AEZ341" s="11"/>
      <c r="AFA341" s="11"/>
      <c r="AFB341" s="11"/>
      <c r="AFC341" s="11"/>
      <c r="AFD341" s="11"/>
      <c r="AFE341" s="11"/>
      <c r="AFF341" s="11"/>
      <c r="AFG341" s="11"/>
      <c r="AFH341" s="11"/>
      <c r="AFI341" s="11"/>
      <c r="AFJ341" s="11"/>
      <c r="AFK341" s="11"/>
      <c r="AFL341" s="11"/>
      <c r="AFM341" s="11"/>
      <c r="AFN341" s="11"/>
      <c r="AFO341" s="11"/>
      <c r="AFP341" s="11"/>
      <c r="AFQ341" s="11"/>
      <c r="AFR341" s="11"/>
      <c r="AFS341" s="11"/>
      <c r="AFT341" s="11"/>
      <c r="AFU341" s="11"/>
      <c r="AFV341" s="11"/>
      <c r="AFW341" s="11"/>
      <c r="AFX341" s="11"/>
      <c r="AFY341" s="11"/>
      <c r="AFZ341" s="11"/>
      <c r="AGA341" s="11"/>
      <c r="AGB341" s="11"/>
      <c r="AGC341" s="11"/>
      <c r="AGD341" s="11"/>
      <c r="AGE341" s="11"/>
      <c r="AGF341" s="11"/>
      <c r="AGG341" s="11"/>
      <c r="AGH341" s="11"/>
      <c r="AGI341" s="11"/>
      <c r="AGJ341" s="11"/>
      <c r="AGK341" s="11"/>
      <c r="AGL341" s="11"/>
      <c r="AGM341" s="11"/>
      <c r="AGN341" s="11"/>
      <c r="AGO341" s="11"/>
      <c r="AGP341" s="11"/>
      <c r="AGQ341" s="11"/>
      <c r="AGR341" s="11"/>
      <c r="AGS341" s="11"/>
      <c r="AGT341" s="11"/>
      <c r="AGU341" s="11"/>
      <c r="AGV341" s="11"/>
      <c r="AGW341" s="11"/>
      <c r="AGX341" s="11"/>
      <c r="AGY341" s="11"/>
      <c r="AGZ341" s="11"/>
      <c r="AHA341" s="11"/>
      <c r="AHB341" s="11"/>
      <c r="AHC341" s="11"/>
      <c r="AHD341" s="11"/>
      <c r="AHE341" s="11"/>
      <c r="AHF341" s="11"/>
      <c r="AHG341" s="11"/>
      <c r="AHH341" s="11"/>
      <c r="AHI341" s="11"/>
      <c r="AHJ341" s="11"/>
      <c r="AHK341" s="11"/>
      <c r="AHL341" s="11"/>
      <c r="AHM341" s="11"/>
      <c r="AHN341" s="11"/>
      <c r="AHO341" s="11"/>
      <c r="AHP341" s="11"/>
      <c r="AHQ341" s="11"/>
      <c r="AHR341" s="11"/>
      <c r="AHS341" s="11"/>
      <c r="AHT341" s="11"/>
      <c r="AHU341" s="11"/>
      <c r="AHV341" s="11"/>
      <c r="AHW341" s="11"/>
      <c r="AHX341" s="11"/>
      <c r="AHY341" s="11"/>
      <c r="AHZ341" s="11"/>
      <c r="AIA341" s="11"/>
      <c r="AIB341" s="11"/>
      <c r="AIC341" s="11"/>
      <c r="AID341" s="11"/>
      <c r="AIE341" s="11"/>
      <c r="AIF341" s="11"/>
      <c r="AIG341" s="11"/>
      <c r="AIH341" s="11"/>
      <c r="AII341" s="11"/>
      <c r="AIJ341" s="11"/>
      <c r="AIK341" s="11"/>
      <c r="AIL341" s="11"/>
      <c r="AIM341" s="11"/>
      <c r="AIN341" s="11"/>
      <c r="AIO341" s="11"/>
      <c r="AIP341" s="11"/>
      <c r="AIQ341" s="11"/>
      <c r="AIR341" s="11"/>
      <c r="AIS341" s="11"/>
      <c r="AIT341" s="11"/>
      <c r="AIU341" s="11"/>
      <c r="AIV341" s="11"/>
      <c r="AIW341" s="11"/>
      <c r="AIX341" s="11"/>
      <c r="AIY341" s="11"/>
      <c r="AIZ341" s="11"/>
      <c r="AJA341" s="11"/>
      <c r="AJB341" s="11"/>
      <c r="AJC341" s="11"/>
      <c r="AJD341" s="11"/>
      <c r="AJE341" s="11"/>
      <c r="AJF341" s="11"/>
      <c r="AJG341" s="11"/>
      <c r="AJH341" s="11"/>
      <c r="AJI341" s="11"/>
      <c r="AJJ341" s="11"/>
      <c r="AJK341" s="11"/>
      <c r="AJL341" s="11"/>
      <c r="AJM341" s="11"/>
      <c r="AJN341" s="11"/>
      <c r="AJO341" s="11"/>
      <c r="AJP341" s="11"/>
      <c r="AJQ341" s="11"/>
      <c r="AJR341" s="11"/>
      <c r="AJS341" s="11"/>
      <c r="AJT341" s="11"/>
      <c r="AJU341" s="11"/>
      <c r="AJV341" s="11"/>
      <c r="AJW341" s="11"/>
      <c r="AJX341" s="11"/>
      <c r="AJY341" s="11"/>
      <c r="AJZ341" s="11"/>
      <c r="AKA341" s="11"/>
      <c r="AKB341" s="11"/>
      <c r="AKC341" s="11"/>
      <c r="AKD341" s="11"/>
      <c r="AKE341" s="11"/>
      <c r="AKF341" s="11"/>
      <c r="AKG341" s="11"/>
      <c r="AKH341" s="11"/>
      <c r="AKI341" s="11"/>
      <c r="AKJ341" s="11"/>
      <c r="AKK341" s="11"/>
      <c r="AKL341" s="11"/>
      <c r="AKM341" s="11"/>
      <c r="AKN341" s="11"/>
      <c r="AKO341" s="11"/>
      <c r="AKP341" s="11"/>
      <c r="AKQ341" s="11"/>
      <c r="AKR341" s="11"/>
      <c r="AKS341" s="11"/>
      <c r="AKT341" s="11"/>
      <c r="AKU341" s="11"/>
      <c r="AKV341" s="11"/>
      <c r="AKW341" s="11"/>
      <c r="AKX341" s="11"/>
      <c r="AKY341" s="11"/>
      <c r="AKZ341" s="11"/>
      <c r="ALA341" s="11"/>
      <c r="ALB341" s="11"/>
      <c r="ALC341" s="11"/>
      <c r="ALD341" s="11"/>
      <c r="ALE341" s="11"/>
      <c r="ALF341" s="11"/>
      <c r="ALG341" s="11"/>
      <c r="ALH341" s="11"/>
      <c r="ALI341" s="11"/>
      <c r="ALJ341" s="11"/>
      <c r="ALK341" s="11"/>
      <c r="ALL341" s="11"/>
      <c r="ALM341" s="11"/>
      <c r="ALN341" s="11"/>
      <c r="ALO341" s="11"/>
      <c r="ALP341" s="11"/>
      <c r="ALQ341" s="11"/>
      <c r="ALR341" s="11"/>
      <c r="ALS341" s="11"/>
      <c r="ALT341" s="11"/>
      <c r="ALU341" s="11"/>
      <c r="ALV341" s="11"/>
      <c r="ALW341" s="11"/>
      <c r="ALX341" s="11"/>
      <c r="ALY341" s="11"/>
      <c r="ALZ341" s="11"/>
      <c r="AMA341" s="11"/>
      <c r="AMB341" s="11"/>
      <c r="AMC341" s="11"/>
      <c r="AMD341" s="11"/>
      <c r="AME341" s="11"/>
      <c r="AMF341" s="11"/>
      <c r="AMG341" s="11"/>
      <c r="AMH341" s="11"/>
      <c r="AMI341" s="11"/>
      <c r="AMJ341" s="11"/>
    </row>
    <row r="342" spans="1:1024" ht="27.6">
      <c r="A342" s="8" t="s">
        <v>346</v>
      </c>
      <c r="B342" s="8">
        <v>661474</v>
      </c>
      <c r="D342" s="1">
        <v>14.17</v>
      </c>
      <c r="E342" s="8">
        <f>VLOOKUP(B342,Gesamtstunden_26!B:I,8,0)</f>
        <v>0</v>
      </c>
      <c r="F342" s="2">
        <f t="shared" si="5"/>
        <v>14.17</v>
      </c>
    </row>
    <row r="343" spans="1:1024">
      <c r="A343" s="14" t="s">
        <v>347</v>
      </c>
      <c r="B343" s="14">
        <v>353903</v>
      </c>
      <c r="D343" s="1">
        <v>0</v>
      </c>
      <c r="E343" s="8">
        <f>VLOOKUP(B343,Gesamtstunden_26!B:I,8,0)</f>
        <v>0</v>
      </c>
      <c r="F343" s="2">
        <f t="shared" si="5"/>
        <v>0</v>
      </c>
    </row>
    <row r="344" spans="1:1024">
      <c r="A344" s="7" t="s">
        <v>348</v>
      </c>
      <c r="B344" s="7">
        <v>652343</v>
      </c>
      <c r="D344" s="1">
        <v>0</v>
      </c>
      <c r="E344" s="8">
        <f>VLOOKUP(B344,Gesamtstunden_26!B:I,8,0)</f>
        <v>2.5</v>
      </c>
      <c r="F344" s="2">
        <f t="shared" si="5"/>
        <v>-2.5</v>
      </c>
    </row>
    <row r="345" spans="1:1024">
      <c r="A345" s="18" t="s">
        <v>349</v>
      </c>
      <c r="B345" s="18">
        <v>890105</v>
      </c>
      <c r="D345" s="1">
        <v>0</v>
      </c>
      <c r="E345" s="8">
        <f>VLOOKUP(B345,Gesamtstunden_26!B:I,8,0)</f>
        <v>1</v>
      </c>
      <c r="F345" s="2">
        <f t="shared" si="5"/>
        <v>-1</v>
      </c>
    </row>
    <row r="346" spans="1:1024">
      <c r="A346" s="10" t="s">
        <v>350</v>
      </c>
      <c r="B346" s="10">
        <v>273277</v>
      </c>
      <c r="D346" s="1">
        <v>0</v>
      </c>
      <c r="E346" s="8">
        <f>VLOOKUP(B346,Gesamtstunden_26!B:I,8,0)</f>
        <v>6</v>
      </c>
      <c r="F346" s="2">
        <f t="shared" si="5"/>
        <v>-6</v>
      </c>
    </row>
    <row r="347" spans="1:1024">
      <c r="A347" s="8" t="s">
        <v>351</v>
      </c>
      <c r="B347" s="8">
        <v>720428</v>
      </c>
      <c r="D347" s="1">
        <v>9.8366666666666696</v>
      </c>
      <c r="E347" s="8">
        <f>VLOOKUP(B347,Gesamtstunden_26!B:I,8,0)</f>
        <v>0</v>
      </c>
      <c r="F347" s="2">
        <f t="shared" si="5"/>
        <v>9.8366666666666696</v>
      </c>
    </row>
    <row r="348" spans="1:1024">
      <c r="A348" s="10" t="s">
        <v>352</v>
      </c>
      <c r="B348" s="10">
        <v>873907</v>
      </c>
      <c r="D348" s="1">
        <v>0</v>
      </c>
      <c r="E348" s="8">
        <f>VLOOKUP(B348,Gesamtstunden_26!B:I,8,0)</f>
        <v>3</v>
      </c>
      <c r="F348" s="2">
        <f t="shared" si="5"/>
        <v>-3</v>
      </c>
    </row>
    <row r="349" spans="1:1024">
      <c r="A349" s="8" t="s">
        <v>353</v>
      </c>
      <c r="B349" s="8">
        <v>397580</v>
      </c>
      <c r="D349" s="1">
        <v>4.3333333333333304</v>
      </c>
      <c r="E349" s="8">
        <f>VLOOKUP(B349,Gesamtstunden_26!B:I,8,0)</f>
        <v>0</v>
      </c>
      <c r="F349" s="2">
        <f t="shared" si="5"/>
        <v>4.3333333333333304</v>
      </c>
    </row>
    <row r="350" spans="1:1024" s="11" customFormat="1">
      <c r="A350" s="7" t="s">
        <v>354</v>
      </c>
      <c r="B350" s="7">
        <v>621484</v>
      </c>
      <c r="C350"/>
      <c r="D350" s="1">
        <v>0</v>
      </c>
      <c r="E350" s="8">
        <f>VLOOKUP(B350,Gesamtstunden_26!B:I,8,0)</f>
        <v>5</v>
      </c>
      <c r="F350" s="2">
        <f t="shared" si="5"/>
        <v>-5</v>
      </c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DV350"/>
      <c r="DW350"/>
      <c r="DX350"/>
      <c r="DY350"/>
      <c r="DZ350"/>
      <c r="EA350"/>
      <c r="EB350"/>
      <c r="EC350"/>
      <c r="ED350"/>
      <c r="EE350"/>
      <c r="EF350"/>
      <c r="EG350"/>
      <c r="EH350"/>
      <c r="EI350"/>
      <c r="EJ350"/>
      <c r="EK350"/>
      <c r="EL350"/>
      <c r="EM350"/>
      <c r="EN350"/>
      <c r="EO350"/>
      <c r="EP350"/>
      <c r="EQ350"/>
      <c r="ER350"/>
      <c r="ES350"/>
      <c r="ET350"/>
      <c r="EU350"/>
      <c r="EV350"/>
      <c r="EW350"/>
      <c r="EX350"/>
      <c r="EY350"/>
      <c r="EZ350"/>
      <c r="FA350"/>
      <c r="FB350"/>
      <c r="FC350"/>
      <c r="FD350"/>
      <c r="FE350"/>
      <c r="FF350"/>
      <c r="FG350"/>
      <c r="FH350"/>
      <c r="FI350"/>
      <c r="FJ350"/>
      <c r="FK350"/>
      <c r="FL350"/>
      <c r="FM350"/>
      <c r="FN350"/>
      <c r="FO350"/>
      <c r="FP350"/>
      <c r="FQ350"/>
      <c r="FR350"/>
      <c r="FS350"/>
      <c r="FT350"/>
      <c r="FU350"/>
      <c r="FV350"/>
      <c r="FW350"/>
      <c r="FX350"/>
      <c r="FY350"/>
      <c r="FZ350"/>
      <c r="GA350"/>
      <c r="GB350"/>
      <c r="GC350"/>
      <c r="GD350"/>
      <c r="GE350"/>
      <c r="GF350"/>
      <c r="GG350"/>
      <c r="GH350"/>
      <c r="GI350"/>
      <c r="GJ350"/>
      <c r="GK350"/>
      <c r="GL350"/>
      <c r="GM350"/>
      <c r="GN350"/>
      <c r="GO350"/>
      <c r="GP350"/>
      <c r="GQ350"/>
      <c r="GR350"/>
      <c r="GS350"/>
      <c r="GT350"/>
      <c r="GU350"/>
      <c r="GV350"/>
      <c r="GW350"/>
      <c r="GX350"/>
      <c r="GY350"/>
      <c r="GZ350"/>
      <c r="HA350"/>
      <c r="HB350"/>
      <c r="HC350"/>
      <c r="HD350"/>
      <c r="HE350"/>
      <c r="HF350"/>
      <c r="HG350"/>
      <c r="HH350"/>
      <c r="HI350"/>
      <c r="HJ350"/>
      <c r="HK350"/>
      <c r="HL350"/>
      <c r="HM350"/>
      <c r="HN350"/>
      <c r="HO350"/>
      <c r="HP350"/>
      <c r="HQ350"/>
      <c r="HR350"/>
      <c r="HS350"/>
      <c r="HT350"/>
      <c r="HU350"/>
      <c r="HV350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  <c r="IW350"/>
      <c r="IX350"/>
      <c r="IY350"/>
      <c r="IZ350"/>
      <c r="JA350"/>
      <c r="JB350"/>
      <c r="JC350"/>
      <c r="JD350"/>
      <c r="JE350"/>
      <c r="JF350"/>
      <c r="JG350"/>
      <c r="JH350"/>
      <c r="JI350"/>
      <c r="JJ350"/>
      <c r="JK350"/>
      <c r="JL350"/>
      <c r="JM350"/>
      <c r="JN350"/>
      <c r="JO350"/>
      <c r="JP350"/>
      <c r="JQ350"/>
      <c r="JR350"/>
      <c r="JS350"/>
      <c r="JT350"/>
      <c r="JU350"/>
      <c r="JV350"/>
      <c r="JW350"/>
      <c r="JX350"/>
      <c r="JY350"/>
      <c r="JZ350"/>
      <c r="KA350"/>
      <c r="KB350"/>
      <c r="KC350"/>
      <c r="KD350"/>
      <c r="KE350"/>
      <c r="KF350"/>
      <c r="KG350"/>
      <c r="KH350"/>
      <c r="KI350"/>
      <c r="KJ350"/>
      <c r="KK350"/>
      <c r="KL350"/>
      <c r="KM350"/>
      <c r="KN350"/>
      <c r="KO350"/>
      <c r="KP350"/>
      <c r="KQ350"/>
      <c r="KR350"/>
      <c r="KS350"/>
      <c r="KT350"/>
      <c r="KU350"/>
      <c r="KV350"/>
      <c r="KW350"/>
      <c r="KX350"/>
      <c r="KY350"/>
      <c r="KZ350"/>
      <c r="LA350"/>
      <c r="LB350"/>
      <c r="LC350"/>
      <c r="LD350"/>
      <c r="LE350"/>
      <c r="LF350"/>
      <c r="LG350"/>
      <c r="LH350"/>
      <c r="LI350"/>
      <c r="LJ350"/>
      <c r="LK350"/>
      <c r="LL350"/>
      <c r="LM350"/>
      <c r="LN350"/>
      <c r="LO350"/>
      <c r="LP350"/>
      <c r="LQ350"/>
      <c r="LR350"/>
      <c r="LS350"/>
      <c r="LT350"/>
      <c r="LU350"/>
      <c r="LV350"/>
      <c r="LW350"/>
      <c r="LX350"/>
      <c r="LY350"/>
      <c r="LZ350"/>
      <c r="MA350"/>
      <c r="MB350"/>
      <c r="MC350"/>
      <c r="MD350"/>
      <c r="ME350"/>
      <c r="MF350"/>
      <c r="MG350"/>
      <c r="MH350"/>
      <c r="MI350"/>
      <c r="MJ350"/>
      <c r="MK350"/>
      <c r="ML350"/>
      <c r="MM350"/>
      <c r="MN350"/>
      <c r="MO350"/>
      <c r="MP350"/>
      <c r="MQ350"/>
      <c r="MR350"/>
      <c r="MS350"/>
      <c r="MT350"/>
      <c r="MU350"/>
      <c r="MV350"/>
      <c r="MW350"/>
      <c r="MX350"/>
      <c r="MY350"/>
      <c r="MZ350"/>
      <c r="NA350"/>
      <c r="NB350"/>
      <c r="NC350"/>
      <c r="ND350"/>
      <c r="NE350"/>
      <c r="NF350"/>
      <c r="NG350"/>
      <c r="NH350"/>
      <c r="NI350"/>
      <c r="NJ350"/>
      <c r="NK350"/>
      <c r="NL350"/>
      <c r="NM350"/>
      <c r="NN350"/>
      <c r="NO350"/>
      <c r="NP350"/>
      <c r="NQ350"/>
      <c r="NR350"/>
      <c r="NS350"/>
      <c r="NT350"/>
      <c r="NU350"/>
      <c r="NV350"/>
      <c r="NW350"/>
      <c r="NX350"/>
      <c r="NY350"/>
      <c r="NZ350"/>
      <c r="OA350"/>
      <c r="OB350"/>
      <c r="OC350"/>
      <c r="OD350"/>
      <c r="OE350"/>
      <c r="OF350"/>
      <c r="OG350"/>
      <c r="OH350"/>
      <c r="OI350"/>
      <c r="OJ350"/>
      <c r="OK350"/>
      <c r="OL350"/>
      <c r="OM350"/>
      <c r="ON350"/>
      <c r="OO350"/>
      <c r="OP350"/>
      <c r="OQ350"/>
      <c r="OR350"/>
      <c r="OS350"/>
      <c r="OT350"/>
      <c r="OU350"/>
      <c r="OV350"/>
      <c r="OW350"/>
      <c r="OX350"/>
      <c r="OY350"/>
      <c r="OZ350"/>
      <c r="PA350"/>
      <c r="PB350"/>
      <c r="PC350"/>
      <c r="PD350"/>
      <c r="PE350"/>
      <c r="PF350"/>
      <c r="PG350"/>
      <c r="PH350"/>
      <c r="PI350"/>
      <c r="PJ350"/>
      <c r="PK350"/>
      <c r="PL350"/>
      <c r="PM350"/>
      <c r="PN350"/>
      <c r="PO350"/>
      <c r="PP350"/>
      <c r="PQ350"/>
      <c r="PR350"/>
      <c r="PS350"/>
      <c r="PT350"/>
      <c r="PU350"/>
      <c r="PV350"/>
      <c r="PW350"/>
      <c r="PX350"/>
      <c r="PY350"/>
      <c r="PZ350"/>
      <c r="QA350"/>
      <c r="QB350"/>
      <c r="QC350"/>
      <c r="QD350"/>
      <c r="QE350"/>
      <c r="QF350"/>
      <c r="QG350"/>
      <c r="QH350"/>
      <c r="QI350"/>
      <c r="QJ350"/>
      <c r="QK350"/>
      <c r="QL350"/>
      <c r="QM350"/>
      <c r="QN350"/>
      <c r="QO350"/>
      <c r="QP350"/>
      <c r="QQ350"/>
      <c r="QR350"/>
      <c r="QS350"/>
      <c r="QT350"/>
      <c r="QU350"/>
      <c r="QV350"/>
      <c r="QW350"/>
      <c r="QX350"/>
      <c r="QY350"/>
      <c r="QZ350"/>
      <c r="RA350"/>
      <c r="RB350"/>
      <c r="RC350"/>
      <c r="RD350"/>
      <c r="RE350"/>
      <c r="RF350"/>
      <c r="RG350"/>
      <c r="RH350"/>
      <c r="RI350"/>
      <c r="RJ350"/>
      <c r="RK350"/>
      <c r="RL350"/>
      <c r="RM350"/>
      <c r="RN350"/>
      <c r="RO350"/>
      <c r="RP350"/>
      <c r="RQ350"/>
      <c r="RR350"/>
      <c r="RS350"/>
      <c r="RT350"/>
      <c r="RU350"/>
      <c r="RV350"/>
      <c r="RW350"/>
      <c r="RX350"/>
      <c r="RY350"/>
      <c r="RZ350"/>
      <c r="SA350"/>
      <c r="SB350"/>
      <c r="SC350"/>
      <c r="SD350"/>
      <c r="SE350"/>
      <c r="SF350"/>
      <c r="SG350"/>
      <c r="SH350"/>
      <c r="SI350"/>
      <c r="SJ350"/>
      <c r="SK350"/>
      <c r="SL350"/>
      <c r="SM350"/>
      <c r="SN350"/>
      <c r="SO350"/>
      <c r="SP350"/>
      <c r="SQ350"/>
      <c r="SR350"/>
      <c r="SS350"/>
      <c r="ST350"/>
      <c r="SU350"/>
      <c r="SV350"/>
      <c r="SW350"/>
      <c r="SX350"/>
      <c r="SY350"/>
      <c r="SZ350"/>
      <c r="TA350"/>
      <c r="TB350"/>
      <c r="TC350"/>
      <c r="TD350"/>
      <c r="TE350"/>
      <c r="TF350"/>
      <c r="TG350"/>
      <c r="TH350"/>
      <c r="TI350"/>
      <c r="TJ350"/>
      <c r="TK350"/>
      <c r="TL350"/>
      <c r="TM350"/>
      <c r="TN350"/>
      <c r="TO350"/>
      <c r="TP350"/>
      <c r="TQ350"/>
      <c r="TR350"/>
      <c r="TS350"/>
      <c r="TT350"/>
      <c r="TU350"/>
      <c r="TV350"/>
      <c r="TW350"/>
      <c r="TX350"/>
      <c r="TY350"/>
      <c r="TZ350"/>
      <c r="UA350"/>
      <c r="UB350"/>
      <c r="UC350"/>
      <c r="UD350"/>
      <c r="UE350"/>
      <c r="UF350"/>
      <c r="UG350"/>
      <c r="UH350"/>
      <c r="UI350"/>
      <c r="UJ350"/>
      <c r="UK350"/>
      <c r="UL350"/>
      <c r="UM350"/>
      <c r="UN350"/>
      <c r="UO350"/>
      <c r="UP350"/>
      <c r="UQ350"/>
      <c r="UR350"/>
      <c r="US350"/>
      <c r="UT350"/>
      <c r="UU350"/>
      <c r="UV350"/>
      <c r="UW350"/>
      <c r="UX350"/>
      <c r="UY350"/>
      <c r="UZ350"/>
      <c r="VA350"/>
      <c r="VB350"/>
      <c r="VC350"/>
      <c r="VD350"/>
      <c r="VE350"/>
      <c r="VF350"/>
      <c r="VG350"/>
      <c r="VH350"/>
      <c r="VI350"/>
      <c r="VJ350"/>
      <c r="VK350"/>
      <c r="VL350"/>
      <c r="VM350"/>
      <c r="VN350"/>
      <c r="VO350"/>
      <c r="VP350"/>
      <c r="VQ350"/>
      <c r="VR350"/>
      <c r="VS350"/>
      <c r="VT350"/>
      <c r="VU350"/>
      <c r="VV350"/>
      <c r="VW350"/>
      <c r="VX350"/>
      <c r="VY350"/>
      <c r="VZ350"/>
      <c r="WA350"/>
      <c r="WB350"/>
      <c r="WC350"/>
      <c r="WD350"/>
      <c r="WE350"/>
      <c r="WF350"/>
      <c r="WG350"/>
      <c r="WH350"/>
      <c r="WI350"/>
      <c r="WJ350"/>
      <c r="WK350"/>
      <c r="WL350"/>
      <c r="WM350"/>
      <c r="WN350"/>
      <c r="WO350"/>
      <c r="WP350"/>
      <c r="WQ350"/>
      <c r="WR350"/>
      <c r="WS350"/>
      <c r="WT350"/>
      <c r="WU350"/>
      <c r="WV350"/>
      <c r="WW350"/>
      <c r="WX350"/>
      <c r="WY350"/>
      <c r="WZ350"/>
      <c r="XA350"/>
      <c r="XB350"/>
      <c r="XC350"/>
      <c r="XD350"/>
      <c r="XE350"/>
      <c r="XF350"/>
      <c r="XG350"/>
      <c r="XH350"/>
      <c r="XI350"/>
      <c r="XJ350"/>
      <c r="XK350"/>
      <c r="XL350"/>
      <c r="XM350"/>
      <c r="XN350"/>
      <c r="XO350"/>
      <c r="XP350"/>
      <c r="XQ350"/>
      <c r="XR350"/>
      <c r="XS350"/>
      <c r="XT350"/>
      <c r="XU350"/>
      <c r="XV350"/>
      <c r="XW350"/>
      <c r="XX350"/>
      <c r="XY350"/>
      <c r="XZ350"/>
      <c r="YA350"/>
      <c r="YB350"/>
      <c r="YC350"/>
      <c r="YD350"/>
      <c r="YE350"/>
      <c r="YF350"/>
      <c r="YG350"/>
      <c r="YH350"/>
      <c r="YI350"/>
      <c r="YJ350"/>
      <c r="YK350"/>
      <c r="YL350"/>
      <c r="YM350"/>
      <c r="YN350"/>
      <c r="YO350"/>
      <c r="YP350"/>
      <c r="YQ350"/>
      <c r="YR350"/>
      <c r="YS350"/>
      <c r="YT350"/>
      <c r="YU350"/>
      <c r="YV350"/>
      <c r="YW350"/>
      <c r="YX350"/>
      <c r="YY350"/>
      <c r="YZ350"/>
      <c r="ZA350"/>
      <c r="ZB350"/>
      <c r="ZC350"/>
      <c r="ZD350"/>
      <c r="ZE350"/>
      <c r="ZF350"/>
      <c r="ZG350"/>
      <c r="ZH350"/>
      <c r="ZI350"/>
      <c r="ZJ350"/>
      <c r="ZK350"/>
      <c r="ZL350"/>
      <c r="ZM350"/>
      <c r="ZN350"/>
      <c r="ZO350"/>
      <c r="ZP350"/>
      <c r="ZQ350"/>
      <c r="ZR350"/>
      <c r="ZS350"/>
      <c r="ZT350"/>
      <c r="ZU350"/>
      <c r="ZV350"/>
      <c r="ZW350"/>
      <c r="ZX350"/>
      <c r="ZY350"/>
      <c r="ZZ350"/>
      <c r="AAA350"/>
      <c r="AAB350"/>
      <c r="AAC350"/>
      <c r="AAD350"/>
      <c r="AAE350"/>
      <c r="AAF350"/>
      <c r="AAG350"/>
      <c r="AAH350"/>
      <c r="AAI350"/>
      <c r="AAJ350"/>
      <c r="AAK350"/>
      <c r="AAL350"/>
      <c r="AAM350"/>
      <c r="AAN350"/>
      <c r="AAO350"/>
      <c r="AAP350"/>
      <c r="AAQ350"/>
      <c r="AAR350"/>
      <c r="AAS350"/>
      <c r="AAT350"/>
      <c r="AAU350"/>
      <c r="AAV350"/>
      <c r="AAW350"/>
      <c r="AAX350"/>
      <c r="AAY350"/>
      <c r="AAZ350"/>
      <c r="ABA350"/>
      <c r="ABB350"/>
      <c r="ABC350"/>
      <c r="ABD350"/>
      <c r="ABE350"/>
      <c r="ABF350"/>
      <c r="ABG350"/>
      <c r="ABH350"/>
      <c r="ABI350"/>
      <c r="ABJ350"/>
      <c r="ABK350"/>
      <c r="ABL350"/>
      <c r="ABM350"/>
      <c r="ABN350"/>
      <c r="ABO350"/>
      <c r="ABP350"/>
      <c r="ABQ350"/>
      <c r="ABR350"/>
      <c r="ABS350"/>
      <c r="ABT350"/>
      <c r="ABU350"/>
      <c r="ABV350"/>
      <c r="ABW350"/>
      <c r="ABX350"/>
      <c r="ABY350"/>
      <c r="ABZ350"/>
      <c r="ACA350"/>
      <c r="ACB350"/>
      <c r="ACC350"/>
      <c r="ACD350"/>
      <c r="ACE350"/>
      <c r="ACF350"/>
      <c r="ACG350"/>
      <c r="ACH350"/>
      <c r="ACI350"/>
      <c r="ACJ350"/>
      <c r="ACK350"/>
      <c r="ACL350"/>
      <c r="ACM350"/>
      <c r="ACN350"/>
      <c r="ACO350"/>
      <c r="ACP350"/>
      <c r="ACQ350"/>
      <c r="ACR350"/>
      <c r="ACS350"/>
      <c r="ACT350"/>
      <c r="ACU350"/>
      <c r="ACV350"/>
      <c r="ACW350"/>
      <c r="ACX350"/>
      <c r="ACY350"/>
      <c r="ACZ350"/>
      <c r="ADA350"/>
      <c r="ADB350"/>
      <c r="ADC350"/>
      <c r="ADD350"/>
      <c r="ADE350"/>
      <c r="ADF350"/>
      <c r="ADG350"/>
      <c r="ADH350"/>
      <c r="ADI350"/>
      <c r="ADJ350"/>
      <c r="ADK350"/>
      <c r="ADL350"/>
      <c r="ADM350"/>
      <c r="ADN350"/>
      <c r="ADO350"/>
      <c r="ADP350"/>
      <c r="ADQ350"/>
      <c r="ADR350"/>
      <c r="ADS350"/>
      <c r="ADT350"/>
      <c r="ADU350"/>
      <c r="ADV350"/>
      <c r="ADW350"/>
      <c r="ADX350"/>
      <c r="ADY350"/>
      <c r="ADZ350"/>
      <c r="AEA350"/>
      <c r="AEB350"/>
      <c r="AEC350"/>
      <c r="AED350"/>
      <c r="AEE350"/>
      <c r="AEF350"/>
      <c r="AEG350"/>
      <c r="AEH350"/>
      <c r="AEI350"/>
      <c r="AEJ350"/>
      <c r="AEK350"/>
      <c r="AEL350"/>
      <c r="AEM350"/>
      <c r="AEN350"/>
      <c r="AEO350"/>
      <c r="AEP350"/>
      <c r="AEQ350"/>
      <c r="AER350"/>
      <c r="AES350"/>
      <c r="AET350"/>
      <c r="AEU350"/>
      <c r="AEV350"/>
      <c r="AEW350"/>
      <c r="AEX350"/>
      <c r="AEY350"/>
      <c r="AEZ350"/>
      <c r="AFA350"/>
      <c r="AFB350"/>
      <c r="AFC350"/>
      <c r="AFD350"/>
      <c r="AFE350"/>
      <c r="AFF350"/>
      <c r="AFG350"/>
      <c r="AFH350"/>
      <c r="AFI350"/>
      <c r="AFJ350"/>
      <c r="AFK350"/>
      <c r="AFL350"/>
      <c r="AFM350"/>
      <c r="AFN350"/>
      <c r="AFO350"/>
      <c r="AFP350"/>
      <c r="AFQ350"/>
      <c r="AFR350"/>
      <c r="AFS350"/>
      <c r="AFT350"/>
      <c r="AFU350"/>
      <c r="AFV350"/>
      <c r="AFW350"/>
      <c r="AFX350"/>
      <c r="AFY350"/>
      <c r="AFZ350"/>
      <c r="AGA350"/>
      <c r="AGB350"/>
      <c r="AGC350"/>
      <c r="AGD350"/>
      <c r="AGE350"/>
      <c r="AGF350"/>
      <c r="AGG350"/>
      <c r="AGH350"/>
      <c r="AGI350"/>
      <c r="AGJ350"/>
      <c r="AGK350"/>
      <c r="AGL350"/>
      <c r="AGM350"/>
      <c r="AGN350"/>
      <c r="AGO350"/>
      <c r="AGP350"/>
      <c r="AGQ350"/>
      <c r="AGR350"/>
      <c r="AGS350"/>
      <c r="AGT350"/>
      <c r="AGU350"/>
      <c r="AGV350"/>
      <c r="AGW350"/>
      <c r="AGX350"/>
      <c r="AGY350"/>
      <c r="AGZ350"/>
      <c r="AHA350"/>
      <c r="AHB350"/>
      <c r="AHC350"/>
      <c r="AHD350"/>
      <c r="AHE350"/>
      <c r="AHF350"/>
      <c r="AHG350"/>
      <c r="AHH350"/>
      <c r="AHI350"/>
      <c r="AHJ350"/>
      <c r="AHK350"/>
      <c r="AHL350"/>
      <c r="AHM350"/>
      <c r="AHN350"/>
      <c r="AHO350"/>
      <c r="AHP350"/>
      <c r="AHQ350"/>
      <c r="AHR350"/>
      <c r="AHS350"/>
      <c r="AHT350"/>
      <c r="AHU350"/>
      <c r="AHV350"/>
      <c r="AHW350"/>
      <c r="AHX350"/>
      <c r="AHY350"/>
      <c r="AHZ350"/>
      <c r="AIA350"/>
      <c r="AIB350"/>
      <c r="AIC350"/>
      <c r="AID350"/>
      <c r="AIE350"/>
      <c r="AIF350"/>
      <c r="AIG350"/>
      <c r="AIH350"/>
      <c r="AII350"/>
      <c r="AIJ350"/>
      <c r="AIK350"/>
      <c r="AIL350"/>
      <c r="AIM350"/>
      <c r="AIN350"/>
      <c r="AIO350"/>
      <c r="AIP350"/>
      <c r="AIQ350"/>
      <c r="AIR350"/>
      <c r="AIS350"/>
      <c r="AIT350"/>
      <c r="AIU350"/>
      <c r="AIV350"/>
      <c r="AIW350"/>
      <c r="AIX350"/>
      <c r="AIY350"/>
      <c r="AIZ350"/>
      <c r="AJA350"/>
      <c r="AJB350"/>
      <c r="AJC350"/>
      <c r="AJD350"/>
      <c r="AJE350"/>
      <c r="AJF350"/>
      <c r="AJG350"/>
      <c r="AJH350"/>
      <c r="AJI350"/>
      <c r="AJJ350"/>
      <c r="AJK350"/>
      <c r="AJL350"/>
      <c r="AJM350"/>
      <c r="AJN350"/>
      <c r="AJO350"/>
      <c r="AJP350"/>
      <c r="AJQ350"/>
      <c r="AJR350"/>
      <c r="AJS350"/>
      <c r="AJT350"/>
      <c r="AJU350"/>
      <c r="AJV350"/>
      <c r="AJW350"/>
      <c r="AJX350"/>
      <c r="AJY350"/>
      <c r="AJZ350"/>
      <c r="AKA350"/>
      <c r="AKB350"/>
      <c r="AKC350"/>
      <c r="AKD350"/>
      <c r="AKE350"/>
      <c r="AKF350"/>
      <c r="AKG350"/>
      <c r="AKH350"/>
      <c r="AKI350"/>
      <c r="AKJ350"/>
      <c r="AKK350"/>
      <c r="AKL350"/>
      <c r="AKM350"/>
      <c r="AKN350"/>
      <c r="AKO350"/>
      <c r="AKP350"/>
      <c r="AKQ350"/>
      <c r="AKR350"/>
      <c r="AKS350"/>
      <c r="AKT350"/>
      <c r="AKU350"/>
      <c r="AKV350"/>
      <c r="AKW350"/>
      <c r="AKX350"/>
      <c r="AKY350"/>
      <c r="AKZ350"/>
      <c r="ALA350"/>
      <c r="ALB350"/>
      <c r="ALC350"/>
      <c r="ALD350"/>
      <c r="ALE350"/>
      <c r="ALF350"/>
      <c r="ALG350"/>
      <c r="ALH350"/>
      <c r="ALI350"/>
      <c r="ALJ350"/>
      <c r="ALK350"/>
      <c r="ALL350"/>
      <c r="ALM350"/>
      <c r="ALN350"/>
      <c r="ALO350"/>
      <c r="ALP350"/>
      <c r="ALQ350"/>
      <c r="ALR350"/>
      <c r="ALS350"/>
      <c r="ALT350"/>
      <c r="ALU350"/>
      <c r="ALV350"/>
      <c r="ALW350"/>
      <c r="ALX350"/>
      <c r="ALY350"/>
      <c r="ALZ350"/>
      <c r="AMA350"/>
      <c r="AMB350"/>
      <c r="AMC350"/>
      <c r="AMD350"/>
      <c r="AME350"/>
      <c r="AMF350"/>
      <c r="AMG350"/>
      <c r="AMH350"/>
      <c r="AMI350"/>
      <c r="AMJ350"/>
    </row>
    <row r="351" spans="1:1024">
      <c r="A351" s="7" t="s">
        <v>355</v>
      </c>
      <c r="B351" s="7">
        <v>286123</v>
      </c>
      <c r="C351" s="11"/>
      <c r="D351" s="12">
        <v>0.5</v>
      </c>
      <c r="E351" s="7">
        <f>VLOOKUP(B351,Gesamtstunden_26!B:I,8,0)</f>
        <v>1.5</v>
      </c>
      <c r="F351" s="13">
        <f t="shared" si="5"/>
        <v>-1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/>
      <c r="BK351" s="11"/>
      <c r="BL351" s="11"/>
      <c r="BM351" s="11"/>
      <c r="BN351" s="11"/>
      <c r="BO351" s="11"/>
      <c r="BP351" s="11"/>
      <c r="BQ351" s="11"/>
      <c r="BR351" s="11"/>
      <c r="BS351" s="11"/>
      <c r="BT351" s="11"/>
      <c r="BU351" s="11"/>
      <c r="BV351" s="11"/>
      <c r="BW351" s="11"/>
      <c r="BX351" s="11"/>
      <c r="BY351" s="11"/>
      <c r="BZ351" s="11"/>
      <c r="CA351" s="11"/>
      <c r="CB351" s="11"/>
      <c r="CC351" s="11"/>
      <c r="CD351" s="11"/>
      <c r="CE351" s="11"/>
      <c r="CF351" s="11"/>
      <c r="CG351" s="11"/>
      <c r="CH351" s="11"/>
      <c r="CI351" s="11"/>
      <c r="CJ351" s="11"/>
      <c r="CK351" s="11"/>
      <c r="CL351" s="11"/>
      <c r="CM351" s="11"/>
      <c r="CN351" s="11"/>
      <c r="CO351" s="11"/>
      <c r="CP351" s="11"/>
      <c r="CQ351" s="11"/>
      <c r="CR351" s="11"/>
      <c r="CS351" s="11"/>
      <c r="CT351" s="11"/>
      <c r="CU351" s="11"/>
      <c r="CV351" s="11"/>
      <c r="CW351" s="11"/>
      <c r="CX351" s="11"/>
      <c r="CY351" s="11"/>
      <c r="CZ351" s="11"/>
      <c r="DA351" s="11"/>
      <c r="DB351" s="11"/>
      <c r="DC351" s="11"/>
      <c r="DD351" s="11"/>
      <c r="DE351" s="11"/>
      <c r="DF351" s="11"/>
      <c r="DG351" s="11"/>
      <c r="DH351" s="11"/>
      <c r="DI351" s="11"/>
      <c r="DJ351" s="11"/>
      <c r="DK351" s="11"/>
      <c r="DL351" s="11"/>
      <c r="DM351" s="11"/>
      <c r="DN351" s="11"/>
      <c r="DO351" s="11"/>
      <c r="DP351" s="11"/>
      <c r="DQ351" s="11"/>
      <c r="DR351" s="11"/>
      <c r="DS351" s="11"/>
      <c r="DT351" s="11"/>
      <c r="DU351" s="11"/>
      <c r="DV351" s="11"/>
      <c r="DW351" s="11"/>
      <c r="DX351" s="11"/>
      <c r="DY351" s="11"/>
      <c r="DZ351" s="11"/>
      <c r="EA351" s="11"/>
      <c r="EB351" s="11"/>
      <c r="EC351" s="11"/>
      <c r="ED351" s="11"/>
      <c r="EE351" s="11"/>
      <c r="EF351" s="11"/>
      <c r="EG351" s="11"/>
      <c r="EH351" s="11"/>
      <c r="EI351" s="11"/>
      <c r="EJ351" s="11"/>
      <c r="EK351" s="11"/>
      <c r="EL351" s="11"/>
      <c r="EM351" s="11"/>
      <c r="EN351" s="11"/>
      <c r="EO351" s="11"/>
      <c r="EP351" s="11"/>
      <c r="EQ351" s="11"/>
      <c r="ER351" s="11"/>
      <c r="ES351" s="11"/>
      <c r="ET351" s="11"/>
      <c r="EU351" s="11"/>
      <c r="EV351" s="11"/>
      <c r="EW351" s="11"/>
      <c r="EX351" s="11"/>
      <c r="EY351" s="11"/>
      <c r="EZ351" s="11"/>
      <c r="FA351" s="11"/>
      <c r="FB351" s="11"/>
      <c r="FC351" s="11"/>
      <c r="FD351" s="11"/>
      <c r="FE351" s="11"/>
      <c r="FF351" s="11"/>
      <c r="FG351" s="11"/>
      <c r="FH351" s="11"/>
      <c r="FI351" s="11"/>
      <c r="FJ351" s="11"/>
      <c r="FK351" s="11"/>
      <c r="FL351" s="11"/>
      <c r="FM351" s="11"/>
      <c r="FN351" s="11"/>
      <c r="FO351" s="11"/>
      <c r="FP351" s="11"/>
      <c r="FQ351" s="11"/>
      <c r="FR351" s="11"/>
      <c r="FS351" s="11"/>
      <c r="FT351" s="11"/>
      <c r="FU351" s="11"/>
      <c r="FV351" s="11"/>
      <c r="FW351" s="11"/>
      <c r="FX351" s="11"/>
      <c r="FY351" s="11"/>
      <c r="FZ351" s="11"/>
      <c r="GA351" s="11"/>
      <c r="GB351" s="11"/>
      <c r="GC351" s="11"/>
      <c r="GD351" s="11"/>
      <c r="GE351" s="11"/>
      <c r="GF351" s="11"/>
      <c r="GG351" s="11"/>
      <c r="GH351" s="11"/>
      <c r="GI351" s="11"/>
      <c r="GJ351" s="11"/>
      <c r="GK351" s="11"/>
      <c r="GL351" s="11"/>
      <c r="GM351" s="11"/>
      <c r="GN351" s="11"/>
      <c r="GO351" s="11"/>
      <c r="GP351" s="11"/>
      <c r="GQ351" s="11"/>
      <c r="GR351" s="11"/>
      <c r="GS351" s="11"/>
      <c r="GT351" s="11"/>
      <c r="GU351" s="11"/>
      <c r="GV351" s="11"/>
      <c r="GW351" s="11"/>
      <c r="GX351" s="11"/>
      <c r="GY351" s="11"/>
      <c r="GZ351" s="11"/>
      <c r="HA351" s="11"/>
      <c r="HB351" s="11"/>
      <c r="HC351" s="11"/>
      <c r="HD351" s="11"/>
      <c r="HE351" s="11"/>
      <c r="HF351" s="11"/>
      <c r="HG351" s="11"/>
      <c r="HH351" s="11"/>
      <c r="HI351" s="11"/>
      <c r="HJ351" s="11"/>
      <c r="HK351" s="11"/>
      <c r="HL351" s="11"/>
      <c r="HM351" s="11"/>
      <c r="HN351" s="11"/>
      <c r="HO351" s="11"/>
      <c r="HP351" s="11"/>
      <c r="HQ351" s="11"/>
      <c r="HR351" s="11"/>
      <c r="HS351" s="11"/>
      <c r="HT351" s="11"/>
      <c r="HU351" s="11"/>
      <c r="HV351" s="11"/>
      <c r="HW351" s="11"/>
      <c r="HX351" s="11"/>
      <c r="HY351" s="11"/>
      <c r="HZ351" s="11"/>
      <c r="IA351" s="11"/>
      <c r="IB351" s="11"/>
      <c r="IC351" s="11"/>
      <c r="ID351" s="11"/>
      <c r="IE351" s="11"/>
      <c r="IF351" s="11"/>
      <c r="IG351" s="11"/>
      <c r="IH351" s="11"/>
      <c r="II351" s="11"/>
      <c r="IJ351" s="11"/>
      <c r="IK351" s="11"/>
      <c r="IL351" s="11"/>
      <c r="IM351" s="11"/>
      <c r="IN351" s="11"/>
      <c r="IO351" s="11"/>
      <c r="IP351" s="11"/>
      <c r="IQ351" s="11"/>
      <c r="IR351" s="11"/>
      <c r="IS351" s="11"/>
      <c r="IT351" s="11"/>
      <c r="IU351" s="11"/>
      <c r="IV351" s="11"/>
      <c r="IW351" s="11"/>
      <c r="IX351" s="11"/>
      <c r="IY351" s="11"/>
      <c r="IZ351" s="11"/>
      <c r="JA351" s="11"/>
      <c r="JB351" s="11"/>
      <c r="JC351" s="11"/>
      <c r="JD351" s="11"/>
      <c r="JE351" s="11"/>
      <c r="JF351" s="11"/>
      <c r="JG351" s="11"/>
      <c r="JH351" s="11"/>
      <c r="JI351" s="11"/>
      <c r="JJ351" s="11"/>
      <c r="JK351" s="11"/>
      <c r="JL351" s="11"/>
      <c r="JM351" s="11"/>
      <c r="JN351" s="11"/>
      <c r="JO351" s="11"/>
      <c r="JP351" s="11"/>
      <c r="JQ351" s="11"/>
      <c r="JR351" s="11"/>
      <c r="JS351" s="11"/>
      <c r="JT351" s="11"/>
      <c r="JU351" s="11"/>
      <c r="JV351" s="11"/>
      <c r="JW351" s="11"/>
      <c r="JX351" s="11"/>
      <c r="JY351" s="11"/>
      <c r="JZ351" s="11"/>
      <c r="KA351" s="11"/>
      <c r="KB351" s="11"/>
      <c r="KC351" s="11"/>
      <c r="KD351" s="11"/>
      <c r="KE351" s="11"/>
      <c r="KF351" s="11"/>
      <c r="KG351" s="11"/>
      <c r="KH351" s="11"/>
      <c r="KI351" s="11"/>
      <c r="KJ351" s="11"/>
      <c r="KK351" s="11"/>
      <c r="KL351" s="11"/>
      <c r="KM351" s="11"/>
      <c r="KN351" s="11"/>
      <c r="KO351" s="11"/>
      <c r="KP351" s="11"/>
      <c r="KQ351" s="11"/>
      <c r="KR351" s="11"/>
      <c r="KS351" s="11"/>
      <c r="KT351" s="11"/>
      <c r="KU351" s="11"/>
      <c r="KV351" s="11"/>
      <c r="KW351" s="11"/>
      <c r="KX351" s="11"/>
      <c r="KY351" s="11"/>
      <c r="KZ351" s="11"/>
      <c r="LA351" s="11"/>
      <c r="LB351" s="11"/>
      <c r="LC351" s="11"/>
      <c r="LD351" s="11"/>
      <c r="LE351" s="11"/>
      <c r="LF351" s="11"/>
      <c r="LG351" s="11"/>
      <c r="LH351" s="11"/>
      <c r="LI351" s="11"/>
      <c r="LJ351" s="11"/>
      <c r="LK351" s="11"/>
      <c r="LL351" s="11"/>
      <c r="LM351" s="11"/>
      <c r="LN351" s="11"/>
      <c r="LO351" s="11"/>
      <c r="LP351" s="11"/>
      <c r="LQ351" s="11"/>
      <c r="LR351" s="11"/>
      <c r="LS351" s="11"/>
      <c r="LT351" s="11"/>
      <c r="LU351" s="11"/>
      <c r="LV351" s="11"/>
      <c r="LW351" s="11"/>
      <c r="LX351" s="11"/>
      <c r="LY351" s="11"/>
      <c r="LZ351" s="11"/>
      <c r="MA351" s="11"/>
      <c r="MB351" s="11"/>
      <c r="MC351" s="11"/>
      <c r="MD351" s="11"/>
      <c r="ME351" s="11"/>
      <c r="MF351" s="11"/>
      <c r="MG351" s="11"/>
      <c r="MH351" s="11"/>
      <c r="MI351" s="11"/>
      <c r="MJ351" s="11"/>
      <c r="MK351" s="11"/>
      <c r="ML351" s="11"/>
      <c r="MM351" s="11"/>
      <c r="MN351" s="11"/>
      <c r="MO351" s="11"/>
      <c r="MP351" s="11"/>
      <c r="MQ351" s="11"/>
      <c r="MR351" s="11"/>
      <c r="MS351" s="11"/>
      <c r="MT351" s="11"/>
      <c r="MU351" s="11"/>
      <c r="MV351" s="11"/>
      <c r="MW351" s="11"/>
      <c r="MX351" s="11"/>
      <c r="MY351" s="11"/>
      <c r="MZ351" s="11"/>
      <c r="NA351" s="11"/>
      <c r="NB351" s="11"/>
      <c r="NC351" s="11"/>
      <c r="ND351" s="11"/>
      <c r="NE351" s="11"/>
      <c r="NF351" s="11"/>
      <c r="NG351" s="11"/>
      <c r="NH351" s="11"/>
      <c r="NI351" s="11"/>
      <c r="NJ351" s="11"/>
      <c r="NK351" s="11"/>
      <c r="NL351" s="11"/>
      <c r="NM351" s="11"/>
      <c r="NN351" s="11"/>
      <c r="NO351" s="11"/>
      <c r="NP351" s="11"/>
      <c r="NQ351" s="11"/>
      <c r="NR351" s="11"/>
      <c r="NS351" s="11"/>
      <c r="NT351" s="11"/>
      <c r="NU351" s="11"/>
      <c r="NV351" s="11"/>
      <c r="NW351" s="11"/>
      <c r="NX351" s="11"/>
      <c r="NY351" s="11"/>
      <c r="NZ351" s="11"/>
      <c r="OA351" s="11"/>
      <c r="OB351" s="11"/>
      <c r="OC351" s="11"/>
      <c r="OD351" s="11"/>
      <c r="OE351" s="11"/>
      <c r="OF351" s="11"/>
      <c r="OG351" s="11"/>
      <c r="OH351" s="11"/>
      <c r="OI351" s="11"/>
      <c r="OJ351" s="11"/>
      <c r="OK351" s="11"/>
      <c r="OL351" s="11"/>
      <c r="OM351" s="11"/>
      <c r="ON351" s="11"/>
      <c r="OO351" s="11"/>
      <c r="OP351" s="11"/>
      <c r="OQ351" s="11"/>
      <c r="OR351" s="11"/>
      <c r="OS351" s="11"/>
      <c r="OT351" s="11"/>
      <c r="OU351" s="11"/>
      <c r="OV351" s="11"/>
      <c r="OW351" s="11"/>
      <c r="OX351" s="11"/>
      <c r="OY351" s="11"/>
      <c r="OZ351" s="11"/>
      <c r="PA351" s="11"/>
      <c r="PB351" s="11"/>
      <c r="PC351" s="11"/>
      <c r="PD351" s="11"/>
      <c r="PE351" s="11"/>
      <c r="PF351" s="11"/>
      <c r="PG351" s="11"/>
      <c r="PH351" s="11"/>
      <c r="PI351" s="11"/>
      <c r="PJ351" s="11"/>
      <c r="PK351" s="11"/>
      <c r="PL351" s="11"/>
      <c r="PM351" s="11"/>
      <c r="PN351" s="11"/>
      <c r="PO351" s="11"/>
      <c r="PP351" s="11"/>
      <c r="PQ351" s="11"/>
      <c r="PR351" s="11"/>
      <c r="PS351" s="11"/>
      <c r="PT351" s="11"/>
      <c r="PU351" s="11"/>
      <c r="PV351" s="11"/>
      <c r="PW351" s="11"/>
      <c r="PX351" s="11"/>
      <c r="PY351" s="11"/>
      <c r="PZ351" s="11"/>
      <c r="QA351" s="11"/>
      <c r="QB351" s="11"/>
      <c r="QC351" s="11"/>
      <c r="QD351" s="11"/>
      <c r="QE351" s="11"/>
      <c r="QF351" s="11"/>
      <c r="QG351" s="11"/>
      <c r="QH351" s="11"/>
      <c r="QI351" s="11"/>
      <c r="QJ351" s="11"/>
      <c r="QK351" s="11"/>
      <c r="QL351" s="11"/>
      <c r="QM351" s="11"/>
      <c r="QN351" s="11"/>
      <c r="QO351" s="11"/>
      <c r="QP351" s="11"/>
      <c r="QQ351" s="11"/>
      <c r="QR351" s="11"/>
      <c r="QS351" s="11"/>
      <c r="QT351" s="11"/>
      <c r="QU351" s="11"/>
      <c r="QV351" s="11"/>
      <c r="QW351" s="11"/>
      <c r="QX351" s="11"/>
      <c r="QY351" s="11"/>
      <c r="QZ351" s="11"/>
      <c r="RA351" s="11"/>
      <c r="RB351" s="11"/>
      <c r="RC351" s="11"/>
      <c r="RD351" s="11"/>
      <c r="RE351" s="11"/>
      <c r="RF351" s="11"/>
      <c r="RG351" s="11"/>
      <c r="RH351" s="11"/>
      <c r="RI351" s="11"/>
      <c r="RJ351" s="11"/>
      <c r="RK351" s="11"/>
      <c r="RL351" s="11"/>
      <c r="RM351" s="11"/>
      <c r="RN351" s="11"/>
      <c r="RO351" s="11"/>
      <c r="RP351" s="11"/>
      <c r="RQ351" s="11"/>
      <c r="RR351" s="11"/>
      <c r="RS351" s="11"/>
      <c r="RT351" s="11"/>
      <c r="RU351" s="11"/>
      <c r="RV351" s="11"/>
      <c r="RW351" s="11"/>
      <c r="RX351" s="11"/>
      <c r="RY351" s="11"/>
      <c r="RZ351" s="11"/>
      <c r="SA351" s="11"/>
      <c r="SB351" s="11"/>
      <c r="SC351" s="11"/>
      <c r="SD351" s="11"/>
      <c r="SE351" s="11"/>
      <c r="SF351" s="11"/>
      <c r="SG351" s="11"/>
      <c r="SH351" s="11"/>
      <c r="SI351" s="11"/>
      <c r="SJ351" s="11"/>
      <c r="SK351" s="11"/>
      <c r="SL351" s="11"/>
      <c r="SM351" s="11"/>
      <c r="SN351" s="11"/>
      <c r="SO351" s="11"/>
      <c r="SP351" s="11"/>
      <c r="SQ351" s="11"/>
      <c r="SR351" s="11"/>
      <c r="SS351" s="11"/>
      <c r="ST351" s="11"/>
      <c r="SU351" s="11"/>
      <c r="SV351" s="11"/>
      <c r="SW351" s="11"/>
      <c r="SX351" s="11"/>
      <c r="SY351" s="11"/>
      <c r="SZ351" s="11"/>
      <c r="TA351" s="11"/>
      <c r="TB351" s="11"/>
      <c r="TC351" s="11"/>
      <c r="TD351" s="11"/>
      <c r="TE351" s="11"/>
      <c r="TF351" s="11"/>
      <c r="TG351" s="11"/>
      <c r="TH351" s="11"/>
      <c r="TI351" s="11"/>
      <c r="TJ351" s="11"/>
      <c r="TK351" s="11"/>
      <c r="TL351" s="11"/>
      <c r="TM351" s="11"/>
      <c r="TN351" s="11"/>
      <c r="TO351" s="11"/>
      <c r="TP351" s="11"/>
      <c r="TQ351" s="11"/>
      <c r="TR351" s="11"/>
      <c r="TS351" s="11"/>
      <c r="TT351" s="11"/>
      <c r="TU351" s="11"/>
      <c r="TV351" s="11"/>
      <c r="TW351" s="11"/>
      <c r="TX351" s="11"/>
      <c r="TY351" s="11"/>
      <c r="TZ351" s="11"/>
      <c r="UA351" s="11"/>
      <c r="UB351" s="11"/>
      <c r="UC351" s="11"/>
      <c r="UD351" s="11"/>
      <c r="UE351" s="11"/>
      <c r="UF351" s="11"/>
      <c r="UG351" s="11"/>
      <c r="UH351" s="11"/>
      <c r="UI351" s="11"/>
      <c r="UJ351" s="11"/>
      <c r="UK351" s="11"/>
      <c r="UL351" s="11"/>
      <c r="UM351" s="11"/>
      <c r="UN351" s="11"/>
      <c r="UO351" s="11"/>
      <c r="UP351" s="11"/>
      <c r="UQ351" s="11"/>
      <c r="UR351" s="11"/>
      <c r="US351" s="11"/>
      <c r="UT351" s="11"/>
      <c r="UU351" s="11"/>
      <c r="UV351" s="11"/>
      <c r="UW351" s="11"/>
      <c r="UX351" s="11"/>
      <c r="UY351" s="11"/>
      <c r="UZ351" s="11"/>
      <c r="VA351" s="11"/>
      <c r="VB351" s="11"/>
      <c r="VC351" s="11"/>
      <c r="VD351" s="11"/>
      <c r="VE351" s="11"/>
      <c r="VF351" s="11"/>
      <c r="VG351" s="11"/>
      <c r="VH351" s="11"/>
      <c r="VI351" s="11"/>
      <c r="VJ351" s="11"/>
      <c r="VK351" s="11"/>
      <c r="VL351" s="11"/>
      <c r="VM351" s="11"/>
      <c r="VN351" s="11"/>
      <c r="VO351" s="11"/>
      <c r="VP351" s="11"/>
      <c r="VQ351" s="11"/>
      <c r="VR351" s="11"/>
      <c r="VS351" s="11"/>
      <c r="VT351" s="11"/>
      <c r="VU351" s="11"/>
      <c r="VV351" s="11"/>
      <c r="VW351" s="11"/>
      <c r="VX351" s="11"/>
      <c r="VY351" s="11"/>
      <c r="VZ351" s="11"/>
      <c r="WA351" s="11"/>
      <c r="WB351" s="11"/>
      <c r="WC351" s="11"/>
      <c r="WD351" s="11"/>
      <c r="WE351" s="11"/>
      <c r="WF351" s="11"/>
      <c r="WG351" s="11"/>
      <c r="WH351" s="11"/>
      <c r="WI351" s="11"/>
      <c r="WJ351" s="11"/>
      <c r="WK351" s="11"/>
      <c r="WL351" s="11"/>
      <c r="WM351" s="11"/>
      <c r="WN351" s="11"/>
      <c r="WO351" s="11"/>
      <c r="WP351" s="11"/>
      <c r="WQ351" s="11"/>
      <c r="WR351" s="11"/>
      <c r="WS351" s="11"/>
      <c r="WT351" s="11"/>
      <c r="WU351" s="11"/>
      <c r="WV351" s="11"/>
      <c r="WW351" s="11"/>
      <c r="WX351" s="11"/>
      <c r="WY351" s="11"/>
      <c r="WZ351" s="11"/>
      <c r="XA351" s="11"/>
      <c r="XB351" s="11"/>
      <c r="XC351" s="11"/>
      <c r="XD351" s="11"/>
      <c r="XE351" s="11"/>
      <c r="XF351" s="11"/>
      <c r="XG351" s="11"/>
      <c r="XH351" s="11"/>
      <c r="XI351" s="11"/>
      <c r="XJ351" s="11"/>
      <c r="XK351" s="11"/>
      <c r="XL351" s="11"/>
      <c r="XM351" s="11"/>
      <c r="XN351" s="11"/>
      <c r="XO351" s="11"/>
      <c r="XP351" s="11"/>
      <c r="XQ351" s="11"/>
      <c r="XR351" s="11"/>
      <c r="XS351" s="11"/>
      <c r="XT351" s="11"/>
      <c r="XU351" s="11"/>
      <c r="XV351" s="11"/>
      <c r="XW351" s="11"/>
      <c r="XX351" s="11"/>
      <c r="XY351" s="11"/>
      <c r="XZ351" s="11"/>
      <c r="YA351" s="11"/>
      <c r="YB351" s="11"/>
      <c r="YC351" s="11"/>
      <c r="YD351" s="11"/>
      <c r="YE351" s="11"/>
      <c r="YF351" s="11"/>
      <c r="YG351" s="11"/>
      <c r="YH351" s="11"/>
      <c r="YI351" s="11"/>
      <c r="YJ351" s="11"/>
      <c r="YK351" s="11"/>
      <c r="YL351" s="11"/>
      <c r="YM351" s="11"/>
      <c r="YN351" s="11"/>
      <c r="YO351" s="11"/>
      <c r="YP351" s="11"/>
      <c r="YQ351" s="11"/>
      <c r="YR351" s="11"/>
      <c r="YS351" s="11"/>
      <c r="YT351" s="11"/>
      <c r="YU351" s="11"/>
      <c r="YV351" s="11"/>
      <c r="YW351" s="11"/>
      <c r="YX351" s="11"/>
      <c r="YY351" s="11"/>
      <c r="YZ351" s="11"/>
      <c r="ZA351" s="11"/>
      <c r="ZB351" s="11"/>
      <c r="ZC351" s="11"/>
      <c r="ZD351" s="11"/>
      <c r="ZE351" s="11"/>
      <c r="ZF351" s="11"/>
      <c r="ZG351" s="11"/>
      <c r="ZH351" s="11"/>
      <c r="ZI351" s="11"/>
      <c r="ZJ351" s="11"/>
      <c r="ZK351" s="11"/>
      <c r="ZL351" s="11"/>
      <c r="ZM351" s="11"/>
      <c r="ZN351" s="11"/>
      <c r="ZO351" s="11"/>
      <c r="ZP351" s="11"/>
      <c r="ZQ351" s="11"/>
      <c r="ZR351" s="11"/>
      <c r="ZS351" s="11"/>
      <c r="ZT351" s="11"/>
      <c r="ZU351" s="11"/>
      <c r="ZV351" s="11"/>
      <c r="ZW351" s="11"/>
      <c r="ZX351" s="11"/>
      <c r="ZY351" s="11"/>
      <c r="ZZ351" s="11"/>
      <c r="AAA351" s="11"/>
      <c r="AAB351" s="11"/>
      <c r="AAC351" s="11"/>
      <c r="AAD351" s="11"/>
      <c r="AAE351" s="11"/>
      <c r="AAF351" s="11"/>
      <c r="AAG351" s="11"/>
      <c r="AAH351" s="11"/>
      <c r="AAI351" s="11"/>
      <c r="AAJ351" s="11"/>
      <c r="AAK351" s="11"/>
      <c r="AAL351" s="11"/>
      <c r="AAM351" s="11"/>
      <c r="AAN351" s="11"/>
      <c r="AAO351" s="11"/>
      <c r="AAP351" s="11"/>
      <c r="AAQ351" s="11"/>
      <c r="AAR351" s="11"/>
      <c r="AAS351" s="11"/>
      <c r="AAT351" s="11"/>
      <c r="AAU351" s="11"/>
      <c r="AAV351" s="11"/>
      <c r="AAW351" s="11"/>
      <c r="AAX351" s="11"/>
      <c r="AAY351" s="11"/>
      <c r="AAZ351" s="11"/>
      <c r="ABA351" s="11"/>
      <c r="ABB351" s="11"/>
      <c r="ABC351" s="11"/>
      <c r="ABD351" s="11"/>
      <c r="ABE351" s="11"/>
      <c r="ABF351" s="11"/>
      <c r="ABG351" s="11"/>
      <c r="ABH351" s="11"/>
      <c r="ABI351" s="11"/>
      <c r="ABJ351" s="11"/>
      <c r="ABK351" s="11"/>
      <c r="ABL351" s="11"/>
      <c r="ABM351" s="11"/>
      <c r="ABN351" s="11"/>
      <c r="ABO351" s="11"/>
      <c r="ABP351" s="11"/>
      <c r="ABQ351" s="11"/>
      <c r="ABR351" s="11"/>
      <c r="ABS351" s="11"/>
      <c r="ABT351" s="11"/>
      <c r="ABU351" s="11"/>
      <c r="ABV351" s="11"/>
      <c r="ABW351" s="11"/>
      <c r="ABX351" s="11"/>
      <c r="ABY351" s="11"/>
      <c r="ABZ351" s="11"/>
      <c r="ACA351" s="11"/>
      <c r="ACB351" s="11"/>
      <c r="ACC351" s="11"/>
      <c r="ACD351" s="11"/>
      <c r="ACE351" s="11"/>
      <c r="ACF351" s="11"/>
      <c r="ACG351" s="11"/>
      <c r="ACH351" s="11"/>
      <c r="ACI351" s="11"/>
      <c r="ACJ351" s="11"/>
      <c r="ACK351" s="11"/>
      <c r="ACL351" s="11"/>
      <c r="ACM351" s="11"/>
      <c r="ACN351" s="11"/>
      <c r="ACO351" s="11"/>
      <c r="ACP351" s="11"/>
      <c r="ACQ351" s="11"/>
      <c r="ACR351" s="11"/>
      <c r="ACS351" s="11"/>
      <c r="ACT351" s="11"/>
      <c r="ACU351" s="11"/>
      <c r="ACV351" s="11"/>
      <c r="ACW351" s="11"/>
      <c r="ACX351" s="11"/>
      <c r="ACY351" s="11"/>
      <c r="ACZ351" s="11"/>
      <c r="ADA351" s="11"/>
      <c r="ADB351" s="11"/>
      <c r="ADC351" s="11"/>
      <c r="ADD351" s="11"/>
      <c r="ADE351" s="11"/>
      <c r="ADF351" s="11"/>
      <c r="ADG351" s="11"/>
      <c r="ADH351" s="11"/>
      <c r="ADI351" s="11"/>
      <c r="ADJ351" s="11"/>
      <c r="ADK351" s="11"/>
      <c r="ADL351" s="11"/>
      <c r="ADM351" s="11"/>
      <c r="ADN351" s="11"/>
      <c r="ADO351" s="11"/>
      <c r="ADP351" s="11"/>
      <c r="ADQ351" s="11"/>
      <c r="ADR351" s="11"/>
      <c r="ADS351" s="11"/>
      <c r="ADT351" s="11"/>
      <c r="ADU351" s="11"/>
      <c r="ADV351" s="11"/>
      <c r="ADW351" s="11"/>
      <c r="ADX351" s="11"/>
      <c r="ADY351" s="11"/>
      <c r="ADZ351" s="11"/>
      <c r="AEA351" s="11"/>
      <c r="AEB351" s="11"/>
      <c r="AEC351" s="11"/>
      <c r="AED351" s="11"/>
      <c r="AEE351" s="11"/>
      <c r="AEF351" s="11"/>
      <c r="AEG351" s="11"/>
      <c r="AEH351" s="11"/>
      <c r="AEI351" s="11"/>
      <c r="AEJ351" s="11"/>
      <c r="AEK351" s="11"/>
      <c r="AEL351" s="11"/>
      <c r="AEM351" s="11"/>
      <c r="AEN351" s="11"/>
      <c r="AEO351" s="11"/>
      <c r="AEP351" s="11"/>
      <c r="AEQ351" s="11"/>
      <c r="AER351" s="11"/>
      <c r="AES351" s="11"/>
      <c r="AET351" s="11"/>
      <c r="AEU351" s="11"/>
      <c r="AEV351" s="11"/>
      <c r="AEW351" s="11"/>
      <c r="AEX351" s="11"/>
      <c r="AEY351" s="11"/>
      <c r="AEZ351" s="11"/>
      <c r="AFA351" s="11"/>
      <c r="AFB351" s="11"/>
      <c r="AFC351" s="11"/>
      <c r="AFD351" s="11"/>
      <c r="AFE351" s="11"/>
      <c r="AFF351" s="11"/>
      <c r="AFG351" s="11"/>
      <c r="AFH351" s="11"/>
      <c r="AFI351" s="11"/>
      <c r="AFJ351" s="11"/>
      <c r="AFK351" s="11"/>
      <c r="AFL351" s="11"/>
      <c r="AFM351" s="11"/>
      <c r="AFN351" s="11"/>
      <c r="AFO351" s="11"/>
      <c r="AFP351" s="11"/>
      <c r="AFQ351" s="11"/>
      <c r="AFR351" s="11"/>
      <c r="AFS351" s="11"/>
      <c r="AFT351" s="11"/>
      <c r="AFU351" s="11"/>
      <c r="AFV351" s="11"/>
      <c r="AFW351" s="11"/>
      <c r="AFX351" s="11"/>
      <c r="AFY351" s="11"/>
      <c r="AFZ351" s="11"/>
      <c r="AGA351" s="11"/>
      <c r="AGB351" s="11"/>
      <c r="AGC351" s="11"/>
      <c r="AGD351" s="11"/>
      <c r="AGE351" s="11"/>
      <c r="AGF351" s="11"/>
      <c r="AGG351" s="11"/>
      <c r="AGH351" s="11"/>
      <c r="AGI351" s="11"/>
      <c r="AGJ351" s="11"/>
      <c r="AGK351" s="11"/>
      <c r="AGL351" s="11"/>
      <c r="AGM351" s="11"/>
      <c r="AGN351" s="11"/>
      <c r="AGO351" s="11"/>
      <c r="AGP351" s="11"/>
      <c r="AGQ351" s="11"/>
      <c r="AGR351" s="11"/>
      <c r="AGS351" s="11"/>
      <c r="AGT351" s="11"/>
      <c r="AGU351" s="11"/>
      <c r="AGV351" s="11"/>
      <c r="AGW351" s="11"/>
      <c r="AGX351" s="11"/>
      <c r="AGY351" s="11"/>
      <c r="AGZ351" s="11"/>
      <c r="AHA351" s="11"/>
      <c r="AHB351" s="11"/>
      <c r="AHC351" s="11"/>
      <c r="AHD351" s="11"/>
      <c r="AHE351" s="11"/>
      <c r="AHF351" s="11"/>
      <c r="AHG351" s="11"/>
      <c r="AHH351" s="11"/>
      <c r="AHI351" s="11"/>
      <c r="AHJ351" s="11"/>
      <c r="AHK351" s="11"/>
      <c r="AHL351" s="11"/>
      <c r="AHM351" s="11"/>
      <c r="AHN351" s="11"/>
      <c r="AHO351" s="11"/>
      <c r="AHP351" s="11"/>
      <c r="AHQ351" s="11"/>
      <c r="AHR351" s="11"/>
      <c r="AHS351" s="11"/>
      <c r="AHT351" s="11"/>
      <c r="AHU351" s="11"/>
      <c r="AHV351" s="11"/>
      <c r="AHW351" s="11"/>
      <c r="AHX351" s="11"/>
      <c r="AHY351" s="11"/>
      <c r="AHZ351" s="11"/>
      <c r="AIA351" s="11"/>
      <c r="AIB351" s="11"/>
      <c r="AIC351" s="11"/>
      <c r="AID351" s="11"/>
      <c r="AIE351" s="11"/>
      <c r="AIF351" s="11"/>
      <c r="AIG351" s="11"/>
      <c r="AIH351" s="11"/>
      <c r="AII351" s="11"/>
      <c r="AIJ351" s="11"/>
      <c r="AIK351" s="11"/>
      <c r="AIL351" s="11"/>
      <c r="AIM351" s="11"/>
      <c r="AIN351" s="11"/>
      <c r="AIO351" s="11"/>
      <c r="AIP351" s="11"/>
      <c r="AIQ351" s="11"/>
      <c r="AIR351" s="11"/>
      <c r="AIS351" s="11"/>
      <c r="AIT351" s="11"/>
      <c r="AIU351" s="11"/>
      <c r="AIV351" s="11"/>
      <c r="AIW351" s="11"/>
      <c r="AIX351" s="11"/>
      <c r="AIY351" s="11"/>
      <c r="AIZ351" s="11"/>
      <c r="AJA351" s="11"/>
      <c r="AJB351" s="11"/>
      <c r="AJC351" s="11"/>
      <c r="AJD351" s="11"/>
      <c r="AJE351" s="11"/>
      <c r="AJF351" s="11"/>
      <c r="AJG351" s="11"/>
      <c r="AJH351" s="11"/>
      <c r="AJI351" s="11"/>
      <c r="AJJ351" s="11"/>
      <c r="AJK351" s="11"/>
      <c r="AJL351" s="11"/>
      <c r="AJM351" s="11"/>
      <c r="AJN351" s="11"/>
      <c r="AJO351" s="11"/>
      <c r="AJP351" s="11"/>
      <c r="AJQ351" s="11"/>
      <c r="AJR351" s="11"/>
      <c r="AJS351" s="11"/>
      <c r="AJT351" s="11"/>
      <c r="AJU351" s="11"/>
      <c r="AJV351" s="11"/>
      <c r="AJW351" s="11"/>
      <c r="AJX351" s="11"/>
      <c r="AJY351" s="11"/>
      <c r="AJZ351" s="11"/>
      <c r="AKA351" s="11"/>
      <c r="AKB351" s="11"/>
      <c r="AKC351" s="11"/>
      <c r="AKD351" s="11"/>
      <c r="AKE351" s="11"/>
      <c r="AKF351" s="11"/>
      <c r="AKG351" s="11"/>
      <c r="AKH351" s="11"/>
      <c r="AKI351" s="11"/>
      <c r="AKJ351" s="11"/>
      <c r="AKK351" s="11"/>
      <c r="AKL351" s="11"/>
      <c r="AKM351" s="11"/>
      <c r="AKN351" s="11"/>
      <c r="AKO351" s="11"/>
      <c r="AKP351" s="11"/>
      <c r="AKQ351" s="11"/>
      <c r="AKR351" s="11"/>
      <c r="AKS351" s="11"/>
      <c r="AKT351" s="11"/>
      <c r="AKU351" s="11"/>
      <c r="AKV351" s="11"/>
      <c r="AKW351" s="11"/>
      <c r="AKX351" s="11"/>
      <c r="AKY351" s="11"/>
      <c r="AKZ351" s="11"/>
      <c r="ALA351" s="11"/>
      <c r="ALB351" s="11"/>
      <c r="ALC351" s="11"/>
      <c r="ALD351" s="11"/>
      <c r="ALE351" s="11"/>
      <c r="ALF351" s="11"/>
      <c r="ALG351" s="11"/>
      <c r="ALH351" s="11"/>
      <c r="ALI351" s="11"/>
      <c r="ALJ351" s="11"/>
      <c r="ALK351" s="11"/>
      <c r="ALL351" s="11"/>
      <c r="ALM351" s="11"/>
      <c r="ALN351" s="11"/>
      <c r="ALO351" s="11"/>
      <c r="ALP351" s="11"/>
      <c r="ALQ351" s="11"/>
      <c r="ALR351" s="11"/>
      <c r="ALS351" s="11"/>
      <c r="ALT351" s="11"/>
      <c r="ALU351" s="11"/>
      <c r="ALV351" s="11"/>
      <c r="ALW351" s="11"/>
      <c r="ALX351" s="11"/>
      <c r="ALY351" s="11"/>
      <c r="ALZ351" s="11"/>
      <c r="AMA351" s="11"/>
      <c r="AMB351" s="11"/>
      <c r="AMC351" s="11"/>
      <c r="AMD351" s="11"/>
      <c r="AME351" s="11"/>
      <c r="AMF351" s="11"/>
      <c r="AMG351" s="11"/>
      <c r="AMH351" s="11"/>
      <c r="AMI351" s="11"/>
      <c r="AMJ351" s="11"/>
    </row>
    <row r="352" spans="1:1024">
      <c r="A352" s="10" t="s">
        <v>356</v>
      </c>
      <c r="B352" s="10">
        <v>921659</v>
      </c>
      <c r="D352" s="1">
        <v>0</v>
      </c>
      <c r="E352" s="8">
        <f>VLOOKUP(B352,Gesamtstunden_26!B:I,8,0)</f>
        <v>3</v>
      </c>
      <c r="F352" s="2">
        <f t="shared" si="5"/>
        <v>-3</v>
      </c>
    </row>
    <row r="353" spans="1:6">
      <c r="A353" s="16" t="s">
        <v>357</v>
      </c>
      <c r="B353" s="16">
        <v>261486</v>
      </c>
      <c r="D353" s="1">
        <v>0</v>
      </c>
      <c r="E353" s="8">
        <f>VLOOKUP(B353,Gesamtstunden_26!B:I,8,0)</f>
        <v>2.6666666666666665</v>
      </c>
      <c r="F353" s="2">
        <f t="shared" si="5"/>
        <v>-2.6666666666666665</v>
      </c>
    </row>
    <row r="354" spans="1:6">
      <c r="A354" s="7" t="s">
        <v>358</v>
      </c>
      <c r="B354" s="7">
        <v>344735</v>
      </c>
      <c r="D354" s="1">
        <v>0</v>
      </c>
      <c r="E354" s="8">
        <f>VLOOKUP(B354,Gesamtstunden_26!B:I,8,0)</f>
        <v>0</v>
      </c>
      <c r="F354" s="2">
        <f t="shared" si="5"/>
        <v>0</v>
      </c>
    </row>
    <row r="355" spans="1:6">
      <c r="A355" s="7" t="s">
        <v>359</v>
      </c>
      <c r="B355" s="7">
        <v>924566</v>
      </c>
      <c r="D355" s="1">
        <v>0</v>
      </c>
      <c r="E355" s="8">
        <f>VLOOKUP(B355,Gesamtstunden_26!B:I,8,0)</f>
        <v>6.333333333333333</v>
      </c>
      <c r="F355" s="2">
        <f t="shared" si="5"/>
        <v>-6.333333333333333</v>
      </c>
    </row>
    <row r="356" spans="1:6">
      <c r="A356" s="10" t="s">
        <v>360</v>
      </c>
      <c r="B356" s="10">
        <v>767252</v>
      </c>
      <c r="D356" s="1">
        <v>0</v>
      </c>
      <c r="E356" s="8">
        <f>VLOOKUP(B356,Gesamtstunden_26!B:I,8,0)</f>
        <v>0</v>
      </c>
      <c r="F356" s="2">
        <f t="shared" si="5"/>
        <v>0</v>
      </c>
    </row>
    <row r="357" spans="1:6">
      <c r="A357" s="8" t="s">
        <v>361</v>
      </c>
      <c r="B357" s="8">
        <v>731461</v>
      </c>
      <c r="D357" s="1">
        <v>6</v>
      </c>
      <c r="E357" s="8">
        <f>VLOOKUP(B357,Gesamtstunden_26!B:I,8,0)</f>
        <v>0</v>
      </c>
      <c r="F357" s="2">
        <f t="shared" si="5"/>
        <v>6</v>
      </c>
    </row>
    <row r="358" spans="1:6">
      <c r="A358" s="18" t="s">
        <v>362</v>
      </c>
      <c r="B358" s="18">
        <v>344349</v>
      </c>
      <c r="D358" s="1">
        <v>0</v>
      </c>
      <c r="E358" s="8">
        <f>VLOOKUP(B358,Gesamtstunden_26!B:I,8,0)</f>
        <v>1</v>
      </c>
      <c r="F358" s="2">
        <f t="shared" si="5"/>
        <v>-1</v>
      </c>
    </row>
    <row r="359" spans="1:6">
      <c r="A359" s="16" t="s">
        <v>363</v>
      </c>
      <c r="B359" s="16">
        <v>244036</v>
      </c>
      <c r="D359" s="1">
        <v>0</v>
      </c>
      <c r="E359" s="8">
        <f>VLOOKUP(B359,Gesamtstunden_26!B:I,8,0)</f>
        <v>2.6666666666666665</v>
      </c>
      <c r="F359" s="2">
        <f t="shared" si="5"/>
        <v>-2.6666666666666665</v>
      </c>
    </row>
    <row r="360" spans="1:6">
      <c r="A360" s="7" t="s">
        <v>364</v>
      </c>
      <c r="B360" s="7">
        <v>623934</v>
      </c>
      <c r="D360" s="1">
        <v>0</v>
      </c>
      <c r="E360" s="8">
        <f>VLOOKUP(B360,Gesamtstunden_26!B:I,8,0)</f>
        <v>6.333333333333333</v>
      </c>
      <c r="F360" s="2">
        <f t="shared" si="5"/>
        <v>-6.333333333333333</v>
      </c>
    </row>
    <row r="361" spans="1:6">
      <c r="A361" s="7" t="s">
        <v>365</v>
      </c>
      <c r="B361" s="7">
        <v>770790</v>
      </c>
      <c r="D361" s="1">
        <v>0</v>
      </c>
      <c r="E361" s="8">
        <f>VLOOKUP(B361,Gesamtstunden_26!B:I,8,0)</f>
        <v>2.6666666666666665</v>
      </c>
      <c r="F361" s="2">
        <f t="shared" si="5"/>
        <v>-2.6666666666666665</v>
      </c>
    </row>
    <row r="362" spans="1:6">
      <c r="A362" s="8" t="s">
        <v>366</v>
      </c>
      <c r="B362" s="8">
        <v>10827</v>
      </c>
      <c r="D362" s="1">
        <v>14</v>
      </c>
      <c r="E362" s="8">
        <f>VLOOKUP(B362,Gesamtstunden_26!B:I,8,0)</f>
        <v>0</v>
      </c>
      <c r="F362" s="2">
        <f t="shared" si="5"/>
        <v>14</v>
      </c>
    </row>
    <row r="363" spans="1:6">
      <c r="A363" s="16" t="s">
        <v>367</v>
      </c>
      <c r="B363" s="16">
        <v>200292</v>
      </c>
      <c r="D363" s="1">
        <v>0</v>
      </c>
      <c r="E363" s="8">
        <f>VLOOKUP(B363,Gesamtstunden_26!B:I,8,0)</f>
        <v>1.6666666666666665</v>
      </c>
      <c r="F363" s="2">
        <f t="shared" si="5"/>
        <v>-1.6666666666666665</v>
      </c>
    </row>
    <row r="364" spans="1:6">
      <c r="A364" s="8" t="s">
        <v>368</v>
      </c>
      <c r="B364" s="8">
        <v>546335</v>
      </c>
      <c r="D364" s="1">
        <v>2</v>
      </c>
      <c r="E364" s="8">
        <f>VLOOKUP(B364,Gesamtstunden_26!B:I,8,0)</f>
        <v>0</v>
      </c>
      <c r="F364" s="2">
        <f t="shared" si="5"/>
        <v>2</v>
      </c>
    </row>
    <row r="365" spans="1:6">
      <c r="A365" s="7" t="s">
        <v>369</v>
      </c>
      <c r="B365" s="7">
        <v>609003</v>
      </c>
      <c r="D365" s="1">
        <v>0</v>
      </c>
      <c r="E365" s="8">
        <f>VLOOKUP(B365,Gesamtstunden_26!B:I,8,0)</f>
        <v>0</v>
      </c>
      <c r="F365" s="2">
        <f t="shared" si="5"/>
        <v>0</v>
      </c>
    </row>
    <row r="366" spans="1:6">
      <c r="A366" s="8" t="s">
        <v>370</v>
      </c>
      <c r="B366" s="8">
        <v>476887</v>
      </c>
      <c r="D366" s="1">
        <v>12</v>
      </c>
      <c r="E366" s="8">
        <f>VLOOKUP(B366,Gesamtstunden_26!B:I,8,0)</f>
        <v>0</v>
      </c>
      <c r="F366" s="2">
        <f t="shared" si="5"/>
        <v>12</v>
      </c>
    </row>
    <row r="367" spans="1:6">
      <c r="A367" s="16" t="s">
        <v>371</v>
      </c>
      <c r="B367" s="16">
        <v>267370</v>
      </c>
      <c r="D367" s="1">
        <v>0</v>
      </c>
      <c r="E367" s="8">
        <f>VLOOKUP(B367,Gesamtstunden_26!B:I,8,0)</f>
        <v>2</v>
      </c>
      <c r="F367" s="2">
        <f t="shared" si="5"/>
        <v>-2</v>
      </c>
    </row>
    <row r="368" spans="1:6">
      <c r="A368" s="7" t="s">
        <v>372</v>
      </c>
      <c r="B368" s="7">
        <v>541166</v>
      </c>
      <c r="D368" s="1">
        <v>0</v>
      </c>
      <c r="E368" s="8">
        <f>VLOOKUP(B368,Gesamtstunden_26!B:I,8,0)</f>
        <v>0.33333333333333331</v>
      </c>
      <c r="F368" s="2">
        <f t="shared" si="5"/>
        <v>-0.33333333333333331</v>
      </c>
    </row>
    <row r="369" spans="1:1024">
      <c r="A369" s="10" t="s">
        <v>373</v>
      </c>
      <c r="B369" s="10">
        <v>487210</v>
      </c>
      <c r="D369" s="1">
        <v>0</v>
      </c>
      <c r="E369" s="8">
        <f>VLOOKUP(B369,Gesamtstunden_26!B:I,8,0)</f>
        <v>1.6666666666666667</v>
      </c>
      <c r="F369" s="2">
        <f t="shared" si="5"/>
        <v>-1.6666666666666667</v>
      </c>
    </row>
    <row r="370" spans="1:1024">
      <c r="A370" s="16" t="s">
        <v>374</v>
      </c>
      <c r="B370" s="16">
        <v>541315</v>
      </c>
      <c r="D370" s="1">
        <v>0</v>
      </c>
      <c r="E370" s="8">
        <f>VLOOKUP(B370,Gesamtstunden_26!B:I,8,0)</f>
        <v>4.1666666666666661</v>
      </c>
      <c r="F370" s="2">
        <f t="shared" si="5"/>
        <v>-4.1666666666666661</v>
      </c>
    </row>
    <row r="371" spans="1:1024" s="11" customFormat="1">
      <c r="A371" s="7" t="s">
        <v>375</v>
      </c>
      <c r="B371" s="7">
        <v>163348</v>
      </c>
      <c r="C371"/>
      <c r="D371" s="1">
        <v>0</v>
      </c>
      <c r="E371" s="8">
        <f>VLOOKUP(B371,Gesamtstunden_26!B:I,8,0)</f>
        <v>0.33333333333333331</v>
      </c>
      <c r="F371" s="2">
        <f t="shared" si="5"/>
        <v>-0.33333333333333331</v>
      </c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  <c r="CM371"/>
      <c r="CN371"/>
      <c r="CO371"/>
      <c r="CP371"/>
      <c r="CQ371"/>
      <c r="CR371"/>
      <c r="CS371"/>
      <c r="CT371"/>
      <c r="CU371"/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  <c r="DQ371"/>
      <c r="DR371"/>
      <c r="DS371"/>
      <c r="DT371"/>
      <c r="DU371"/>
      <c r="DV371"/>
      <c r="DW371"/>
      <c r="DX371"/>
      <c r="DY371"/>
      <c r="DZ371"/>
      <c r="EA371"/>
      <c r="EB371"/>
      <c r="EC371"/>
      <c r="ED371"/>
      <c r="EE371"/>
      <c r="EF371"/>
      <c r="EG371"/>
      <c r="EH371"/>
      <c r="EI371"/>
      <c r="EJ371"/>
      <c r="EK371"/>
      <c r="EL371"/>
      <c r="EM371"/>
      <c r="EN371"/>
      <c r="EO371"/>
      <c r="EP371"/>
      <c r="EQ371"/>
      <c r="ER371"/>
      <c r="ES371"/>
      <c r="ET371"/>
      <c r="EU371"/>
      <c r="EV371"/>
      <c r="EW371"/>
      <c r="EX371"/>
      <c r="EY371"/>
      <c r="EZ371"/>
      <c r="FA371"/>
      <c r="FB371"/>
      <c r="FC371"/>
      <c r="FD371"/>
      <c r="FE371"/>
      <c r="FF371"/>
      <c r="FG371"/>
      <c r="FH371"/>
      <c r="FI371"/>
      <c r="FJ371"/>
      <c r="FK371"/>
      <c r="FL371"/>
      <c r="FM371"/>
      <c r="FN371"/>
      <c r="FO371"/>
      <c r="FP371"/>
      <c r="FQ371"/>
      <c r="FR371"/>
      <c r="FS371"/>
      <c r="FT371"/>
      <c r="FU371"/>
      <c r="FV371"/>
      <c r="FW371"/>
      <c r="FX371"/>
      <c r="FY371"/>
      <c r="FZ371"/>
      <c r="GA371"/>
      <c r="GB371"/>
      <c r="GC371"/>
      <c r="GD371"/>
      <c r="GE371"/>
      <c r="GF371"/>
      <c r="GG371"/>
      <c r="GH371"/>
      <c r="GI371"/>
      <c r="GJ371"/>
      <c r="GK371"/>
      <c r="GL371"/>
      <c r="GM371"/>
      <c r="GN371"/>
      <c r="GO371"/>
      <c r="GP371"/>
      <c r="GQ371"/>
      <c r="GR371"/>
      <c r="GS371"/>
      <c r="GT371"/>
      <c r="GU371"/>
      <c r="GV371"/>
      <c r="GW371"/>
      <c r="GX371"/>
      <c r="GY371"/>
      <c r="GZ371"/>
      <c r="HA371"/>
      <c r="HB371"/>
      <c r="HC371"/>
      <c r="HD371"/>
      <c r="HE371"/>
      <c r="HF371"/>
      <c r="HG371"/>
      <c r="HH371"/>
      <c r="HI371"/>
      <c r="HJ371"/>
      <c r="HK371"/>
      <c r="HL371"/>
      <c r="HM371"/>
      <c r="HN371"/>
      <c r="HO371"/>
      <c r="HP371"/>
      <c r="HQ371"/>
      <c r="HR371"/>
      <c r="HS371"/>
      <c r="HT371"/>
      <c r="HU371"/>
      <c r="HV371"/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  <c r="IW371"/>
      <c r="IX371"/>
      <c r="IY371"/>
      <c r="IZ371"/>
      <c r="JA371"/>
      <c r="JB371"/>
      <c r="JC371"/>
      <c r="JD371"/>
      <c r="JE371"/>
      <c r="JF371"/>
      <c r="JG371"/>
      <c r="JH371"/>
      <c r="JI371"/>
      <c r="JJ371"/>
      <c r="JK371"/>
      <c r="JL371"/>
      <c r="JM371"/>
      <c r="JN371"/>
      <c r="JO371"/>
      <c r="JP371"/>
      <c r="JQ371"/>
      <c r="JR371"/>
      <c r="JS371"/>
      <c r="JT371"/>
      <c r="JU371"/>
      <c r="JV371"/>
      <c r="JW371"/>
      <c r="JX371"/>
      <c r="JY371"/>
      <c r="JZ371"/>
      <c r="KA371"/>
      <c r="KB371"/>
      <c r="KC371"/>
      <c r="KD371"/>
      <c r="KE371"/>
      <c r="KF371"/>
      <c r="KG371"/>
      <c r="KH371"/>
      <c r="KI371"/>
      <c r="KJ371"/>
      <c r="KK371"/>
      <c r="KL371"/>
      <c r="KM371"/>
      <c r="KN371"/>
      <c r="KO371"/>
      <c r="KP371"/>
      <c r="KQ371"/>
      <c r="KR371"/>
      <c r="KS371"/>
      <c r="KT371"/>
      <c r="KU371"/>
      <c r="KV371"/>
      <c r="KW371"/>
      <c r="KX371"/>
      <c r="KY371"/>
      <c r="KZ371"/>
      <c r="LA371"/>
      <c r="LB371"/>
      <c r="LC371"/>
      <c r="LD371"/>
      <c r="LE371"/>
      <c r="LF371"/>
      <c r="LG371"/>
      <c r="LH371"/>
      <c r="LI371"/>
      <c r="LJ371"/>
      <c r="LK371"/>
      <c r="LL371"/>
      <c r="LM371"/>
      <c r="LN371"/>
      <c r="LO371"/>
      <c r="LP371"/>
      <c r="LQ371"/>
      <c r="LR371"/>
      <c r="LS371"/>
      <c r="LT371"/>
      <c r="LU371"/>
      <c r="LV371"/>
      <c r="LW371"/>
      <c r="LX371"/>
      <c r="LY371"/>
      <c r="LZ371"/>
      <c r="MA371"/>
      <c r="MB371"/>
      <c r="MC371"/>
      <c r="MD371"/>
      <c r="ME371"/>
      <c r="MF371"/>
      <c r="MG371"/>
      <c r="MH371"/>
      <c r="MI371"/>
      <c r="MJ371"/>
      <c r="MK371"/>
      <c r="ML371"/>
      <c r="MM371"/>
      <c r="MN371"/>
      <c r="MO371"/>
      <c r="MP371"/>
      <c r="MQ371"/>
      <c r="MR371"/>
      <c r="MS371"/>
      <c r="MT371"/>
      <c r="MU371"/>
      <c r="MV371"/>
      <c r="MW371"/>
      <c r="MX371"/>
      <c r="MY371"/>
      <c r="MZ371"/>
      <c r="NA371"/>
      <c r="NB371"/>
      <c r="NC371"/>
      <c r="ND371"/>
      <c r="NE371"/>
      <c r="NF371"/>
      <c r="NG371"/>
      <c r="NH371"/>
      <c r="NI371"/>
      <c r="NJ371"/>
      <c r="NK371"/>
      <c r="NL371"/>
      <c r="NM371"/>
      <c r="NN371"/>
      <c r="NO371"/>
      <c r="NP371"/>
      <c r="NQ371"/>
      <c r="NR371"/>
      <c r="NS371"/>
      <c r="NT371"/>
      <c r="NU371"/>
      <c r="NV371"/>
      <c r="NW371"/>
      <c r="NX371"/>
      <c r="NY371"/>
      <c r="NZ371"/>
      <c r="OA371"/>
      <c r="OB371"/>
      <c r="OC371"/>
      <c r="OD371"/>
      <c r="OE371"/>
      <c r="OF371"/>
      <c r="OG371"/>
      <c r="OH371"/>
      <c r="OI371"/>
      <c r="OJ371"/>
      <c r="OK371"/>
      <c r="OL371"/>
      <c r="OM371"/>
      <c r="ON371"/>
      <c r="OO371"/>
      <c r="OP371"/>
      <c r="OQ371"/>
      <c r="OR371"/>
      <c r="OS371"/>
      <c r="OT371"/>
      <c r="OU371"/>
      <c r="OV371"/>
      <c r="OW371"/>
      <c r="OX371"/>
      <c r="OY371"/>
      <c r="OZ371"/>
      <c r="PA371"/>
      <c r="PB371"/>
      <c r="PC371"/>
      <c r="PD371"/>
      <c r="PE371"/>
      <c r="PF371"/>
      <c r="PG371"/>
      <c r="PH371"/>
      <c r="PI371"/>
      <c r="PJ371"/>
      <c r="PK371"/>
      <c r="PL371"/>
      <c r="PM371"/>
      <c r="PN371"/>
      <c r="PO371"/>
      <c r="PP371"/>
      <c r="PQ371"/>
      <c r="PR371"/>
      <c r="PS371"/>
      <c r="PT371"/>
      <c r="PU371"/>
      <c r="PV371"/>
      <c r="PW371"/>
      <c r="PX371"/>
      <c r="PY371"/>
      <c r="PZ371"/>
      <c r="QA371"/>
      <c r="QB371"/>
      <c r="QC371"/>
      <c r="QD371"/>
      <c r="QE371"/>
      <c r="QF371"/>
      <c r="QG371"/>
      <c r="QH371"/>
      <c r="QI371"/>
      <c r="QJ371"/>
      <c r="QK371"/>
      <c r="QL371"/>
      <c r="QM371"/>
      <c r="QN371"/>
      <c r="QO371"/>
      <c r="QP371"/>
      <c r="QQ371"/>
      <c r="QR371"/>
      <c r="QS371"/>
      <c r="QT371"/>
      <c r="QU371"/>
      <c r="QV371"/>
      <c r="QW371"/>
      <c r="QX371"/>
      <c r="QY371"/>
      <c r="QZ371"/>
      <c r="RA371"/>
      <c r="RB371"/>
      <c r="RC371"/>
      <c r="RD371"/>
      <c r="RE371"/>
      <c r="RF371"/>
      <c r="RG371"/>
      <c r="RH371"/>
      <c r="RI371"/>
      <c r="RJ371"/>
      <c r="RK371"/>
      <c r="RL371"/>
      <c r="RM371"/>
      <c r="RN371"/>
      <c r="RO371"/>
      <c r="RP371"/>
      <c r="RQ371"/>
      <c r="RR371"/>
      <c r="RS371"/>
      <c r="RT371"/>
      <c r="RU371"/>
      <c r="RV371"/>
      <c r="RW371"/>
      <c r="RX371"/>
      <c r="RY371"/>
      <c r="RZ371"/>
      <c r="SA371"/>
      <c r="SB371"/>
      <c r="SC371"/>
      <c r="SD371"/>
      <c r="SE371"/>
      <c r="SF371"/>
      <c r="SG371"/>
      <c r="SH371"/>
      <c r="SI371"/>
      <c r="SJ371"/>
      <c r="SK371"/>
      <c r="SL371"/>
      <c r="SM371"/>
      <c r="SN371"/>
      <c r="SO371"/>
      <c r="SP371"/>
      <c r="SQ371"/>
      <c r="SR371"/>
      <c r="SS371"/>
      <c r="ST371"/>
      <c r="SU371"/>
      <c r="SV371"/>
      <c r="SW371"/>
      <c r="SX371"/>
      <c r="SY371"/>
      <c r="SZ371"/>
      <c r="TA371"/>
      <c r="TB371"/>
      <c r="TC371"/>
      <c r="TD371"/>
      <c r="TE371"/>
      <c r="TF371"/>
      <c r="TG371"/>
      <c r="TH371"/>
      <c r="TI371"/>
      <c r="TJ371"/>
      <c r="TK371"/>
      <c r="TL371"/>
      <c r="TM371"/>
      <c r="TN371"/>
      <c r="TO371"/>
      <c r="TP371"/>
      <c r="TQ371"/>
      <c r="TR371"/>
      <c r="TS371"/>
      <c r="TT371"/>
      <c r="TU371"/>
      <c r="TV371"/>
      <c r="TW371"/>
      <c r="TX371"/>
      <c r="TY371"/>
      <c r="TZ371"/>
      <c r="UA371"/>
      <c r="UB371"/>
      <c r="UC371"/>
      <c r="UD371"/>
      <c r="UE371"/>
      <c r="UF371"/>
      <c r="UG371"/>
      <c r="UH371"/>
      <c r="UI371"/>
      <c r="UJ371"/>
      <c r="UK371"/>
      <c r="UL371"/>
      <c r="UM371"/>
      <c r="UN371"/>
      <c r="UO371"/>
      <c r="UP371"/>
      <c r="UQ371"/>
      <c r="UR371"/>
      <c r="US371"/>
      <c r="UT371"/>
      <c r="UU371"/>
      <c r="UV371"/>
      <c r="UW371"/>
      <c r="UX371"/>
      <c r="UY371"/>
      <c r="UZ371"/>
      <c r="VA371"/>
      <c r="VB371"/>
      <c r="VC371"/>
      <c r="VD371"/>
      <c r="VE371"/>
      <c r="VF371"/>
      <c r="VG371"/>
      <c r="VH371"/>
      <c r="VI371"/>
      <c r="VJ371"/>
      <c r="VK371"/>
      <c r="VL371"/>
      <c r="VM371"/>
      <c r="VN371"/>
      <c r="VO371"/>
      <c r="VP371"/>
      <c r="VQ371"/>
      <c r="VR371"/>
      <c r="VS371"/>
      <c r="VT371"/>
      <c r="VU371"/>
      <c r="VV371"/>
      <c r="VW371"/>
      <c r="VX371"/>
      <c r="VY371"/>
      <c r="VZ371"/>
      <c r="WA371"/>
      <c r="WB371"/>
      <c r="WC371"/>
      <c r="WD371"/>
      <c r="WE371"/>
      <c r="WF371"/>
      <c r="WG371"/>
      <c r="WH371"/>
      <c r="WI371"/>
      <c r="WJ371"/>
      <c r="WK371"/>
      <c r="WL371"/>
      <c r="WM371"/>
      <c r="WN371"/>
      <c r="WO371"/>
      <c r="WP371"/>
      <c r="WQ371"/>
      <c r="WR371"/>
      <c r="WS371"/>
      <c r="WT371"/>
      <c r="WU371"/>
      <c r="WV371"/>
      <c r="WW371"/>
      <c r="WX371"/>
      <c r="WY371"/>
      <c r="WZ371"/>
      <c r="XA371"/>
      <c r="XB371"/>
      <c r="XC371"/>
      <c r="XD371"/>
      <c r="XE371"/>
      <c r="XF371"/>
      <c r="XG371"/>
      <c r="XH371"/>
      <c r="XI371"/>
      <c r="XJ371"/>
      <c r="XK371"/>
      <c r="XL371"/>
      <c r="XM371"/>
      <c r="XN371"/>
      <c r="XO371"/>
      <c r="XP371"/>
      <c r="XQ371"/>
      <c r="XR371"/>
      <c r="XS371"/>
      <c r="XT371"/>
      <c r="XU371"/>
      <c r="XV371"/>
      <c r="XW371"/>
      <c r="XX371"/>
      <c r="XY371"/>
      <c r="XZ371"/>
      <c r="YA371"/>
      <c r="YB371"/>
      <c r="YC371"/>
      <c r="YD371"/>
      <c r="YE371"/>
      <c r="YF371"/>
      <c r="YG371"/>
      <c r="YH371"/>
      <c r="YI371"/>
      <c r="YJ371"/>
      <c r="YK371"/>
      <c r="YL371"/>
      <c r="YM371"/>
      <c r="YN371"/>
      <c r="YO371"/>
      <c r="YP371"/>
      <c r="YQ371"/>
      <c r="YR371"/>
      <c r="YS371"/>
      <c r="YT371"/>
      <c r="YU371"/>
      <c r="YV371"/>
      <c r="YW371"/>
      <c r="YX371"/>
      <c r="YY371"/>
      <c r="YZ371"/>
      <c r="ZA371"/>
      <c r="ZB371"/>
      <c r="ZC371"/>
      <c r="ZD371"/>
      <c r="ZE371"/>
      <c r="ZF371"/>
      <c r="ZG371"/>
      <c r="ZH371"/>
      <c r="ZI371"/>
      <c r="ZJ371"/>
      <c r="ZK371"/>
      <c r="ZL371"/>
      <c r="ZM371"/>
      <c r="ZN371"/>
      <c r="ZO371"/>
      <c r="ZP371"/>
      <c r="ZQ371"/>
      <c r="ZR371"/>
      <c r="ZS371"/>
      <c r="ZT371"/>
      <c r="ZU371"/>
      <c r="ZV371"/>
      <c r="ZW371"/>
      <c r="ZX371"/>
      <c r="ZY371"/>
      <c r="ZZ371"/>
      <c r="AAA371"/>
      <c r="AAB371"/>
      <c r="AAC371"/>
      <c r="AAD371"/>
      <c r="AAE371"/>
      <c r="AAF371"/>
      <c r="AAG371"/>
      <c r="AAH371"/>
      <c r="AAI371"/>
      <c r="AAJ371"/>
      <c r="AAK371"/>
      <c r="AAL371"/>
      <c r="AAM371"/>
      <c r="AAN371"/>
      <c r="AAO371"/>
      <c r="AAP371"/>
      <c r="AAQ371"/>
      <c r="AAR371"/>
      <c r="AAS371"/>
      <c r="AAT371"/>
      <c r="AAU371"/>
      <c r="AAV371"/>
      <c r="AAW371"/>
      <c r="AAX371"/>
      <c r="AAY371"/>
      <c r="AAZ371"/>
      <c r="ABA371"/>
      <c r="ABB371"/>
      <c r="ABC371"/>
      <c r="ABD371"/>
      <c r="ABE371"/>
      <c r="ABF371"/>
      <c r="ABG371"/>
      <c r="ABH371"/>
      <c r="ABI371"/>
      <c r="ABJ371"/>
      <c r="ABK371"/>
      <c r="ABL371"/>
      <c r="ABM371"/>
      <c r="ABN371"/>
      <c r="ABO371"/>
      <c r="ABP371"/>
      <c r="ABQ371"/>
      <c r="ABR371"/>
      <c r="ABS371"/>
      <c r="ABT371"/>
      <c r="ABU371"/>
      <c r="ABV371"/>
      <c r="ABW371"/>
      <c r="ABX371"/>
      <c r="ABY371"/>
      <c r="ABZ371"/>
      <c r="ACA371"/>
      <c r="ACB371"/>
      <c r="ACC371"/>
      <c r="ACD371"/>
      <c r="ACE371"/>
      <c r="ACF371"/>
      <c r="ACG371"/>
      <c r="ACH371"/>
      <c r="ACI371"/>
      <c r="ACJ371"/>
      <c r="ACK371"/>
      <c r="ACL371"/>
      <c r="ACM371"/>
      <c r="ACN371"/>
      <c r="ACO371"/>
      <c r="ACP371"/>
      <c r="ACQ371"/>
      <c r="ACR371"/>
      <c r="ACS371"/>
      <c r="ACT371"/>
      <c r="ACU371"/>
      <c r="ACV371"/>
      <c r="ACW371"/>
      <c r="ACX371"/>
      <c r="ACY371"/>
      <c r="ACZ371"/>
      <c r="ADA371"/>
      <c r="ADB371"/>
      <c r="ADC371"/>
      <c r="ADD371"/>
      <c r="ADE371"/>
      <c r="ADF371"/>
      <c r="ADG371"/>
      <c r="ADH371"/>
      <c r="ADI371"/>
      <c r="ADJ371"/>
      <c r="ADK371"/>
      <c r="ADL371"/>
      <c r="ADM371"/>
      <c r="ADN371"/>
      <c r="ADO371"/>
      <c r="ADP371"/>
      <c r="ADQ371"/>
      <c r="ADR371"/>
      <c r="ADS371"/>
      <c r="ADT371"/>
      <c r="ADU371"/>
      <c r="ADV371"/>
      <c r="ADW371"/>
      <c r="ADX371"/>
      <c r="ADY371"/>
      <c r="ADZ371"/>
      <c r="AEA371"/>
      <c r="AEB371"/>
      <c r="AEC371"/>
      <c r="AED371"/>
      <c r="AEE371"/>
      <c r="AEF371"/>
      <c r="AEG371"/>
      <c r="AEH371"/>
      <c r="AEI371"/>
      <c r="AEJ371"/>
      <c r="AEK371"/>
      <c r="AEL371"/>
      <c r="AEM371"/>
      <c r="AEN371"/>
      <c r="AEO371"/>
      <c r="AEP371"/>
      <c r="AEQ371"/>
      <c r="AER371"/>
      <c r="AES371"/>
      <c r="AET371"/>
      <c r="AEU371"/>
      <c r="AEV371"/>
      <c r="AEW371"/>
      <c r="AEX371"/>
      <c r="AEY371"/>
      <c r="AEZ371"/>
      <c r="AFA371"/>
      <c r="AFB371"/>
      <c r="AFC371"/>
      <c r="AFD371"/>
      <c r="AFE371"/>
      <c r="AFF371"/>
      <c r="AFG371"/>
      <c r="AFH371"/>
      <c r="AFI371"/>
      <c r="AFJ371"/>
      <c r="AFK371"/>
      <c r="AFL371"/>
      <c r="AFM371"/>
      <c r="AFN371"/>
      <c r="AFO371"/>
      <c r="AFP371"/>
      <c r="AFQ371"/>
      <c r="AFR371"/>
      <c r="AFS371"/>
      <c r="AFT371"/>
      <c r="AFU371"/>
      <c r="AFV371"/>
      <c r="AFW371"/>
      <c r="AFX371"/>
      <c r="AFY371"/>
      <c r="AFZ371"/>
      <c r="AGA371"/>
      <c r="AGB371"/>
      <c r="AGC371"/>
      <c r="AGD371"/>
      <c r="AGE371"/>
      <c r="AGF371"/>
      <c r="AGG371"/>
      <c r="AGH371"/>
      <c r="AGI371"/>
      <c r="AGJ371"/>
      <c r="AGK371"/>
      <c r="AGL371"/>
      <c r="AGM371"/>
      <c r="AGN371"/>
      <c r="AGO371"/>
      <c r="AGP371"/>
      <c r="AGQ371"/>
      <c r="AGR371"/>
      <c r="AGS371"/>
      <c r="AGT371"/>
      <c r="AGU371"/>
      <c r="AGV371"/>
      <c r="AGW371"/>
      <c r="AGX371"/>
      <c r="AGY371"/>
      <c r="AGZ371"/>
      <c r="AHA371"/>
      <c r="AHB371"/>
      <c r="AHC371"/>
      <c r="AHD371"/>
      <c r="AHE371"/>
      <c r="AHF371"/>
      <c r="AHG371"/>
      <c r="AHH371"/>
      <c r="AHI371"/>
      <c r="AHJ371"/>
      <c r="AHK371"/>
      <c r="AHL371"/>
      <c r="AHM371"/>
      <c r="AHN371"/>
      <c r="AHO371"/>
      <c r="AHP371"/>
      <c r="AHQ371"/>
      <c r="AHR371"/>
      <c r="AHS371"/>
      <c r="AHT371"/>
      <c r="AHU371"/>
      <c r="AHV371"/>
      <c r="AHW371"/>
      <c r="AHX371"/>
      <c r="AHY371"/>
      <c r="AHZ371"/>
      <c r="AIA371"/>
      <c r="AIB371"/>
      <c r="AIC371"/>
      <c r="AID371"/>
      <c r="AIE371"/>
      <c r="AIF371"/>
      <c r="AIG371"/>
      <c r="AIH371"/>
      <c r="AII371"/>
      <c r="AIJ371"/>
      <c r="AIK371"/>
      <c r="AIL371"/>
      <c r="AIM371"/>
      <c r="AIN371"/>
      <c r="AIO371"/>
      <c r="AIP371"/>
      <c r="AIQ371"/>
      <c r="AIR371"/>
      <c r="AIS371"/>
      <c r="AIT371"/>
      <c r="AIU371"/>
      <c r="AIV371"/>
      <c r="AIW371"/>
      <c r="AIX371"/>
      <c r="AIY371"/>
      <c r="AIZ371"/>
      <c r="AJA371"/>
      <c r="AJB371"/>
      <c r="AJC371"/>
      <c r="AJD371"/>
      <c r="AJE371"/>
      <c r="AJF371"/>
      <c r="AJG371"/>
      <c r="AJH371"/>
      <c r="AJI371"/>
      <c r="AJJ371"/>
      <c r="AJK371"/>
      <c r="AJL371"/>
      <c r="AJM371"/>
      <c r="AJN371"/>
      <c r="AJO371"/>
      <c r="AJP371"/>
      <c r="AJQ371"/>
      <c r="AJR371"/>
      <c r="AJS371"/>
      <c r="AJT371"/>
      <c r="AJU371"/>
      <c r="AJV371"/>
      <c r="AJW371"/>
      <c r="AJX371"/>
      <c r="AJY371"/>
      <c r="AJZ371"/>
      <c r="AKA371"/>
      <c r="AKB371"/>
      <c r="AKC371"/>
      <c r="AKD371"/>
      <c r="AKE371"/>
      <c r="AKF371"/>
      <c r="AKG371"/>
      <c r="AKH371"/>
      <c r="AKI371"/>
      <c r="AKJ371"/>
      <c r="AKK371"/>
      <c r="AKL371"/>
      <c r="AKM371"/>
      <c r="AKN371"/>
      <c r="AKO371"/>
      <c r="AKP371"/>
      <c r="AKQ371"/>
      <c r="AKR371"/>
      <c r="AKS371"/>
      <c r="AKT371"/>
      <c r="AKU371"/>
      <c r="AKV371"/>
      <c r="AKW371"/>
      <c r="AKX371"/>
      <c r="AKY371"/>
      <c r="AKZ371"/>
      <c r="ALA371"/>
      <c r="ALB371"/>
      <c r="ALC371"/>
      <c r="ALD371"/>
      <c r="ALE371"/>
      <c r="ALF371"/>
      <c r="ALG371"/>
      <c r="ALH371"/>
      <c r="ALI371"/>
      <c r="ALJ371"/>
      <c r="ALK371"/>
      <c r="ALL371"/>
      <c r="ALM371"/>
      <c r="ALN371"/>
      <c r="ALO371"/>
      <c r="ALP371"/>
      <c r="ALQ371"/>
      <c r="ALR371"/>
      <c r="ALS371"/>
      <c r="ALT371"/>
      <c r="ALU371"/>
      <c r="ALV371"/>
      <c r="ALW371"/>
      <c r="ALX371"/>
      <c r="ALY371"/>
      <c r="ALZ371"/>
      <c r="AMA371"/>
      <c r="AMB371"/>
      <c r="AMC371"/>
      <c r="AMD371"/>
      <c r="AME371"/>
      <c r="AMF371"/>
      <c r="AMG371"/>
      <c r="AMH371"/>
      <c r="AMI371"/>
      <c r="AMJ371"/>
    </row>
    <row r="372" spans="1:1024">
      <c r="A372" s="7" t="s">
        <v>376</v>
      </c>
      <c r="B372" s="7">
        <v>818752</v>
      </c>
      <c r="C372" s="11"/>
      <c r="D372" s="12">
        <v>0.66666666666666696</v>
      </c>
      <c r="E372" s="7">
        <f>VLOOKUP(B372,Gesamtstunden_26!B:I,8,0)</f>
        <v>3</v>
      </c>
      <c r="F372" s="13">
        <f t="shared" si="5"/>
        <v>-2.333333333333333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11"/>
      <c r="BK372" s="11"/>
      <c r="BL372" s="11"/>
      <c r="BM372" s="11"/>
      <c r="BN372" s="11"/>
      <c r="BO372" s="11"/>
      <c r="BP372" s="11"/>
      <c r="BQ372" s="11"/>
      <c r="BR372" s="11"/>
      <c r="BS372" s="11"/>
      <c r="BT372" s="11"/>
      <c r="BU372" s="11"/>
      <c r="BV372" s="11"/>
      <c r="BW372" s="11"/>
      <c r="BX372" s="11"/>
      <c r="BY372" s="11"/>
      <c r="BZ372" s="11"/>
      <c r="CA372" s="11"/>
      <c r="CB372" s="11"/>
      <c r="CC372" s="11"/>
      <c r="CD372" s="11"/>
      <c r="CE372" s="11"/>
      <c r="CF372" s="11"/>
      <c r="CG372" s="11"/>
      <c r="CH372" s="11"/>
      <c r="CI372" s="11"/>
      <c r="CJ372" s="11"/>
      <c r="CK372" s="11"/>
      <c r="CL372" s="11"/>
      <c r="CM372" s="11"/>
      <c r="CN372" s="11"/>
      <c r="CO372" s="11"/>
      <c r="CP372" s="11"/>
      <c r="CQ372" s="11"/>
      <c r="CR372" s="11"/>
      <c r="CS372" s="11"/>
      <c r="CT372" s="11"/>
      <c r="CU372" s="11"/>
      <c r="CV372" s="11"/>
      <c r="CW372" s="11"/>
      <c r="CX372" s="11"/>
      <c r="CY372" s="11"/>
      <c r="CZ372" s="11"/>
      <c r="DA372" s="11"/>
      <c r="DB372" s="11"/>
      <c r="DC372" s="11"/>
      <c r="DD372" s="11"/>
      <c r="DE372" s="11"/>
      <c r="DF372" s="11"/>
      <c r="DG372" s="11"/>
      <c r="DH372" s="11"/>
      <c r="DI372" s="11"/>
      <c r="DJ372" s="11"/>
      <c r="DK372" s="11"/>
      <c r="DL372" s="11"/>
      <c r="DM372" s="11"/>
      <c r="DN372" s="11"/>
      <c r="DO372" s="11"/>
      <c r="DP372" s="11"/>
      <c r="DQ372" s="11"/>
      <c r="DR372" s="11"/>
      <c r="DS372" s="11"/>
      <c r="DT372" s="11"/>
      <c r="DU372" s="11"/>
      <c r="DV372" s="11"/>
      <c r="DW372" s="11"/>
      <c r="DX372" s="11"/>
      <c r="DY372" s="11"/>
      <c r="DZ372" s="11"/>
      <c r="EA372" s="11"/>
      <c r="EB372" s="11"/>
      <c r="EC372" s="11"/>
      <c r="ED372" s="11"/>
      <c r="EE372" s="11"/>
      <c r="EF372" s="11"/>
      <c r="EG372" s="11"/>
      <c r="EH372" s="11"/>
      <c r="EI372" s="11"/>
      <c r="EJ372" s="11"/>
      <c r="EK372" s="11"/>
      <c r="EL372" s="11"/>
      <c r="EM372" s="11"/>
      <c r="EN372" s="11"/>
      <c r="EO372" s="11"/>
      <c r="EP372" s="11"/>
      <c r="EQ372" s="11"/>
      <c r="ER372" s="11"/>
      <c r="ES372" s="11"/>
      <c r="ET372" s="11"/>
      <c r="EU372" s="11"/>
      <c r="EV372" s="11"/>
      <c r="EW372" s="11"/>
      <c r="EX372" s="11"/>
      <c r="EY372" s="11"/>
      <c r="EZ372" s="11"/>
      <c r="FA372" s="11"/>
      <c r="FB372" s="11"/>
      <c r="FC372" s="11"/>
      <c r="FD372" s="11"/>
      <c r="FE372" s="11"/>
      <c r="FF372" s="11"/>
      <c r="FG372" s="11"/>
      <c r="FH372" s="11"/>
      <c r="FI372" s="11"/>
      <c r="FJ372" s="11"/>
      <c r="FK372" s="11"/>
      <c r="FL372" s="11"/>
      <c r="FM372" s="11"/>
      <c r="FN372" s="11"/>
      <c r="FO372" s="11"/>
      <c r="FP372" s="11"/>
      <c r="FQ372" s="11"/>
      <c r="FR372" s="11"/>
      <c r="FS372" s="11"/>
      <c r="FT372" s="11"/>
      <c r="FU372" s="11"/>
      <c r="FV372" s="11"/>
      <c r="FW372" s="11"/>
      <c r="FX372" s="11"/>
      <c r="FY372" s="11"/>
      <c r="FZ372" s="11"/>
      <c r="GA372" s="11"/>
      <c r="GB372" s="11"/>
      <c r="GC372" s="11"/>
      <c r="GD372" s="11"/>
      <c r="GE372" s="11"/>
      <c r="GF372" s="11"/>
      <c r="GG372" s="11"/>
      <c r="GH372" s="11"/>
      <c r="GI372" s="11"/>
      <c r="GJ372" s="11"/>
      <c r="GK372" s="11"/>
      <c r="GL372" s="11"/>
      <c r="GM372" s="11"/>
      <c r="GN372" s="11"/>
      <c r="GO372" s="11"/>
      <c r="GP372" s="11"/>
      <c r="GQ372" s="11"/>
      <c r="GR372" s="11"/>
      <c r="GS372" s="11"/>
      <c r="GT372" s="11"/>
      <c r="GU372" s="11"/>
      <c r="GV372" s="11"/>
      <c r="GW372" s="11"/>
      <c r="GX372" s="11"/>
      <c r="GY372" s="11"/>
      <c r="GZ372" s="11"/>
      <c r="HA372" s="11"/>
      <c r="HB372" s="11"/>
      <c r="HC372" s="11"/>
      <c r="HD372" s="11"/>
      <c r="HE372" s="11"/>
      <c r="HF372" s="11"/>
      <c r="HG372" s="11"/>
      <c r="HH372" s="11"/>
      <c r="HI372" s="11"/>
      <c r="HJ372" s="11"/>
      <c r="HK372" s="11"/>
      <c r="HL372" s="11"/>
      <c r="HM372" s="11"/>
      <c r="HN372" s="11"/>
      <c r="HO372" s="11"/>
      <c r="HP372" s="11"/>
      <c r="HQ372" s="11"/>
      <c r="HR372" s="11"/>
      <c r="HS372" s="11"/>
      <c r="HT372" s="11"/>
      <c r="HU372" s="11"/>
      <c r="HV372" s="11"/>
      <c r="HW372" s="11"/>
      <c r="HX372" s="11"/>
      <c r="HY372" s="11"/>
      <c r="HZ372" s="11"/>
      <c r="IA372" s="11"/>
      <c r="IB372" s="11"/>
      <c r="IC372" s="11"/>
      <c r="ID372" s="11"/>
      <c r="IE372" s="11"/>
      <c r="IF372" s="11"/>
      <c r="IG372" s="11"/>
      <c r="IH372" s="11"/>
      <c r="II372" s="11"/>
      <c r="IJ372" s="11"/>
      <c r="IK372" s="11"/>
      <c r="IL372" s="11"/>
      <c r="IM372" s="11"/>
      <c r="IN372" s="11"/>
      <c r="IO372" s="11"/>
      <c r="IP372" s="11"/>
      <c r="IQ372" s="11"/>
      <c r="IR372" s="11"/>
      <c r="IS372" s="11"/>
      <c r="IT372" s="11"/>
      <c r="IU372" s="11"/>
      <c r="IV372" s="11"/>
      <c r="IW372" s="11"/>
      <c r="IX372" s="11"/>
      <c r="IY372" s="11"/>
      <c r="IZ372" s="11"/>
      <c r="JA372" s="11"/>
      <c r="JB372" s="11"/>
      <c r="JC372" s="11"/>
      <c r="JD372" s="11"/>
      <c r="JE372" s="11"/>
      <c r="JF372" s="11"/>
      <c r="JG372" s="11"/>
      <c r="JH372" s="11"/>
      <c r="JI372" s="11"/>
      <c r="JJ372" s="11"/>
      <c r="JK372" s="11"/>
      <c r="JL372" s="11"/>
      <c r="JM372" s="11"/>
      <c r="JN372" s="11"/>
      <c r="JO372" s="11"/>
      <c r="JP372" s="11"/>
      <c r="JQ372" s="11"/>
      <c r="JR372" s="11"/>
      <c r="JS372" s="11"/>
      <c r="JT372" s="11"/>
      <c r="JU372" s="11"/>
      <c r="JV372" s="11"/>
      <c r="JW372" s="11"/>
      <c r="JX372" s="11"/>
      <c r="JY372" s="11"/>
      <c r="JZ372" s="11"/>
      <c r="KA372" s="11"/>
      <c r="KB372" s="11"/>
      <c r="KC372" s="11"/>
      <c r="KD372" s="11"/>
      <c r="KE372" s="11"/>
      <c r="KF372" s="11"/>
      <c r="KG372" s="11"/>
      <c r="KH372" s="11"/>
      <c r="KI372" s="11"/>
      <c r="KJ372" s="11"/>
      <c r="KK372" s="11"/>
      <c r="KL372" s="11"/>
      <c r="KM372" s="11"/>
      <c r="KN372" s="11"/>
      <c r="KO372" s="11"/>
      <c r="KP372" s="11"/>
      <c r="KQ372" s="11"/>
      <c r="KR372" s="11"/>
      <c r="KS372" s="11"/>
      <c r="KT372" s="11"/>
      <c r="KU372" s="11"/>
      <c r="KV372" s="11"/>
      <c r="KW372" s="11"/>
      <c r="KX372" s="11"/>
      <c r="KY372" s="11"/>
      <c r="KZ372" s="11"/>
      <c r="LA372" s="11"/>
      <c r="LB372" s="11"/>
      <c r="LC372" s="11"/>
      <c r="LD372" s="11"/>
      <c r="LE372" s="11"/>
      <c r="LF372" s="11"/>
      <c r="LG372" s="11"/>
      <c r="LH372" s="11"/>
      <c r="LI372" s="11"/>
      <c r="LJ372" s="11"/>
      <c r="LK372" s="11"/>
      <c r="LL372" s="11"/>
      <c r="LM372" s="11"/>
      <c r="LN372" s="11"/>
      <c r="LO372" s="11"/>
      <c r="LP372" s="11"/>
      <c r="LQ372" s="11"/>
      <c r="LR372" s="11"/>
      <c r="LS372" s="11"/>
      <c r="LT372" s="11"/>
      <c r="LU372" s="11"/>
      <c r="LV372" s="11"/>
      <c r="LW372" s="11"/>
      <c r="LX372" s="11"/>
      <c r="LY372" s="11"/>
      <c r="LZ372" s="11"/>
      <c r="MA372" s="11"/>
      <c r="MB372" s="11"/>
      <c r="MC372" s="11"/>
      <c r="MD372" s="11"/>
      <c r="ME372" s="11"/>
      <c r="MF372" s="11"/>
      <c r="MG372" s="11"/>
      <c r="MH372" s="11"/>
      <c r="MI372" s="11"/>
      <c r="MJ372" s="11"/>
      <c r="MK372" s="11"/>
      <c r="ML372" s="11"/>
      <c r="MM372" s="11"/>
      <c r="MN372" s="11"/>
      <c r="MO372" s="11"/>
      <c r="MP372" s="11"/>
      <c r="MQ372" s="11"/>
      <c r="MR372" s="11"/>
      <c r="MS372" s="11"/>
      <c r="MT372" s="11"/>
      <c r="MU372" s="11"/>
      <c r="MV372" s="11"/>
      <c r="MW372" s="11"/>
      <c r="MX372" s="11"/>
      <c r="MY372" s="11"/>
      <c r="MZ372" s="11"/>
      <c r="NA372" s="11"/>
      <c r="NB372" s="11"/>
      <c r="NC372" s="11"/>
      <c r="ND372" s="11"/>
      <c r="NE372" s="11"/>
      <c r="NF372" s="11"/>
      <c r="NG372" s="11"/>
      <c r="NH372" s="11"/>
      <c r="NI372" s="11"/>
      <c r="NJ372" s="11"/>
      <c r="NK372" s="11"/>
      <c r="NL372" s="11"/>
      <c r="NM372" s="11"/>
      <c r="NN372" s="11"/>
      <c r="NO372" s="11"/>
      <c r="NP372" s="11"/>
      <c r="NQ372" s="11"/>
      <c r="NR372" s="11"/>
      <c r="NS372" s="11"/>
      <c r="NT372" s="11"/>
      <c r="NU372" s="11"/>
      <c r="NV372" s="11"/>
      <c r="NW372" s="11"/>
      <c r="NX372" s="11"/>
      <c r="NY372" s="11"/>
      <c r="NZ372" s="11"/>
      <c r="OA372" s="11"/>
      <c r="OB372" s="11"/>
      <c r="OC372" s="11"/>
      <c r="OD372" s="11"/>
      <c r="OE372" s="11"/>
      <c r="OF372" s="11"/>
      <c r="OG372" s="11"/>
      <c r="OH372" s="11"/>
      <c r="OI372" s="11"/>
      <c r="OJ372" s="11"/>
      <c r="OK372" s="11"/>
      <c r="OL372" s="11"/>
      <c r="OM372" s="11"/>
      <c r="ON372" s="11"/>
      <c r="OO372" s="11"/>
      <c r="OP372" s="11"/>
      <c r="OQ372" s="11"/>
      <c r="OR372" s="11"/>
      <c r="OS372" s="11"/>
      <c r="OT372" s="11"/>
      <c r="OU372" s="11"/>
      <c r="OV372" s="11"/>
      <c r="OW372" s="11"/>
      <c r="OX372" s="11"/>
      <c r="OY372" s="11"/>
      <c r="OZ372" s="11"/>
      <c r="PA372" s="11"/>
      <c r="PB372" s="11"/>
      <c r="PC372" s="11"/>
      <c r="PD372" s="11"/>
      <c r="PE372" s="11"/>
      <c r="PF372" s="11"/>
      <c r="PG372" s="11"/>
      <c r="PH372" s="11"/>
      <c r="PI372" s="11"/>
      <c r="PJ372" s="11"/>
      <c r="PK372" s="11"/>
      <c r="PL372" s="11"/>
      <c r="PM372" s="11"/>
      <c r="PN372" s="11"/>
      <c r="PO372" s="11"/>
      <c r="PP372" s="11"/>
      <c r="PQ372" s="11"/>
      <c r="PR372" s="11"/>
      <c r="PS372" s="11"/>
      <c r="PT372" s="11"/>
      <c r="PU372" s="11"/>
      <c r="PV372" s="11"/>
      <c r="PW372" s="11"/>
      <c r="PX372" s="11"/>
      <c r="PY372" s="11"/>
      <c r="PZ372" s="11"/>
      <c r="QA372" s="11"/>
      <c r="QB372" s="11"/>
      <c r="QC372" s="11"/>
      <c r="QD372" s="11"/>
      <c r="QE372" s="11"/>
      <c r="QF372" s="11"/>
      <c r="QG372" s="11"/>
      <c r="QH372" s="11"/>
      <c r="QI372" s="11"/>
      <c r="QJ372" s="11"/>
      <c r="QK372" s="11"/>
      <c r="QL372" s="11"/>
      <c r="QM372" s="11"/>
      <c r="QN372" s="11"/>
      <c r="QO372" s="11"/>
      <c r="QP372" s="11"/>
      <c r="QQ372" s="11"/>
      <c r="QR372" s="11"/>
      <c r="QS372" s="11"/>
      <c r="QT372" s="11"/>
      <c r="QU372" s="11"/>
      <c r="QV372" s="11"/>
      <c r="QW372" s="11"/>
      <c r="QX372" s="11"/>
      <c r="QY372" s="11"/>
      <c r="QZ372" s="11"/>
      <c r="RA372" s="11"/>
      <c r="RB372" s="11"/>
      <c r="RC372" s="11"/>
      <c r="RD372" s="11"/>
      <c r="RE372" s="11"/>
      <c r="RF372" s="11"/>
      <c r="RG372" s="11"/>
      <c r="RH372" s="11"/>
      <c r="RI372" s="11"/>
      <c r="RJ372" s="11"/>
      <c r="RK372" s="11"/>
      <c r="RL372" s="11"/>
      <c r="RM372" s="11"/>
      <c r="RN372" s="11"/>
      <c r="RO372" s="11"/>
      <c r="RP372" s="11"/>
      <c r="RQ372" s="11"/>
      <c r="RR372" s="11"/>
      <c r="RS372" s="11"/>
      <c r="RT372" s="11"/>
      <c r="RU372" s="11"/>
      <c r="RV372" s="11"/>
      <c r="RW372" s="11"/>
      <c r="RX372" s="11"/>
      <c r="RY372" s="11"/>
      <c r="RZ372" s="11"/>
      <c r="SA372" s="11"/>
      <c r="SB372" s="11"/>
      <c r="SC372" s="11"/>
      <c r="SD372" s="11"/>
      <c r="SE372" s="11"/>
      <c r="SF372" s="11"/>
      <c r="SG372" s="11"/>
      <c r="SH372" s="11"/>
      <c r="SI372" s="11"/>
      <c r="SJ372" s="11"/>
      <c r="SK372" s="11"/>
      <c r="SL372" s="11"/>
      <c r="SM372" s="11"/>
      <c r="SN372" s="11"/>
      <c r="SO372" s="11"/>
      <c r="SP372" s="11"/>
      <c r="SQ372" s="11"/>
      <c r="SR372" s="11"/>
      <c r="SS372" s="11"/>
      <c r="ST372" s="11"/>
      <c r="SU372" s="11"/>
      <c r="SV372" s="11"/>
      <c r="SW372" s="11"/>
      <c r="SX372" s="11"/>
      <c r="SY372" s="11"/>
      <c r="SZ372" s="11"/>
      <c r="TA372" s="11"/>
      <c r="TB372" s="11"/>
      <c r="TC372" s="11"/>
      <c r="TD372" s="11"/>
      <c r="TE372" s="11"/>
      <c r="TF372" s="11"/>
      <c r="TG372" s="11"/>
      <c r="TH372" s="11"/>
      <c r="TI372" s="11"/>
      <c r="TJ372" s="11"/>
      <c r="TK372" s="11"/>
      <c r="TL372" s="11"/>
      <c r="TM372" s="11"/>
      <c r="TN372" s="11"/>
      <c r="TO372" s="11"/>
      <c r="TP372" s="11"/>
      <c r="TQ372" s="11"/>
      <c r="TR372" s="11"/>
      <c r="TS372" s="11"/>
      <c r="TT372" s="11"/>
      <c r="TU372" s="11"/>
      <c r="TV372" s="11"/>
      <c r="TW372" s="11"/>
      <c r="TX372" s="11"/>
      <c r="TY372" s="11"/>
      <c r="TZ372" s="11"/>
      <c r="UA372" s="11"/>
      <c r="UB372" s="11"/>
      <c r="UC372" s="11"/>
      <c r="UD372" s="11"/>
      <c r="UE372" s="11"/>
      <c r="UF372" s="11"/>
      <c r="UG372" s="11"/>
      <c r="UH372" s="11"/>
      <c r="UI372" s="11"/>
      <c r="UJ372" s="11"/>
      <c r="UK372" s="11"/>
      <c r="UL372" s="11"/>
      <c r="UM372" s="11"/>
      <c r="UN372" s="11"/>
      <c r="UO372" s="11"/>
      <c r="UP372" s="11"/>
      <c r="UQ372" s="11"/>
      <c r="UR372" s="11"/>
      <c r="US372" s="11"/>
      <c r="UT372" s="11"/>
      <c r="UU372" s="11"/>
      <c r="UV372" s="11"/>
      <c r="UW372" s="11"/>
      <c r="UX372" s="11"/>
      <c r="UY372" s="11"/>
      <c r="UZ372" s="11"/>
      <c r="VA372" s="11"/>
      <c r="VB372" s="11"/>
      <c r="VC372" s="11"/>
      <c r="VD372" s="11"/>
      <c r="VE372" s="11"/>
      <c r="VF372" s="11"/>
      <c r="VG372" s="11"/>
      <c r="VH372" s="11"/>
      <c r="VI372" s="11"/>
      <c r="VJ372" s="11"/>
      <c r="VK372" s="11"/>
      <c r="VL372" s="11"/>
      <c r="VM372" s="11"/>
      <c r="VN372" s="11"/>
      <c r="VO372" s="11"/>
      <c r="VP372" s="11"/>
      <c r="VQ372" s="11"/>
      <c r="VR372" s="11"/>
      <c r="VS372" s="11"/>
      <c r="VT372" s="11"/>
      <c r="VU372" s="11"/>
      <c r="VV372" s="11"/>
      <c r="VW372" s="11"/>
      <c r="VX372" s="11"/>
      <c r="VY372" s="11"/>
      <c r="VZ372" s="11"/>
      <c r="WA372" s="11"/>
      <c r="WB372" s="11"/>
      <c r="WC372" s="11"/>
      <c r="WD372" s="11"/>
      <c r="WE372" s="11"/>
      <c r="WF372" s="11"/>
      <c r="WG372" s="11"/>
      <c r="WH372" s="11"/>
      <c r="WI372" s="11"/>
      <c r="WJ372" s="11"/>
      <c r="WK372" s="11"/>
      <c r="WL372" s="11"/>
      <c r="WM372" s="11"/>
      <c r="WN372" s="11"/>
      <c r="WO372" s="11"/>
      <c r="WP372" s="11"/>
      <c r="WQ372" s="11"/>
      <c r="WR372" s="11"/>
      <c r="WS372" s="11"/>
      <c r="WT372" s="11"/>
      <c r="WU372" s="11"/>
      <c r="WV372" s="11"/>
      <c r="WW372" s="11"/>
      <c r="WX372" s="11"/>
      <c r="WY372" s="11"/>
      <c r="WZ372" s="11"/>
      <c r="XA372" s="11"/>
      <c r="XB372" s="11"/>
      <c r="XC372" s="11"/>
      <c r="XD372" s="11"/>
      <c r="XE372" s="11"/>
      <c r="XF372" s="11"/>
      <c r="XG372" s="11"/>
      <c r="XH372" s="11"/>
      <c r="XI372" s="11"/>
      <c r="XJ372" s="11"/>
      <c r="XK372" s="11"/>
      <c r="XL372" s="11"/>
      <c r="XM372" s="11"/>
      <c r="XN372" s="11"/>
      <c r="XO372" s="11"/>
      <c r="XP372" s="11"/>
      <c r="XQ372" s="11"/>
      <c r="XR372" s="11"/>
      <c r="XS372" s="11"/>
      <c r="XT372" s="11"/>
      <c r="XU372" s="11"/>
      <c r="XV372" s="11"/>
      <c r="XW372" s="11"/>
      <c r="XX372" s="11"/>
      <c r="XY372" s="11"/>
      <c r="XZ372" s="11"/>
      <c r="YA372" s="11"/>
      <c r="YB372" s="11"/>
      <c r="YC372" s="11"/>
      <c r="YD372" s="11"/>
      <c r="YE372" s="11"/>
      <c r="YF372" s="11"/>
      <c r="YG372" s="11"/>
      <c r="YH372" s="11"/>
      <c r="YI372" s="11"/>
      <c r="YJ372" s="11"/>
      <c r="YK372" s="11"/>
      <c r="YL372" s="11"/>
      <c r="YM372" s="11"/>
      <c r="YN372" s="11"/>
      <c r="YO372" s="11"/>
      <c r="YP372" s="11"/>
      <c r="YQ372" s="11"/>
      <c r="YR372" s="11"/>
      <c r="YS372" s="11"/>
      <c r="YT372" s="11"/>
      <c r="YU372" s="11"/>
      <c r="YV372" s="11"/>
      <c r="YW372" s="11"/>
      <c r="YX372" s="11"/>
      <c r="YY372" s="11"/>
      <c r="YZ372" s="11"/>
      <c r="ZA372" s="11"/>
      <c r="ZB372" s="11"/>
      <c r="ZC372" s="11"/>
      <c r="ZD372" s="11"/>
      <c r="ZE372" s="11"/>
      <c r="ZF372" s="11"/>
      <c r="ZG372" s="11"/>
      <c r="ZH372" s="11"/>
      <c r="ZI372" s="11"/>
      <c r="ZJ372" s="11"/>
      <c r="ZK372" s="11"/>
      <c r="ZL372" s="11"/>
      <c r="ZM372" s="11"/>
      <c r="ZN372" s="11"/>
      <c r="ZO372" s="11"/>
      <c r="ZP372" s="11"/>
      <c r="ZQ372" s="11"/>
      <c r="ZR372" s="11"/>
      <c r="ZS372" s="11"/>
      <c r="ZT372" s="11"/>
      <c r="ZU372" s="11"/>
      <c r="ZV372" s="11"/>
      <c r="ZW372" s="11"/>
      <c r="ZX372" s="11"/>
      <c r="ZY372" s="11"/>
      <c r="ZZ372" s="11"/>
      <c r="AAA372" s="11"/>
      <c r="AAB372" s="11"/>
      <c r="AAC372" s="11"/>
      <c r="AAD372" s="11"/>
      <c r="AAE372" s="11"/>
      <c r="AAF372" s="11"/>
      <c r="AAG372" s="11"/>
      <c r="AAH372" s="11"/>
      <c r="AAI372" s="11"/>
      <c r="AAJ372" s="11"/>
      <c r="AAK372" s="11"/>
      <c r="AAL372" s="11"/>
      <c r="AAM372" s="11"/>
      <c r="AAN372" s="11"/>
      <c r="AAO372" s="11"/>
      <c r="AAP372" s="11"/>
      <c r="AAQ372" s="11"/>
      <c r="AAR372" s="11"/>
      <c r="AAS372" s="11"/>
      <c r="AAT372" s="11"/>
      <c r="AAU372" s="11"/>
      <c r="AAV372" s="11"/>
      <c r="AAW372" s="11"/>
      <c r="AAX372" s="11"/>
      <c r="AAY372" s="11"/>
      <c r="AAZ372" s="11"/>
      <c r="ABA372" s="11"/>
      <c r="ABB372" s="11"/>
      <c r="ABC372" s="11"/>
      <c r="ABD372" s="11"/>
      <c r="ABE372" s="11"/>
      <c r="ABF372" s="11"/>
      <c r="ABG372" s="11"/>
      <c r="ABH372" s="11"/>
      <c r="ABI372" s="11"/>
      <c r="ABJ372" s="11"/>
      <c r="ABK372" s="11"/>
      <c r="ABL372" s="11"/>
      <c r="ABM372" s="11"/>
      <c r="ABN372" s="11"/>
      <c r="ABO372" s="11"/>
      <c r="ABP372" s="11"/>
      <c r="ABQ372" s="11"/>
      <c r="ABR372" s="11"/>
      <c r="ABS372" s="11"/>
      <c r="ABT372" s="11"/>
      <c r="ABU372" s="11"/>
      <c r="ABV372" s="11"/>
      <c r="ABW372" s="11"/>
      <c r="ABX372" s="11"/>
      <c r="ABY372" s="11"/>
      <c r="ABZ372" s="11"/>
      <c r="ACA372" s="11"/>
      <c r="ACB372" s="11"/>
      <c r="ACC372" s="11"/>
      <c r="ACD372" s="11"/>
      <c r="ACE372" s="11"/>
      <c r="ACF372" s="11"/>
      <c r="ACG372" s="11"/>
      <c r="ACH372" s="11"/>
      <c r="ACI372" s="11"/>
      <c r="ACJ372" s="11"/>
      <c r="ACK372" s="11"/>
      <c r="ACL372" s="11"/>
      <c r="ACM372" s="11"/>
      <c r="ACN372" s="11"/>
      <c r="ACO372" s="11"/>
      <c r="ACP372" s="11"/>
      <c r="ACQ372" s="11"/>
      <c r="ACR372" s="11"/>
      <c r="ACS372" s="11"/>
      <c r="ACT372" s="11"/>
      <c r="ACU372" s="11"/>
      <c r="ACV372" s="11"/>
      <c r="ACW372" s="11"/>
      <c r="ACX372" s="11"/>
      <c r="ACY372" s="11"/>
      <c r="ACZ372" s="11"/>
      <c r="ADA372" s="11"/>
      <c r="ADB372" s="11"/>
      <c r="ADC372" s="11"/>
      <c r="ADD372" s="11"/>
      <c r="ADE372" s="11"/>
      <c r="ADF372" s="11"/>
      <c r="ADG372" s="11"/>
      <c r="ADH372" s="11"/>
      <c r="ADI372" s="11"/>
      <c r="ADJ372" s="11"/>
      <c r="ADK372" s="11"/>
      <c r="ADL372" s="11"/>
      <c r="ADM372" s="11"/>
      <c r="ADN372" s="11"/>
      <c r="ADO372" s="11"/>
      <c r="ADP372" s="11"/>
      <c r="ADQ372" s="11"/>
      <c r="ADR372" s="11"/>
      <c r="ADS372" s="11"/>
      <c r="ADT372" s="11"/>
      <c r="ADU372" s="11"/>
      <c r="ADV372" s="11"/>
      <c r="ADW372" s="11"/>
      <c r="ADX372" s="11"/>
      <c r="ADY372" s="11"/>
      <c r="ADZ372" s="11"/>
      <c r="AEA372" s="11"/>
      <c r="AEB372" s="11"/>
      <c r="AEC372" s="11"/>
      <c r="AED372" s="11"/>
      <c r="AEE372" s="11"/>
      <c r="AEF372" s="11"/>
      <c r="AEG372" s="11"/>
      <c r="AEH372" s="11"/>
      <c r="AEI372" s="11"/>
      <c r="AEJ372" s="11"/>
      <c r="AEK372" s="11"/>
      <c r="AEL372" s="11"/>
      <c r="AEM372" s="11"/>
      <c r="AEN372" s="11"/>
      <c r="AEO372" s="11"/>
      <c r="AEP372" s="11"/>
      <c r="AEQ372" s="11"/>
      <c r="AER372" s="11"/>
      <c r="AES372" s="11"/>
      <c r="AET372" s="11"/>
      <c r="AEU372" s="11"/>
      <c r="AEV372" s="11"/>
      <c r="AEW372" s="11"/>
      <c r="AEX372" s="11"/>
      <c r="AEY372" s="11"/>
      <c r="AEZ372" s="11"/>
      <c r="AFA372" s="11"/>
      <c r="AFB372" s="11"/>
      <c r="AFC372" s="11"/>
      <c r="AFD372" s="11"/>
      <c r="AFE372" s="11"/>
      <c r="AFF372" s="11"/>
      <c r="AFG372" s="11"/>
      <c r="AFH372" s="11"/>
      <c r="AFI372" s="11"/>
      <c r="AFJ372" s="11"/>
      <c r="AFK372" s="11"/>
      <c r="AFL372" s="11"/>
      <c r="AFM372" s="11"/>
      <c r="AFN372" s="11"/>
      <c r="AFO372" s="11"/>
      <c r="AFP372" s="11"/>
      <c r="AFQ372" s="11"/>
      <c r="AFR372" s="11"/>
      <c r="AFS372" s="11"/>
      <c r="AFT372" s="11"/>
      <c r="AFU372" s="11"/>
      <c r="AFV372" s="11"/>
      <c r="AFW372" s="11"/>
      <c r="AFX372" s="11"/>
      <c r="AFY372" s="11"/>
      <c r="AFZ372" s="11"/>
      <c r="AGA372" s="11"/>
      <c r="AGB372" s="11"/>
      <c r="AGC372" s="11"/>
      <c r="AGD372" s="11"/>
      <c r="AGE372" s="11"/>
      <c r="AGF372" s="11"/>
      <c r="AGG372" s="11"/>
      <c r="AGH372" s="11"/>
      <c r="AGI372" s="11"/>
      <c r="AGJ372" s="11"/>
      <c r="AGK372" s="11"/>
      <c r="AGL372" s="11"/>
      <c r="AGM372" s="11"/>
      <c r="AGN372" s="11"/>
      <c r="AGO372" s="11"/>
      <c r="AGP372" s="11"/>
      <c r="AGQ372" s="11"/>
      <c r="AGR372" s="11"/>
      <c r="AGS372" s="11"/>
      <c r="AGT372" s="11"/>
      <c r="AGU372" s="11"/>
      <c r="AGV372" s="11"/>
      <c r="AGW372" s="11"/>
      <c r="AGX372" s="11"/>
      <c r="AGY372" s="11"/>
      <c r="AGZ372" s="11"/>
      <c r="AHA372" s="11"/>
      <c r="AHB372" s="11"/>
      <c r="AHC372" s="11"/>
      <c r="AHD372" s="11"/>
      <c r="AHE372" s="11"/>
      <c r="AHF372" s="11"/>
      <c r="AHG372" s="11"/>
      <c r="AHH372" s="11"/>
      <c r="AHI372" s="11"/>
      <c r="AHJ372" s="11"/>
      <c r="AHK372" s="11"/>
      <c r="AHL372" s="11"/>
      <c r="AHM372" s="11"/>
      <c r="AHN372" s="11"/>
      <c r="AHO372" s="11"/>
      <c r="AHP372" s="11"/>
      <c r="AHQ372" s="11"/>
      <c r="AHR372" s="11"/>
      <c r="AHS372" s="11"/>
      <c r="AHT372" s="11"/>
      <c r="AHU372" s="11"/>
      <c r="AHV372" s="11"/>
      <c r="AHW372" s="11"/>
      <c r="AHX372" s="11"/>
      <c r="AHY372" s="11"/>
      <c r="AHZ372" s="11"/>
      <c r="AIA372" s="11"/>
      <c r="AIB372" s="11"/>
      <c r="AIC372" s="11"/>
      <c r="AID372" s="11"/>
      <c r="AIE372" s="11"/>
      <c r="AIF372" s="11"/>
      <c r="AIG372" s="11"/>
      <c r="AIH372" s="11"/>
      <c r="AII372" s="11"/>
      <c r="AIJ372" s="11"/>
      <c r="AIK372" s="11"/>
      <c r="AIL372" s="11"/>
      <c r="AIM372" s="11"/>
      <c r="AIN372" s="11"/>
      <c r="AIO372" s="11"/>
      <c r="AIP372" s="11"/>
      <c r="AIQ372" s="11"/>
      <c r="AIR372" s="11"/>
      <c r="AIS372" s="11"/>
      <c r="AIT372" s="11"/>
      <c r="AIU372" s="11"/>
      <c r="AIV372" s="11"/>
      <c r="AIW372" s="11"/>
      <c r="AIX372" s="11"/>
      <c r="AIY372" s="11"/>
      <c r="AIZ372" s="11"/>
      <c r="AJA372" s="11"/>
      <c r="AJB372" s="11"/>
      <c r="AJC372" s="11"/>
      <c r="AJD372" s="11"/>
      <c r="AJE372" s="11"/>
      <c r="AJF372" s="11"/>
      <c r="AJG372" s="11"/>
      <c r="AJH372" s="11"/>
      <c r="AJI372" s="11"/>
      <c r="AJJ372" s="11"/>
      <c r="AJK372" s="11"/>
      <c r="AJL372" s="11"/>
      <c r="AJM372" s="11"/>
      <c r="AJN372" s="11"/>
      <c r="AJO372" s="11"/>
      <c r="AJP372" s="11"/>
      <c r="AJQ372" s="11"/>
      <c r="AJR372" s="11"/>
      <c r="AJS372" s="11"/>
      <c r="AJT372" s="11"/>
      <c r="AJU372" s="11"/>
      <c r="AJV372" s="11"/>
      <c r="AJW372" s="11"/>
      <c r="AJX372" s="11"/>
      <c r="AJY372" s="11"/>
      <c r="AJZ372" s="11"/>
      <c r="AKA372" s="11"/>
      <c r="AKB372" s="11"/>
      <c r="AKC372" s="11"/>
      <c r="AKD372" s="11"/>
      <c r="AKE372" s="11"/>
      <c r="AKF372" s="11"/>
      <c r="AKG372" s="11"/>
      <c r="AKH372" s="11"/>
      <c r="AKI372" s="11"/>
      <c r="AKJ372" s="11"/>
      <c r="AKK372" s="11"/>
      <c r="AKL372" s="11"/>
      <c r="AKM372" s="11"/>
      <c r="AKN372" s="11"/>
      <c r="AKO372" s="11"/>
      <c r="AKP372" s="11"/>
      <c r="AKQ372" s="11"/>
      <c r="AKR372" s="11"/>
      <c r="AKS372" s="11"/>
      <c r="AKT372" s="11"/>
      <c r="AKU372" s="11"/>
      <c r="AKV372" s="11"/>
      <c r="AKW372" s="11"/>
      <c r="AKX372" s="11"/>
      <c r="AKY372" s="11"/>
      <c r="AKZ372" s="11"/>
      <c r="ALA372" s="11"/>
      <c r="ALB372" s="11"/>
      <c r="ALC372" s="11"/>
      <c r="ALD372" s="11"/>
      <c r="ALE372" s="11"/>
      <c r="ALF372" s="11"/>
      <c r="ALG372" s="11"/>
      <c r="ALH372" s="11"/>
      <c r="ALI372" s="11"/>
      <c r="ALJ372" s="11"/>
      <c r="ALK372" s="11"/>
      <c r="ALL372" s="11"/>
      <c r="ALM372" s="11"/>
      <c r="ALN372" s="11"/>
      <c r="ALO372" s="11"/>
      <c r="ALP372" s="11"/>
      <c r="ALQ372" s="11"/>
      <c r="ALR372" s="11"/>
      <c r="ALS372" s="11"/>
      <c r="ALT372" s="11"/>
      <c r="ALU372" s="11"/>
      <c r="ALV372" s="11"/>
      <c r="ALW372" s="11"/>
      <c r="ALX372" s="11"/>
      <c r="ALY372" s="11"/>
      <c r="ALZ372" s="11"/>
      <c r="AMA372" s="11"/>
      <c r="AMB372" s="11"/>
      <c r="AMC372" s="11"/>
      <c r="AMD372" s="11"/>
      <c r="AME372" s="11"/>
      <c r="AMF372" s="11"/>
      <c r="AMG372" s="11"/>
      <c r="AMH372" s="11"/>
      <c r="AMI372" s="11"/>
      <c r="AMJ372" s="11"/>
    </row>
    <row r="373" spans="1:1024">
      <c r="A373" s="16" t="s">
        <v>377</v>
      </c>
      <c r="B373" s="16">
        <v>562361</v>
      </c>
      <c r="D373" s="1">
        <v>0</v>
      </c>
      <c r="E373" s="8">
        <f>VLOOKUP(B373,Gesamtstunden_26!B:I,8,0)</f>
        <v>0</v>
      </c>
      <c r="F373" s="2">
        <f t="shared" si="5"/>
        <v>0</v>
      </c>
    </row>
    <row r="374" spans="1:1024">
      <c r="A374" s="8" t="s">
        <v>378</v>
      </c>
      <c r="B374" s="8">
        <v>643668</v>
      </c>
      <c r="D374" s="1">
        <v>3.3333333333333299</v>
      </c>
      <c r="E374" s="8">
        <f>VLOOKUP(B374,Gesamtstunden_26!B:I,8,0)</f>
        <v>0.66666666666666663</v>
      </c>
      <c r="F374" s="2">
        <f t="shared" si="5"/>
        <v>2.6666666666666634</v>
      </c>
    </row>
    <row r="375" spans="1:1024">
      <c r="A375" s="7" t="s">
        <v>379</v>
      </c>
      <c r="B375" s="7">
        <v>568663</v>
      </c>
      <c r="D375" s="1">
        <v>0</v>
      </c>
      <c r="E375" s="8">
        <f>VLOOKUP(B375,Gesamtstunden_26!B:I,8,0)</f>
        <v>9.1666666666666661</v>
      </c>
      <c r="F375" s="2">
        <f t="shared" si="5"/>
        <v>-9.1666666666666661</v>
      </c>
    </row>
    <row r="376" spans="1:1024">
      <c r="A376" s="16" t="s">
        <v>380</v>
      </c>
      <c r="B376" s="16">
        <v>288222</v>
      </c>
      <c r="D376" s="1">
        <v>0</v>
      </c>
      <c r="E376" s="8">
        <f>VLOOKUP(B376,Gesamtstunden_26!B:I,8,0)</f>
        <v>0.33333333333333331</v>
      </c>
      <c r="F376" s="2">
        <f t="shared" si="5"/>
        <v>-0.33333333333333331</v>
      </c>
    </row>
    <row r="377" spans="1:1024">
      <c r="A377" s="17" t="s">
        <v>381</v>
      </c>
      <c r="B377" s="17">
        <v>761889</v>
      </c>
      <c r="D377" s="1">
        <v>0</v>
      </c>
      <c r="E377" s="8">
        <f>VLOOKUP(B377,Gesamtstunden_26!B:I,8,0)</f>
        <v>2.3333333333333335</v>
      </c>
      <c r="F377" s="2">
        <f t="shared" si="5"/>
        <v>-2.3333333333333335</v>
      </c>
    </row>
    <row r="378" spans="1:1024">
      <c r="A378" s="7" t="s">
        <v>382</v>
      </c>
      <c r="B378" s="7">
        <v>125197</v>
      </c>
      <c r="D378" s="1">
        <v>0</v>
      </c>
      <c r="E378" s="8">
        <f>VLOOKUP(B378,Gesamtstunden_26!B:I,8,0)</f>
        <v>0</v>
      </c>
      <c r="F378" s="2">
        <f t="shared" si="5"/>
        <v>0</v>
      </c>
    </row>
    <row r="379" spans="1:1024">
      <c r="A379" s="15" t="s">
        <v>383</v>
      </c>
      <c r="B379" s="15">
        <v>466342</v>
      </c>
      <c r="D379" s="1">
        <v>0</v>
      </c>
      <c r="E379" s="8">
        <f>VLOOKUP(B379,Gesamtstunden_26!B:I,8,0)</f>
        <v>0</v>
      </c>
      <c r="F379" s="2">
        <f t="shared" si="5"/>
        <v>0</v>
      </c>
    </row>
    <row r="380" spans="1:1024">
      <c r="A380" s="16" t="s">
        <v>384</v>
      </c>
      <c r="B380" s="16">
        <v>365652</v>
      </c>
      <c r="D380" s="1">
        <v>0</v>
      </c>
      <c r="E380" s="8">
        <f>VLOOKUP(B380,Gesamtstunden_26!B:I,8,0)</f>
        <v>0</v>
      </c>
      <c r="F380" s="2">
        <f t="shared" si="5"/>
        <v>0</v>
      </c>
    </row>
    <row r="381" spans="1:1024">
      <c r="A381" s="10" t="s">
        <v>385</v>
      </c>
      <c r="B381" s="10">
        <v>39907</v>
      </c>
      <c r="D381" s="1">
        <v>0</v>
      </c>
      <c r="E381" s="8">
        <f>VLOOKUP(B381,Gesamtstunden_26!B:I,8,0)</f>
        <v>0.33333333333333331</v>
      </c>
      <c r="F381" s="2">
        <f t="shared" si="5"/>
        <v>-0.33333333333333331</v>
      </c>
    </row>
    <row r="382" spans="1:1024" s="11" customFormat="1" ht="27.6">
      <c r="A382" s="8" t="s">
        <v>386</v>
      </c>
      <c r="B382" s="8">
        <v>577256</v>
      </c>
      <c r="C382"/>
      <c r="D382" s="1">
        <v>6</v>
      </c>
      <c r="E382" s="8">
        <f>VLOOKUP(B382,Gesamtstunden_26!B:I,8,0)</f>
        <v>0</v>
      </c>
      <c r="F382" s="2">
        <f t="shared" si="5"/>
        <v>6</v>
      </c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  <c r="CT382"/>
      <c r="CU382"/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  <c r="DQ382"/>
      <c r="DR382"/>
      <c r="DS382"/>
      <c r="DT382"/>
      <c r="DU382"/>
      <c r="DV382"/>
      <c r="DW382"/>
      <c r="DX382"/>
      <c r="DY382"/>
      <c r="DZ382"/>
      <c r="EA382"/>
      <c r="EB382"/>
      <c r="EC382"/>
      <c r="ED382"/>
      <c r="EE382"/>
      <c r="EF382"/>
      <c r="EG382"/>
      <c r="EH382"/>
      <c r="EI382"/>
      <c r="EJ382"/>
      <c r="EK382"/>
      <c r="EL382"/>
      <c r="EM382"/>
      <c r="EN382"/>
      <c r="EO382"/>
      <c r="EP382"/>
      <c r="EQ382"/>
      <c r="ER382"/>
      <c r="ES382"/>
      <c r="ET382"/>
      <c r="EU382"/>
      <c r="EV382"/>
      <c r="EW382"/>
      <c r="EX382"/>
      <c r="EY382"/>
      <c r="EZ382"/>
      <c r="FA382"/>
      <c r="FB382"/>
      <c r="FC382"/>
      <c r="FD382"/>
      <c r="FE382"/>
      <c r="FF382"/>
      <c r="FG382"/>
      <c r="FH382"/>
      <c r="FI382"/>
      <c r="FJ382"/>
      <c r="FK382"/>
      <c r="FL382"/>
      <c r="FM382"/>
      <c r="FN382"/>
      <c r="FO382"/>
      <c r="FP382"/>
      <c r="FQ382"/>
      <c r="FR382"/>
      <c r="FS382"/>
      <c r="FT382"/>
      <c r="FU382"/>
      <c r="FV382"/>
      <c r="FW382"/>
      <c r="FX382"/>
      <c r="FY382"/>
      <c r="FZ382"/>
      <c r="GA382"/>
      <c r="GB382"/>
      <c r="GC382"/>
      <c r="GD382"/>
      <c r="GE382"/>
      <c r="GF382"/>
      <c r="GG382"/>
      <c r="GH382"/>
      <c r="GI382"/>
      <c r="GJ382"/>
      <c r="GK382"/>
      <c r="GL382"/>
      <c r="GM382"/>
      <c r="GN382"/>
      <c r="GO382"/>
      <c r="GP382"/>
      <c r="GQ382"/>
      <c r="GR382"/>
      <c r="GS382"/>
      <c r="GT382"/>
      <c r="GU382"/>
      <c r="GV382"/>
      <c r="GW382"/>
      <c r="GX382"/>
      <c r="GY382"/>
      <c r="GZ382"/>
      <c r="HA382"/>
      <c r="HB382"/>
      <c r="HC382"/>
      <c r="HD382"/>
      <c r="HE382"/>
      <c r="HF382"/>
      <c r="HG382"/>
      <c r="HH382"/>
      <c r="HI382"/>
      <c r="HJ382"/>
      <c r="HK382"/>
      <c r="HL382"/>
      <c r="HM382"/>
      <c r="HN382"/>
      <c r="HO382"/>
      <c r="HP382"/>
      <c r="HQ382"/>
      <c r="HR382"/>
      <c r="HS382"/>
      <c r="HT382"/>
      <c r="HU382"/>
      <c r="HV382"/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  <c r="IW382"/>
      <c r="IX382"/>
      <c r="IY382"/>
      <c r="IZ382"/>
      <c r="JA382"/>
      <c r="JB382"/>
      <c r="JC382"/>
      <c r="JD382"/>
      <c r="JE382"/>
      <c r="JF382"/>
      <c r="JG382"/>
      <c r="JH382"/>
      <c r="JI382"/>
      <c r="JJ382"/>
      <c r="JK382"/>
      <c r="JL382"/>
      <c r="JM382"/>
      <c r="JN382"/>
      <c r="JO382"/>
      <c r="JP382"/>
      <c r="JQ382"/>
      <c r="JR382"/>
      <c r="JS382"/>
      <c r="JT382"/>
      <c r="JU382"/>
      <c r="JV382"/>
      <c r="JW382"/>
      <c r="JX382"/>
      <c r="JY382"/>
      <c r="JZ382"/>
      <c r="KA382"/>
      <c r="KB382"/>
      <c r="KC382"/>
      <c r="KD382"/>
      <c r="KE382"/>
      <c r="KF382"/>
      <c r="KG382"/>
      <c r="KH382"/>
      <c r="KI382"/>
      <c r="KJ382"/>
      <c r="KK382"/>
      <c r="KL382"/>
      <c r="KM382"/>
      <c r="KN382"/>
      <c r="KO382"/>
      <c r="KP382"/>
      <c r="KQ382"/>
      <c r="KR382"/>
      <c r="KS382"/>
      <c r="KT382"/>
      <c r="KU382"/>
      <c r="KV382"/>
      <c r="KW382"/>
      <c r="KX382"/>
      <c r="KY382"/>
      <c r="KZ382"/>
      <c r="LA382"/>
      <c r="LB382"/>
      <c r="LC382"/>
      <c r="LD382"/>
      <c r="LE382"/>
      <c r="LF382"/>
      <c r="LG382"/>
      <c r="LH382"/>
      <c r="LI382"/>
      <c r="LJ382"/>
      <c r="LK382"/>
      <c r="LL382"/>
      <c r="LM382"/>
      <c r="LN382"/>
      <c r="LO382"/>
      <c r="LP382"/>
      <c r="LQ382"/>
      <c r="LR382"/>
      <c r="LS382"/>
      <c r="LT382"/>
      <c r="LU382"/>
      <c r="LV382"/>
      <c r="LW382"/>
      <c r="LX382"/>
      <c r="LY382"/>
      <c r="LZ382"/>
      <c r="MA382"/>
      <c r="MB382"/>
      <c r="MC382"/>
      <c r="MD382"/>
      <c r="ME382"/>
      <c r="MF382"/>
      <c r="MG382"/>
      <c r="MH382"/>
      <c r="MI382"/>
      <c r="MJ382"/>
      <c r="MK382"/>
      <c r="ML382"/>
      <c r="MM382"/>
      <c r="MN382"/>
      <c r="MO382"/>
      <c r="MP382"/>
      <c r="MQ382"/>
      <c r="MR382"/>
      <c r="MS382"/>
      <c r="MT382"/>
      <c r="MU382"/>
      <c r="MV382"/>
      <c r="MW382"/>
      <c r="MX382"/>
      <c r="MY382"/>
      <c r="MZ382"/>
      <c r="NA382"/>
      <c r="NB382"/>
      <c r="NC382"/>
      <c r="ND382"/>
      <c r="NE382"/>
      <c r="NF382"/>
      <c r="NG382"/>
      <c r="NH382"/>
      <c r="NI382"/>
      <c r="NJ382"/>
      <c r="NK382"/>
      <c r="NL382"/>
      <c r="NM382"/>
      <c r="NN382"/>
      <c r="NO382"/>
      <c r="NP382"/>
      <c r="NQ382"/>
      <c r="NR382"/>
      <c r="NS382"/>
      <c r="NT382"/>
      <c r="NU382"/>
      <c r="NV382"/>
      <c r="NW382"/>
      <c r="NX382"/>
      <c r="NY382"/>
      <c r="NZ382"/>
      <c r="OA382"/>
      <c r="OB382"/>
      <c r="OC382"/>
      <c r="OD382"/>
      <c r="OE382"/>
      <c r="OF382"/>
      <c r="OG382"/>
      <c r="OH382"/>
      <c r="OI382"/>
      <c r="OJ382"/>
      <c r="OK382"/>
      <c r="OL382"/>
      <c r="OM382"/>
      <c r="ON382"/>
      <c r="OO382"/>
      <c r="OP382"/>
      <c r="OQ382"/>
      <c r="OR382"/>
      <c r="OS382"/>
      <c r="OT382"/>
      <c r="OU382"/>
      <c r="OV382"/>
      <c r="OW382"/>
      <c r="OX382"/>
      <c r="OY382"/>
      <c r="OZ382"/>
      <c r="PA382"/>
      <c r="PB382"/>
      <c r="PC382"/>
      <c r="PD382"/>
      <c r="PE382"/>
      <c r="PF382"/>
      <c r="PG382"/>
      <c r="PH382"/>
      <c r="PI382"/>
      <c r="PJ382"/>
      <c r="PK382"/>
      <c r="PL382"/>
      <c r="PM382"/>
      <c r="PN382"/>
      <c r="PO382"/>
      <c r="PP382"/>
      <c r="PQ382"/>
      <c r="PR382"/>
      <c r="PS382"/>
      <c r="PT382"/>
      <c r="PU382"/>
      <c r="PV382"/>
      <c r="PW382"/>
      <c r="PX382"/>
      <c r="PY382"/>
      <c r="PZ382"/>
      <c r="QA382"/>
      <c r="QB382"/>
      <c r="QC382"/>
      <c r="QD382"/>
      <c r="QE382"/>
      <c r="QF382"/>
      <c r="QG382"/>
      <c r="QH382"/>
      <c r="QI382"/>
      <c r="QJ382"/>
      <c r="QK382"/>
      <c r="QL382"/>
      <c r="QM382"/>
      <c r="QN382"/>
      <c r="QO382"/>
      <c r="QP382"/>
      <c r="QQ382"/>
      <c r="QR382"/>
      <c r="QS382"/>
      <c r="QT382"/>
      <c r="QU382"/>
      <c r="QV382"/>
      <c r="QW382"/>
      <c r="QX382"/>
      <c r="QY382"/>
      <c r="QZ382"/>
      <c r="RA382"/>
      <c r="RB382"/>
      <c r="RC382"/>
      <c r="RD382"/>
      <c r="RE382"/>
      <c r="RF382"/>
      <c r="RG382"/>
      <c r="RH382"/>
      <c r="RI382"/>
      <c r="RJ382"/>
      <c r="RK382"/>
      <c r="RL382"/>
      <c r="RM382"/>
      <c r="RN382"/>
      <c r="RO382"/>
      <c r="RP382"/>
      <c r="RQ382"/>
      <c r="RR382"/>
      <c r="RS382"/>
      <c r="RT382"/>
      <c r="RU382"/>
      <c r="RV382"/>
      <c r="RW382"/>
      <c r="RX382"/>
      <c r="RY382"/>
      <c r="RZ382"/>
      <c r="SA382"/>
      <c r="SB382"/>
      <c r="SC382"/>
      <c r="SD382"/>
      <c r="SE382"/>
      <c r="SF382"/>
      <c r="SG382"/>
      <c r="SH382"/>
      <c r="SI382"/>
      <c r="SJ382"/>
      <c r="SK382"/>
      <c r="SL382"/>
      <c r="SM382"/>
      <c r="SN382"/>
      <c r="SO382"/>
      <c r="SP382"/>
      <c r="SQ382"/>
      <c r="SR382"/>
      <c r="SS382"/>
      <c r="ST382"/>
      <c r="SU382"/>
      <c r="SV382"/>
      <c r="SW382"/>
      <c r="SX382"/>
      <c r="SY382"/>
      <c r="SZ382"/>
      <c r="TA382"/>
      <c r="TB382"/>
      <c r="TC382"/>
      <c r="TD382"/>
      <c r="TE382"/>
      <c r="TF382"/>
      <c r="TG382"/>
      <c r="TH382"/>
      <c r="TI382"/>
      <c r="TJ382"/>
      <c r="TK382"/>
      <c r="TL382"/>
      <c r="TM382"/>
      <c r="TN382"/>
      <c r="TO382"/>
      <c r="TP382"/>
      <c r="TQ382"/>
      <c r="TR382"/>
      <c r="TS382"/>
      <c r="TT382"/>
      <c r="TU382"/>
      <c r="TV382"/>
      <c r="TW382"/>
      <c r="TX382"/>
      <c r="TY382"/>
      <c r="TZ382"/>
      <c r="UA382"/>
      <c r="UB382"/>
      <c r="UC382"/>
      <c r="UD382"/>
      <c r="UE382"/>
      <c r="UF382"/>
      <c r="UG382"/>
      <c r="UH382"/>
      <c r="UI382"/>
      <c r="UJ382"/>
      <c r="UK382"/>
      <c r="UL382"/>
      <c r="UM382"/>
      <c r="UN382"/>
      <c r="UO382"/>
      <c r="UP382"/>
      <c r="UQ382"/>
      <c r="UR382"/>
      <c r="US382"/>
      <c r="UT382"/>
      <c r="UU382"/>
      <c r="UV382"/>
      <c r="UW382"/>
      <c r="UX382"/>
      <c r="UY382"/>
      <c r="UZ382"/>
      <c r="VA382"/>
      <c r="VB382"/>
      <c r="VC382"/>
      <c r="VD382"/>
      <c r="VE382"/>
      <c r="VF382"/>
      <c r="VG382"/>
      <c r="VH382"/>
      <c r="VI382"/>
      <c r="VJ382"/>
      <c r="VK382"/>
      <c r="VL382"/>
      <c r="VM382"/>
      <c r="VN382"/>
      <c r="VO382"/>
      <c r="VP382"/>
      <c r="VQ382"/>
      <c r="VR382"/>
      <c r="VS382"/>
      <c r="VT382"/>
      <c r="VU382"/>
      <c r="VV382"/>
      <c r="VW382"/>
      <c r="VX382"/>
      <c r="VY382"/>
      <c r="VZ382"/>
      <c r="WA382"/>
      <c r="WB382"/>
      <c r="WC382"/>
      <c r="WD382"/>
      <c r="WE382"/>
      <c r="WF382"/>
      <c r="WG382"/>
      <c r="WH382"/>
      <c r="WI382"/>
      <c r="WJ382"/>
      <c r="WK382"/>
      <c r="WL382"/>
      <c r="WM382"/>
      <c r="WN382"/>
      <c r="WO382"/>
      <c r="WP382"/>
      <c r="WQ382"/>
      <c r="WR382"/>
      <c r="WS382"/>
      <c r="WT382"/>
      <c r="WU382"/>
      <c r="WV382"/>
      <c r="WW382"/>
      <c r="WX382"/>
      <c r="WY382"/>
      <c r="WZ382"/>
      <c r="XA382"/>
      <c r="XB382"/>
      <c r="XC382"/>
      <c r="XD382"/>
      <c r="XE382"/>
      <c r="XF382"/>
      <c r="XG382"/>
      <c r="XH382"/>
      <c r="XI382"/>
      <c r="XJ382"/>
      <c r="XK382"/>
      <c r="XL382"/>
      <c r="XM382"/>
      <c r="XN382"/>
      <c r="XO382"/>
      <c r="XP382"/>
      <c r="XQ382"/>
      <c r="XR382"/>
      <c r="XS382"/>
      <c r="XT382"/>
      <c r="XU382"/>
      <c r="XV382"/>
      <c r="XW382"/>
      <c r="XX382"/>
      <c r="XY382"/>
      <c r="XZ382"/>
      <c r="YA382"/>
      <c r="YB382"/>
      <c r="YC382"/>
      <c r="YD382"/>
      <c r="YE382"/>
      <c r="YF382"/>
      <c r="YG382"/>
      <c r="YH382"/>
      <c r="YI382"/>
      <c r="YJ382"/>
      <c r="YK382"/>
      <c r="YL382"/>
      <c r="YM382"/>
      <c r="YN382"/>
      <c r="YO382"/>
      <c r="YP382"/>
      <c r="YQ382"/>
      <c r="YR382"/>
      <c r="YS382"/>
      <c r="YT382"/>
      <c r="YU382"/>
      <c r="YV382"/>
      <c r="YW382"/>
      <c r="YX382"/>
      <c r="YY382"/>
      <c r="YZ382"/>
      <c r="ZA382"/>
      <c r="ZB382"/>
      <c r="ZC382"/>
      <c r="ZD382"/>
      <c r="ZE382"/>
      <c r="ZF382"/>
      <c r="ZG382"/>
      <c r="ZH382"/>
      <c r="ZI382"/>
      <c r="ZJ382"/>
      <c r="ZK382"/>
      <c r="ZL382"/>
      <c r="ZM382"/>
      <c r="ZN382"/>
      <c r="ZO382"/>
      <c r="ZP382"/>
      <c r="ZQ382"/>
      <c r="ZR382"/>
      <c r="ZS382"/>
      <c r="ZT382"/>
      <c r="ZU382"/>
      <c r="ZV382"/>
      <c r="ZW382"/>
      <c r="ZX382"/>
      <c r="ZY382"/>
      <c r="ZZ382"/>
      <c r="AAA382"/>
      <c r="AAB382"/>
      <c r="AAC382"/>
      <c r="AAD382"/>
      <c r="AAE382"/>
      <c r="AAF382"/>
      <c r="AAG382"/>
      <c r="AAH382"/>
      <c r="AAI382"/>
      <c r="AAJ382"/>
      <c r="AAK382"/>
      <c r="AAL382"/>
      <c r="AAM382"/>
      <c r="AAN382"/>
      <c r="AAO382"/>
      <c r="AAP382"/>
      <c r="AAQ382"/>
      <c r="AAR382"/>
      <c r="AAS382"/>
      <c r="AAT382"/>
      <c r="AAU382"/>
      <c r="AAV382"/>
      <c r="AAW382"/>
      <c r="AAX382"/>
      <c r="AAY382"/>
      <c r="AAZ382"/>
      <c r="ABA382"/>
      <c r="ABB382"/>
      <c r="ABC382"/>
      <c r="ABD382"/>
      <c r="ABE382"/>
      <c r="ABF382"/>
      <c r="ABG382"/>
      <c r="ABH382"/>
      <c r="ABI382"/>
      <c r="ABJ382"/>
      <c r="ABK382"/>
      <c r="ABL382"/>
      <c r="ABM382"/>
      <c r="ABN382"/>
      <c r="ABO382"/>
      <c r="ABP382"/>
      <c r="ABQ382"/>
      <c r="ABR382"/>
      <c r="ABS382"/>
      <c r="ABT382"/>
      <c r="ABU382"/>
      <c r="ABV382"/>
      <c r="ABW382"/>
      <c r="ABX382"/>
      <c r="ABY382"/>
      <c r="ABZ382"/>
      <c r="ACA382"/>
      <c r="ACB382"/>
      <c r="ACC382"/>
      <c r="ACD382"/>
      <c r="ACE382"/>
      <c r="ACF382"/>
      <c r="ACG382"/>
      <c r="ACH382"/>
      <c r="ACI382"/>
      <c r="ACJ382"/>
      <c r="ACK382"/>
      <c r="ACL382"/>
      <c r="ACM382"/>
      <c r="ACN382"/>
      <c r="ACO382"/>
      <c r="ACP382"/>
      <c r="ACQ382"/>
      <c r="ACR382"/>
      <c r="ACS382"/>
      <c r="ACT382"/>
      <c r="ACU382"/>
      <c r="ACV382"/>
      <c r="ACW382"/>
      <c r="ACX382"/>
      <c r="ACY382"/>
      <c r="ACZ382"/>
      <c r="ADA382"/>
      <c r="ADB382"/>
      <c r="ADC382"/>
      <c r="ADD382"/>
      <c r="ADE382"/>
      <c r="ADF382"/>
      <c r="ADG382"/>
      <c r="ADH382"/>
      <c r="ADI382"/>
      <c r="ADJ382"/>
      <c r="ADK382"/>
      <c r="ADL382"/>
      <c r="ADM382"/>
      <c r="ADN382"/>
      <c r="ADO382"/>
      <c r="ADP382"/>
      <c r="ADQ382"/>
      <c r="ADR382"/>
      <c r="ADS382"/>
      <c r="ADT382"/>
      <c r="ADU382"/>
      <c r="ADV382"/>
      <c r="ADW382"/>
      <c r="ADX382"/>
      <c r="ADY382"/>
      <c r="ADZ382"/>
      <c r="AEA382"/>
      <c r="AEB382"/>
      <c r="AEC382"/>
      <c r="AED382"/>
      <c r="AEE382"/>
      <c r="AEF382"/>
      <c r="AEG382"/>
      <c r="AEH382"/>
      <c r="AEI382"/>
      <c r="AEJ382"/>
      <c r="AEK382"/>
      <c r="AEL382"/>
      <c r="AEM382"/>
      <c r="AEN382"/>
      <c r="AEO382"/>
      <c r="AEP382"/>
      <c r="AEQ382"/>
      <c r="AER382"/>
      <c r="AES382"/>
      <c r="AET382"/>
      <c r="AEU382"/>
      <c r="AEV382"/>
      <c r="AEW382"/>
      <c r="AEX382"/>
      <c r="AEY382"/>
      <c r="AEZ382"/>
      <c r="AFA382"/>
      <c r="AFB382"/>
      <c r="AFC382"/>
      <c r="AFD382"/>
      <c r="AFE382"/>
      <c r="AFF382"/>
      <c r="AFG382"/>
      <c r="AFH382"/>
      <c r="AFI382"/>
      <c r="AFJ382"/>
      <c r="AFK382"/>
      <c r="AFL382"/>
      <c r="AFM382"/>
      <c r="AFN382"/>
      <c r="AFO382"/>
      <c r="AFP382"/>
      <c r="AFQ382"/>
      <c r="AFR382"/>
      <c r="AFS382"/>
      <c r="AFT382"/>
      <c r="AFU382"/>
      <c r="AFV382"/>
      <c r="AFW382"/>
      <c r="AFX382"/>
      <c r="AFY382"/>
      <c r="AFZ382"/>
      <c r="AGA382"/>
      <c r="AGB382"/>
      <c r="AGC382"/>
      <c r="AGD382"/>
      <c r="AGE382"/>
      <c r="AGF382"/>
      <c r="AGG382"/>
      <c r="AGH382"/>
      <c r="AGI382"/>
      <c r="AGJ382"/>
      <c r="AGK382"/>
      <c r="AGL382"/>
      <c r="AGM382"/>
      <c r="AGN382"/>
      <c r="AGO382"/>
      <c r="AGP382"/>
      <c r="AGQ382"/>
      <c r="AGR382"/>
      <c r="AGS382"/>
      <c r="AGT382"/>
      <c r="AGU382"/>
      <c r="AGV382"/>
      <c r="AGW382"/>
      <c r="AGX382"/>
      <c r="AGY382"/>
      <c r="AGZ382"/>
      <c r="AHA382"/>
      <c r="AHB382"/>
      <c r="AHC382"/>
      <c r="AHD382"/>
      <c r="AHE382"/>
      <c r="AHF382"/>
      <c r="AHG382"/>
      <c r="AHH382"/>
      <c r="AHI382"/>
      <c r="AHJ382"/>
      <c r="AHK382"/>
      <c r="AHL382"/>
      <c r="AHM382"/>
      <c r="AHN382"/>
      <c r="AHO382"/>
      <c r="AHP382"/>
      <c r="AHQ382"/>
      <c r="AHR382"/>
      <c r="AHS382"/>
      <c r="AHT382"/>
      <c r="AHU382"/>
      <c r="AHV382"/>
      <c r="AHW382"/>
      <c r="AHX382"/>
      <c r="AHY382"/>
      <c r="AHZ382"/>
      <c r="AIA382"/>
      <c r="AIB382"/>
      <c r="AIC382"/>
      <c r="AID382"/>
      <c r="AIE382"/>
      <c r="AIF382"/>
      <c r="AIG382"/>
      <c r="AIH382"/>
      <c r="AII382"/>
      <c r="AIJ382"/>
      <c r="AIK382"/>
      <c r="AIL382"/>
      <c r="AIM382"/>
      <c r="AIN382"/>
      <c r="AIO382"/>
      <c r="AIP382"/>
      <c r="AIQ382"/>
      <c r="AIR382"/>
      <c r="AIS382"/>
      <c r="AIT382"/>
      <c r="AIU382"/>
      <c r="AIV382"/>
      <c r="AIW382"/>
      <c r="AIX382"/>
      <c r="AIY382"/>
      <c r="AIZ382"/>
      <c r="AJA382"/>
      <c r="AJB382"/>
      <c r="AJC382"/>
      <c r="AJD382"/>
      <c r="AJE382"/>
      <c r="AJF382"/>
      <c r="AJG382"/>
      <c r="AJH382"/>
      <c r="AJI382"/>
      <c r="AJJ382"/>
      <c r="AJK382"/>
      <c r="AJL382"/>
      <c r="AJM382"/>
      <c r="AJN382"/>
      <c r="AJO382"/>
      <c r="AJP382"/>
      <c r="AJQ382"/>
      <c r="AJR382"/>
      <c r="AJS382"/>
      <c r="AJT382"/>
      <c r="AJU382"/>
      <c r="AJV382"/>
      <c r="AJW382"/>
      <c r="AJX382"/>
      <c r="AJY382"/>
      <c r="AJZ382"/>
      <c r="AKA382"/>
      <c r="AKB382"/>
      <c r="AKC382"/>
      <c r="AKD382"/>
      <c r="AKE382"/>
      <c r="AKF382"/>
      <c r="AKG382"/>
      <c r="AKH382"/>
      <c r="AKI382"/>
      <c r="AKJ382"/>
      <c r="AKK382"/>
      <c r="AKL382"/>
      <c r="AKM382"/>
      <c r="AKN382"/>
      <c r="AKO382"/>
      <c r="AKP382"/>
      <c r="AKQ382"/>
      <c r="AKR382"/>
      <c r="AKS382"/>
      <c r="AKT382"/>
      <c r="AKU382"/>
      <c r="AKV382"/>
      <c r="AKW382"/>
      <c r="AKX382"/>
      <c r="AKY382"/>
      <c r="AKZ382"/>
      <c r="ALA382"/>
      <c r="ALB382"/>
      <c r="ALC382"/>
      <c r="ALD382"/>
      <c r="ALE382"/>
      <c r="ALF382"/>
      <c r="ALG382"/>
      <c r="ALH382"/>
      <c r="ALI382"/>
      <c r="ALJ382"/>
      <c r="ALK382"/>
      <c r="ALL382"/>
      <c r="ALM382"/>
      <c r="ALN382"/>
      <c r="ALO382"/>
      <c r="ALP382"/>
      <c r="ALQ382"/>
      <c r="ALR382"/>
      <c r="ALS382"/>
      <c r="ALT382"/>
      <c r="ALU382"/>
      <c r="ALV382"/>
      <c r="ALW382"/>
      <c r="ALX382"/>
      <c r="ALY382"/>
      <c r="ALZ382"/>
      <c r="AMA382"/>
      <c r="AMB382"/>
      <c r="AMC382"/>
      <c r="AMD382"/>
      <c r="AME382"/>
      <c r="AMF382"/>
      <c r="AMG382"/>
      <c r="AMH382"/>
      <c r="AMI382"/>
      <c r="AMJ382"/>
    </row>
    <row r="383" spans="1:1024" ht="27.6">
      <c r="A383" s="7" t="s">
        <v>387</v>
      </c>
      <c r="B383" s="7">
        <v>448875</v>
      </c>
      <c r="C383" s="11"/>
      <c r="D383" s="12">
        <v>0</v>
      </c>
      <c r="E383" s="7">
        <f>VLOOKUP(B383,Gesamtstunden_26!B:I,8,0)</f>
        <v>0.66666666666666663</v>
      </c>
      <c r="F383" s="13">
        <f t="shared" si="5"/>
        <v>-0.66666666666666663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  <c r="BJ383" s="11"/>
      <c r="BK383" s="11"/>
      <c r="BL383" s="11"/>
      <c r="BM383" s="11"/>
      <c r="BN383" s="11"/>
      <c r="BO383" s="11"/>
      <c r="BP383" s="11"/>
      <c r="BQ383" s="11"/>
      <c r="BR383" s="11"/>
      <c r="BS383" s="11"/>
      <c r="BT383" s="11"/>
      <c r="BU383" s="11"/>
      <c r="BV383" s="11"/>
      <c r="BW383" s="11"/>
      <c r="BX383" s="11"/>
      <c r="BY383" s="11"/>
      <c r="BZ383" s="11"/>
      <c r="CA383" s="11"/>
      <c r="CB383" s="11"/>
      <c r="CC383" s="11"/>
      <c r="CD383" s="11"/>
      <c r="CE383" s="11"/>
      <c r="CF383" s="11"/>
      <c r="CG383" s="11"/>
      <c r="CH383" s="11"/>
      <c r="CI383" s="11"/>
      <c r="CJ383" s="11"/>
      <c r="CK383" s="11"/>
      <c r="CL383" s="11"/>
      <c r="CM383" s="11"/>
      <c r="CN383" s="11"/>
      <c r="CO383" s="11"/>
      <c r="CP383" s="11"/>
      <c r="CQ383" s="11"/>
      <c r="CR383" s="11"/>
      <c r="CS383" s="11"/>
      <c r="CT383" s="11"/>
      <c r="CU383" s="11"/>
      <c r="CV383" s="11"/>
      <c r="CW383" s="11"/>
      <c r="CX383" s="11"/>
      <c r="CY383" s="11"/>
      <c r="CZ383" s="11"/>
      <c r="DA383" s="11"/>
      <c r="DB383" s="11"/>
      <c r="DC383" s="11"/>
      <c r="DD383" s="11"/>
      <c r="DE383" s="11"/>
      <c r="DF383" s="11"/>
      <c r="DG383" s="11"/>
      <c r="DH383" s="11"/>
      <c r="DI383" s="11"/>
      <c r="DJ383" s="11"/>
      <c r="DK383" s="11"/>
      <c r="DL383" s="11"/>
      <c r="DM383" s="11"/>
      <c r="DN383" s="11"/>
      <c r="DO383" s="11"/>
      <c r="DP383" s="11"/>
      <c r="DQ383" s="11"/>
      <c r="DR383" s="11"/>
      <c r="DS383" s="11"/>
      <c r="DT383" s="11"/>
      <c r="DU383" s="11"/>
      <c r="DV383" s="11"/>
      <c r="DW383" s="11"/>
      <c r="DX383" s="11"/>
      <c r="DY383" s="11"/>
      <c r="DZ383" s="11"/>
      <c r="EA383" s="11"/>
      <c r="EB383" s="11"/>
      <c r="EC383" s="11"/>
      <c r="ED383" s="11"/>
      <c r="EE383" s="11"/>
      <c r="EF383" s="11"/>
      <c r="EG383" s="11"/>
      <c r="EH383" s="11"/>
      <c r="EI383" s="11"/>
      <c r="EJ383" s="11"/>
      <c r="EK383" s="11"/>
      <c r="EL383" s="11"/>
      <c r="EM383" s="11"/>
      <c r="EN383" s="11"/>
      <c r="EO383" s="11"/>
      <c r="EP383" s="11"/>
      <c r="EQ383" s="11"/>
      <c r="ER383" s="11"/>
      <c r="ES383" s="11"/>
      <c r="ET383" s="11"/>
      <c r="EU383" s="11"/>
      <c r="EV383" s="11"/>
      <c r="EW383" s="11"/>
      <c r="EX383" s="11"/>
      <c r="EY383" s="11"/>
      <c r="EZ383" s="11"/>
      <c r="FA383" s="11"/>
      <c r="FB383" s="11"/>
      <c r="FC383" s="11"/>
      <c r="FD383" s="11"/>
      <c r="FE383" s="11"/>
      <c r="FF383" s="11"/>
      <c r="FG383" s="11"/>
      <c r="FH383" s="11"/>
      <c r="FI383" s="11"/>
      <c r="FJ383" s="11"/>
      <c r="FK383" s="11"/>
      <c r="FL383" s="11"/>
      <c r="FM383" s="11"/>
      <c r="FN383" s="11"/>
      <c r="FO383" s="11"/>
      <c r="FP383" s="11"/>
      <c r="FQ383" s="11"/>
      <c r="FR383" s="11"/>
      <c r="FS383" s="11"/>
      <c r="FT383" s="11"/>
      <c r="FU383" s="11"/>
      <c r="FV383" s="11"/>
      <c r="FW383" s="11"/>
      <c r="FX383" s="11"/>
      <c r="FY383" s="11"/>
      <c r="FZ383" s="11"/>
      <c r="GA383" s="11"/>
      <c r="GB383" s="11"/>
      <c r="GC383" s="11"/>
      <c r="GD383" s="11"/>
      <c r="GE383" s="11"/>
      <c r="GF383" s="11"/>
      <c r="GG383" s="11"/>
      <c r="GH383" s="11"/>
      <c r="GI383" s="11"/>
      <c r="GJ383" s="11"/>
      <c r="GK383" s="11"/>
      <c r="GL383" s="11"/>
      <c r="GM383" s="11"/>
      <c r="GN383" s="11"/>
      <c r="GO383" s="11"/>
      <c r="GP383" s="11"/>
      <c r="GQ383" s="11"/>
      <c r="GR383" s="11"/>
      <c r="GS383" s="11"/>
      <c r="GT383" s="11"/>
      <c r="GU383" s="11"/>
      <c r="GV383" s="11"/>
      <c r="GW383" s="11"/>
      <c r="GX383" s="11"/>
      <c r="GY383" s="11"/>
      <c r="GZ383" s="11"/>
      <c r="HA383" s="11"/>
      <c r="HB383" s="11"/>
      <c r="HC383" s="11"/>
      <c r="HD383" s="11"/>
      <c r="HE383" s="11"/>
      <c r="HF383" s="11"/>
      <c r="HG383" s="11"/>
      <c r="HH383" s="11"/>
      <c r="HI383" s="11"/>
      <c r="HJ383" s="11"/>
      <c r="HK383" s="11"/>
      <c r="HL383" s="11"/>
      <c r="HM383" s="11"/>
      <c r="HN383" s="11"/>
      <c r="HO383" s="11"/>
      <c r="HP383" s="11"/>
      <c r="HQ383" s="11"/>
      <c r="HR383" s="11"/>
      <c r="HS383" s="11"/>
      <c r="HT383" s="11"/>
      <c r="HU383" s="11"/>
      <c r="HV383" s="11"/>
      <c r="HW383" s="11"/>
      <c r="HX383" s="11"/>
      <c r="HY383" s="11"/>
      <c r="HZ383" s="11"/>
      <c r="IA383" s="11"/>
      <c r="IB383" s="11"/>
      <c r="IC383" s="11"/>
      <c r="ID383" s="11"/>
      <c r="IE383" s="11"/>
      <c r="IF383" s="11"/>
      <c r="IG383" s="11"/>
      <c r="IH383" s="11"/>
      <c r="II383" s="11"/>
      <c r="IJ383" s="11"/>
      <c r="IK383" s="11"/>
      <c r="IL383" s="11"/>
      <c r="IM383" s="11"/>
      <c r="IN383" s="11"/>
      <c r="IO383" s="11"/>
      <c r="IP383" s="11"/>
      <c r="IQ383" s="11"/>
      <c r="IR383" s="11"/>
      <c r="IS383" s="11"/>
      <c r="IT383" s="11"/>
      <c r="IU383" s="11"/>
      <c r="IV383" s="11"/>
      <c r="IW383" s="11"/>
      <c r="IX383" s="11"/>
      <c r="IY383" s="11"/>
      <c r="IZ383" s="11"/>
      <c r="JA383" s="11"/>
      <c r="JB383" s="11"/>
      <c r="JC383" s="11"/>
      <c r="JD383" s="11"/>
      <c r="JE383" s="11"/>
      <c r="JF383" s="11"/>
      <c r="JG383" s="11"/>
      <c r="JH383" s="11"/>
      <c r="JI383" s="11"/>
      <c r="JJ383" s="11"/>
      <c r="JK383" s="11"/>
      <c r="JL383" s="11"/>
      <c r="JM383" s="11"/>
      <c r="JN383" s="11"/>
      <c r="JO383" s="11"/>
      <c r="JP383" s="11"/>
      <c r="JQ383" s="11"/>
      <c r="JR383" s="11"/>
      <c r="JS383" s="11"/>
      <c r="JT383" s="11"/>
      <c r="JU383" s="11"/>
      <c r="JV383" s="11"/>
      <c r="JW383" s="11"/>
      <c r="JX383" s="11"/>
      <c r="JY383" s="11"/>
      <c r="JZ383" s="11"/>
      <c r="KA383" s="11"/>
      <c r="KB383" s="11"/>
      <c r="KC383" s="11"/>
      <c r="KD383" s="11"/>
      <c r="KE383" s="11"/>
      <c r="KF383" s="11"/>
      <c r="KG383" s="11"/>
      <c r="KH383" s="11"/>
      <c r="KI383" s="11"/>
      <c r="KJ383" s="11"/>
      <c r="KK383" s="11"/>
      <c r="KL383" s="11"/>
      <c r="KM383" s="11"/>
      <c r="KN383" s="11"/>
      <c r="KO383" s="11"/>
      <c r="KP383" s="11"/>
      <c r="KQ383" s="11"/>
      <c r="KR383" s="11"/>
      <c r="KS383" s="11"/>
      <c r="KT383" s="11"/>
      <c r="KU383" s="11"/>
      <c r="KV383" s="11"/>
      <c r="KW383" s="11"/>
      <c r="KX383" s="11"/>
      <c r="KY383" s="11"/>
      <c r="KZ383" s="11"/>
      <c r="LA383" s="11"/>
      <c r="LB383" s="11"/>
      <c r="LC383" s="11"/>
      <c r="LD383" s="11"/>
      <c r="LE383" s="11"/>
      <c r="LF383" s="11"/>
      <c r="LG383" s="11"/>
      <c r="LH383" s="11"/>
      <c r="LI383" s="11"/>
      <c r="LJ383" s="11"/>
      <c r="LK383" s="11"/>
      <c r="LL383" s="11"/>
      <c r="LM383" s="11"/>
      <c r="LN383" s="11"/>
      <c r="LO383" s="11"/>
      <c r="LP383" s="11"/>
      <c r="LQ383" s="11"/>
      <c r="LR383" s="11"/>
      <c r="LS383" s="11"/>
      <c r="LT383" s="11"/>
      <c r="LU383" s="11"/>
      <c r="LV383" s="11"/>
      <c r="LW383" s="11"/>
      <c r="LX383" s="11"/>
      <c r="LY383" s="11"/>
      <c r="LZ383" s="11"/>
      <c r="MA383" s="11"/>
      <c r="MB383" s="11"/>
      <c r="MC383" s="11"/>
      <c r="MD383" s="11"/>
      <c r="ME383" s="11"/>
      <c r="MF383" s="11"/>
      <c r="MG383" s="11"/>
      <c r="MH383" s="11"/>
      <c r="MI383" s="11"/>
      <c r="MJ383" s="11"/>
      <c r="MK383" s="11"/>
      <c r="ML383" s="11"/>
      <c r="MM383" s="11"/>
      <c r="MN383" s="11"/>
      <c r="MO383" s="11"/>
      <c r="MP383" s="11"/>
      <c r="MQ383" s="11"/>
      <c r="MR383" s="11"/>
      <c r="MS383" s="11"/>
      <c r="MT383" s="11"/>
      <c r="MU383" s="11"/>
      <c r="MV383" s="11"/>
      <c r="MW383" s="11"/>
      <c r="MX383" s="11"/>
      <c r="MY383" s="11"/>
      <c r="MZ383" s="11"/>
      <c r="NA383" s="11"/>
      <c r="NB383" s="11"/>
      <c r="NC383" s="11"/>
      <c r="ND383" s="11"/>
      <c r="NE383" s="11"/>
      <c r="NF383" s="11"/>
      <c r="NG383" s="11"/>
      <c r="NH383" s="11"/>
      <c r="NI383" s="11"/>
      <c r="NJ383" s="11"/>
      <c r="NK383" s="11"/>
      <c r="NL383" s="11"/>
      <c r="NM383" s="11"/>
      <c r="NN383" s="11"/>
      <c r="NO383" s="11"/>
      <c r="NP383" s="11"/>
      <c r="NQ383" s="11"/>
      <c r="NR383" s="11"/>
      <c r="NS383" s="11"/>
      <c r="NT383" s="11"/>
      <c r="NU383" s="11"/>
      <c r="NV383" s="11"/>
      <c r="NW383" s="11"/>
      <c r="NX383" s="11"/>
      <c r="NY383" s="11"/>
      <c r="NZ383" s="11"/>
      <c r="OA383" s="11"/>
      <c r="OB383" s="11"/>
      <c r="OC383" s="11"/>
      <c r="OD383" s="11"/>
      <c r="OE383" s="11"/>
      <c r="OF383" s="11"/>
      <c r="OG383" s="11"/>
      <c r="OH383" s="11"/>
      <c r="OI383" s="11"/>
      <c r="OJ383" s="11"/>
      <c r="OK383" s="11"/>
      <c r="OL383" s="11"/>
      <c r="OM383" s="11"/>
      <c r="ON383" s="11"/>
      <c r="OO383" s="11"/>
      <c r="OP383" s="11"/>
      <c r="OQ383" s="11"/>
      <c r="OR383" s="11"/>
      <c r="OS383" s="11"/>
      <c r="OT383" s="11"/>
      <c r="OU383" s="11"/>
      <c r="OV383" s="11"/>
      <c r="OW383" s="11"/>
      <c r="OX383" s="11"/>
      <c r="OY383" s="11"/>
      <c r="OZ383" s="11"/>
      <c r="PA383" s="11"/>
      <c r="PB383" s="11"/>
      <c r="PC383" s="11"/>
      <c r="PD383" s="11"/>
      <c r="PE383" s="11"/>
      <c r="PF383" s="11"/>
      <c r="PG383" s="11"/>
      <c r="PH383" s="11"/>
      <c r="PI383" s="11"/>
      <c r="PJ383" s="11"/>
      <c r="PK383" s="11"/>
      <c r="PL383" s="11"/>
      <c r="PM383" s="11"/>
      <c r="PN383" s="11"/>
      <c r="PO383" s="11"/>
      <c r="PP383" s="11"/>
      <c r="PQ383" s="11"/>
      <c r="PR383" s="11"/>
      <c r="PS383" s="11"/>
      <c r="PT383" s="11"/>
      <c r="PU383" s="11"/>
      <c r="PV383" s="11"/>
      <c r="PW383" s="11"/>
      <c r="PX383" s="11"/>
      <c r="PY383" s="11"/>
      <c r="PZ383" s="11"/>
      <c r="QA383" s="11"/>
      <c r="QB383" s="11"/>
      <c r="QC383" s="11"/>
      <c r="QD383" s="11"/>
      <c r="QE383" s="11"/>
      <c r="QF383" s="11"/>
      <c r="QG383" s="11"/>
      <c r="QH383" s="11"/>
      <c r="QI383" s="11"/>
      <c r="QJ383" s="11"/>
      <c r="QK383" s="11"/>
      <c r="QL383" s="11"/>
      <c r="QM383" s="11"/>
      <c r="QN383" s="11"/>
      <c r="QO383" s="11"/>
      <c r="QP383" s="11"/>
      <c r="QQ383" s="11"/>
      <c r="QR383" s="11"/>
      <c r="QS383" s="11"/>
      <c r="QT383" s="11"/>
      <c r="QU383" s="11"/>
      <c r="QV383" s="11"/>
      <c r="QW383" s="11"/>
      <c r="QX383" s="11"/>
      <c r="QY383" s="11"/>
      <c r="QZ383" s="11"/>
      <c r="RA383" s="11"/>
      <c r="RB383" s="11"/>
      <c r="RC383" s="11"/>
      <c r="RD383" s="11"/>
      <c r="RE383" s="11"/>
      <c r="RF383" s="11"/>
      <c r="RG383" s="11"/>
      <c r="RH383" s="11"/>
      <c r="RI383" s="11"/>
      <c r="RJ383" s="11"/>
      <c r="RK383" s="11"/>
      <c r="RL383" s="11"/>
      <c r="RM383" s="11"/>
      <c r="RN383" s="11"/>
      <c r="RO383" s="11"/>
      <c r="RP383" s="11"/>
      <c r="RQ383" s="11"/>
      <c r="RR383" s="11"/>
      <c r="RS383" s="11"/>
      <c r="RT383" s="11"/>
      <c r="RU383" s="11"/>
      <c r="RV383" s="11"/>
      <c r="RW383" s="11"/>
      <c r="RX383" s="11"/>
      <c r="RY383" s="11"/>
      <c r="RZ383" s="11"/>
      <c r="SA383" s="11"/>
      <c r="SB383" s="11"/>
      <c r="SC383" s="11"/>
      <c r="SD383" s="11"/>
      <c r="SE383" s="11"/>
      <c r="SF383" s="11"/>
      <c r="SG383" s="11"/>
      <c r="SH383" s="11"/>
      <c r="SI383" s="11"/>
      <c r="SJ383" s="11"/>
      <c r="SK383" s="11"/>
      <c r="SL383" s="11"/>
      <c r="SM383" s="11"/>
      <c r="SN383" s="11"/>
      <c r="SO383" s="11"/>
      <c r="SP383" s="11"/>
      <c r="SQ383" s="11"/>
      <c r="SR383" s="11"/>
      <c r="SS383" s="11"/>
      <c r="ST383" s="11"/>
      <c r="SU383" s="11"/>
      <c r="SV383" s="11"/>
      <c r="SW383" s="11"/>
      <c r="SX383" s="11"/>
      <c r="SY383" s="11"/>
      <c r="SZ383" s="11"/>
      <c r="TA383" s="11"/>
      <c r="TB383" s="11"/>
      <c r="TC383" s="11"/>
      <c r="TD383" s="11"/>
      <c r="TE383" s="11"/>
      <c r="TF383" s="11"/>
      <c r="TG383" s="11"/>
      <c r="TH383" s="11"/>
      <c r="TI383" s="11"/>
      <c r="TJ383" s="11"/>
      <c r="TK383" s="11"/>
      <c r="TL383" s="11"/>
      <c r="TM383" s="11"/>
      <c r="TN383" s="11"/>
      <c r="TO383" s="11"/>
      <c r="TP383" s="11"/>
      <c r="TQ383" s="11"/>
      <c r="TR383" s="11"/>
      <c r="TS383" s="11"/>
      <c r="TT383" s="11"/>
      <c r="TU383" s="11"/>
      <c r="TV383" s="11"/>
      <c r="TW383" s="11"/>
      <c r="TX383" s="11"/>
      <c r="TY383" s="11"/>
      <c r="TZ383" s="11"/>
      <c r="UA383" s="11"/>
      <c r="UB383" s="11"/>
      <c r="UC383" s="11"/>
      <c r="UD383" s="11"/>
      <c r="UE383" s="11"/>
      <c r="UF383" s="11"/>
      <c r="UG383" s="11"/>
      <c r="UH383" s="11"/>
      <c r="UI383" s="11"/>
      <c r="UJ383" s="11"/>
      <c r="UK383" s="11"/>
      <c r="UL383" s="11"/>
      <c r="UM383" s="11"/>
      <c r="UN383" s="11"/>
      <c r="UO383" s="11"/>
      <c r="UP383" s="11"/>
      <c r="UQ383" s="11"/>
      <c r="UR383" s="11"/>
      <c r="US383" s="11"/>
      <c r="UT383" s="11"/>
      <c r="UU383" s="11"/>
      <c r="UV383" s="11"/>
      <c r="UW383" s="11"/>
      <c r="UX383" s="11"/>
      <c r="UY383" s="11"/>
      <c r="UZ383" s="11"/>
      <c r="VA383" s="11"/>
      <c r="VB383" s="11"/>
      <c r="VC383" s="11"/>
      <c r="VD383" s="11"/>
      <c r="VE383" s="11"/>
      <c r="VF383" s="11"/>
      <c r="VG383" s="11"/>
      <c r="VH383" s="11"/>
      <c r="VI383" s="11"/>
      <c r="VJ383" s="11"/>
      <c r="VK383" s="11"/>
      <c r="VL383" s="11"/>
      <c r="VM383" s="11"/>
      <c r="VN383" s="11"/>
      <c r="VO383" s="11"/>
      <c r="VP383" s="11"/>
      <c r="VQ383" s="11"/>
      <c r="VR383" s="11"/>
      <c r="VS383" s="11"/>
      <c r="VT383" s="11"/>
      <c r="VU383" s="11"/>
      <c r="VV383" s="11"/>
      <c r="VW383" s="11"/>
      <c r="VX383" s="11"/>
      <c r="VY383" s="11"/>
      <c r="VZ383" s="11"/>
      <c r="WA383" s="11"/>
      <c r="WB383" s="11"/>
      <c r="WC383" s="11"/>
      <c r="WD383" s="11"/>
      <c r="WE383" s="11"/>
      <c r="WF383" s="11"/>
      <c r="WG383" s="11"/>
      <c r="WH383" s="11"/>
      <c r="WI383" s="11"/>
      <c r="WJ383" s="11"/>
      <c r="WK383" s="11"/>
      <c r="WL383" s="11"/>
      <c r="WM383" s="11"/>
      <c r="WN383" s="11"/>
      <c r="WO383" s="11"/>
      <c r="WP383" s="11"/>
      <c r="WQ383" s="11"/>
      <c r="WR383" s="11"/>
      <c r="WS383" s="11"/>
      <c r="WT383" s="11"/>
      <c r="WU383" s="11"/>
      <c r="WV383" s="11"/>
      <c r="WW383" s="11"/>
      <c r="WX383" s="11"/>
      <c r="WY383" s="11"/>
      <c r="WZ383" s="11"/>
      <c r="XA383" s="11"/>
      <c r="XB383" s="11"/>
      <c r="XC383" s="11"/>
      <c r="XD383" s="11"/>
      <c r="XE383" s="11"/>
      <c r="XF383" s="11"/>
      <c r="XG383" s="11"/>
      <c r="XH383" s="11"/>
      <c r="XI383" s="11"/>
      <c r="XJ383" s="11"/>
      <c r="XK383" s="11"/>
      <c r="XL383" s="11"/>
      <c r="XM383" s="11"/>
      <c r="XN383" s="11"/>
      <c r="XO383" s="11"/>
      <c r="XP383" s="11"/>
      <c r="XQ383" s="11"/>
      <c r="XR383" s="11"/>
      <c r="XS383" s="11"/>
      <c r="XT383" s="11"/>
      <c r="XU383" s="11"/>
      <c r="XV383" s="11"/>
      <c r="XW383" s="11"/>
      <c r="XX383" s="11"/>
      <c r="XY383" s="11"/>
      <c r="XZ383" s="11"/>
      <c r="YA383" s="11"/>
      <c r="YB383" s="11"/>
      <c r="YC383" s="11"/>
      <c r="YD383" s="11"/>
      <c r="YE383" s="11"/>
      <c r="YF383" s="11"/>
      <c r="YG383" s="11"/>
      <c r="YH383" s="11"/>
      <c r="YI383" s="11"/>
      <c r="YJ383" s="11"/>
      <c r="YK383" s="11"/>
      <c r="YL383" s="11"/>
      <c r="YM383" s="11"/>
      <c r="YN383" s="11"/>
      <c r="YO383" s="11"/>
      <c r="YP383" s="11"/>
      <c r="YQ383" s="11"/>
      <c r="YR383" s="11"/>
      <c r="YS383" s="11"/>
      <c r="YT383" s="11"/>
      <c r="YU383" s="11"/>
      <c r="YV383" s="11"/>
      <c r="YW383" s="11"/>
      <c r="YX383" s="11"/>
      <c r="YY383" s="11"/>
      <c r="YZ383" s="11"/>
      <c r="ZA383" s="11"/>
      <c r="ZB383" s="11"/>
      <c r="ZC383" s="11"/>
      <c r="ZD383" s="11"/>
      <c r="ZE383" s="11"/>
      <c r="ZF383" s="11"/>
      <c r="ZG383" s="11"/>
      <c r="ZH383" s="11"/>
      <c r="ZI383" s="11"/>
      <c r="ZJ383" s="11"/>
      <c r="ZK383" s="11"/>
      <c r="ZL383" s="11"/>
      <c r="ZM383" s="11"/>
      <c r="ZN383" s="11"/>
      <c r="ZO383" s="11"/>
      <c r="ZP383" s="11"/>
      <c r="ZQ383" s="11"/>
      <c r="ZR383" s="11"/>
      <c r="ZS383" s="11"/>
      <c r="ZT383" s="11"/>
      <c r="ZU383" s="11"/>
      <c r="ZV383" s="11"/>
      <c r="ZW383" s="11"/>
      <c r="ZX383" s="11"/>
      <c r="ZY383" s="11"/>
      <c r="ZZ383" s="11"/>
      <c r="AAA383" s="11"/>
      <c r="AAB383" s="11"/>
      <c r="AAC383" s="11"/>
      <c r="AAD383" s="11"/>
      <c r="AAE383" s="11"/>
      <c r="AAF383" s="11"/>
      <c r="AAG383" s="11"/>
      <c r="AAH383" s="11"/>
      <c r="AAI383" s="11"/>
      <c r="AAJ383" s="11"/>
      <c r="AAK383" s="11"/>
      <c r="AAL383" s="11"/>
      <c r="AAM383" s="11"/>
      <c r="AAN383" s="11"/>
      <c r="AAO383" s="11"/>
      <c r="AAP383" s="11"/>
      <c r="AAQ383" s="11"/>
      <c r="AAR383" s="11"/>
      <c r="AAS383" s="11"/>
      <c r="AAT383" s="11"/>
      <c r="AAU383" s="11"/>
      <c r="AAV383" s="11"/>
      <c r="AAW383" s="11"/>
      <c r="AAX383" s="11"/>
      <c r="AAY383" s="11"/>
      <c r="AAZ383" s="11"/>
      <c r="ABA383" s="11"/>
      <c r="ABB383" s="11"/>
      <c r="ABC383" s="11"/>
      <c r="ABD383" s="11"/>
      <c r="ABE383" s="11"/>
      <c r="ABF383" s="11"/>
      <c r="ABG383" s="11"/>
      <c r="ABH383" s="11"/>
      <c r="ABI383" s="11"/>
      <c r="ABJ383" s="11"/>
      <c r="ABK383" s="11"/>
      <c r="ABL383" s="11"/>
      <c r="ABM383" s="11"/>
      <c r="ABN383" s="11"/>
      <c r="ABO383" s="11"/>
      <c r="ABP383" s="11"/>
      <c r="ABQ383" s="11"/>
      <c r="ABR383" s="11"/>
      <c r="ABS383" s="11"/>
      <c r="ABT383" s="11"/>
      <c r="ABU383" s="11"/>
      <c r="ABV383" s="11"/>
      <c r="ABW383" s="11"/>
      <c r="ABX383" s="11"/>
      <c r="ABY383" s="11"/>
      <c r="ABZ383" s="11"/>
      <c r="ACA383" s="11"/>
      <c r="ACB383" s="11"/>
      <c r="ACC383" s="11"/>
      <c r="ACD383" s="11"/>
      <c r="ACE383" s="11"/>
      <c r="ACF383" s="11"/>
      <c r="ACG383" s="11"/>
      <c r="ACH383" s="11"/>
      <c r="ACI383" s="11"/>
      <c r="ACJ383" s="11"/>
      <c r="ACK383" s="11"/>
      <c r="ACL383" s="11"/>
      <c r="ACM383" s="11"/>
      <c r="ACN383" s="11"/>
      <c r="ACO383" s="11"/>
      <c r="ACP383" s="11"/>
      <c r="ACQ383" s="11"/>
      <c r="ACR383" s="11"/>
      <c r="ACS383" s="11"/>
      <c r="ACT383" s="11"/>
      <c r="ACU383" s="11"/>
      <c r="ACV383" s="11"/>
      <c r="ACW383" s="11"/>
      <c r="ACX383" s="11"/>
      <c r="ACY383" s="11"/>
      <c r="ACZ383" s="11"/>
      <c r="ADA383" s="11"/>
      <c r="ADB383" s="11"/>
      <c r="ADC383" s="11"/>
      <c r="ADD383" s="11"/>
      <c r="ADE383" s="11"/>
      <c r="ADF383" s="11"/>
      <c r="ADG383" s="11"/>
      <c r="ADH383" s="11"/>
      <c r="ADI383" s="11"/>
      <c r="ADJ383" s="11"/>
      <c r="ADK383" s="11"/>
      <c r="ADL383" s="11"/>
      <c r="ADM383" s="11"/>
      <c r="ADN383" s="11"/>
      <c r="ADO383" s="11"/>
      <c r="ADP383" s="11"/>
      <c r="ADQ383" s="11"/>
      <c r="ADR383" s="11"/>
      <c r="ADS383" s="11"/>
      <c r="ADT383" s="11"/>
      <c r="ADU383" s="11"/>
      <c r="ADV383" s="11"/>
      <c r="ADW383" s="11"/>
      <c r="ADX383" s="11"/>
      <c r="ADY383" s="11"/>
      <c r="ADZ383" s="11"/>
      <c r="AEA383" s="11"/>
      <c r="AEB383" s="11"/>
      <c r="AEC383" s="11"/>
      <c r="AED383" s="11"/>
      <c r="AEE383" s="11"/>
      <c r="AEF383" s="11"/>
      <c r="AEG383" s="11"/>
      <c r="AEH383" s="11"/>
      <c r="AEI383" s="11"/>
      <c r="AEJ383" s="11"/>
      <c r="AEK383" s="11"/>
      <c r="AEL383" s="11"/>
      <c r="AEM383" s="11"/>
      <c r="AEN383" s="11"/>
      <c r="AEO383" s="11"/>
      <c r="AEP383" s="11"/>
      <c r="AEQ383" s="11"/>
      <c r="AER383" s="11"/>
      <c r="AES383" s="11"/>
      <c r="AET383" s="11"/>
      <c r="AEU383" s="11"/>
      <c r="AEV383" s="11"/>
      <c r="AEW383" s="11"/>
      <c r="AEX383" s="11"/>
      <c r="AEY383" s="11"/>
      <c r="AEZ383" s="11"/>
      <c r="AFA383" s="11"/>
      <c r="AFB383" s="11"/>
      <c r="AFC383" s="11"/>
      <c r="AFD383" s="11"/>
      <c r="AFE383" s="11"/>
      <c r="AFF383" s="11"/>
      <c r="AFG383" s="11"/>
      <c r="AFH383" s="11"/>
      <c r="AFI383" s="11"/>
      <c r="AFJ383" s="11"/>
      <c r="AFK383" s="11"/>
      <c r="AFL383" s="11"/>
      <c r="AFM383" s="11"/>
      <c r="AFN383" s="11"/>
      <c r="AFO383" s="11"/>
      <c r="AFP383" s="11"/>
      <c r="AFQ383" s="11"/>
      <c r="AFR383" s="11"/>
      <c r="AFS383" s="11"/>
      <c r="AFT383" s="11"/>
      <c r="AFU383" s="11"/>
      <c r="AFV383" s="11"/>
      <c r="AFW383" s="11"/>
      <c r="AFX383" s="11"/>
      <c r="AFY383" s="11"/>
      <c r="AFZ383" s="11"/>
      <c r="AGA383" s="11"/>
      <c r="AGB383" s="11"/>
      <c r="AGC383" s="11"/>
      <c r="AGD383" s="11"/>
      <c r="AGE383" s="11"/>
      <c r="AGF383" s="11"/>
      <c r="AGG383" s="11"/>
      <c r="AGH383" s="11"/>
      <c r="AGI383" s="11"/>
      <c r="AGJ383" s="11"/>
      <c r="AGK383" s="11"/>
      <c r="AGL383" s="11"/>
      <c r="AGM383" s="11"/>
      <c r="AGN383" s="11"/>
      <c r="AGO383" s="11"/>
      <c r="AGP383" s="11"/>
      <c r="AGQ383" s="11"/>
      <c r="AGR383" s="11"/>
      <c r="AGS383" s="11"/>
      <c r="AGT383" s="11"/>
      <c r="AGU383" s="11"/>
      <c r="AGV383" s="11"/>
      <c r="AGW383" s="11"/>
      <c r="AGX383" s="11"/>
      <c r="AGY383" s="11"/>
      <c r="AGZ383" s="11"/>
      <c r="AHA383" s="11"/>
      <c r="AHB383" s="11"/>
      <c r="AHC383" s="11"/>
      <c r="AHD383" s="11"/>
      <c r="AHE383" s="11"/>
      <c r="AHF383" s="11"/>
      <c r="AHG383" s="11"/>
      <c r="AHH383" s="11"/>
      <c r="AHI383" s="11"/>
      <c r="AHJ383" s="11"/>
      <c r="AHK383" s="11"/>
      <c r="AHL383" s="11"/>
      <c r="AHM383" s="11"/>
      <c r="AHN383" s="11"/>
      <c r="AHO383" s="11"/>
      <c r="AHP383" s="11"/>
      <c r="AHQ383" s="11"/>
      <c r="AHR383" s="11"/>
      <c r="AHS383" s="11"/>
      <c r="AHT383" s="11"/>
      <c r="AHU383" s="11"/>
      <c r="AHV383" s="11"/>
      <c r="AHW383" s="11"/>
      <c r="AHX383" s="11"/>
      <c r="AHY383" s="11"/>
      <c r="AHZ383" s="11"/>
      <c r="AIA383" s="11"/>
      <c r="AIB383" s="11"/>
      <c r="AIC383" s="11"/>
      <c r="AID383" s="11"/>
      <c r="AIE383" s="11"/>
      <c r="AIF383" s="11"/>
      <c r="AIG383" s="11"/>
      <c r="AIH383" s="11"/>
      <c r="AII383" s="11"/>
      <c r="AIJ383" s="11"/>
      <c r="AIK383" s="11"/>
      <c r="AIL383" s="11"/>
      <c r="AIM383" s="11"/>
      <c r="AIN383" s="11"/>
      <c r="AIO383" s="11"/>
      <c r="AIP383" s="11"/>
      <c r="AIQ383" s="11"/>
      <c r="AIR383" s="11"/>
      <c r="AIS383" s="11"/>
      <c r="AIT383" s="11"/>
      <c r="AIU383" s="11"/>
      <c r="AIV383" s="11"/>
      <c r="AIW383" s="11"/>
      <c r="AIX383" s="11"/>
      <c r="AIY383" s="11"/>
      <c r="AIZ383" s="11"/>
      <c r="AJA383" s="11"/>
      <c r="AJB383" s="11"/>
      <c r="AJC383" s="11"/>
      <c r="AJD383" s="11"/>
      <c r="AJE383" s="11"/>
      <c r="AJF383" s="11"/>
      <c r="AJG383" s="11"/>
      <c r="AJH383" s="11"/>
      <c r="AJI383" s="11"/>
      <c r="AJJ383" s="11"/>
      <c r="AJK383" s="11"/>
      <c r="AJL383" s="11"/>
      <c r="AJM383" s="11"/>
      <c r="AJN383" s="11"/>
      <c r="AJO383" s="11"/>
      <c r="AJP383" s="11"/>
      <c r="AJQ383" s="11"/>
      <c r="AJR383" s="11"/>
      <c r="AJS383" s="11"/>
      <c r="AJT383" s="11"/>
      <c r="AJU383" s="11"/>
      <c r="AJV383" s="11"/>
      <c r="AJW383" s="11"/>
      <c r="AJX383" s="11"/>
      <c r="AJY383" s="11"/>
      <c r="AJZ383" s="11"/>
      <c r="AKA383" s="11"/>
      <c r="AKB383" s="11"/>
      <c r="AKC383" s="11"/>
      <c r="AKD383" s="11"/>
      <c r="AKE383" s="11"/>
      <c r="AKF383" s="11"/>
      <c r="AKG383" s="11"/>
      <c r="AKH383" s="11"/>
      <c r="AKI383" s="11"/>
      <c r="AKJ383" s="11"/>
      <c r="AKK383" s="11"/>
      <c r="AKL383" s="11"/>
      <c r="AKM383" s="11"/>
      <c r="AKN383" s="11"/>
      <c r="AKO383" s="11"/>
      <c r="AKP383" s="11"/>
      <c r="AKQ383" s="11"/>
      <c r="AKR383" s="11"/>
      <c r="AKS383" s="11"/>
      <c r="AKT383" s="11"/>
      <c r="AKU383" s="11"/>
      <c r="AKV383" s="11"/>
      <c r="AKW383" s="11"/>
      <c r="AKX383" s="11"/>
      <c r="AKY383" s="11"/>
      <c r="AKZ383" s="11"/>
      <c r="ALA383" s="11"/>
      <c r="ALB383" s="11"/>
      <c r="ALC383" s="11"/>
      <c r="ALD383" s="11"/>
      <c r="ALE383" s="11"/>
      <c r="ALF383" s="11"/>
      <c r="ALG383" s="11"/>
      <c r="ALH383" s="11"/>
      <c r="ALI383" s="11"/>
      <c r="ALJ383" s="11"/>
      <c r="ALK383" s="11"/>
      <c r="ALL383" s="11"/>
      <c r="ALM383" s="11"/>
      <c r="ALN383" s="11"/>
      <c r="ALO383" s="11"/>
      <c r="ALP383" s="11"/>
      <c r="ALQ383" s="11"/>
      <c r="ALR383" s="11"/>
      <c r="ALS383" s="11"/>
      <c r="ALT383" s="11"/>
      <c r="ALU383" s="11"/>
      <c r="ALV383" s="11"/>
      <c r="ALW383" s="11"/>
      <c r="ALX383" s="11"/>
      <c r="ALY383" s="11"/>
      <c r="ALZ383" s="11"/>
      <c r="AMA383" s="11"/>
      <c r="AMB383" s="11"/>
      <c r="AMC383" s="11"/>
      <c r="AMD383" s="11"/>
      <c r="AME383" s="11"/>
      <c r="AMF383" s="11"/>
      <c r="AMG383" s="11"/>
      <c r="AMH383" s="11"/>
      <c r="AMI383" s="11"/>
      <c r="AMJ383" s="11"/>
    </row>
    <row r="384" spans="1:1024" s="11" customFormat="1" ht="27.6">
      <c r="A384" s="8" t="s">
        <v>388</v>
      </c>
      <c r="B384" s="8">
        <v>98196</v>
      </c>
      <c r="C384"/>
      <c r="D384" s="1">
        <v>6</v>
      </c>
      <c r="E384" s="8">
        <f>VLOOKUP(B384,Gesamtstunden_26!B:I,8,0)</f>
        <v>0</v>
      </c>
      <c r="F384" s="2">
        <f t="shared" si="5"/>
        <v>6</v>
      </c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  <c r="CO384"/>
      <c r="CP384"/>
      <c r="CQ384"/>
      <c r="CR384"/>
      <c r="CS384"/>
      <c r="CT384"/>
      <c r="CU384"/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  <c r="DQ384"/>
      <c r="DR384"/>
      <c r="DS384"/>
      <c r="DT384"/>
      <c r="DU384"/>
      <c r="DV384"/>
      <c r="DW384"/>
      <c r="DX384"/>
      <c r="DY384"/>
      <c r="DZ384"/>
      <c r="EA384"/>
      <c r="EB384"/>
      <c r="EC384"/>
      <c r="ED384"/>
      <c r="EE384"/>
      <c r="EF384"/>
      <c r="EG384"/>
      <c r="EH384"/>
      <c r="EI384"/>
      <c r="EJ384"/>
      <c r="EK384"/>
      <c r="EL384"/>
      <c r="EM384"/>
      <c r="EN384"/>
      <c r="EO384"/>
      <c r="EP384"/>
      <c r="EQ384"/>
      <c r="ER384"/>
      <c r="ES384"/>
      <c r="ET384"/>
      <c r="EU384"/>
      <c r="EV384"/>
      <c r="EW384"/>
      <c r="EX384"/>
      <c r="EY384"/>
      <c r="EZ384"/>
      <c r="FA384"/>
      <c r="FB384"/>
      <c r="FC384"/>
      <c r="FD384"/>
      <c r="FE384"/>
      <c r="FF384"/>
      <c r="FG384"/>
      <c r="FH384"/>
      <c r="FI384"/>
      <c r="FJ384"/>
      <c r="FK384"/>
      <c r="FL384"/>
      <c r="FM384"/>
      <c r="FN384"/>
      <c r="FO384"/>
      <c r="FP384"/>
      <c r="FQ384"/>
      <c r="FR384"/>
      <c r="FS384"/>
      <c r="FT384"/>
      <c r="FU384"/>
      <c r="FV384"/>
      <c r="FW384"/>
      <c r="FX384"/>
      <c r="FY384"/>
      <c r="FZ384"/>
      <c r="GA384"/>
      <c r="GB384"/>
      <c r="GC384"/>
      <c r="GD384"/>
      <c r="GE384"/>
      <c r="GF384"/>
      <c r="GG384"/>
      <c r="GH384"/>
      <c r="GI384"/>
      <c r="GJ384"/>
      <c r="GK384"/>
      <c r="GL384"/>
      <c r="GM384"/>
      <c r="GN384"/>
      <c r="GO384"/>
      <c r="GP384"/>
      <c r="GQ384"/>
      <c r="GR384"/>
      <c r="GS384"/>
      <c r="GT384"/>
      <c r="GU384"/>
      <c r="GV384"/>
      <c r="GW384"/>
      <c r="GX384"/>
      <c r="GY384"/>
      <c r="GZ384"/>
      <c r="HA384"/>
      <c r="HB384"/>
      <c r="HC384"/>
      <c r="HD384"/>
      <c r="HE384"/>
      <c r="HF384"/>
      <c r="HG384"/>
      <c r="HH384"/>
      <c r="HI384"/>
      <c r="HJ384"/>
      <c r="HK384"/>
      <c r="HL384"/>
      <c r="HM384"/>
      <c r="HN384"/>
      <c r="HO384"/>
      <c r="HP384"/>
      <c r="HQ384"/>
      <c r="HR384"/>
      <c r="HS384"/>
      <c r="HT384"/>
      <c r="HU384"/>
      <c r="HV384"/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  <c r="IW384"/>
      <c r="IX384"/>
      <c r="IY384"/>
      <c r="IZ384"/>
      <c r="JA384"/>
      <c r="JB384"/>
      <c r="JC384"/>
      <c r="JD384"/>
      <c r="JE384"/>
      <c r="JF384"/>
      <c r="JG384"/>
      <c r="JH384"/>
      <c r="JI384"/>
      <c r="JJ384"/>
      <c r="JK384"/>
      <c r="JL384"/>
      <c r="JM384"/>
      <c r="JN384"/>
      <c r="JO384"/>
      <c r="JP384"/>
      <c r="JQ384"/>
      <c r="JR384"/>
      <c r="JS384"/>
      <c r="JT384"/>
      <c r="JU384"/>
      <c r="JV384"/>
      <c r="JW384"/>
      <c r="JX384"/>
      <c r="JY384"/>
      <c r="JZ384"/>
      <c r="KA384"/>
      <c r="KB384"/>
      <c r="KC384"/>
      <c r="KD384"/>
      <c r="KE384"/>
      <c r="KF384"/>
      <c r="KG384"/>
      <c r="KH384"/>
      <c r="KI384"/>
      <c r="KJ384"/>
      <c r="KK384"/>
      <c r="KL384"/>
      <c r="KM384"/>
      <c r="KN384"/>
      <c r="KO384"/>
      <c r="KP384"/>
      <c r="KQ384"/>
      <c r="KR384"/>
      <c r="KS384"/>
      <c r="KT384"/>
      <c r="KU384"/>
      <c r="KV384"/>
      <c r="KW384"/>
      <c r="KX384"/>
      <c r="KY384"/>
      <c r="KZ384"/>
      <c r="LA384"/>
      <c r="LB384"/>
      <c r="LC384"/>
      <c r="LD384"/>
      <c r="LE384"/>
      <c r="LF384"/>
      <c r="LG384"/>
      <c r="LH384"/>
      <c r="LI384"/>
      <c r="LJ384"/>
      <c r="LK384"/>
      <c r="LL384"/>
      <c r="LM384"/>
      <c r="LN384"/>
      <c r="LO384"/>
      <c r="LP384"/>
      <c r="LQ384"/>
      <c r="LR384"/>
      <c r="LS384"/>
      <c r="LT384"/>
      <c r="LU384"/>
      <c r="LV384"/>
      <c r="LW384"/>
      <c r="LX384"/>
      <c r="LY384"/>
      <c r="LZ384"/>
      <c r="MA384"/>
      <c r="MB384"/>
      <c r="MC384"/>
      <c r="MD384"/>
      <c r="ME384"/>
      <c r="MF384"/>
      <c r="MG384"/>
      <c r="MH384"/>
      <c r="MI384"/>
      <c r="MJ384"/>
      <c r="MK384"/>
      <c r="ML384"/>
      <c r="MM384"/>
      <c r="MN384"/>
      <c r="MO384"/>
      <c r="MP384"/>
      <c r="MQ384"/>
      <c r="MR384"/>
      <c r="MS384"/>
      <c r="MT384"/>
      <c r="MU384"/>
      <c r="MV384"/>
      <c r="MW384"/>
      <c r="MX384"/>
      <c r="MY384"/>
      <c r="MZ384"/>
      <c r="NA384"/>
      <c r="NB384"/>
      <c r="NC384"/>
      <c r="ND384"/>
      <c r="NE384"/>
      <c r="NF384"/>
      <c r="NG384"/>
      <c r="NH384"/>
      <c r="NI384"/>
      <c r="NJ384"/>
      <c r="NK384"/>
      <c r="NL384"/>
      <c r="NM384"/>
      <c r="NN384"/>
      <c r="NO384"/>
      <c r="NP384"/>
      <c r="NQ384"/>
      <c r="NR384"/>
      <c r="NS384"/>
      <c r="NT384"/>
      <c r="NU384"/>
      <c r="NV384"/>
      <c r="NW384"/>
      <c r="NX384"/>
      <c r="NY384"/>
      <c r="NZ384"/>
      <c r="OA384"/>
      <c r="OB384"/>
      <c r="OC384"/>
      <c r="OD384"/>
      <c r="OE384"/>
      <c r="OF384"/>
      <c r="OG384"/>
      <c r="OH384"/>
      <c r="OI384"/>
      <c r="OJ384"/>
      <c r="OK384"/>
      <c r="OL384"/>
      <c r="OM384"/>
      <c r="ON384"/>
      <c r="OO384"/>
      <c r="OP384"/>
      <c r="OQ384"/>
      <c r="OR384"/>
      <c r="OS384"/>
      <c r="OT384"/>
      <c r="OU384"/>
      <c r="OV384"/>
      <c r="OW384"/>
      <c r="OX384"/>
      <c r="OY384"/>
      <c r="OZ384"/>
      <c r="PA384"/>
      <c r="PB384"/>
      <c r="PC384"/>
      <c r="PD384"/>
      <c r="PE384"/>
      <c r="PF384"/>
      <c r="PG384"/>
      <c r="PH384"/>
      <c r="PI384"/>
      <c r="PJ384"/>
      <c r="PK384"/>
      <c r="PL384"/>
      <c r="PM384"/>
      <c r="PN384"/>
      <c r="PO384"/>
      <c r="PP384"/>
      <c r="PQ384"/>
      <c r="PR384"/>
      <c r="PS384"/>
      <c r="PT384"/>
      <c r="PU384"/>
      <c r="PV384"/>
      <c r="PW384"/>
      <c r="PX384"/>
      <c r="PY384"/>
      <c r="PZ384"/>
      <c r="QA384"/>
      <c r="QB384"/>
      <c r="QC384"/>
      <c r="QD384"/>
      <c r="QE384"/>
      <c r="QF384"/>
      <c r="QG384"/>
      <c r="QH384"/>
      <c r="QI384"/>
      <c r="QJ384"/>
      <c r="QK384"/>
      <c r="QL384"/>
      <c r="QM384"/>
      <c r="QN384"/>
      <c r="QO384"/>
      <c r="QP384"/>
      <c r="QQ384"/>
      <c r="QR384"/>
      <c r="QS384"/>
      <c r="QT384"/>
      <c r="QU384"/>
      <c r="QV384"/>
      <c r="QW384"/>
      <c r="QX384"/>
      <c r="QY384"/>
      <c r="QZ384"/>
      <c r="RA384"/>
      <c r="RB384"/>
      <c r="RC384"/>
      <c r="RD384"/>
      <c r="RE384"/>
      <c r="RF384"/>
      <c r="RG384"/>
      <c r="RH384"/>
      <c r="RI384"/>
      <c r="RJ384"/>
      <c r="RK384"/>
      <c r="RL384"/>
      <c r="RM384"/>
      <c r="RN384"/>
      <c r="RO384"/>
      <c r="RP384"/>
      <c r="RQ384"/>
      <c r="RR384"/>
      <c r="RS384"/>
      <c r="RT384"/>
      <c r="RU384"/>
      <c r="RV384"/>
      <c r="RW384"/>
      <c r="RX384"/>
      <c r="RY384"/>
      <c r="RZ384"/>
      <c r="SA384"/>
      <c r="SB384"/>
      <c r="SC384"/>
      <c r="SD384"/>
      <c r="SE384"/>
      <c r="SF384"/>
      <c r="SG384"/>
      <c r="SH384"/>
      <c r="SI384"/>
      <c r="SJ384"/>
      <c r="SK384"/>
      <c r="SL384"/>
      <c r="SM384"/>
      <c r="SN384"/>
      <c r="SO384"/>
      <c r="SP384"/>
      <c r="SQ384"/>
      <c r="SR384"/>
      <c r="SS384"/>
      <c r="ST384"/>
      <c r="SU384"/>
      <c r="SV384"/>
      <c r="SW384"/>
      <c r="SX384"/>
      <c r="SY384"/>
      <c r="SZ384"/>
      <c r="TA384"/>
      <c r="TB384"/>
      <c r="TC384"/>
      <c r="TD384"/>
      <c r="TE384"/>
      <c r="TF384"/>
      <c r="TG384"/>
      <c r="TH384"/>
      <c r="TI384"/>
      <c r="TJ384"/>
      <c r="TK384"/>
      <c r="TL384"/>
      <c r="TM384"/>
      <c r="TN384"/>
      <c r="TO384"/>
      <c r="TP384"/>
      <c r="TQ384"/>
      <c r="TR384"/>
      <c r="TS384"/>
      <c r="TT384"/>
      <c r="TU384"/>
      <c r="TV384"/>
      <c r="TW384"/>
      <c r="TX384"/>
      <c r="TY384"/>
      <c r="TZ384"/>
      <c r="UA384"/>
      <c r="UB384"/>
      <c r="UC384"/>
      <c r="UD384"/>
      <c r="UE384"/>
      <c r="UF384"/>
      <c r="UG384"/>
      <c r="UH384"/>
      <c r="UI384"/>
      <c r="UJ384"/>
      <c r="UK384"/>
      <c r="UL384"/>
      <c r="UM384"/>
      <c r="UN384"/>
      <c r="UO384"/>
      <c r="UP384"/>
      <c r="UQ384"/>
      <c r="UR384"/>
      <c r="US384"/>
      <c r="UT384"/>
      <c r="UU384"/>
      <c r="UV384"/>
      <c r="UW384"/>
      <c r="UX384"/>
      <c r="UY384"/>
      <c r="UZ384"/>
      <c r="VA384"/>
      <c r="VB384"/>
      <c r="VC384"/>
      <c r="VD384"/>
      <c r="VE384"/>
      <c r="VF384"/>
      <c r="VG384"/>
      <c r="VH384"/>
      <c r="VI384"/>
      <c r="VJ384"/>
      <c r="VK384"/>
      <c r="VL384"/>
      <c r="VM384"/>
      <c r="VN384"/>
      <c r="VO384"/>
      <c r="VP384"/>
      <c r="VQ384"/>
      <c r="VR384"/>
      <c r="VS384"/>
      <c r="VT384"/>
      <c r="VU384"/>
      <c r="VV384"/>
      <c r="VW384"/>
      <c r="VX384"/>
      <c r="VY384"/>
      <c r="VZ384"/>
      <c r="WA384"/>
      <c r="WB384"/>
      <c r="WC384"/>
      <c r="WD384"/>
      <c r="WE384"/>
      <c r="WF384"/>
      <c r="WG384"/>
      <c r="WH384"/>
      <c r="WI384"/>
      <c r="WJ384"/>
      <c r="WK384"/>
      <c r="WL384"/>
      <c r="WM384"/>
      <c r="WN384"/>
      <c r="WO384"/>
      <c r="WP384"/>
      <c r="WQ384"/>
      <c r="WR384"/>
      <c r="WS384"/>
      <c r="WT384"/>
      <c r="WU384"/>
      <c r="WV384"/>
      <c r="WW384"/>
      <c r="WX384"/>
      <c r="WY384"/>
      <c r="WZ384"/>
      <c r="XA384"/>
      <c r="XB384"/>
      <c r="XC384"/>
      <c r="XD384"/>
      <c r="XE384"/>
      <c r="XF384"/>
      <c r="XG384"/>
      <c r="XH384"/>
      <c r="XI384"/>
      <c r="XJ384"/>
      <c r="XK384"/>
      <c r="XL384"/>
      <c r="XM384"/>
      <c r="XN384"/>
      <c r="XO384"/>
      <c r="XP384"/>
      <c r="XQ384"/>
      <c r="XR384"/>
      <c r="XS384"/>
      <c r="XT384"/>
      <c r="XU384"/>
      <c r="XV384"/>
      <c r="XW384"/>
      <c r="XX384"/>
      <c r="XY384"/>
      <c r="XZ384"/>
      <c r="YA384"/>
      <c r="YB384"/>
      <c r="YC384"/>
      <c r="YD384"/>
      <c r="YE384"/>
      <c r="YF384"/>
      <c r="YG384"/>
      <c r="YH384"/>
      <c r="YI384"/>
      <c r="YJ384"/>
      <c r="YK384"/>
      <c r="YL384"/>
      <c r="YM384"/>
      <c r="YN384"/>
      <c r="YO384"/>
      <c r="YP384"/>
      <c r="YQ384"/>
      <c r="YR384"/>
      <c r="YS384"/>
      <c r="YT384"/>
      <c r="YU384"/>
      <c r="YV384"/>
      <c r="YW384"/>
      <c r="YX384"/>
      <c r="YY384"/>
      <c r="YZ384"/>
      <c r="ZA384"/>
      <c r="ZB384"/>
      <c r="ZC384"/>
      <c r="ZD384"/>
      <c r="ZE384"/>
      <c r="ZF384"/>
      <c r="ZG384"/>
      <c r="ZH384"/>
      <c r="ZI384"/>
      <c r="ZJ384"/>
      <c r="ZK384"/>
      <c r="ZL384"/>
      <c r="ZM384"/>
      <c r="ZN384"/>
      <c r="ZO384"/>
      <c r="ZP384"/>
      <c r="ZQ384"/>
      <c r="ZR384"/>
      <c r="ZS384"/>
      <c r="ZT384"/>
      <c r="ZU384"/>
      <c r="ZV384"/>
      <c r="ZW384"/>
      <c r="ZX384"/>
      <c r="ZY384"/>
      <c r="ZZ384"/>
      <c r="AAA384"/>
      <c r="AAB384"/>
      <c r="AAC384"/>
      <c r="AAD384"/>
      <c r="AAE384"/>
      <c r="AAF384"/>
      <c r="AAG384"/>
      <c r="AAH384"/>
      <c r="AAI384"/>
      <c r="AAJ384"/>
      <c r="AAK384"/>
      <c r="AAL384"/>
      <c r="AAM384"/>
      <c r="AAN384"/>
      <c r="AAO384"/>
      <c r="AAP384"/>
      <c r="AAQ384"/>
      <c r="AAR384"/>
      <c r="AAS384"/>
      <c r="AAT384"/>
      <c r="AAU384"/>
      <c r="AAV384"/>
      <c r="AAW384"/>
      <c r="AAX384"/>
      <c r="AAY384"/>
      <c r="AAZ384"/>
      <c r="ABA384"/>
      <c r="ABB384"/>
      <c r="ABC384"/>
      <c r="ABD384"/>
      <c r="ABE384"/>
      <c r="ABF384"/>
      <c r="ABG384"/>
      <c r="ABH384"/>
      <c r="ABI384"/>
      <c r="ABJ384"/>
      <c r="ABK384"/>
      <c r="ABL384"/>
      <c r="ABM384"/>
      <c r="ABN384"/>
      <c r="ABO384"/>
      <c r="ABP384"/>
      <c r="ABQ384"/>
      <c r="ABR384"/>
      <c r="ABS384"/>
      <c r="ABT384"/>
      <c r="ABU384"/>
      <c r="ABV384"/>
      <c r="ABW384"/>
      <c r="ABX384"/>
      <c r="ABY384"/>
      <c r="ABZ384"/>
      <c r="ACA384"/>
      <c r="ACB384"/>
      <c r="ACC384"/>
      <c r="ACD384"/>
      <c r="ACE384"/>
      <c r="ACF384"/>
      <c r="ACG384"/>
      <c r="ACH384"/>
      <c r="ACI384"/>
      <c r="ACJ384"/>
      <c r="ACK384"/>
      <c r="ACL384"/>
      <c r="ACM384"/>
      <c r="ACN384"/>
      <c r="ACO384"/>
      <c r="ACP384"/>
      <c r="ACQ384"/>
      <c r="ACR384"/>
      <c r="ACS384"/>
      <c r="ACT384"/>
      <c r="ACU384"/>
      <c r="ACV384"/>
      <c r="ACW384"/>
      <c r="ACX384"/>
      <c r="ACY384"/>
      <c r="ACZ384"/>
      <c r="ADA384"/>
      <c r="ADB384"/>
      <c r="ADC384"/>
      <c r="ADD384"/>
      <c r="ADE384"/>
      <c r="ADF384"/>
      <c r="ADG384"/>
      <c r="ADH384"/>
      <c r="ADI384"/>
      <c r="ADJ384"/>
      <c r="ADK384"/>
      <c r="ADL384"/>
      <c r="ADM384"/>
      <c r="ADN384"/>
      <c r="ADO384"/>
      <c r="ADP384"/>
      <c r="ADQ384"/>
      <c r="ADR384"/>
      <c r="ADS384"/>
      <c r="ADT384"/>
      <c r="ADU384"/>
      <c r="ADV384"/>
      <c r="ADW384"/>
      <c r="ADX384"/>
      <c r="ADY384"/>
      <c r="ADZ384"/>
      <c r="AEA384"/>
      <c r="AEB384"/>
      <c r="AEC384"/>
      <c r="AED384"/>
      <c r="AEE384"/>
      <c r="AEF384"/>
      <c r="AEG384"/>
      <c r="AEH384"/>
      <c r="AEI384"/>
      <c r="AEJ384"/>
      <c r="AEK384"/>
      <c r="AEL384"/>
      <c r="AEM384"/>
      <c r="AEN384"/>
      <c r="AEO384"/>
      <c r="AEP384"/>
      <c r="AEQ384"/>
      <c r="AER384"/>
      <c r="AES384"/>
      <c r="AET384"/>
      <c r="AEU384"/>
      <c r="AEV384"/>
      <c r="AEW384"/>
      <c r="AEX384"/>
      <c r="AEY384"/>
      <c r="AEZ384"/>
      <c r="AFA384"/>
      <c r="AFB384"/>
      <c r="AFC384"/>
      <c r="AFD384"/>
      <c r="AFE384"/>
      <c r="AFF384"/>
      <c r="AFG384"/>
      <c r="AFH384"/>
      <c r="AFI384"/>
      <c r="AFJ384"/>
      <c r="AFK384"/>
      <c r="AFL384"/>
      <c r="AFM384"/>
      <c r="AFN384"/>
      <c r="AFO384"/>
      <c r="AFP384"/>
      <c r="AFQ384"/>
      <c r="AFR384"/>
      <c r="AFS384"/>
      <c r="AFT384"/>
      <c r="AFU384"/>
      <c r="AFV384"/>
      <c r="AFW384"/>
      <c r="AFX384"/>
      <c r="AFY384"/>
      <c r="AFZ384"/>
      <c r="AGA384"/>
      <c r="AGB384"/>
      <c r="AGC384"/>
      <c r="AGD384"/>
      <c r="AGE384"/>
      <c r="AGF384"/>
      <c r="AGG384"/>
      <c r="AGH384"/>
      <c r="AGI384"/>
      <c r="AGJ384"/>
      <c r="AGK384"/>
      <c r="AGL384"/>
      <c r="AGM384"/>
      <c r="AGN384"/>
      <c r="AGO384"/>
      <c r="AGP384"/>
      <c r="AGQ384"/>
      <c r="AGR384"/>
      <c r="AGS384"/>
      <c r="AGT384"/>
      <c r="AGU384"/>
      <c r="AGV384"/>
      <c r="AGW384"/>
      <c r="AGX384"/>
      <c r="AGY384"/>
      <c r="AGZ384"/>
      <c r="AHA384"/>
      <c r="AHB384"/>
      <c r="AHC384"/>
      <c r="AHD384"/>
      <c r="AHE384"/>
      <c r="AHF384"/>
      <c r="AHG384"/>
      <c r="AHH384"/>
      <c r="AHI384"/>
      <c r="AHJ384"/>
      <c r="AHK384"/>
      <c r="AHL384"/>
      <c r="AHM384"/>
      <c r="AHN384"/>
      <c r="AHO384"/>
      <c r="AHP384"/>
      <c r="AHQ384"/>
      <c r="AHR384"/>
      <c r="AHS384"/>
      <c r="AHT384"/>
      <c r="AHU384"/>
      <c r="AHV384"/>
      <c r="AHW384"/>
      <c r="AHX384"/>
      <c r="AHY384"/>
      <c r="AHZ384"/>
      <c r="AIA384"/>
      <c r="AIB384"/>
      <c r="AIC384"/>
      <c r="AID384"/>
      <c r="AIE384"/>
      <c r="AIF384"/>
      <c r="AIG384"/>
      <c r="AIH384"/>
      <c r="AII384"/>
      <c r="AIJ384"/>
      <c r="AIK384"/>
      <c r="AIL384"/>
      <c r="AIM384"/>
      <c r="AIN384"/>
      <c r="AIO384"/>
      <c r="AIP384"/>
      <c r="AIQ384"/>
      <c r="AIR384"/>
      <c r="AIS384"/>
      <c r="AIT384"/>
      <c r="AIU384"/>
      <c r="AIV384"/>
      <c r="AIW384"/>
      <c r="AIX384"/>
      <c r="AIY384"/>
      <c r="AIZ384"/>
      <c r="AJA384"/>
      <c r="AJB384"/>
      <c r="AJC384"/>
      <c r="AJD384"/>
      <c r="AJE384"/>
      <c r="AJF384"/>
      <c r="AJG384"/>
      <c r="AJH384"/>
      <c r="AJI384"/>
      <c r="AJJ384"/>
      <c r="AJK384"/>
      <c r="AJL384"/>
      <c r="AJM384"/>
      <c r="AJN384"/>
      <c r="AJO384"/>
      <c r="AJP384"/>
      <c r="AJQ384"/>
      <c r="AJR384"/>
      <c r="AJS384"/>
      <c r="AJT384"/>
      <c r="AJU384"/>
      <c r="AJV384"/>
      <c r="AJW384"/>
      <c r="AJX384"/>
      <c r="AJY384"/>
      <c r="AJZ384"/>
      <c r="AKA384"/>
      <c r="AKB384"/>
      <c r="AKC384"/>
      <c r="AKD384"/>
      <c r="AKE384"/>
      <c r="AKF384"/>
      <c r="AKG384"/>
      <c r="AKH384"/>
      <c r="AKI384"/>
      <c r="AKJ384"/>
      <c r="AKK384"/>
      <c r="AKL384"/>
      <c r="AKM384"/>
      <c r="AKN384"/>
      <c r="AKO384"/>
      <c r="AKP384"/>
      <c r="AKQ384"/>
      <c r="AKR384"/>
      <c r="AKS384"/>
      <c r="AKT384"/>
      <c r="AKU384"/>
      <c r="AKV384"/>
      <c r="AKW384"/>
      <c r="AKX384"/>
      <c r="AKY384"/>
      <c r="AKZ384"/>
      <c r="ALA384"/>
      <c r="ALB384"/>
      <c r="ALC384"/>
      <c r="ALD384"/>
      <c r="ALE384"/>
      <c r="ALF384"/>
      <c r="ALG384"/>
      <c r="ALH384"/>
      <c r="ALI384"/>
      <c r="ALJ384"/>
      <c r="ALK384"/>
      <c r="ALL384"/>
      <c r="ALM384"/>
      <c r="ALN384"/>
      <c r="ALO384"/>
      <c r="ALP384"/>
      <c r="ALQ384"/>
      <c r="ALR384"/>
      <c r="ALS384"/>
      <c r="ALT384"/>
      <c r="ALU384"/>
      <c r="ALV384"/>
      <c r="ALW384"/>
      <c r="ALX384"/>
      <c r="ALY384"/>
      <c r="ALZ384"/>
      <c r="AMA384"/>
      <c r="AMB384"/>
      <c r="AMC384"/>
      <c r="AMD384"/>
      <c r="AME384"/>
      <c r="AMF384"/>
      <c r="AMG384"/>
      <c r="AMH384"/>
      <c r="AMI384"/>
      <c r="AMJ384"/>
    </row>
    <row r="385" spans="1:1024" ht="27.6">
      <c r="A385" s="7" t="s">
        <v>389</v>
      </c>
      <c r="B385" s="7">
        <v>378759</v>
      </c>
      <c r="C385" s="11"/>
      <c r="D385" s="12">
        <v>0.66666666666666696</v>
      </c>
      <c r="E385" s="7">
        <f>VLOOKUP(B385,Gesamtstunden_26!B:I,8,0)</f>
        <v>1.3333333333333333</v>
      </c>
      <c r="F385" s="13">
        <f t="shared" si="5"/>
        <v>-0.6666666666666663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  <c r="BJ385" s="11"/>
      <c r="BK385" s="11"/>
      <c r="BL385" s="11"/>
      <c r="BM385" s="11"/>
      <c r="BN385" s="11"/>
      <c r="BO385" s="11"/>
      <c r="BP385" s="11"/>
      <c r="BQ385" s="11"/>
      <c r="BR385" s="11"/>
      <c r="BS385" s="11"/>
      <c r="BT385" s="11"/>
      <c r="BU385" s="11"/>
      <c r="BV385" s="11"/>
      <c r="BW385" s="11"/>
      <c r="BX385" s="11"/>
      <c r="BY385" s="11"/>
      <c r="BZ385" s="11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  <c r="EM385" s="11"/>
      <c r="EN385" s="11"/>
      <c r="EO385" s="11"/>
      <c r="EP385" s="11"/>
      <c r="EQ385" s="11"/>
      <c r="ER385" s="11"/>
      <c r="ES385" s="11"/>
      <c r="ET385" s="11"/>
      <c r="EU385" s="11"/>
      <c r="EV385" s="11"/>
      <c r="EW385" s="11"/>
      <c r="EX385" s="11"/>
      <c r="EY385" s="11"/>
      <c r="EZ385" s="11"/>
      <c r="FA385" s="11"/>
      <c r="FB385" s="11"/>
      <c r="FC385" s="11"/>
      <c r="FD385" s="11"/>
      <c r="FE385" s="11"/>
      <c r="FF385" s="11"/>
      <c r="FG385" s="11"/>
      <c r="FH385" s="11"/>
      <c r="FI385" s="11"/>
      <c r="FJ385" s="11"/>
      <c r="FK385" s="11"/>
      <c r="FL385" s="11"/>
      <c r="FM385" s="11"/>
      <c r="FN385" s="11"/>
      <c r="FO385" s="11"/>
      <c r="FP385" s="11"/>
      <c r="FQ385" s="11"/>
      <c r="FR385" s="11"/>
      <c r="FS385" s="11"/>
      <c r="FT385" s="11"/>
      <c r="FU385" s="11"/>
      <c r="FV385" s="11"/>
      <c r="FW385" s="11"/>
      <c r="FX385" s="11"/>
      <c r="FY385" s="11"/>
      <c r="FZ385" s="11"/>
      <c r="GA385" s="11"/>
      <c r="GB385" s="11"/>
      <c r="GC385" s="11"/>
      <c r="GD385" s="11"/>
      <c r="GE385" s="11"/>
      <c r="GF385" s="11"/>
      <c r="GG385" s="11"/>
      <c r="GH385" s="11"/>
      <c r="GI385" s="11"/>
      <c r="GJ385" s="11"/>
      <c r="GK385" s="11"/>
      <c r="GL385" s="11"/>
      <c r="GM385" s="11"/>
      <c r="GN385" s="11"/>
      <c r="GO385" s="11"/>
      <c r="GP385" s="11"/>
      <c r="GQ385" s="11"/>
      <c r="GR385" s="11"/>
      <c r="GS385" s="11"/>
      <c r="GT385" s="11"/>
      <c r="GU385" s="11"/>
      <c r="GV385" s="11"/>
      <c r="GW385" s="11"/>
      <c r="GX385" s="11"/>
      <c r="GY385" s="11"/>
      <c r="GZ385" s="11"/>
      <c r="HA385" s="11"/>
      <c r="HB385" s="11"/>
      <c r="HC385" s="11"/>
      <c r="HD385" s="11"/>
      <c r="HE385" s="11"/>
      <c r="HF385" s="11"/>
      <c r="HG385" s="11"/>
      <c r="HH385" s="11"/>
      <c r="HI385" s="11"/>
      <c r="HJ385" s="11"/>
      <c r="HK385" s="11"/>
      <c r="HL385" s="11"/>
      <c r="HM385" s="11"/>
      <c r="HN385" s="11"/>
      <c r="HO385" s="11"/>
      <c r="HP385" s="11"/>
      <c r="HQ385" s="11"/>
      <c r="HR385" s="11"/>
      <c r="HS385" s="11"/>
      <c r="HT385" s="11"/>
      <c r="HU385" s="11"/>
      <c r="HV385" s="11"/>
      <c r="HW385" s="11"/>
      <c r="HX385" s="11"/>
      <c r="HY385" s="11"/>
      <c r="HZ385" s="11"/>
      <c r="IA385" s="11"/>
      <c r="IB385" s="11"/>
      <c r="IC385" s="11"/>
      <c r="ID385" s="11"/>
      <c r="IE385" s="11"/>
      <c r="IF385" s="11"/>
      <c r="IG385" s="11"/>
      <c r="IH385" s="11"/>
      <c r="II385" s="11"/>
      <c r="IJ385" s="11"/>
      <c r="IK385" s="11"/>
      <c r="IL385" s="11"/>
      <c r="IM385" s="11"/>
      <c r="IN385" s="11"/>
      <c r="IO385" s="11"/>
      <c r="IP385" s="11"/>
      <c r="IQ385" s="11"/>
      <c r="IR385" s="11"/>
      <c r="IS385" s="11"/>
      <c r="IT385" s="11"/>
      <c r="IU385" s="11"/>
      <c r="IV385" s="11"/>
      <c r="IW385" s="11"/>
      <c r="IX385" s="11"/>
      <c r="IY385" s="11"/>
      <c r="IZ385" s="11"/>
      <c r="JA385" s="11"/>
      <c r="JB385" s="11"/>
      <c r="JC385" s="11"/>
      <c r="JD385" s="11"/>
      <c r="JE385" s="11"/>
      <c r="JF385" s="11"/>
      <c r="JG385" s="11"/>
      <c r="JH385" s="11"/>
      <c r="JI385" s="11"/>
      <c r="JJ385" s="11"/>
      <c r="JK385" s="11"/>
      <c r="JL385" s="11"/>
      <c r="JM385" s="11"/>
      <c r="JN385" s="11"/>
      <c r="JO385" s="11"/>
      <c r="JP385" s="11"/>
      <c r="JQ385" s="11"/>
      <c r="JR385" s="11"/>
      <c r="JS385" s="11"/>
      <c r="JT385" s="11"/>
      <c r="JU385" s="11"/>
      <c r="JV385" s="11"/>
      <c r="JW385" s="11"/>
      <c r="JX385" s="11"/>
      <c r="JY385" s="11"/>
      <c r="JZ385" s="11"/>
      <c r="KA385" s="11"/>
      <c r="KB385" s="11"/>
      <c r="KC385" s="11"/>
      <c r="KD385" s="11"/>
      <c r="KE385" s="11"/>
      <c r="KF385" s="11"/>
      <c r="KG385" s="11"/>
      <c r="KH385" s="11"/>
      <c r="KI385" s="11"/>
      <c r="KJ385" s="11"/>
      <c r="KK385" s="11"/>
      <c r="KL385" s="11"/>
      <c r="KM385" s="11"/>
      <c r="KN385" s="11"/>
      <c r="KO385" s="11"/>
      <c r="KP385" s="11"/>
      <c r="KQ385" s="11"/>
      <c r="KR385" s="11"/>
      <c r="KS385" s="11"/>
      <c r="KT385" s="11"/>
      <c r="KU385" s="11"/>
      <c r="KV385" s="11"/>
      <c r="KW385" s="11"/>
      <c r="KX385" s="11"/>
      <c r="KY385" s="11"/>
      <c r="KZ385" s="11"/>
      <c r="LA385" s="11"/>
      <c r="LB385" s="11"/>
      <c r="LC385" s="11"/>
      <c r="LD385" s="11"/>
      <c r="LE385" s="11"/>
      <c r="LF385" s="11"/>
      <c r="LG385" s="11"/>
      <c r="LH385" s="11"/>
      <c r="LI385" s="11"/>
      <c r="LJ385" s="11"/>
      <c r="LK385" s="11"/>
      <c r="LL385" s="11"/>
      <c r="LM385" s="11"/>
      <c r="LN385" s="11"/>
      <c r="LO385" s="11"/>
      <c r="LP385" s="11"/>
      <c r="LQ385" s="11"/>
      <c r="LR385" s="11"/>
      <c r="LS385" s="11"/>
      <c r="LT385" s="11"/>
      <c r="LU385" s="11"/>
      <c r="LV385" s="11"/>
      <c r="LW385" s="11"/>
      <c r="LX385" s="11"/>
      <c r="LY385" s="11"/>
      <c r="LZ385" s="11"/>
      <c r="MA385" s="11"/>
      <c r="MB385" s="11"/>
      <c r="MC385" s="11"/>
      <c r="MD385" s="11"/>
      <c r="ME385" s="11"/>
      <c r="MF385" s="11"/>
      <c r="MG385" s="11"/>
      <c r="MH385" s="11"/>
      <c r="MI385" s="11"/>
      <c r="MJ385" s="11"/>
      <c r="MK385" s="11"/>
      <c r="ML385" s="11"/>
      <c r="MM385" s="11"/>
      <c r="MN385" s="11"/>
      <c r="MO385" s="11"/>
      <c r="MP385" s="11"/>
      <c r="MQ385" s="11"/>
      <c r="MR385" s="11"/>
      <c r="MS385" s="11"/>
      <c r="MT385" s="11"/>
      <c r="MU385" s="11"/>
      <c r="MV385" s="11"/>
      <c r="MW385" s="11"/>
      <c r="MX385" s="11"/>
      <c r="MY385" s="11"/>
      <c r="MZ385" s="11"/>
      <c r="NA385" s="11"/>
      <c r="NB385" s="11"/>
      <c r="NC385" s="11"/>
      <c r="ND385" s="11"/>
      <c r="NE385" s="11"/>
      <c r="NF385" s="11"/>
      <c r="NG385" s="11"/>
      <c r="NH385" s="11"/>
      <c r="NI385" s="11"/>
      <c r="NJ385" s="11"/>
      <c r="NK385" s="11"/>
      <c r="NL385" s="11"/>
      <c r="NM385" s="11"/>
      <c r="NN385" s="11"/>
      <c r="NO385" s="11"/>
      <c r="NP385" s="11"/>
      <c r="NQ385" s="11"/>
      <c r="NR385" s="11"/>
      <c r="NS385" s="11"/>
      <c r="NT385" s="11"/>
      <c r="NU385" s="11"/>
      <c r="NV385" s="11"/>
      <c r="NW385" s="11"/>
      <c r="NX385" s="11"/>
      <c r="NY385" s="11"/>
      <c r="NZ385" s="11"/>
      <c r="OA385" s="11"/>
      <c r="OB385" s="11"/>
      <c r="OC385" s="11"/>
      <c r="OD385" s="11"/>
      <c r="OE385" s="11"/>
      <c r="OF385" s="11"/>
      <c r="OG385" s="11"/>
      <c r="OH385" s="11"/>
      <c r="OI385" s="11"/>
      <c r="OJ385" s="11"/>
      <c r="OK385" s="11"/>
      <c r="OL385" s="11"/>
      <c r="OM385" s="11"/>
      <c r="ON385" s="11"/>
      <c r="OO385" s="11"/>
      <c r="OP385" s="11"/>
      <c r="OQ385" s="11"/>
      <c r="OR385" s="11"/>
      <c r="OS385" s="11"/>
      <c r="OT385" s="11"/>
      <c r="OU385" s="11"/>
      <c r="OV385" s="11"/>
      <c r="OW385" s="11"/>
      <c r="OX385" s="11"/>
      <c r="OY385" s="11"/>
      <c r="OZ385" s="11"/>
      <c r="PA385" s="11"/>
      <c r="PB385" s="11"/>
      <c r="PC385" s="11"/>
      <c r="PD385" s="11"/>
      <c r="PE385" s="11"/>
      <c r="PF385" s="11"/>
      <c r="PG385" s="11"/>
      <c r="PH385" s="11"/>
      <c r="PI385" s="11"/>
      <c r="PJ385" s="11"/>
      <c r="PK385" s="11"/>
      <c r="PL385" s="11"/>
      <c r="PM385" s="11"/>
      <c r="PN385" s="11"/>
      <c r="PO385" s="11"/>
      <c r="PP385" s="11"/>
      <c r="PQ385" s="11"/>
      <c r="PR385" s="11"/>
      <c r="PS385" s="11"/>
      <c r="PT385" s="11"/>
      <c r="PU385" s="11"/>
      <c r="PV385" s="11"/>
      <c r="PW385" s="11"/>
      <c r="PX385" s="11"/>
      <c r="PY385" s="11"/>
      <c r="PZ385" s="11"/>
      <c r="QA385" s="11"/>
      <c r="QB385" s="11"/>
      <c r="QC385" s="11"/>
      <c r="QD385" s="11"/>
      <c r="QE385" s="11"/>
      <c r="QF385" s="11"/>
      <c r="QG385" s="11"/>
      <c r="QH385" s="11"/>
      <c r="QI385" s="11"/>
      <c r="QJ385" s="11"/>
      <c r="QK385" s="11"/>
      <c r="QL385" s="11"/>
      <c r="QM385" s="11"/>
      <c r="QN385" s="11"/>
      <c r="QO385" s="11"/>
      <c r="QP385" s="11"/>
      <c r="QQ385" s="11"/>
      <c r="QR385" s="11"/>
      <c r="QS385" s="11"/>
      <c r="QT385" s="11"/>
      <c r="QU385" s="11"/>
      <c r="QV385" s="11"/>
      <c r="QW385" s="11"/>
      <c r="QX385" s="11"/>
      <c r="QY385" s="11"/>
      <c r="QZ385" s="11"/>
      <c r="RA385" s="11"/>
      <c r="RB385" s="11"/>
      <c r="RC385" s="11"/>
      <c r="RD385" s="11"/>
      <c r="RE385" s="11"/>
      <c r="RF385" s="11"/>
      <c r="RG385" s="11"/>
      <c r="RH385" s="11"/>
      <c r="RI385" s="11"/>
      <c r="RJ385" s="11"/>
      <c r="RK385" s="11"/>
      <c r="RL385" s="11"/>
      <c r="RM385" s="11"/>
      <c r="RN385" s="11"/>
      <c r="RO385" s="11"/>
      <c r="RP385" s="11"/>
      <c r="RQ385" s="11"/>
      <c r="RR385" s="11"/>
      <c r="RS385" s="11"/>
      <c r="RT385" s="11"/>
      <c r="RU385" s="11"/>
      <c r="RV385" s="11"/>
      <c r="RW385" s="11"/>
      <c r="RX385" s="11"/>
      <c r="RY385" s="11"/>
      <c r="RZ385" s="11"/>
      <c r="SA385" s="11"/>
      <c r="SB385" s="11"/>
      <c r="SC385" s="11"/>
      <c r="SD385" s="11"/>
      <c r="SE385" s="11"/>
      <c r="SF385" s="11"/>
      <c r="SG385" s="11"/>
      <c r="SH385" s="11"/>
      <c r="SI385" s="11"/>
      <c r="SJ385" s="11"/>
      <c r="SK385" s="11"/>
      <c r="SL385" s="11"/>
      <c r="SM385" s="11"/>
      <c r="SN385" s="11"/>
      <c r="SO385" s="11"/>
      <c r="SP385" s="11"/>
      <c r="SQ385" s="11"/>
      <c r="SR385" s="11"/>
      <c r="SS385" s="11"/>
      <c r="ST385" s="11"/>
      <c r="SU385" s="11"/>
      <c r="SV385" s="11"/>
      <c r="SW385" s="11"/>
      <c r="SX385" s="11"/>
      <c r="SY385" s="11"/>
      <c r="SZ385" s="11"/>
      <c r="TA385" s="11"/>
      <c r="TB385" s="11"/>
      <c r="TC385" s="11"/>
      <c r="TD385" s="11"/>
      <c r="TE385" s="11"/>
      <c r="TF385" s="11"/>
      <c r="TG385" s="11"/>
      <c r="TH385" s="11"/>
      <c r="TI385" s="11"/>
      <c r="TJ385" s="11"/>
      <c r="TK385" s="11"/>
      <c r="TL385" s="11"/>
      <c r="TM385" s="11"/>
      <c r="TN385" s="11"/>
      <c r="TO385" s="11"/>
      <c r="TP385" s="11"/>
      <c r="TQ385" s="11"/>
      <c r="TR385" s="11"/>
      <c r="TS385" s="11"/>
      <c r="TT385" s="11"/>
      <c r="TU385" s="11"/>
      <c r="TV385" s="11"/>
      <c r="TW385" s="11"/>
      <c r="TX385" s="11"/>
      <c r="TY385" s="11"/>
      <c r="TZ385" s="11"/>
      <c r="UA385" s="11"/>
      <c r="UB385" s="11"/>
      <c r="UC385" s="11"/>
      <c r="UD385" s="11"/>
      <c r="UE385" s="11"/>
      <c r="UF385" s="11"/>
      <c r="UG385" s="11"/>
      <c r="UH385" s="11"/>
      <c r="UI385" s="11"/>
      <c r="UJ385" s="11"/>
      <c r="UK385" s="11"/>
      <c r="UL385" s="11"/>
      <c r="UM385" s="11"/>
      <c r="UN385" s="11"/>
      <c r="UO385" s="11"/>
      <c r="UP385" s="11"/>
      <c r="UQ385" s="11"/>
      <c r="UR385" s="11"/>
      <c r="US385" s="11"/>
      <c r="UT385" s="11"/>
      <c r="UU385" s="11"/>
      <c r="UV385" s="11"/>
      <c r="UW385" s="11"/>
      <c r="UX385" s="11"/>
      <c r="UY385" s="11"/>
      <c r="UZ385" s="11"/>
      <c r="VA385" s="11"/>
      <c r="VB385" s="11"/>
      <c r="VC385" s="11"/>
      <c r="VD385" s="11"/>
      <c r="VE385" s="11"/>
      <c r="VF385" s="11"/>
      <c r="VG385" s="11"/>
      <c r="VH385" s="11"/>
      <c r="VI385" s="11"/>
      <c r="VJ385" s="11"/>
      <c r="VK385" s="11"/>
      <c r="VL385" s="11"/>
      <c r="VM385" s="11"/>
      <c r="VN385" s="11"/>
      <c r="VO385" s="11"/>
      <c r="VP385" s="11"/>
      <c r="VQ385" s="11"/>
      <c r="VR385" s="11"/>
      <c r="VS385" s="11"/>
      <c r="VT385" s="11"/>
      <c r="VU385" s="11"/>
      <c r="VV385" s="11"/>
      <c r="VW385" s="11"/>
      <c r="VX385" s="11"/>
      <c r="VY385" s="11"/>
      <c r="VZ385" s="11"/>
      <c r="WA385" s="11"/>
      <c r="WB385" s="11"/>
      <c r="WC385" s="11"/>
      <c r="WD385" s="11"/>
      <c r="WE385" s="11"/>
      <c r="WF385" s="11"/>
      <c r="WG385" s="11"/>
      <c r="WH385" s="11"/>
      <c r="WI385" s="11"/>
      <c r="WJ385" s="11"/>
      <c r="WK385" s="11"/>
      <c r="WL385" s="11"/>
      <c r="WM385" s="11"/>
      <c r="WN385" s="11"/>
      <c r="WO385" s="11"/>
      <c r="WP385" s="11"/>
      <c r="WQ385" s="11"/>
      <c r="WR385" s="11"/>
      <c r="WS385" s="11"/>
      <c r="WT385" s="11"/>
      <c r="WU385" s="11"/>
      <c r="WV385" s="11"/>
      <c r="WW385" s="11"/>
      <c r="WX385" s="11"/>
      <c r="WY385" s="11"/>
      <c r="WZ385" s="11"/>
      <c r="XA385" s="11"/>
      <c r="XB385" s="11"/>
      <c r="XC385" s="11"/>
      <c r="XD385" s="11"/>
      <c r="XE385" s="11"/>
      <c r="XF385" s="11"/>
      <c r="XG385" s="11"/>
      <c r="XH385" s="11"/>
      <c r="XI385" s="11"/>
      <c r="XJ385" s="11"/>
      <c r="XK385" s="11"/>
      <c r="XL385" s="11"/>
      <c r="XM385" s="11"/>
      <c r="XN385" s="11"/>
      <c r="XO385" s="11"/>
      <c r="XP385" s="11"/>
      <c r="XQ385" s="11"/>
      <c r="XR385" s="11"/>
      <c r="XS385" s="11"/>
      <c r="XT385" s="11"/>
      <c r="XU385" s="11"/>
      <c r="XV385" s="11"/>
      <c r="XW385" s="11"/>
      <c r="XX385" s="11"/>
      <c r="XY385" s="11"/>
      <c r="XZ385" s="11"/>
      <c r="YA385" s="11"/>
      <c r="YB385" s="11"/>
      <c r="YC385" s="11"/>
      <c r="YD385" s="11"/>
      <c r="YE385" s="11"/>
      <c r="YF385" s="11"/>
      <c r="YG385" s="11"/>
      <c r="YH385" s="11"/>
      <c r="YI385" s="11"/>
      <c r="YJ385" s="11"/>
      <c r="YK385" s="11"/>
      <c r="YL385" s="11"/>
      <c r="YM385" s="11"/>
      <c r="YN385" s="11"/>
      <c r="YO385" s="11"/>
      <c r="YP385" s="11"/>
      <c r="YQ385" s="11"/>
      <c r="YR385" s="11"/>
      <c r="YS385" s="11"/>
      <c r="YT385" s="11"/>
      <c r="YU385" s="11"/>
      <c r="YV385" s="11"/>
      <c r="YW385" s="11"/>
      <c r="YX385" s="11"/>
      <c r="YY385" s="11"/>
      <c r="YZ385" s="11"/>
      <c r="ZA385" s="11"/>
      <c r="ZB385" s="11"/>
      <c r="ZC385" s="11"/>
      <c r="ZD385" s="11"/>
      <c r="ZE385" s="11"/>
      <c r="ZF385" s="11"/>
      <c r="ZG385" s="11"/>
      <c r="ZH385" s="11"/>
      <c r="ZI385" s="11"/>
      <c r="ZJ385" s="11"/>
      <c r="ZK385" s="11"/>
      <c r="ZL385" s="11"/>
      <c r="ZM385" s="11"/>
      <c r="ZN385" s="11"/>
      <c r="ZO385" s="11"/>
      <c r="ZP385" s="11"/>
      <c r="ZQ385" s="11"/>
      <c r="ZR385" s="11"/>
      <c r="ZS385" s="11"/>
      <c r="ZT385" s="11"/>
      <c r="ZU385" s="11"/>
      <c r="ZV385" s="11"/>
      <c r="ZW385" s="11"/>
      <c r="ZX385" s="11"/>
      <c r="ZY385" s="11"/>
      <c r="ZZ385" s="11"/>
      <c r="AAA385" s="11"/>
      <c r="AAB385" s="11"/>
      <c r="AAC385" s="11"/>
      <c r="AAD385" s="11"/>
      <c r="AAE385" s="11"/>
      <c r="AAF385" s="11"/>
      <c r="AAG385" s="11"/>
      <c r="AAH385" s="11"/>
      <c r="AAI385" s="11"/>
      <c r="AAJ385" s="11"/>
      <c r="AAK385" s="11"/>
      <c r="AAL385" s="11"/>
      <c r="AAM385" s="11"/>
      <c r="AAN385" s="11"/>
      <c r="AAO385" s="11"/>
      <c r="AAP385" s="11"/>
      <c r="AAQ385" s="11"/>
      <c r="AAR385" s="11"/>
      <c r="AAS385" s="11"/>
      <c r="AAT385" s="11"/>
      <c r="AAU385" s="11"/>
      <c r="AAV385" s="11"/>
      <c r="AAW385" s="11"/>
      <c r="AAX385" s="11"/>
      <c r="AAY385" s="11"/>
      <c r="AAZ385" s="11"/>
      <c r="ABA385" s="11"/>
      <c r="ABB385" s="11"/>
      <c r="ABC385" s="11"/>
      <c r="ABD385" s="11"/>
      <c r="ABE385" s="11"/>
      <c r="ABF385" s="11"/>
      <c r="ABG385" s="11"/>
      <c r="ABH385" s="11"/>
      <c r="ABI385" s="11"/>
      <c r="ABJ385" s="11"/>
      <c r="ABK385" s="11"/>
      <c r="ABL385" s="11"/>
      <c r="ABM385" s="11"/>
      <c r="ABN385" s="11"/>
      <c r="ABO385" s="11"/>
      <c r="ABP385" s="11"/>
      <c r="ABQ385" s="11"/>
      <c r="ABR385" s="11"/>
      <c r="ABS385" s="11"/>
      <c r="ABT385" s="11"/>
      <c r="ABU385" s="11"/>
      <c r="ABV385" s="11"/>
      <c r="ABW385" s="11"/>
      <c r="ABX385" s="11"/>
      <c r="ABY385" s="11"/>
      <c r="ABZ385" s="11"/>
      <c r="ACA385" s="11"/>
      <c r="ACB385" s="11"/>
      <c r="ACC385" s="11"/>
      <c r="ACD385" s="11"/>
      <c r="ACE385" s="11"/>
      <c r="ACF385" s="11"/>
      <c r="ACG385" s="11"/>
      <c r="ACH385" s="11"/>
      <c r="ACI385" s="11"/>
      <c r="ACJ385" s="11"/>
      <c r="ACK385" s="11"/>
      <c r="ACL385" s="11"/>
      <c r="ACM385" s="11"/>
      <c r="ACN385" s="11"/>
      <c r="ACO385" s="11"/>
      <c r="ACP385" s="11"/>
      <c r="ACQ385" s="11"/>
      <c r="ACR385" s="11"/>
      <c r="ACS385" s="11"/>
      <c r="ACT385" s="11"/>
      <c r="ACU385" s="11"/>
      <c r="ACV385" s="11"/>
      <c r="ACW385" s="11"/>
      <c r="ACX385" s="11"/>
      <c r="ACY385" s="11"/>
      <c r="ACZ385" s="11"/>
      <c r="ADA385" s="11"/>
      <c r="ADB385" s="11"/>
      <c r="ADC385" s="11"/>
      <c r="ADD385" s="11"/>
      <c r="ADE385" s="11"/>
      <c r="ADF385" s="11"/>
      <c r="ADG385" s="11"/>
      <c r="ADH385" s="11"/>
      <c r="ADI385" s="11"/>
      <c r="ADJ385" s="11"/>
      <c r="ADK385" s="11"/>
      <c r="ADL385" s="11"/>
      <c r="ADM385" s="11"/>
      <c r="ADN385" s="11"/>
      <c r="ADO385" s="11"/>
      <c r="ADP385" s="11"/>
      <c r="ADQ385" s="11"/>
      <c r="ADR385" s="11"/>
      <c r="ADS385" s="11"/>
      <c r="ADT385" s="11"/>
      <c r="ADU385" s="11"/>
      <c r="ADV385" s="11"/>
      <c r="ADW385" s="11"/>
      <c r="ADX385" s="11"/>
      <c r="ADY385" s="11"/>
      <c r="ADZ385" s="11"/>
      <c r="AEA385" s="11"/>
      <c r="AEB385" s="11"/>
      <c r="AEC385" s="11"/>
      <c r="AED385" s="11"/>
      <c r="AEE385" s="11"/>
      <c r="AEF385" s="11"/>
      <c r="AEG385" s="11"/>
      <c r="AEH385" s="11"/>
      <c r="AEI385" s="11"/>
      <c r="AEJ385" s="11"/>
      <c r="AEK385" s="11"/>
      <c r="AEL385" s="11"/>
      <c r="AEM385" s="11"/>
      <c r="AEN385" s="11"/>
      <c r="AEO385" s="11"/>
      <c r="AEP385" s="11"/>
      <c r="AEQ385" s="11"/>
      <c r="AER385" s="11"/>
      <c r="AES385" s="11"/>
      <c r="AET385" s="11"/>
      <c r="AEU385" s="11"/>
      <c r="AEV385" s="11"/>
      <c r="AEW385" s="11"/>
      <c r="AEX385" s="11"/>
      <c r="AEY385" s="11"/>
      <c r="AEZ385" s="11"/>
      <c r="AFA385" s="11"/>
      <c r="AFB385" s="11"/>
      <c r="AFC385" s="11"/>
      <c r="AFD385" s="11"/>
      <c r="AFE385" s="11"/>
      <c r="AFF385" s="11"/>
      <c r="AFG385" s="11"/>
      <c r="AFH385" s="11"/>
      <c r="AFI385" s="11"/>
      <c r="AFJ385" s="11"/>
      <c r="AFK385" s="11"/>
      <c r="AFL385" s="11"/>
      <c r="AFM385" s="11"/>
      <c r="AFN385" s="11"/>
      <c r="AFO385" s="11"/>
      <c r="AFP385" s="11"/>
      <c r="AFQ385" s="11"/>
      <c r="AFR385" s="11"/>
      <c r="AFS385" s="11"/>
      <c r="AFT385" s="11"/>
      <c r="AFU385" s="11"/>
      <c r="AFV385" s="11"/>
      <c r="AFW385" s="11"/>
      <c r="AFX385" s="11"/>
      <c r="AFY385" s="11"/>
      <c r="AFZ385" s="11"/>
      <c r="AGA385" s="11"/>
      <c r="AGB385" s="11"/>
      <c r="AGC385" s="11"/>
      <c r="AGD385" s="11"/>
      <c r="AGE385" s="11"/>
      <c r="AGF385" s="11"/>
      <c r="AGG385" s="11"/>
      <c r="AGH385" s="11"/>
      <c r="AGI385" s="11"/>
      <c r="AGJ385" s="11"/>
      <c r="AGK385" s="11"/>
      <c r="AGL385" s="11"/>
      <c r="AGM385" s="11"/>
      <c r="AGN385" s="11"/>
      <c r="AGO385" s="11"/>
      <c r="AGP385" s="11"/>
      <c r="AGQ385" s="11"/>
      <c r="AGR385" s="11"/>
      <c r="AGS385" s="11"/>
      <c r="AGT385" s="11"/>
      <c r="AGU385" s="11"/>
      <c r="AGV385" s="11"/>
      <c r="AGW385" s="11"/>
      <c r="AGX385" s="11"/>
      <c r="AGY385" s="11"/>
      <c r="AGZ385" s="11"/>
      <c r="AHA385" s="11"/>
      <c r="AHB385" s="11"/>
      <c r="AHC385" s="11"/>
      <c r="AHD385" s="11"/>
      <c r="AHE385" s="11"/>
      <c r="AHF385" s="11"/>
      <c r="AHG385" s="11"/>
      <c r="AHH385" s="11"/>
      <c r="AHI385" s="11"/>
      <c r="AHJ385" s="11"/>
      <c r="AHK385" s="11"/>
      <c r="AHL385" s="11"/>
      <c r="AHM385" s="11"/>
      <c r="AHN385" s="11"/>
      <c r="AHO385" s="11"/>
      <c r="AHP385" s="11"/>
      <c r="AHQ385" s="11"/>
      <c r="AHR385" s="11"/>
      <c r="AHS385" s="11"/>
      <c r="AHT385" s="11"/>
      <c r="AHU385" s="11"/>
      <c r="AHV385" s="11"/>
      <c r="AHW385" s="11"/>
      <c r="AHX385" s="11"/>
      <c r="AHY385" s="11"/>
      <c r="AHZ385" s="11"/>
      <c r="AIA385" s="11"/>
      <c r="AIB385" s="11"/>
      <c r="AIC385" s="11"/>
      <c r="AID385" s="11"/>
      <c r="AIE385" s="11"/>
      <c r="AIF385" s="11"/>
      <c r="AIG385" s="11"/>
      <c r="AIH385" s="11"/>
      <c r="AII385" s="11"/>
      <c r="AIJ385" s="11"/>
      <c r="AIK385" s="11"/>
      <c r="AIL385" s="11"/>
      <c r="AIM385" s="11"/>
      <c r="AIN385" s="11"/>
      <c r="AIO385" s="11"/>
      <c r="AIP385" s="11"/>
      <c r="AIQ385" s="11"/>
      <c r="AIR385" s="11"/>
      <c r="AIS385" s="11"/>
      <c r="AIT385" s="11"/>
      <c r="AIU385" s="11"/>
      <c r="AIV385" s="11"/>
      <c r="AIW385" s="11"/>
      <c r="AIX385" s="11"/>
      <c r="AIY385" s="11"/>
      <c r="AIZ385" s="11"/>
      <c r="AJA385" s="11"/>
      <c r="AJB385" s="11"/>
      <c r="AJC385" s="11"/>
      <c r="AJD385" s="11"/>
      <c r="AJE385" s="11"/>
      <c r="AJF385" s="11"/>
      <c r="AJG385" s="11"/>
      <c r="AJH385" s="11"/>
      <c r="AJI385" s="11"/>
      <c r="AJJ385" s="11"/>
      <c r="AJK385" s="11"/>
      <c r="AJL385" s="11"/>
      <c r="AJM385" s="11"/>
      <c r="AJN385" s="11"/>
      <c r="AJO385" s="11"/>
      <c r="AJP385" s="11"/>
      <c r="AJQ385" s="11"/>
      <c r="AJR385" s="11"/>
      <c r="AJS385" s="11"/>
      <c r="AJT385" s="11"/>
      <c r="AJU385" s="11"/>
      <c r="AJV385" s="11"/>
      <c r="AJW385" s="11"/>
      <c r="AJX385" s="11"/>
      <c r="AJY385" s="11"/>
      <c r="AJZ385" s="11"/>
      <c r="AKA385" s="11"/>
      <c r="AKB385" s="11"/>
      <c r="AKC385" s="11"/>
      <c r="AKD385" s="11"/>
      <c r="AKE385" s="11"/>
      <c r="AKF385" s="11"/>
      <c r="AKG385" s="11"/>
      <c r="AKH385" s="11"/>
      <c r="AKI385" s="11"/>
      <c r="AKJ385" s="11"/>
      <c r="AKK385" s="11"/>
      <c r="AKL385" s="11"/>
      <c r="AKM385" s="11"/>
      <c r="AKN385" s="11"/>
      <c r="AKO385" s="11"/>
      <c r="AKP385" s="11"/>
      <c r="AKQ385" s="11"/>
      <c r="AKR385" s="11"/>
      <c r="AKS385" s="11"/>
      <c r="AKT385" s="11"/>
      <c r="AKU385" s="11"/>
      <c r="AKV385" s="11"/>
      <c r="AKW385" s="11"/>
      <c r="AKX385" s="11"/>
      <c r="AKY385" s="11"/>
      <c r="AKZ385" s="11"/>
      <c r="ALA385" s="11"/>
      <c r="ALB385" s="11"/>
      <c r="ALC385" s="11"/>
      <c r="ALD385" s="11"/>
      <c r="ALE385" s="11"/>
      <c r="ALF385" s="11"/>
      <c r="ALG385" s="11"/>
      <c r="ALH385" s="11"/>
      <c r="ALI385" s="11"/>
      <c r="ALJ385" s="11"/>
      <c r="ALK385" s="11"/>
      <c r="ALL385" s="11"/>
      <c r="ALM385" s="11"/>
      <c r="ALN385" s="11"/>
      <c r="ALO385" s="11"/>
      <c r="ALP385" s="11"/>
      <c r="ALQ385" s="11"/>
      <c r="ALR385" s="11"/>
      <c r="ALS385" s="11"/>
      <c r="ALT385" s="11"/>
      <c r="ALU385" s="11"/>
      <c r="ALV385" s="11"/>
      <c r="ALW385" s="11"/>
      <c r="ALX385" s="11"/>
      <c r="ALY385" s="11"/>
      <c r="ALZ385" s="11"/>
      <c r="AMA385" s="11"/>
      <c r="AMB385" s="11"/>
      <c r="AMC385" s="11"/>
      <c r="AMD385" s="11"/>
      <c r="AME385" s="11"/>
      <c r="AMF385" s="11"/>
      <c r="AMG385" s="11"/>
      <c r="AMH385" s="11"/>
      <c r="AMI385" s="11"/>
      <c r="AMJ385" s="11"/>
    </row>
    <row r="386" spans="1:1024" s="11" customFormat="1">
      <c r="A386" s="8" t="s">
        <v>390</v>
      </c>
      <c r="B386" s="8">
        <v>552071</v>
      </c>
      <c r="C386"/>
      <c r="D386" s="1">
        <v>14.34</v>
      </c>
      <c r="E386" s="8">
        <f>VLOOKUP(B386,Gesamtstunden_26!B:I,8,0)</f>
        <v>0</v>
      </c>
      <c r="F386" s="2">
        <f t="shared" ref="F386:F449" si="6">D386-E386</f>
        <v>14.34</v>
      </c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  <c r="CJ386"/>
      <c r="CK386"/>
      <c r="CL386"/>
      <c r="CM386"/>
      <c r="CN386"/>
      <c r="CO386"/>
      <c r="CP386"/>
      <c r="CQ386"/>
      <c r="CR386"/>
      <c r="CS386"/>
      <c r="CT386"/>
      <c r="CU386"/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  <c r="DQ386"/>
      <c r="DR386"/>
      <c r="DS386"/>
      <c r="DT386"/>
      <c r="DU386"/>
      <c r="DV386"/>
      <c r="DW386"/>
      <c r="DX386"/>
      <c r="DY386"/>
      <c r="DZ386"/>
      <c r="EA386"/>
      <c r="EB386"/>
      <c r="EC386"/>
      <c r="ED386"/>
      <c r="EE386"/>
      <c r="EF386"/>
      <c r="EG386"/>
      <c r="EH386"/>
      <c r="EI386"/>
      <c r="EJ386"/>
      <c r="EK386"/>
      <c r="EL386"/>
      <c r="EM386"/>
      <c r="EN386"/>
      <c r="EO386"/>
      <c r="EP386"/>
      <c r="EQ386"/>
      <c r="ER386"/>
      <c r="ES386"/>
      <c r="ET386"/>
      <c r="EU386"/>
      <c r="EV386"/>
      <c r="EW386"/>
      <c r="EX386"/>
      <c r="EY386"/>
      <c r="EZ386"/>
      <c r="FA386"/>
      <c r="FB386"/>
      <c r="FC386"/>
      <c r="FD386"/>
      <c r="FE386"/>
      <c r="FF386"/>
      <c r="FG386"/>
      <c r="FH386"/>
      <c r="FI386"/>
      <c r="FJ386"/>
      <c r="FK386"/>
      <c r="FL386"/>
      <c r="FM386"/>
      <c r="FN386"/>
      <c r="FO386"/>
      <c r="FP386"/>
      <c r="FQ386"/>
      <c r="FR386"/>
      <c r="FS386"/>
      <c r="FT386"/>
      <c r="FU386"/>
      <c r="FV386"/>
      <c r="FW386"/>
      <c r="FX386"/>
      <c r="FY386"/>
      <c r="FZ386"/>
      <c r="GA386"/>
      <c r="GB386"/>
      <c r="GC386"/>
      <c r="GD386"/>
      <c r="GE386"/>
      <c r="GF386"/>
      <c r="GG386"/>
      <c r="GH386"/>
      <c r="GI386"/>
      <c r="GJ386"/>
      <c r="GK386"/>
      <c r="GL386"/>
      <c r="GM386"/>
      <c r="GN386"/>
      <c r="GO386"/>
      <c r="GP386"/>
      <c r="GQ386"/>
      <c r="GR386"/>
      <c r="GS386"/>
      <c r="GT386"/>
      <c r="GU386"/>
      <c r="GV386"/>
      <c r="GW386"/>
      <c r="GX386"/>
      <c r="GY386"/>
      <c r="GZ386"/>
      <c r="HA386"/>
      <c r="HB386"/>
      <c r="HC386"/>
      <c r="HD386"/>
      <c r="HE386"/>
      <c r="HF386"/>
      <c r="HG386"/>
      <c r="HH386"/>
      <c r="HI386"/>
      <c r="HJ386"/>
      <c r="HK386"/>
      <c r="HL386"/>
      <c r="HM386"/>
      <c r="HN386"/>
      <c r="HO386"/>
      <c r="HP386"/>
      <c r="HQ386"/>
      <c r="HR386"/>
      <c r="HS386"/>
      <c r="HT386"/>
      <c r="HU386"/>
      <c r="HV386"/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  <c r="IW386"/>
      <c r="IX386"/>
      <c r="IY386"/>
      <c r="IZ386"/>
      <c r="JA386"/>
      <c r="JB386"/>
      <c r="JC386"/>
      <c r="JD386"/>
      <c r="JE386"/>
      <c r="JF386"/>
      <c r="JG386"/>
      <c r="JH386"/>
      <c r="JI386"/>
      <c r="JJ386"/>
      <c r="JK386"/>
      <c r="JL386"/>
      <c r="JM386"/>
      <c r="JN386"/>
      <c r="JO386"/>
      <c r="JP386"/>
      <c r="JQ386"/>
      <c r="JR386"/>
      <c r="JS386"/>
      <c r="JT386"/>
      <c r="JU386"/>
      <c r="JV386"/>
      <c r="JW386"/>
      <c r="JX386"/>
      <c r="JY386"/>
      <c r="JZ386"/>
      <c r="KA386"/>
      <c r="KB386"/>
      <c r="KC386"/>
      <c r="KD386"/>
      <c r="KE386"/>
      <c r="KF386"/>
      <c r="KG386"/>
      <c r="KH386"/>
      <c r="KI386"/>
      <c r="KJ386"/>
      <c r="KK386"/>
      <c r="KL386"/>
      <c r="KM386"/>
      <c r="KN386"/>
      <c r="KO386"/>
      <c r="KP386"/>
      <c r="KQ386"/>
      <c r="KR386"/>
      <c r="KS386"/>
      <c r="KT386"/>
      <c r="KU386"/>
      <c r="KV386"/>
      <c r="KW386"/>
      <c r="KX386"/>
      <c r="KY386"/>
      <c r="KZ386"/>
      <c r="LA386"/>
      <c r="LB386"/>
      <c r="LC386"/>
      <c r="LD386"/>
      <c r="LE386"/>
      <c r="LF386"/>
      <c r="LG386"/>
      <c r="LH386"/>
      <c r="LI386"/>
      <c r="LJ386"/>
      <c r="LK386"/>
      <c r="LL386"/>
      <c r="LM386"/>
      <c r="LN386"/>
      <c r="LO386"/>
      <c r="LP386"/>
      <c r="LQ386"/>
      <c r="LR386"/>
      <c r="LS386"/>
      <c r="LT386"/>
      <c r="LU386"/>
      <c r="LV386"/>
      <c r="LW386"/>
      <c r="LX386"/>
      <c r="LY386"/>
      <c r="LZ386"/>
      <c r="MA386"/>
      <c r="MB386"/>
      <c r="MC386"/>
      <c r="MD386"/>
      <c r="ME386"/>
      <c r="MF386"/>
      <c r="MG386"/>
      <c r="MH386"/>
      <c r="MI386"/>
      <c r="MJ386"/>
      <c r="MK386"/>
      <c r="ML386"/>
      <c r="MM386"/>
      <c r="MN386"/>
      <c r="MO386"/>
      <c r="MP386"/>
      <c r="MQ386"/>
      <c r="MR386"/>
      <c r="MS386"/>
      <c r="MT386"/>
      <c r="MU386"/>
      <c r="MV386"/>
      <c r="MW386"/>
      <c r="MX386"/>
      <c r="MY386"/>
      <c r="MZ386"/>
      <c r="NA386"/>
      <c r="NB386"/>
      <c r="NC386"/>
      <c r="ND386"/>
      <c r="NE386"/>
      <c r="NF386"/>
      <c r="NG386"/>
      <c r="NH386"/>
      <c r="NI386"/>
      <c r="NJ386"/>
      <c r="NK386"/>
      <c r="NL386"/>
      <c r="NM386"/>
      <c r="NN386"/>
      <c r="NO386"/>
      <c r="NP386"/>
      <c r="NQ386"/>
      <c r="NR386"/>
      <c r="NS386"/>
      <c r="NT386"/>
      <c r="NU386"/>
      <c r="NV386"/>
      <c r="NW386"/>
      <c r="NX386"/>
      <c r="NY386"/>
      <c r="NZ386"/>
      <c r="OA386"/>
      <c r="OB386"/>
      <c r="OC386"/>
      <c r="OD386"/>
      <c r="OE386"/>
      <c r="OF386"/>
      <c r="OG386"/>
      <c r="OH386"/>
      <c r="OI386"/>
      <c r="OJ386"/>
      <c r="OK386"/>
      <c r="OL386"/>
      <c r="OM386"/>
      <c r="ON386"/>
      <c r="OO386"/>
      <c r="OP386"/>
      <c r="OQ386"/>
      <c r="OR386"/>
      <c r="OS386"/>
      <c r="OT386"/>
      <c r="OU386"/>
      <c r="OV386"/>
      <c r="OW386"/>
      <c r="OX386"/>
      <c r="OY386"/>
      <c r="OZ386"/>
      <c r="PA386"/>
      <c r="PB386"/>
      <c r="PC386"/>
      <c r="PD386"/>
      <c r="PE386"/>
      <c r="PF386"/>
      <c r="PG386"/>
      <c r="PH386"/>
      <c r="PI386"/>
      <c r="PJ386"/>
      <c r="PK386"/>
      <c r="PL386"/>
      <c r="PM386"/>
      <c r="PN386"/>
      <c r="PO386"/>
      <c r="PP386"/>
      <c r="PQ386"/>
      <c r="PR386"/>
      <c r="PS386"/>
      <c r="PT386"/>
      <c r="PU386"/>
      <c r="PV386"/>
      <c r="PW386"/>
      <c r="PX386"/>
      <c r="PY386"/>
      <c r="PZ386"/>
      <c r="QA386"/>
      <c r="QB386"/>
      <c r="QC386"/>
      <c r="QD386"/>
      <c r="QE386"/>
      <c r="QF386"/>
      <c r="QG386"/>
      <c r="QH386"/>
      <c r="QI386"/>
      <c r="QJ386"/>
      <c r="QK386"/>
      <c r="QL386"/>
      <c r="QM386"/>
      <c r="QN386"/>
      <c r="QO386"/>
      <c r="QP386"/>
      <c r="QQ386"/>
      <c r="QR386"/>
      <c r="QS386"/>
      <c r="QT386"/>
      <c r="QU386"/>
      <c r="QV386"/>
      <c r="QW386"/>
      <c r="QX386"/>
      <c r="QY386"/>
      <c r="QZ386"/>
      <c r="RA386"/>
      <c r="RB386"/>
      <c r="RC386"/>
      <c r="RD386"/>
      <c r="RE386"/>
      <c r="RF386"/>
      <c r="RG386"/>
      <c r="RH386"/>
      <c r="RI386"/>
      <c r="RJ386"/>
      <c r="RK386"/>
      <c r="RL386"/>
      <c r="RM386"/>
      <c r="RN386"/>
      <c r="RO386"/>
      <c r="RP386"/>
      <c r="RQ386"/>
      <c r="RR386"/>
      <c r="RS386"/>
      <c r="RT386"/>
      <c r="RU386"/>
      <c r="RV386"/>
      <c r="RW386"/>
      <c r="RX386"/>
      <c r="RY386"/>
      <c r="RZ386"/>
      <c r="SA386"/>
      <c r="SB386"/>
      <c r="SC386"/>
      <c r="SD386"/>
      <c r="SE386"/>
      <c r="SF386"/>
      <c r="SG386"/>
      <c r="SH386"/>
      <c r="SI386"/>
      <c r="SJ386"/>
      <c r="SK386"/>
      <c r="SL386"/>
      <c r="SM386"/>
      <c r="SN386"/>
      <c r="SO386"/>
      <c r="SP386"/>
      <c r="SQ386"/>
      <c r="SR386"/>
      <c r="SS386"/>
      <c r="ST386"/>
      <c r="SU386"/>
      <c r="SV386"/>
      <c r="SW386"/>
      <c r="SX386"/>
      <c r="SY386"/>
      <c r="SZ386"/>
      <c r="TA386"/>
      <c r="TB386"/>
      <c r="TC386"/>
      <c r="TD386"/>
      <c r="TE386"/>
      <c r="TF386"/>
      <c r="TG386"/>
      <c r="TH386"/>
      <c r="TI386"/>
      <c r="TJ386"/>
      <c r="TK386"/>
      <c r="TL386"/>
      <c r="TM386"/>
      <c r="TN386"/>
      <c r="TO386"/>
      <c r="TP386"/>
      <c r="TQ386"/>
      <c r="TR386"/>
      <c r="TS386"/>
      <c r="TT386"/>
      <c r="TU386"/>
      <c r="TV386"/>
      <c r="TW386"/>
      <c r="TX386"/>
      <c r="TY386"/>
      <c r="TZ386"/>
      <c r="UA386"/>
      <c r="UB386"/>
      <c r="UC386"/>
      <c r="UD386"/>
      <c r="UE386"/>
      <c r="UF386"/>
      <c r="UG386"/>
      <c r="UH386"/>
      <c r="UI386"/>
      <c r="UJ386"/>
      <c r="UK386"/>
      <c r="UL386"/>
      <c r="UM386"/>
      <c r="UN386"/>
      <c r="UO386"/>
      <c r="UP386"/>
      <c r="UQ386"/>
      <c r="UR386"/>
      <c r="US386"/>
      <c r="UT386"/>
      <c r="UU386"/>
      <c r="UV386"/>
      <c r="UW386"/>
      <c r="UX386"/>
      <c r="UY386"/>
      <c r="UZ386"/>
      <c r="VA386"/>
      <c r="VB386"/>
      <c r="VC386"/>
      <c r="VD386"/>
      <c r="VE386"/>
      <c r="VF386"/>
      <c r="VG386"/>
      <c r="VH386"/>
      <c r="VI386"/>
      <c r="VJ386"/>
      <c r="VK386"/>
      <c r="VL386"/>
      <c r="VM386"/>
      <c r="VN386"/>
      <c r="VO386"/>
      <c r="VP386"/>
      <c r="VQ386"/>
      <c r="VR386"/>
      <c r="VS386"/>
      <c r="VT386"/>
      <c r="VU386"/>
      <c r="VV386"/>
      <c r="VW386"/>
      <c r="VX386"/>
      <c r="VY386"/>
      <c r="VZ386"/>
      <c r="WA386"/>
      <c r="WB386"/>
      <c r="WC386"/>
      <c r="WD386"/>
      <c r="WE386"/>
      <c r="WF386"/>
      <c r="WG386"/>
      <c r="WH386"/>
      <c r="WI386"/>
      <c r="WJ386"/>
      <c r="WK386"/>
      <c r="WL386"/>
      <c r="WM386"/>
      <c r="WN386"/>
      <c r="WO386"/>
      <c r="WP386"/>
      <c r="WQ386"/>
      <c r="WR386"/>
      <c r="WS386"/>
      <c r="WT386"/>
      <c r="WU386"/>
      <c r="WV386"/>
      <c r="WW386"/>
      <c r="WX386"/>
      <c r="WY386"/>
      <c r="WZ386"/>
      <c r="XA386"/>
      <c r="XB386"/>
      <c r="XC386"/>
      <c r="XD386"/>
      <c r="XE386"/>
      <c r="XF386"/>
      <c r="XG386"/>
      <c r="XH386"/>
      <c r="XI386"/>
      <c r="XJ386"/>
      <c r="XK386"/>
      <c r="XL386"/>
      <c r="XM386"/>
      <c r="XN386"/>
      <c r="XO386"/>
      <c r="XP386"/>
      <c r="XQ386"/>
      <c r="XR386"/>
      <c r="XS386"/>
      <c r="XT386"/>
      <c r="XU386"/>
      <c r="XV386"/>
      <c r="XW386"/>
      <c r="XX386"/>
      <c r="XY386"/>
      <c r="XZ386"/>
      <c r="YA386"/>
      <c r="YB386"/>
      <c r="YC386"/>
      <c r="YD386"/>
      <c r="YE386"/>
      <c r="YF386"/>
      <c r="YG386"/>
      <c r="YH386"/>
      <c r="YI386"/>
      <c r="YJ386"/>
      <c r="YK386"/>
      <c r="YL386"/>
      <c r="YM386"/>
      <c r="YN386"/>
      <c r="YO386"/>
      <c r="YP386"/>
      <c r="YQ386"/>
      <c r="YR386"/>
      <c r="YS386"/>
      <c r="YT386"/>
      <c r="YU386"/>
      <c r="YV386"/>
      <c r="YW386"/>
      <c r="YX386"/>
      <c r="YY386"/>
      <c r="YZ386"/>
      <c r="ZA386"/>
      <c r="ZB386"/>
      <c r="ZC386"/>
      <c r="ZD386"/>
      <c r="ZE386"/>
      <c r="ZF386"/>
      <c r="ZG386"/>
      <c r="ZH386"/>
      <c r="ZI386"/>
      <c r="ZJ386"/>
      <c r="ZK386"/>
      <c r="ZL386"/>
      <c r="ZM386"/>
      <c r="ZN386"/>
      <c r="ZO386"/>
      <c r="ZP386"/>
      <c r="ZQ386"/>
      <c r="ZR386"/>
      <c r="ZS386"/>
      <c r="ZT386"/>
      <c r="ZU386"/>
      <c r="ZV386"/>
      <c r="ZW386"/>
      <c r="ZX386"/>
      <c r="ZY386"/>
      <c r="ZZ386"/>
      <c r="AAA386"/>
      <c r="AAB386"/>
      <c r="AAC386"/>
      <c r="AAD386"/>
      <c r="AAE386"/>
      <c r="AAF386"/>
      <c r="AAG386"/>
      <c r="AAH386"/>
      <c r="AAI386"/>
      <c r="AAJ386"/>
      <c r="AAK386"/>
      <c r="AAL386"/>
      <c r="AAM386"/>
      <c r="AAN386"/>
      <c r="AAO386"/>
      <c r="AAP386"/>
      <c r="AAQ386"/>
      <c r="AAR386"/>
      <c r="AAS386"/>
      <c r="AAT386"/>
      <c r="AAU386"/>
      <c r="AAV386"/>
      <c r="AAW386"/>
      <c r="AAX386"/>
      <c r="AAY386"/>
      <c r="AAZ386"/>
      <c r="ABA386"/>
      <c r="ABB386"/>
      <c r="ABC386"/>
      <c r="ABD386"/>
      <c r="ABE386"/>
      <c r="ABF386"/>
      <c r="ABG386"/>
      <c r="ABH386"/>
      <c r="ABI386"/>
      <c r="ABJ386"/>
      <c r="ABK386"/>
      <c r="ABL386"/>
      <c r="ABM386"/>
      <c r="ABN386"/>
      <c r="ABO386"/>
      <c r="ABP386"/>
      <c r="ABQ386"/>
      <c r="ABR386"/>
      <c r="ABS386"/>
      <c r="ABT386"/>
      <c r="ABU386"/>
      <c r="ABV386"/>
      <c r="ABW386"/>
      <c r="ABX386"/>
      <c r="ABY386"/>
      <c r="ABZ386"/>
      <c r="ACA386"/>
      <c r="ACB386"/>
      <c r="ACC386"/>
      <c r="ACD386"/>
      <c r="ACE386"/>
      <c r="ACF386"/>
      <c r="ACG386"/>
      <c r="ACH386"/>
      <c r="ACI386"/>
      <c r="ACJ386"/>
      <c r="ACK386"/>
      <c r="ACL386"/>
      <c r="ACM386"/>
      <c r="ACN386"/>
      <c r="ACO386"/>
      <c r="ACP386"/>
      <c r="ACQ386"/>
      <c r="ACR386"/>
      <c r="ACS386"/>
      <c r="ACT386"/>
      <c r="ACU386"/>
      <c r="ACV386"/>
      <c r="ACW386"/>
      <c r="ACX386"/>
      <c r="ACY386"/>
      <c r="ACZ386"/>
      <c r="ADA386"/>
      <c r="ADB386"/>
      <c r="ADC386"/>
      <c r="ADD386"/>
      <c r="ADE386"/>
      <c r="ADF386"/>
      <c r="ADG386"/>
      <c r="ADH386"/>
      <c r="ADI386"/>
      <c r="ADJ386"/>
      <c r="ADK386"/>
      <c r="ADL386"/>
      <c r="ADM386"/>
      <c r="ADN386"/>
      <c r="ADO386"/>
      <c r="ADP386"/>
      <c r="ADQ386"/>
      <c r="ADR386"/>
      <c r="ADS386"/>
      <c r="ADT386"/>
      <c r="ADU386"/>
      <c r="ADV386"/>
      <c r="ADW386"/>
      <c r="ADX386"/>
      <c r="ADY386"/>
      <c r="ADZ386"/>
      <c r="AEA386"/>
      <c r="AEB386"/>
      <c r="AEC386"/>
      <c r="AED386"/>
      <c r="AEE386"/>
      <c r="AEF386"/>
      <c r="AEG386"/>
      <c r="AEH386"/>
      <c r="AEI386"/>
      <c r="AEJ386"/>
      <c r="AEK386"/>
      <c r="AEL386"/>
      <c r="AEM386"/>
      <c r="AEN386"/>
      <c r="AEO386"/>
      <c r="AEP386"/>
      <c r="AEQ386"/>
      <c r="AER386"/>
      <c r="AES386"/>
      <c r="AET386"/>
      <c r="AEU386"/>
      <c r="AEV386"/>
      <c r="AEW386"/>
      <c r="AEX386"/>
      <c r="AEY386"/>
      <c r="AEZ386"/>
      <c r="AFA386"/>
      <c r="AFB386"/>
      <c r="AFC386"/>
      <c r="AFD386"/>
      <c r="AFE386"/>
      <c r="AFF386"/>
      <c r="AFG386"/>
      <c r="AFH386"/>
      <c r="AFI386"/>
      <c r="AFJ386"/>
      <c r="AFK386"/>
      <c r="AFL386"/>
      <c r="AFM386"/>
      <c r="AFN386"/>
      <c r="AFO386"/>
      <c r="AFP386"/>
      <c r="AFQ386"/>
      <c r="AFR386"/>
      <c r="AFS386"/>
      <c r="AFT386"/>
      <c r="AFU386"/>
      <c r="AFV386"/>
      <c r="AFW386"/>
      <c r="AFX386"/>
      <c r="AFY386"/>
      <c r="AFZ386"/>
      <c r="AGA386"/>
      <c r="AGB386"/>
      <c r="AGC386"/>
      <c r="AGD386"/>
      <c r="AGE386"/>
      <c r="AGF386"/>
      <c r="AGG386"/>
      <c r="AGH386"/>
      <c r="AGI386"/>
      <c r="AGJ386"/>
      <c r="AGK386"/>
      <c r="AGL386"/>
      <c r="AGM386"/>
      <c r="AGN386"/>
      <c r="AGO386"/>
      <c r="AGP386"/>
      <c r="AGQ386"/>
      <c r="AGR386"/>
      <c r="AGS386"/>
      <c r="AGT386"/>
      <c r="AGU386"/>
      <c r="AGV386"/>
      <c r="AGW386"/>
      <c r="AGX386"/>
      <c r="AGY386"/>
      <c r="AGZ386"/>
      <c r="AHA386"/>
      <c r="AHB386"/>
      <c r="AHC386"/>
      <c r="AHD386"/>
      <c r="AHE386"/>
      <c r="AHF386"/>
      <c r="AHG386"/>
      <c r="AHH386"/>
      <c r="AHI386"/>
      <c r="AHJ386"/>
      <c r="AHK386"/>
      <c r="AHL386"/>
      <c r="AHM386"/>
      <c r="AHN386"/>
      <c r="AHO386"/>
      <c r="AHP386"/>
      <c r="AHQ386"/>
      <c r="AHR386"/>
      <c r="AHS386"/>
      <c r="AHT386"/>
      <c r="AHU386"/>
      <c r="AHV386"/>
      <c r="AHW386"/>
      <c r="AHX386"/>
      <c r="AHY386"/>
      <c r="AHZ386"/>
      <c r="AIA386"/>
      <c r="AIB386"/>
      <c r="AIC386"/>
      <c r="AID386"/>
      <c r="AIE386"/>
      <c r="AIF386"/>
      <c r="AIG386"/>
      <c r="AIH386"/>
      <c r="AII386"/>
      <c r="AIJ386"/>
      <c r="AIK386"/>
      <c r="AIL386"/>
      <c r="AIM386"/>
      <c r="AIN386"/>
      <c r="AIO386"/>
      <c r="AIP386"/>
      <c r="AIQ386"/>
      <c r="AIR386"/>
      <c r="AIS386"/>
      <c r="AIT386"/>
      <c r="AIU386"/>
      <c r="AIV386"/>
      <c r="AIW386"/>
      <c r="AIX386"/>
      <c r="AIY386"/>
      <c r="AIZ386"/>
      <c r="AJA386"/>
      <c r="AJB386"/>
      <c r="AJC386"/>
      <c r="AJD386"/>
      <c r="AJE386"/>
      <c r="AJF386"/>
      <c r="AJG386"/>
      <c r="AJH386"/>
      <c r="AJI386"/>
      <c r="AJJ386"/>
      <c r="AJK386"/>
      <c r="AJL386"/>
      <c r="AJM386"/>
      <c r="AJN386"/>
      <c r="AJO386"/>
      <c r="AJP386"/>
      <c r="AJQ386"/>
      <c r="AJR386"/>
      <c r="AJS386"/>
      <c r="AJT386"/>
      <c r="AJU386"/>
      <c r="AJV386"/>
      <c r="AJW386"/>
      <c r="AJX386"/>
      <c r="AJY386"/>
      <c r="AJZ386"/>
      <c r="AKA386"/>
      <c r="AKB386"/>
      <c r="AKC386"/>
      <c r="AKD386"/>
      <c r="AKE386"/>
      <c r="AKF386"/>
      <c r="AKG386"/>
      <c r="AKH386"/>
      <c r="AKI386"/>
      <c r="AKJ386"/>
      <c r="AKK386"/>
      <c r="AKL386"/>
      <c r="AKM386"/>
      <c r="AKN386"/>
      <c r="AKO386"/>
      <c r="AKP386"/>
      <c r="AKQ386"/>
      <c r="AKR386"/>
      <c r="AKS386"/>
      <c r="AKT386"/>
      <c r="AKU386"/>
      <c r="AKV386"/>
      <c r="AKW386"/>
      <c r="AKX386"/>
      <c r="AKY386"/>
      <c r="AKZ386"/>
      <c r="ALA386"/>
      <c r="ALB386"/>
      <c r="ALC386"/>
      <c r="ALD386"/>
      <c r="ALE386"/>
      <c r="ALF386"/>
      <c r="ALG386"/>
      <c r="ALH386"/>
      <c r="ALI386"/>
      <c r="ALJ386"/>
      <c r="ALK386"/>
      <c r="ALL386"/>
      <c r="ALM386"/>
      <c r="ALN386"/>
      <c r="ALO386"/>
      <c r="ALP386"/>
      <c r="ALQ386"/>
      <c r="ALR386"/>
      <c r="ALS386"/>
      <c r="ALT386"/>
      <c r="ALU386"/>
      <c r="ALV386"/>
      <c r="ALW386"/>
      <c r="ALX386"/>
      <c r="ALY386"/>
      <c r="ALZ386"/>
      <c r="AMA386"/>
      <c r="AMB386"/>
      <c r="AMC386"/>
      <c r="AMD386"/>
      <c r="AME386"/>
      <c r="AMF386"/>
      <c r="AMG386"/>
      <c r="AMH386"/>
      <c r="AMI386"/>
      <c r="AMJ386"/>
    </row>
    <row r="387" spans="1:1024">
      <c r="A387" s="7" t="s">
        <v>391</v>
      </c>
      <c r="B387" s="7">
        <v>75350</v>
      </c>
      <c r="C387" s="11"/>
      <c r="D387" s="12">
        <v>5.6666666666666696</v>
      </c>
      <c r="E387" s="7">
        <f>VLOOKUP(B387,Gesamtstunden_26!B:I,8,0)</f>
        <v>6</v>
      </c>
      <c r="F387" s="13">
        <f t="shared" si="6"/>
        <v>-0.33333333333333037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  <c r="BJ387" s="11"/>
      <c r="BK387" s="11"/>
      <c r="BL387" s="11"/>
      <c r="BM387" s="11"/>
      <c r="BN387" s="11"/>
      <c r="BO387" s="11"/>
      <c r="BP387" s="11"/>
      <c r="BQ387" s="11"/>
      <c r="BR387" s="11"/>
      <c r="BS387" s="11"/>
      <c r="BT387" s="11"/>
      <c r="BU387" s="11"/>
      <c r="BV387" s="11"/>
      <c r="BW387" s="11"/>
      <c r="BX387" s="11"/>
      <c r="BY387" s="11"/>
      <c r="BZ387" s="11"/>
      <c r="CA387" s="11"/>
      <c r="CB387" s="11"/>
      <c r="CC387" s="11"/>
      <c r="CD387" s="11"/>
      <c r="CE387" s="11"/>
      <c r="CF387" s="11"/>
      <c r="CG387" s="11"/>
      <c r="CH387" s="11"/>
      <c r="CI387" s="11"/>
      <c r="CJ387" s="11"/>
      <c r="CK387" s="11"/>
      <c r="CL387" s="11"/>
      <c r="CM387" s="11"/>
      <c r="CN387" s="11"/>
      <c r="CO387" s="11"/>
      <c r="CP387" s="11"/>
      <c r="CQ387" s="11"/>
      <c r="CR387" s="11"/>
      <c r="CS387" s="11"/>
      <c r="CT387" s="11"/>
      <c r="CU387" s="11"/>
      <c r="CV387" s="11"/>
      <c r="CW387" s="11"/>
      <c r="CX387" s="11"/>
      <c r="CY387" s="11"/>
      <c r="CZ387" s="11"/>
      <c r="DA387" s="11"/>
      <c r="DB387" s="11"/>
      <c r="DC387" s="11"/>
      <c r="DD387" s="11"/>
      <c r="DE387" s="11"/>
      <c r="DF387" s="11"/>
      <c r="DG387" s="11"/>
      <c r="DH387" s="11"/>
      <c r="DI387" s="11"/>
      <c r="DJ387" s="11"/>
      <c r="DK387" s="11"/>
      <c r="DL387" s="11"/>
      <c r="DM387" s="11"/>
      <c r="DN387" s="11"/>
      <c r="DO387" s="11"/>
      <c r="DP387" s="11"/>
      <c r="DQ387" s="11"/>
      <c r="DR387" s="11"/>
      <c r="DS387" s="11"/>
      <c r="DT387" s="11"/>
      <c r="DU387" s="11"/>
      <c r="DV387" s="11"/>
      <c r="DW387" s="11"/>
      <c r="DX387" s="11"/>
      <c r="DY387" s="11"/>
      <c r="DZ387" s="11"/>
      <c r="EA387" s="11"/>
      <c r="EB387" s="11"/>
      <c r="EC387" s="11"/>
      <c r="ED387" s="11"/>
      <c r="EE387" s="11"/>
      <c r="EF387" s="11"/>
      <c r="EG387" s="11"/>
      <c r="EH387" s="11"/>
      <c r="EI387" s="11"/>
      <c r="EJ387" s="11"/>
      <c r="EK387" s="11"/>
      <c r="EL387" s="11"/>
      <c r="EM387" s="11"/>
      <c r="EN387" s="11"/>
      <c r="EO387" s="11"/>
      <c r="EP387" s="11"/>
      <c r="EQ387" s="11"/>
      <c r="ER387" s="11"/>
      <c r="ES387" s="11"/>
      <c r="ET387" s="11"/>
      <c r="EU387" s="11"/>
      <c r="EV387" s="11"/>
      <c r="EW387" s="11"/>
      <c r="EX387" s="11"/>
      <c r="EY387" s="11"/>
      <c r="EZ387" s="11"/>
      <c r="FA387" s="11"/>
      <c r="FB387" s="11"/>
      <c r="FC387" s="11"/>
      <c r="FD387" s="11"/>
      <c r="FE387" s="11"/>
      <c r="FF387" s="11"/>
      <c r="FG387" s="11"/>
      <c r="FH387" s="11"/>
      <c r="FI387" s="11"/>
      <c r="FJ387" s="11"/>
      <c r="FK387" s="11"/>
      <c r="FL387" s="11"/>
      <c r="FM387" s="11"/>
      <c r="FN387" s="11"/>
      <c r="FO387" s="11"/>
      <c r="FP387" s="11"/>
      <c r="FQ387" s="11"/>
      <c r="FR387" s="11"/>
      <c r="FS387" s="11"/>
      <c r="FT387" s="11"/>
      <c r="FU387" s="11"/>
      <c r="FV387" s="11"/>
      <c r="FW387" s="11"/>
      <c r="FX387" s="11"/>
      <c r="FY387" s="11"/>
      <c r="FZ387" s="11"/>
      <c r="GA387" s="11"/>
      <c r="GB387" s="11"/>
      <c r="GC387" s="11"/>
      <c r="GD387" s="11"/>
      <c r="GE387" s="11"/>
      <c r="GF387" s="11"/>
      <c r="GG387" s="11"/>
      <c r="GH387" s="11"/>
      <c r="GI387" s="11"/>
      <c r="GJ387" s="11"/>
      <c r="GK387" s="11"/>
      <c r="GL387" s="11"/>
      <c r="GM387" s="11"/>
      <c r="GN387" s="11"/>
      <c r="GO387" s="11"/>
      <c r="GP387" s="11"/>
      <c r="GQ387" s="11"/>
      <c r="GR387" s="11"/>
      <c r="GS387" s="11"/>
      <c r="GT387" s="11"/>
      <c r="GU387" s="11"/>
      <c r="GV387" s="11"/>
      <c r="GW387" s="11"/>
      <c r="GX387" s="11"/>
      <c r="GY387" s="11"/>
      <c r="GZ387" s="11"/>
      <c r="HA387" s="11"/>
      <c r="HB387" s="11"/>
      <c r="HC387" s="11"/>
      <c r="HD387" s="11"/>
      <c r="HE387" s="11"/>
      <c r="HF387" s="11"/>
      <c r="HG387" s="11"/>
      <c r="HH387" s="11"/>
      <c r="HI387" s="11"/>
      <c r="HJ387" s="11"/>
      <c r="HK387" s="11"/>
      <c r="HL387" s="11"/>
      <c r="HM387" s="11"/>
      <c r="HN387" s="11"/>
      <c r="HO387" s="11"/>
      <c r="HP387" s="11"/>
      <c r="HQ387" s="11"/>
      <c r="HR387" s="11"/>
      <c r="HS387" s="11"/>
      <c r="HT387" s="11"/>
      <c r="HU387" s="11"/>
      <c r="HV387" s="11"/>
      <c r="HW387" s="11"/>
      <c r="HX387" s="11"/>
      <c r="HY387" s="11"/>
      <c r="HZ387" s="11"/>
      <c r="IA387" s="11"/>
      <c r="IB387" s="11"/>
      <c r="IC387" s="11"/>
      <c r="ID387" s="11"/>
      <c r="IE387" s="11"/>
      <c r="IF387" s="11"/>
      <c r="IG387" s="11"/>
      <c r="IH387" s="11"/>
      <c r="II387" s="11"/>
      <c r="IJ387" s="11"/>
      <c r="IK387" s="11"/>
      <c r="IL387" s="11"/>
      <c r="IM387" s="11"/>
      <c r="IN387" s="11"/>
      <c r="IO387" s="11"/>
      <c r="IP387" s="11"/>
      <c r="IQ387" s="11"/>
      <c r="IR387" s="11"/>
      <c r="IS387" s="11"/>
      <c r="IT387" s="11"/>
      <c r="IU387" s="11"/>
      <c r="IV387" s="11"/>
      <c r="IW387" s="11"/>
      <c r="IX387" s="11"/>
      <c r="IY387" s="11"/>
      <c r="IZ387" s="11"/>
      <c r="JA387" s="11"/>
      <c r="JB387" s="11"/>
      <c r="JC387" s="11"/>
      <c r="JD387" s="11"/>
      <c r="JE387" s="11"/>
      <c r="JF387" s="11"/>
      <c r="JG387" s="11"/>
      <c r="JH387" s="11"/>
      <c r="JI387" s="11"/>
      <c r="JJ387" s="11"/>
      <c r="JK387" s="11"/>
      <c r="JL387" s="11"/>
      <c r="JM387" s="11"/>
      <c r="JN387" s="11"/>
      <c r="JO387" s="11"/>
      <c r="JP387" s="11"/>
      <c r="JQ387" s="11"/>
      <c r="JR387" s="11"/>
      <c r="JS387" s="11"/>
      <c r="JT387" s="11"/>
      <c r="JU387" s="11"/>
      <c r="JV387" s="11"/>
      <c r="JW387" s="11"/>
      <c r="JX387" s="11"/>
      <c r="JY387" s="11"/>
      <c r="JZ387" s="11"/>
      <c r="KA387" s="11"/>
      <c r="KB387" s="11"/>
      <c r="KC387" s="11"/>
      <c r="KD387" s="11"/>
      <c r="KE387" s="11"/>
      <c r="KF387" s="11"/>
      <c r="KG387" s="11"/>
      <c r="KH387" s="11"/>
      <c r="KI387" s="11"/>
      <c r="KJ387" s="11"/>
      <c r="KK387" s="11"/>
      <c r="KL387" s="11"/>
      <c r="KM387" s="11"/>
      <c r="KN387" s="11"/>
      <c r="KO387" s="11"/>
      <c r="KP387" s="11"/>
      <c r="KQ387" s="11"/>
      <c r="KR387" s="11"/>
      <c r="KS387" s="11"/>
      <c r="KT387" s="11"/>
      <c r="KU387" s="11"/>
      <c r="KV387" s="11"/>
      <c r="KW387" s="11"/>
      <c r="KX387" s="11"/>
      <c r="KY387" s="11"/>
      <c r="KZ387" s="11"/>
      <c r="LA387" s="11"/>
      <c r="LB387" s="11"/>
      <c r="LC387" s="11"/>
      <c r="LD387" s="11"/>
      <c r="LE387" s="11"/>
      <c r="LF387" s="11"/>
      <c r="LG387" s="11"/>
      <c r="LH387" s="11"/>
      <c r="LI387" s="11"/>
      <c r="LJ387" s="11"/>
      <c r="LK387" s="11"/>
      <c r="LL387" s="11"/>
      <c r="LM387" s="11"/>
      <c r="LN387" s="11"/>
      <c r="LO387" s="11"/>
      <c r="LP387" s="11"/>
      <c r="LQ387" s="11"/>
      <c r="LR387" s="11"/>
      <c r="LS387" s="11"/>
      <c r="LT387" s="11"/>
      <c r="LU387" s="11"/>
      <c r="LV387" s="11"/>
      <c r="LW387" s="11"/>
      <c r="LX387" s="11"/>
      <c r="LY387" s="11"/>
      <c r="LZ387" s="11"/>
      <c r="MA387" s="11"/>
      <c r="MB387" s="11"/>
      <c r="MC387" s="11"/>
      <c r="MD387" s="11"/>
      <c r="ME387" s="11"/>
      <c r="MF387" s="11"/>
      <c r="MG387" s="11"/>
      <c r="MH387" s="11"/>
      <c r="MI387" s="11"/>
      <c r="MJ387" s="11"/>
      <c r="MK387" s="11"/>
      <c r="ML387" s="11"/>
      <c r="MM387" s="11"/>
      <c r="MN387" s="11"/>
      <c r="MO387" s="11"/>
      <c r="MP387" s="11"/>
      <c r="MQ387" s="11"/>
      <c r="MR387" s="11"/>
      <c r="MS387" s="11"/>
      <c r="MT387" s="11"/>
      <c r="MU387" s="11"/>
      <c r="MV387" s="11"/>
      <c r="MW387" s="11"/>
      <c r="MX387" s="11"/>
      <c r="MY387" s="11"/>
      <c r="MZ387" s="11"/>
      <c r="NA387" s="11"/>
      <c r="NB387" s="11"/>
      <c r="NC387" s="11"/>
      <c r="ND387" s="11"/>
      <c r="NE387" s="11"/>
      <c r="NF387" s="11"/>
      <c r="NG387" s="11"/>
      <c r="NH387" s="11"/>
      <c r="NI387" s="11"/>
      <c r="NJ387" s="11"/>
      <c r="NK387" s="11"/>
      <c r="NL387" s="11"/>
      <c r="NM387" s="11"/>
      <c r="NN387" s="11"/>
      <c r="NO387" s="11"/>
      <c r="NP387" s="11"/>
      <c r="NQ387" s="11"/>
      <c r="NR387" s="11"/>
      <c r="NS387" s="11"/>
      <c r="NT387" s="11"/>
      <c r="NU387" s="11"/>
      <c r="NV387" s="11"/>
      <c r="NW387" s="11"/>
      <c r="NX387" s="11"/>
      <c r="NY387" s="11"/>
      <c r="NZ387" s="11"/>
      <c r="OA387" s="11"/>
      <c r="OB387" s="11"/>
      <c r="OC387" s="11"/>
      <c r="OD387" s="11"/>
      <c r="OE387" s="11"/>
      <c r="OF387" s="11"/>
      <c r="OG387" s="11"/>
      <c r="OH387" s="11"/>
      <c r="OI387" s="11"/>
      <c r="OJ387" s="11"/>
      <c r="OK387" s="11"/>
      <c r="OL387" s="11"/>
      <c r="OM387" s="11"/>
      <c r="ON387" s="11"/>
      <c r="OO387" s="11"/>
      <c r="OP387" s="11"/>
      <c r="OQ387" s="11"/>
      <c r="OR387" s="11"/>
      <c r="OS387" s="11"/>
      <c r="OT387" s="11"/>
      <c r="OU387" s="11"/>
      <c r="OV387" s="11"/>
      <c r="OW387" s="11"/>
      <c r="OX387" s="11"/>
      <c r="OY387" s="11"/>
      <c r="OZ387" s="11"/>
      <c r="PA387" s="11"/>
      <c r="PB387" s="11"/>
      <c r="PC387" s="11"/>
      <c r="PD387" s="11"/>
      <c r="PE387" s="11"/>
      <c r="PF387" s="11"/>
      <c r="PG387" s="11"/>
      <c r="PH387" s="11"/>
      <c r="PI387" s="11"/>
      <c r="PJ387" s="11"/>
      <c r="PK387" s="11"/>
      <c r="PL387" s="11"/>
      <c r="PM387" s="11"/>
      <c r="PN387" s="11"/>
      <c r="PO387" s="11"/>
      <c r="PP387" s="11"/>
      <c r="PQ387" s="11"/>
      <c r="PR387" s="11"/>
      <c r="PS387" s="11"/>
      <c r="PT387" s="11"/>
      <c r="PU387" s="11"/>
      <c r="PV387" s="11"/>
      <c r="PW387" s="11"/>
      <c r="PX387" s="11"/>
      <c r="PY387" s="11"/>
      <c r="PZ387" s="11"/>
      <c r="QA387" s="11"/>
      <c r="QB387" s="11"/>
      <c r="QC387" s="11"/>
      <c r="QD387" s="11"/>
      <c r="QE387" s="11"/>
      <c r="QF387" s="11"/>
      <c r="QG387" s="11"/>
      <c r="QH387" s="11"/>
      <c r="QI387" s="11"/>
      <c r="QJ387" s="11"/>
      <c r="QK387" s="11"/>
      <c r="QL387" s="11"/>
      <c r="QM387" s="11"/>
      <c r="QN387" s="11"/>
      <c r="QO387" s="11"/>
      <c r="QP387" s="11"/>
      <c r="QQ387" s="11"/>
      <c r="QR387" s="11"/>
      <c r="QS387" s="11"/>
      <c r="QT387" s="11"/>
      <c r="QU387" s="11"/>
      <c r="QV387" s="11"/>
      <c r="QW387" s="11"/>
      <c r="QX387" s="11"/>
      <c r="QY387" s="11"/>
      <c r="QZ387" s="11"/>
      <c r="RA387" s="11"/>
      <c r="RB387" s="11"/>
      <c r="RC387" s="11"/>
      <c r="RD387" s="11"/>
      <c r="RE387" s="11"/>
      <c r="RF387" s="11"/>
      <c r="RG387" s="11"/>
      <c r="RH387" s="11"/>
      <c r="RI387" s="11"/>
      <c r="RJ387" s="11"/>
      <c r="RK387" s="11"/>
      <c r="RL387" s="11"/>
      <c r="RM387" s="11"/>
      <c r="RN387" s="11"/>
      <c r="RO387" s="11"/>
      <c r="RP387" s="11"/>
      <c r="RQ387" s="11"/>
      <c r="RR387" s="11"/>
      <c r="RS387" s="11"/>
      <c r="RT387" s="11"/>
      <c r="RU387" s="11"/>
      <c r="RV387" s="11"/>
      <c r="RW387" s="11"/>
      <c r="RX387" s="11"/>
      <c r="RY387" s="11"/>
      <c r="RZ387" s="11"/>
      <c r="SA387" s="11"/>
      <c r="SB387" s="11"/>
      <c r="SC387" s="11"/>
      <c r="SD387" s="11"/>
      <c r="SE387" s="11"/>
      <c r="SF387" s="11"/>
      <c r="SG387" s="11"/>
      <c r="SH387" s="11"/>
      <c r="SI387" s="11"/>
      <c r="SJ387" s="11"/>
      <c r="SK387" s="11"/>
      <c r="SL387" s="11"/>
      <c r="SM387" s="11"/>
      <c r="SN387" s="11"/>
      <c r="SO387" s="11"/>
      <c r="SP387" s="11"/>
      <c r="SQ387" s="11"/>
      <c r="SR387" s="11"/>
      <c r="SS387" s="11"/>
      <c r="ST387" s="11"/>
      <c r="SU387" s="11"/>
      <c r="SV387" s="11"/>
      <c r="SW387" s="11"/>
      <c r="SX387" s="11"/>
      <c r="SY387" s="11"/>
      <c r="SZ387" s="11"/>
      <c r="TA387" s="11"/>
      <c r="TB387" s="11"/>
      <c r="TC387" s="11"/>
      <c r="TD387" s="11"/>
      <c r="TE387" s="11"/>
      <c r="TF387" s="11"/>
      <c r="TG387" s="11"/>
      <c r="TH387" s="11"/>
      <c r="TI387" s="11"/>
      <c r="TJ387" s="11"/>
      <c r="TK387" s="11"/>
      <c r="TL387" s="11"/>
      <c r="TM387" s="11"/>
      <c r="TN387" s="11"/>
      <c r="TO387" s="11"/>
      <c r="TP387" s="11"/>
      <c r="TQ387" s="11"/>
      <c r="TR387" s="11"/>
      <c r="TS387" s="11"/>
      <c r="TT387" s="11"/>
      <c r="TU387" s="11"/>
      <c r="TV387" s="11"/>
      <c r="TW387" s="11"/>
      <c r="TX387" s="11"/>
      <c r="TY387" s="11"/>
      <c r="TZ387" s="11"/>
      <c r="UA387" s="11"/>
      <c r="UB387" s="11"/>
      <c r="UC387" s="11"/>
      <c r="UD387" s="11"/>
      <c r="UE387" s="11"/>
      <c r="UF387" s="11"/>
      <c r="UG387" s="11"/>
      <c r="UH387" s="11"/>
      <c r="UI387" s="11"/>
      <c r="UJ387" s="11"/>
      <c r="UK387" s="11"/>
      <c r="UL387" s="11"/>
      <c r="UM387" s="11"/>
      <c r="UN387" s="11"/>
      <c r="UO387" s="11"/>
      <c r="UP387" s="11"/>
      <c r="UQ387" s="11"/>
      <c r="UR387" s="11"/>
      <c r="US387" s="11"/>
      <c r="UT387" s="11"/>
      <c r="UU387" s="11"/>
      <c r="UV387" s="11"/>
      <c r="UW387" s="11"/>
      <c r="UX387" s="11"/>
      <c r="UY387" s="11"/>
      <c r="UZ387" s="11"/>
      <c r="VA387" s="11"/>
      <c r="VB387" s="11"/>
      <c r="VC387" s="11"/>
      <c r="VD387" s="11"/>
      <c r="VE387" s="11"/>
      <c r="VF387" s="11"/>
      <c r="VG387" s="11"/>
      <c r="VH387" s="11"/>
      <c r="VI387" s="11"/>
      <c r="VJ387" s="11"/>
      <c r="VK387" s="11"/>
      <c r="VL387" s="11"/>
      <c r="VM387" s="11"/>
      <c r="VN387" s="11"/>
      <c r="VO387" s="11"/>
      <c r="VP387" s="11"/>
      <c r="VQ387" s="11"/>
      <c r="VR387" s="11"/>
      <c r="VS387" s="11"/>
      <c r="VT387" s="11"/>
      <c r="VU387" s="11"/>
      <c r="VV387" s="11"/>
      <c r="VW387" s="11"/>
      <c r="VX387" s="11"/>
      <c r="VY387" s="11"/>
      <c r="VZ387" s="11"/>
      <c r="WA387" s="11"/>
      <c r="WB387" s="11"/>
      <c r="WC387" s="11"/>
      <c r="WD387" s="11"/>
      <c r="WE387" s="11"/>
      <c r="WF387" s="11"/>
      <c r="WG387" s="11"/>
      <c r="WH387" s="11"/>
      <c r="WI387" s="11"/>
      <c r="WJ387" s="11"/>
      <c r="WK387" s="11"/>
      <c r="WL387" s="11"/>
      <c r="WM387" s="11"/>
      <c r="WN387" s="11"/>
      <c r="WO387" s="11"/>
      <c r="WP387" s="11"/>
      <c r="WQ387" s="11"/>
      <c r="WR387" s="11"/>
      <c r="WS387" s="11"/>
      <c r="WT387" s="11"/>
      <c r="WU387" s="11"/>
      <c r="WV387" s="11"/>
      <c r="WW387" s="11"/>
      <c r="WX387" s="11"/>
      <c r="WY387" s="11"/>
      <c r="WZ387" s="11"/>
      <c r="XA387" s="11"/>
      <c r="XB387" s="11"/>
      <c r="XC387" s="11"/>
      <c r="XD387" s="11"/>
      <c r="XE387" s="11"/>
      <c r="XF387" s="11"/>
      <c r="XG387" s="11"/>
      <c r="XH387" s="11"/>
      <c r="XI387" s="11"/>
      <c r="XJ387" s="11"/>
      <c r="XK387" s="11"/>
      <c r="XL387" s="11"/>
      <c r="XM387" s="11"/>
      <c r="XN387" s="11"/>
      <c r="XO387" s="11"/>
      <c r="XP387" s="11"/>
      <c r="XQ387" s="11"/>
      <c r="XR387" s="11"/>
      <c r="XS387" s="11"/>
      <c r="XT387" s="11"/>
      <c r="XU387" s="11"/>
      <c r="XV387" s="11"/>
      <c r="XW387" s="11"/>
      <c r="XX387" s="11"/>
      <c r="XY387" s="11"/>
      <c r="XZ387" s="11"/>
      <c r="YA387" s="11"/>
      <c r="YB387" s="11"/>
      <c r="YC387" s="11"/>
      <c r="YD387" s="11"/>
      <c r="YE387" s="11"/>
      <c r="YF387" s="11"/>
      <c r="YG387" s="11"/>
      <c r="YH387" s="11"/>
      <c r="YI387" s="11"/>
      <c r="YJ387" s="11"/>
      <c r="YK387" s="11"/>
      <c r="YL387" s="11"/>
      <c r="YM387" s="11"/>
      <c r="YN387" s="11"/>
      <c r="YO387" s="11"/>
      <c r="YP387" s="11"/>
      <c r="YQ387" s="11"/>
      <c r="YR387" s="11"/>
      <c r="YS387" s="11"/>
      <c r="YT387" s="11"/>
      <c r="YU387" s="11"/>
      <c r="YV387" s="11"/>
      <c r="YW387" s="11"/>
      <c r="YX387" s="11"/>
      <c r="YY387" s="11"/>
      <c r="YZ387" s="11"/>
      <c r="ZA387" s="11"/>
      <c r="ZB387" s="11"/>
      <c r="ZC387" s="11"/>
      <c r="ZD387" s="11"/>
      <c r="ZE387" s="11"/>
      <c r="ZF387" s="11"/>
      <c r="ZG387" s="11"/>
      <c r="ZH387" s="11"/>
      <c r="ZI387" s="11"/>
      <c r="ZJ387" s="11"/>
      <c r="ZK387" s="11"/>
      <c r="ZL387" s="11"/>
      <c r="ZM387" s="11"/>
      <c r="ZN387" s="11"/>
      <c r="ZO387" s="11"/>
      <c r="ZP387" s="11"/>
      <c r="ZQ387" s="11"/>
      <c r="ZR387" s="11"/>
      <c r="ZS387" s="11"/>
      <c r="ZT387" s="11"/>
      <c r="ZU387" s="11"/>
      <c r="ZV387" s="11"/>
      <c r="ZW387" s="11"/>
      <c r="ZX387" s="11"/>
      <c r="ZY387" s="11"/>
      <c r="ZZ387" s="11"/>
      <c r="AAA387" s="11"/>
      <c r="AAB387" s="11"/>
      <c r="AAC387" s="11"/>
      <c r="AAD387" s="11"/>
      <c r="AAE387" s="11"/>
      <c r="AAF387" s="11"/>
      <c r="AAG387" s="11"/>
      <c r="AAH387" s="11"/>
      <c r="AAI387" s="11"/>
      <c r="AAJ387" s="11"/>
      <c r="AAK387" s="11"/>
      <c r="AAL387" s="11"/>
      <c r="AAM387" s="11"/>
      <c r="AAN387" s="11"/>
      <c r="AAO387" s="11"/>
      <c r="AAP387" s="11"/>
      <c r="AAQ387" s="11"/>
      <c r="AAR387" s="11"/>
      <c r="AAS387" s="11"/>
      <c r="AAT387" s="11"/>
      <c r="AAU387" s="11"/>
      <c r="AAV387" s="11"/>
      <c r="AAW387" s="11"/>
      <c r="AAX387" s="11"/>
      <c r="AAY387" s="11"/>
      <c r="AAZ387" s="11"/>
      <c r="ABA387" s="11"/>
      <c r="ABB387" s="11"/>
      <c r="ABC387" s="11"/>
      <c r="ABD387" s="11"/>
      <c r="ABE387" s="11"/>
      <c r="ABF387" s="11"/>
      <c r="ABG387" s="11"/>
      <c r="ABH387" s="11"/>
      <c r="ABI387" s="11"/>
      <c r="ABJ387" s="11"/>
      <c r="ABK387" s="11"/>
      <c r="ABL387" s="11"/>
      <c r="ABM387" s="11"/>
      <c r="ABN387" s="11"/>
      <c r="ABO387" s="11"/>
      <c r="ABP387" s="11"/>
      <c r="ABQ387" s="11"/>
      <c r="ABR387" s="11"/>
      <c r="ABS387" s="11"/>
      <c r="ABT387" s="11"/>
      <c r="ABU387" s="11"/>
      <c r="ABV387" s="11"/>
      <c r="ABW387" s="11"/>
      <c r="ABX387" s="11"/>
      <c r="ABY387" s="11"/>
      <c r="ABZ387" s="11"/>
      <c r="ACA387" s="11"/>
      <c r="ACB387" s="11"/>
      <c r="ACC387" s="11"/>
      <c r="ACD387" s="11"/>
      <c r="ACE387" s="11"/>
      <c r="ACF387" s="11"/>
      <c r="ACG387" s="11"/>
      <c r="ACH387" s="11"/>
      <c r="ACI387" s="11"/>
      <c r="ACJ387" s="11"/>
      <c r="ACK387" s="11"/>
      <c r="ACL387" s="11"/>
      <c r="ACM387" s="11"/>
      <c r="ACN387" s="11"/>
      <c r="ACO387" s="11"/>
      <c r="ACP387" s="11"/>
      <c r="ACQ387" s="11"/>
      <c r="ACR387" s="11"/>
      <c r="ACS387" s="11"/>
      <c r="ACT387" s="11"/>
      <c r="ACU387" s="11"/>
      <c r="ACV387" s="11"/>
      <c r="ACW387" s="11"/>
      <c r="ACX387" s="11"/>
      <c r="ACY387" s="11"/>
      <c r="ACZ387" s="11"/>
      <c r="ADA387" s="11"/>
      <c r="ADB387" s="11"/>
      <c r="ADC387" s="11"/>
      <c r="ADD387" s="11"/>
      <c r="ADE387" s="11"/>
      <c r="ADF387" s="11"/>
      <c r="ADG387" s="11"/>
      <c r="ADH387" s="11"/>
      <c r="ADI387" s="11"/>
      <c r="ADJ387" s="11"/>
      <c r="ADK387" s="11"/>
      <c r="ADL387" s="11"/>
      <c r="ADM387" s="11"/>
      <c r="ADN387" s="11"/>
      <c r="ADO387" s="11"/>
      <c r="ADP387" s="11"/>
      <c r="ADQ387" s="11"/>
      <c r="ADR387" s="11"/>
      <c r="ADS387" s="11"/>
      <c r="ADT387" s="11"/>
      <c r="ADU387" s="11"/>
      <c r="ADV387" s="11"/>
      <c r="ADW387" s="11"/>
      <c r="ADX387" s="11"/>
      <c r="ADY387" s="11"/>
      <c r="ADZ387" s="11"/>
      <c r="AEA387" s="11"/>
      <c r="AEB387" s="11"/>
      <c r="AEC387" s="11"/>
      <c r="AED387" s="11"/>
      <c r="AEE387" s="11"/>
      <c r="AEF387" s="11"/>
      <c r="AEG387" s="11"/>
      <c r="AEH387" s="11"/>
      <c r="AEI387" s="11"/>
      <c r="AEJ387" s="11"/>
      <c r="AEK387" s="11"/>
      <c r="AEL387" s="11"/>
      <c r="AEM387" s="11"/>
      <c r="AEN387" s="11"/>
      <c r="AEO387" s="11"/>
      <c r="AEP387" s="11"/>
      <c r="AEQ387" s="11"/>
      <c r="AER387" s="11"/>
      <c r="AES387" s="11"/>
      <c r="AET387" s="11"/>
      <c r="AEU387" s="11"/>
      <c r="AEV387" s="11"/>
      <c r="AEW387" s="11"/>
      <c r="AEX387" s="11"/>
      <c r="AEY387" s="11"/>
      <c r="AEZ387" s="11"/>
      <c r="AFA387" s="11"/>
      <c r="AFB387" s="11"/>
      <c r="AFC387" s="11"/>
      <c r="AFD387" s="11"/>
      <c r="AFE387" s="11"/>
      <c r="AFF387" s="11"/>
      <c r="AFG387" s="11"/>
      <c r="AFH387" s="11"/>
      <c r="AFI387" s="11"/>
      <c r="AFJ387" s="11"/>
      <c r="AFK387" s="11"/>
      <c r="AFL387" s="11"/>
      <c r="AFM387" s="11"/>
      <c r="AFN387" s="11"/>
      <c r="AFO387" s="11"/>
      <c r="AFP387" s="11"/>
      <c r="AFQ387" s="11"/>
      <c r="AFR387" s="11"/>
      <c r="AFS387" s="11"/>
      <c r="AFT387" s="11"/>
      <c r="AFU387" s="11"/>
      <c r="AFV387" s="11"/>
      <c r="AFW387" s="11"/>
      <c r="AFX387" s="11"/>
      <c r="AFY387" s="11"/>
      <c r="AFZ387" s="11"/>
      <c r="AGA387" s="11"/>
      <c r="AGB387" s="11"/>
      <c r="AGC387" s="11"/>
      <c r="AGD387" s="11"/>
      <c r="AGE387" s="11"/>
      <c r="AGF387" s="11"/>
      <c r="AGG387" s="11"/>
      <c r="AGH387" s="11"/>
      <c r="AGI387" s="11"/>
      <c r="AGJ387" s="11"/>
      <c r="AGK387" s="11"/>
      <c r="AGL387" s="11"/>
      <c r="AGM387" s="11"/>
      <c r="AGN387" s="11"/>
      <c r="AGO387" s="11"/>
      <c r="AGP387" s="11"/>
      <c r="AGQ387" s="11"/>
      <c r="AGR387" s="11"/>
      <c r="AGS387" s="11"/>
      <c r="AGT387" s="11"/>
      <c r="AGU387" s="11"/>
      <c r="AGV387" s="11"/>
      <c r="AGW387" s="11"/>
      <c r="AGX387" s="11"/>
      <c r="AGY387" s="11"/>
      <c r="AGZ387" s="11"/>
      <c r="AHA387" s="11"/>
      <c r="AHB387" s="11"/>
      <c r="AHC387" s="11"/>
      <c r="AHD387" s="11"/>
      <c r="AHE387" s="11"/>
      <c r="AHF387" s="11"/>
      <c r="AHG387" s="11"/>
      <c r="AHH387" s="11"/>
      <c r="AHI387" s="11"/>
      <c r="AHJ387" s="11"/>
      <c r="AHK387" s="11"/>
      <c r="AHL387" s="11"/>
      <c r="AHM387" s="11"/>
      <c r="AHN387" s="11"/>
      <c r="AHO387" s="11"/>
      <c r="AHP387" s="11"/>
      <c r="AHQ387" s="11"/>
      <c r="AHR387" s="11"/>
      <c r="AHS387" s="11"/>
      <c r="AHT387" s="11"/>
      <c r="AHU387" s="11"/>
      <c r="AHV387" s="11"/>
      <c r="AHW387" s="11"/>
      <c r="AHX387" s="11"/>
      <c r="AHY387" s="11"/>
      <c r="AHZ387" s="11"/>
      <c r="AIA387" s="11"/>
      <c r="AIB387" s="11"/>
      <c r="AIC387" s="11"/>
      <c r="AID387" s="11"/>
      <c r="AIE387" s="11"/>
      <c r="AIF387" s="11"/>
      <c r="AIG387" s="11"/>
      <c r="AIH387" s="11"/>
      <c r="AII387" s="11"/>
      <c r="AIJ387" s="11"/>
      <c r="AIK387" s="11"/>
      <c r="AIL387" s="11"/>
      <c r="AIM387" s="11"/>
      <c r="AIN387" s="11"/>
      <c r="AIO387" s="11"/>
      <c r="AIP387" s="11"/>
      <c r="AIQ387" s="11"/>
      <c r="AIR387" s="11"/>
      <c r="AIS387" s="11"/>
      <c r="AIT387" s="11"/>
      <c r="AIU387" s="11"/>
      <c r="AIV387" s="11"/>
      <c r="AIW387" s="11"/>
      <c r="AIX387" s="11"/>
      <c r="AIY387" s="11"/>
      <c r="AIZ387" s="11"/>
      <c r="AJA387" s="11"/>
      <c r="AJB387" s="11"/>
      <c r="AJC387" s="11"/>
      <c r="AJD387" s="11"/>
      <c r="AJE387" s="11"/>
      <c r="AJF387" s="11"/>
      <c r="AJG387" s="11"/>
      <c r="AJH387" s="11"/>
      <c r="AJI387" s="11"/>
      <c r="AJJ387" s="11"/>
      <c r="AJK387" s="11"/>
      <c r="AJL387" s="11"/>
      <c r="AJM387" s="11"/>
      <c r="AJN387" s="11"/>
      <c r="AJO387" s="11"/>
      <c r="AJP387" s="11"/>
      <c r="AJQ387" s="11"/>
      <c r="AJR387" s="11"/>
      <c r="AJS387" s="11"/>
      <c r="AJT387" s="11"/>
      <c r="AJU387" s="11"/>
      <c r="AJV387" s="11"/>
      <c r="AJW387" s="11"/>
      <c r="AJX387" s="11"/>
      <c r="AJY387" s="11"/>
      <c r="AJZ387" s="11"/>
      <c r="AKA387" s="11"/>
      <c r="AKB387" s="11"/>
      <c r="AKC387" s="11"/>
      <c r="AKD387" s="11"/>
      <c r="AKE387" s="11"/>
      <c r="AKF387" s="11"/>
      <c r="AKG387" s="11"/>
      <c r="AKH387" s="11"/>
      <c r="AKI387" s="11"/>
      <c r="AKJ387" s="11"/>
      <c r="AKK387" s="11"/>
      <c r="AKL387" s="11"/>
      <c r="AKM387" s="11"/>
      <c r="AKN387" s="11"/>
      <c r="AKO387" s="11"/>
      <c r="AKP387" s="11"/>
      <c r="AKQ387" s="11"/>
      <c r="AKR387" s="11"/>
      <c r="AKS387" s="11"/>
      <c r="AKT387" s="11"/>
      <c r="AKU387" s="11"/>
      <c r="AKV387" s="11"/>
      <c r="AKW387" s="11"/>
      <c r="AKX387" s="11"/>
      <c r="AKY387" s="11"/>
      <c r="AKZ387" s="11"/>
      <c r="ALA387" s="11"/>
      <c r="ALB387" s="11"/>
      <c r="ALC387" s="11"/>
      <c r="ALD387" s="11"/>
      <c r="ALE387" s="11"/>
      <c r="ALF387" s="11"/>
      <c r="ALG387" s="11"/>
      <c r="ALH387" s="11"/>
      <c r="ALI387" s="11"/>
      <c r="ALJ387" s="11"/>
      <c r="ALK387" s="11"/>
      <c r="ALL387" s="11"/>
      <c r="ALM387" s="11"/>
      <c r="ALN387" s="11"/>
      <c r="ALO387" s="11"/>
      <c r="ALP387" s="11"/>
      <c r="ALQ387" s="11"/>
      <c r="ALR387" s="11"/>
      <c r="ALS387" s="11"/>
      <c r="ALT387" s="11"/>
      <c r="ALU387" s="11"/>
      <c r="ALV387" s="11"/>
      <c r="ALW387" s="11"/>
      <c r="ALX387" s="11"/>
      <c r="ALY387" s="11"/>
      <c r="ALZ387" s="11"/>
      <c r="AMA387" s="11"/>
      <c r="AMB387" s="11"/>
      <c r="AMC387" s="11"/>
      <c r="AMD387" s="11"/>
      <c r="AME387" s="11"/>
      <c r="AMF387" s="11"/>
      <c r="AMG387" s="11"/>
      <c r="AMH387" s="11"/>
      <c r="AMI387" s="11"/>
      <c r="AMJ387" s="11"/>
    </row>
    <row r="388" spans="1:1024" s="11" customFormat="1">
      <c r="A388" s="8" t="s">
        <v>392</v>
      </c>
      <c r="B388" s="8">
        <v>144161</v>
      </c>
      <c r="C388"/>
      <c r="D388" s="1">
        <v>15.34</v>
      </c>
      <c r="E388" s="8">
        <f>VLOOKUP(B388,Gesamtstunden_26!B:I,8,0)</f>
        <v>0</v>
      </c>
      <c r="F388" s="2">
        <f t="shared" si="6"/>
        <v>15.34</v>
      </c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  <c r="CO388"/>
      <c r="CP388"/>
      <c r="CQ388"/>
      <c r="CR388"/>
      <c r="CS388"/>
      <c r="CT388"/>
      <c r="CU388"/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  <c r="DQ388"/>
      <c r="DR388"/>
      <c r="DS388"/>
      <c r="DT388"/>
      <c r="DU388"/>
      <c r="DV388"/>
      <c r="DW388"/>
      <c r="DX388"/>
      <c r="DY388"/>
      <c r="DZ388"/>
      <c r="EA388"/>
      <c r="EB388"/>
      <c r="EC388"/>
      <c r="ED388"/>
      <c r="EE388"/>
      <c r="EF388"/>
      <c r="EG388"/>
      <c r="EH388"/>
      <c r="EI388"/>
      <c r="EJ388"/>
      <c r="EK388"/>
      <c r="EL388"/>
      <c r="EM388"/>
      <c r="EN388"/>
      <c r="EO388"/>
      <c r="EP388"/>
      <c r="EQ388"/>
      <c r="ER388"/>
      <c r="ES388"/>
      <c r="ET388"/>
      <c r="EU388"/>
      <c r="EV388"/>
      <c r="EW388"/>
      <c r="EX388"/>
      <c r="EY388"/>
      <c r="EZ388"/>
      <c r="FA388"/>
      <c r="FB388"/>
      <c r="FC388"/>
      <c r="FD388"/>
      <c r="FE388"/>
      <c r="FF388"/>
      <c r="FG388"/>
      <c r="FH388"/>
      <c r="FI388"/>
      <c r="FJ388"/>
      <c r="FK388"/>
      <c r="FL388"/>
      <c r="FM388"/>
      <c r="FN388"/>
      <c r="FO388"/>
      <c r="FP388"/>
      <c r="FQ388"/>
      <c r="FR388"/>
      <c r="FS388"/>
      <c r="FT388"/>
      <c r="FU388"/>
      <c r="FV388"/>
      <c r="FW388"/>
      <c r="FX388"/>
      <c r="FY388"/>
      <c r="FZ388"/>
      <c r="GA388"/>
      <c r="GB388"/>
      <c r="GC388"/>
      <c r="GD388"/>
      <c r="GE388"/>
      <c r="GF388"/>
      <c r="GG388"/>
      <c r="GH388"/>
      <c r="GI388"/>
      <c r="GJ388"/>
      <c r="GK388"/>
      <c r="GL388"/>
      <c r="GM388"/>
      <c r="GN388"/>
      <c r="GO388"/>
      <c r="GP388"/>
      <c r="GQ388"/>
      <c r="GR388"/>
      <c r="GS388"/>
      <c r="GT388"/>
      <c r="GU388"/>
      <c r="GV388"/>
      <c r="GW388"/>
      <c r="GX388"/>
      <c r="GY388"/>
      <c r="GZ388"/>
      <c r="HA388"/>
      <c r="HB388"/>
      <c r="HC388"/>
      <c r="HD388"/>
      <c r="HE388"/>
      <c r="HF388"/>
      <c r="HG388"/>
      <c r="HH388"/>
      <c r="HI388"/>
      <c r="HJ388"/>
      <c r="HK388"/>
      <c r="HL388"/>
      <c r="HM388"/>
      <c r="HN388"/>
      <c r="HO388"/>
      <c r="HP388"/>
      <c r="HQ388"/>
      <c r="HR388"/>
      <c r="HS388"/>
      <c r="HT388"/>
      <c r="HU388"/>
      <c r="HV388"/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  <c r="IW388"/>
      <c r="IX388"/>
      <c r="IY388"/>
      <c r="IZ388"/>
      <c r="JA388"/>
      <c r="JB388"/>
      <c r="JC388"/>
      <c r="JD388"/>
      <c r="JE388"/>
      <c r="JF388"/>
      <c r="JG388"/>
      <c r="JH388"/>
      <c r="JI388"/>
      <c r="JJ388"/>
      <c r="JK388"/>
      <c r="JL388"/>
      <c r="JM388"/>
      <c r="JN388"/>
      <c r="JO388"/>
      <c r="JP388"/>
      <c r="JQ388"/>
      <c r="JR388"/>
      <c r="JS388"/>
      <c r="JT388"/>
      <c r="JU388"/>
      <c r="JV388"/>
      <c r="JW388"/>
      <c r="JX388"/>
      <c r="JY388"/>
      <c r="JZ388"/>
      <c r="KA388"/>
      <c r="KB388"/>
      <c r="KC388"/>
      <c r="KD388"/>
      <c r="KE388"/>
      <c r="KF388"/>
      <c r="KG388"/>
      <c r="KH388"/>
      <c r="KI388"/>
      <c r="KJ388"/>
      <c r="KK388"/>
      <c r="KL388"/>
      <c r="KM388"/>
      <c r="KN388"/>
      <c r="KO388"/>
      <c r="KP388"/>
      <c r="KQ388"/>
      <c r="KR388"/>
      <c r="KS388"/>
      <c r="KT388"/>
      <c r="KU388"/>
      <c r="KV388"/>
      <c r="KW388"/>
      <c r="KX388"/>
      <c r="KY388"/>
      <c r="KZ388"/>
      <c r="LA388"/>
      <c r="LB388"/>
      <c r="LC388"/>
      <c r="LD388"/>
      <c r="LE388"/>
      <c r="LF388"/>
      <c r="LG388"/>
      <c r="LH388"/>
      <c r="LI388"/>
      <c r="LJ388"/>
      <c r="LK388"/>
      <c r="LL388"/>
      <c r="LM388"/>
      <c r="LN388"/>
      <c r="LO388"/>
      <c r="LP388"/>
      <c r="LQ388"/>
      <c r="LR388"/>
      <c r="LS388"/>
      <c r="LT388"/>
      <c r="LU388"/>
      <c r="LV388"/>
      <c r="LW388"/>
      <c r="LX388"/>
      <c r="LY388"/>
      <c r="LZ388"/>
      <c r="MA388"/>
      <c r="MB388"/>
      <c r="MC388"/>
      <c r="MD388"/>
      <c r="ME388"/>
      <c r="MF388"/>
      <c r="MG388"/>
      <c r="MH388"/>
      <c r="MI388"/>
      <c r="MJ388"/>
      <c r="MK388"/>
      <c r="ML388"/>
      <c r="MM388"/>
      <c r="MN388"/>
      <c r="MO388"/>
      <c r="MP388"/>
      <c r="MQ388"/>
      <c r="MR388"/>
      <c r="MS388"/>
      <c r="MT388"/>
      <c r="MU388"/>
      <c r="MV388"/>
      <c r="MW388"/>
      <c r="MX388"/>
      <c r="MY388"/>
      <c r="MZ388"/>
      <c r="NA388"/>
      <c r="NB388"/>
      <c r="NC388"/>
      <c r="ND388"/>
      <c r="NE388"/>
      <c r="NF388"/>
      <c r="NG388"/>
      <c r="NH388"/>
      <c r="NI388"/>
      <c r="NJ388"/>
      <c r="NK388"/>
      <c r="NL388"/>
      <c r="NM388"/>
      <c r="NN388"/>
      <c r="NO388"/>
      <c r="NP388"/>
      <c r="NQ388"/>
      <c r="NR388"/>
      <c r="NS388"/>
      <c r="NT388"/>
      <c r="NU388"/>
      <c r="NV388"/>
      <c r="NW388"/>
      <c r="NX388"/>
      <c r="NY388"/>
      <c r="NZ388"/>
      <c r="OA388"/>
      <c r="OB388"/>
      <c r="OC388"/>
      <c r="OD388"/>
      <c r="OE388"/>
      <c r="OF388"/>
      <c r="OG388"/>
      <c r="OH388"/>
      <c r="OI388"/>
      <c r="OJ388"/>
      <c r="OK388"/>
      <c r="OL388"/>
      <c r="OM388"/>
      <c r="ON388"/>
      <c r="OO388"/>
      <c r="OP388"/>
      <c r="OQ388"/>
      <c r="OR388"/>
      <c r="OS388"/>
      <c r="OT388"/>
      <c r="OU388"/>
      <c r="OV388"/>
      <c r="OW388"/>
      <c r="OX388"/>
      <c r="OY388"/>
      <c r="OZ388"/>
      <c r="PA388"/>
      <c r="PB388"/>
      <c r="PC388"/>
      <c r="PD388"/>
      <c r="PE388"/>
      <c r="PF388"/>
      <c r="PG388"/>
      <c r="PH388"/>
      <c r="PI388"/>
      <c r="PJ388"/>
      <c r="PK388"/>
      <c r="PL388"/>
      <c r="PM388"/>
      <c r="PN388"/>
      <c r="PO388"/>
      <c r="PP388"/>
      <c r="PQ388"/>
      <c r="PR388"/>
      <c r="PS388"/>
      <c r="PT388"/>
      <c r="PU388"/>
      <c r="PV388"/>
      <c r="PW388"/>
      <c r="PX388"/>
      <c r="PY388"/>
      <c r="PZ388"/>
      <c r="QA388"/>
      <c r="QB388"/>
      <c r="QC388"/>
      <c r="QD388"/>
      <c r="QE388"/>
      <c r="QF388"/>
      <c r="QG388"/>
      <c r="QH388"/>
      <c r="QI388"/>
      <c r="QJ388"/>
      <c r="QK388"/>
      <c r="QL388"/>
      <c r="QM388"/>
      <c r="QN388"/>
      <c r="QO388"/>
      <c r="QP388"/>
      <c r="QQ388"/>
      <c r="QR388"/>
      <c r="QS388"/>
      <c r="QT388"/>
      <c r="QU388"/>
      <c r="QV388"/>
      <c r="QW388"/>
      <c r="QX388"/>
      <c r="QY388"/>
      <c r="QZ388"/>
      <c r="RA388"/>
      <c r="RB388"/>
      <c r="RC388"/>
      <c r="RD388"/>
      <c r="RE388"/>
      <c r="RF388"/>
      <c r="RG388"/>
      <c r="RH388"/>
      <c r="RI388"/>
      <c r="RJ388"/>
      <c r="RK388"/>
      <c r="RL388"/>
      <c r="RM388"/>
      <c r="RN388"/>
      <c r="RO388"/>
      <c r="RP388"/>
      <c r="RQ388"/>
      <c r="RR388"/>
      <c r="RS388"/>
      <c r="RT388"/>
      <c r="RU388"/>
      <c r="RV388"/>
      <c r="RW388"/>
      <c r="RX388"/>
      <c r="RY388"/>
      <c r="RZ388"/>
      <c r="SA388"/>
      <c r="SB388"/>
      <c r="SC388"/>
      <c r="SD388"/>
      <c r="SE388"/>
      <c r="SF388"/>
      <c r="SG388"/>
      <c r="SH388"/>
      <c r="SI388"/>
      <c r="SJ388"/>
      <c r="SK388"/>
      <c r="SL388"/>
      <c r="SM388"/>
      <c r="SN388"/>
      <c r="SO388"/>
      <c r="SP388"/>
      <c r="SQ388"/>
      <c r="SR388"/>
      <c r="SS388"/>
      <c r="ST388"/>
      <c r="SU388"/>
      <c r="SV388"/>
      <c r="SW388"/>
      <c r="SX388"/>
      <c r="SY388"/>
      <c r="SZ388"/>
      <c r="TA388"/>
      <c r="TB388"/>
      <c r="TC388"/>
      <c r="TD388"/>
      <c r="TE388"/>
      <c r="TF388"/>
      <c r="TG388"/>
      <c r="TH388"/>
      <c r="TI388"/>
      <c r="TJ388"/>
      <c r="TK388"/>
      <c r="TL388"/>
      <c r="TM388"/>
      <c r="TN388"/>
      <c r="TO388"/>
      <c r="TP388"/>
      <c r="TQ388"/>
      <c r="TR388"/>
      <c r="TS388"/>
      <c r="TT388"/>
      <c r="TU388"/>
      <c r="TV388"/>
      <c r="TW388"/>
      <c r="TX388"/>
      <c r="TY388"/>
      <c r="TZ388"/>
      <c r="UA388"/>
      <c r="UB388"/>
      <c r="UC388"/>
      <c r="UD388"/>
      <c r="UE388"/>
      <c r="UF388"/>
      <c r="UG388"/>
      <c r="UH388"/>
      <c r="UI388"/>
      <c r="UJ388"/>
      <c r="UK388"/>
      <c r="UL388"/>
      <c r="UM388"/>
      <c r="UN388"/>
      <c r="UO388"/>
      <c r="UP388"/>
      <c r="UQ388"/>
      <c r="UR388"/>
      <c r="US388"/>
      <c r="UT388"/>
      <c r="UU388"/>
      <c r="UV388"/>
      <c r="UW388"/>
      <c r="UX388"/>
      <c r="UY388"/>
      <c r="UZ388"/>
      <c r="VA388"/>
      <c r="VB388"/>
      <c r="VC388"/>
      <c r="VD388"/>
      <c r="VE388"/>
      <c r="VF388"/>
      <c r="VG388"/>
      <c r="VH388"/>
      <c r="VI388"/>
      <c r="VJ388"/>
      <c r="VK388"/>
      <c r="VL388"/>
      <c r="VM388"/>
      <c r="VN388"/>
      <c r="VO388"/>
      <c r="VP388"/>
      <c r="VQ388"/>
      <c r="VR388"/>
      <c r="VS388"/>
      <c r="VT388"/>
      <c r="VU388"/>
      <c r="VV388"/>
      <c r="VW388"/>
      <c r="VX388"/>
      <c r="VY388"/>
      <c r="VZ388"/>
      <c r="WA388"/>
      <c r="WB388"/>
      <c r="WC388"/>
      <c r="WD388"/>
      <c r="WE388"/>
      <c r="WF388"/>
      <c r="WG388"/>
      <c r="WH388"/>
      <c r="WI388"/>
      <c r="WJ388"/>
      <c r="WK388"/>
      <c r="WL388"/>
      <c r="WM388"/>
      <c r="WN388"/>
      <c r="WO388"/>
      <c r="WP388"/>
      <c r="WQ388"/>
      <c r="WR388"/>
      <c r="WS388"/>
      <c r="WT388"/>
      <c r="WU388"/>
      <c r="WV388"/>
      <c r="WW388"/>
      <c r="WX388"/>
      <c r="WY388"/>
      <c r="WZ388"/>
      <c r="XA388"/>
      <c r="XB388"/>
      <c r="XC388"/>
      <c r="XD388"/>
      <c r="XE388"/>
      <c r="XF388"/>
      <c r="XG388"/>
      <c r="XH388"/>
      <c r="XI388"/>
      <c r="XJ388"/>
      <c r="XK388"/>
      <c r="XL388"/>
      <c r="XM388"/>
      <c r="XN388"/>
      <c r="XO388"/>
      <c r="XP388"/>
      <c r="XQ388"/>
      <c r="XR388"/>
      <c r="XS388"/>
      <c r="XT388"/>
      <c r="XU388"/>
      <c r="XV388"/>
      <c r="XW388"/>
      <c r="XX388"/>
      <c r="XY388"/>
      <c r="XZ388"/>
      <c r="YA388"/>
      <c r="YB388"/>
      <c r="YC388"/>
      <c r="YD388"/>
      <c r="YE388"/>
      <c r="YF388"/>
      <c r="YG388"/>
      <c r="YH388"/>
      <c r="YI388"/>
      <c r="YJ388"/>
      <c r="YK388"/>
      <c r="YL388"/>
      <c r="YM388"/>
      <c r="YN388"/>
      <c r="YO388"/>
      <c r="YP388"/>
      <c r="YQ388"/>
      <c r="YR388"/>
      <c r="YS388"/>
      <c r="YT388"/>
      <c r="YU388"/>
      <c r="YV388"/>
      <c r="YW388"/>
      <c r="YX388"/>
      <c r="YY388"/>
      <c r="YZ388"/>
      <c r="ZA388"/>
      <c r="ZB388"/>
      <c r="ZC388"/>
      <c r="ZD388"/>
      <c r="ZE388"/>
      <c r="ZF388"/>
      <c r="ZG388"/>
      <c r="ZH388"/>
      <c r="ZI388"/>
      <c r="ZJ388"/>
      <c r="ZK388"/>
      <c r="ZL388"/>
      <c r="ZM388"/>
      <c r="ZN388"/>
      <c r="ZO388"/>
      <c r="ZP388"/>
      <c r="ZQ388"/>
      <c r="ZR388"/>
      <c r="ZS388"/>
      <c r="ZT388"/>
      <c r="ZU388"/>
      <c r="ZV388"/>
      <c r="ZW388"/>
      <c r="ZX388"/>
      <c r="ZY388"/>
      <c r="ZZ388"/>
      <c r="AAA388"/>
      <c r="AAB388"/>
      <c r="AAC388"/>
      <c r="AAD388"/>
      <c r="AAE388"/>
      <c r="AAF388"/>
      <c r="AAG388"/>
      <c r="AAH388"/>
      <c r="AAI388"/>
      <c r="AAJ388"/>
      <c r="AAK388"/>
      <c r="AAL388"/>
      <c r="AAM388"/>
      <c r="AAN388"/>
      <c r="AAO388"/>
      <c r="AAP388"/>
      <c r="AAQ388"/>
      <c r="AAR388"/>
      <c r="AAS388"/>
      <c r="AAT388"/>
      <c r="AAU388"/>
      <c r="AAV388"/>
      <c r="AAW388"/>
      <c r="AAX388"/>
      <c r="AAY388"/>
      <c r="AAZ388"/>
      <c r="ABA388"/>
      <c r="ABB388"/>
      <c r="ABC388"/>
      <c r="ABD388"/>
      <c r="ABE388"/>
      <c r="ABF388"/>
      <c r="ABG388"/>
      <c r="ABH388"/>
      <c r="ABI388"/>
      <c r="ABJ388"/>
      <c r="ABK388"/>
      <c r="ABL388"/>
      <c r="ABM388"/>
      <c r="ABN388"/>
      <c r="ABO388"/>
      <c r="ABP388"/>
      <c r="ABQ388"/>
      <c r="ABR388"/>
      <c r="ABS388"/>
      <c r="ABT388"/>
      <c r="ABU388"/>
      <c r="ABV388"/>
      <c r="ABW388"/>
      <c r="ABX388"/>
      <c r="ABY388"/>
      <c r="ABZ388"/>
      <c r="ACA388"/>
      <c r="ACB388"/>
      <c r="ACC388"/>
      <c r="ACD388"/>
      <c r="ACE388"/>
      <c r="ACF388"/>
      <c r="ACG388"/>
      <c r="ACH388"/>
      <c r="ACI388"/>
      <c r="ACJ388"/>
      <c r="ACK388"/>
      <c r="ACL388"/>
      <c r="ACM388"/>
      <c r="ACN388"/>
      <c r="ACO388"/>
      <c r="ACP388"/>
      <c r="ACQ388"/>
      <c r="ACR388"/>
      <c r="ACS388"/>
      <c r="ACT388"/>
      <c r="ACU388"/>
      <c r="ACV388"/>
      <c r="ACW388"/>
      <c r="ACX388"/>
      <c r="ACY388"/>
      <c r="ACZ388"/>
      <c r="ADA388"/>
      <c r="ADB388"/>
      <c r="ADC388"/>
      <c r="ADD388"/>
      <c r="ADE388"/>
      <c r="ADF388"/>
      <c r="ADG388"/>
      <c r="ADH388"/>
      <c r="ADI388"/>
      <c r="ADJ388"/>
      <c r="ADK388"/>
      <c r="ADL388"/>
      <c r="ADM388"/>
      <c r="ADN388"/>
      <c r="ADO388"/>
      <c r="ADP388"/>
      <c r="ADQ388"/>
      <c r="ADR388"/>
      <c r="ADS388"/>
      <c r="ADT388"/>
      <c r="ADU388"/>
      <c r="ADV388"/>
      <c r="ADW388"/>
      <c r="ADX388"/>
      <c r="ADY388"/>
      <c r="ADZ388"/>
      <c r="AEA388"/>
      <c r="AEB388"/>
      <c r="AEC388"/>
      <c r="AED388"/>
      <c r="AEE388"/>
      <c r="AEF388"/>
      <c r="AEG388"/>
      <c r="AEH388"/>
      <c r="AEI388"/>
      <c r="AEJ388"/>
      <c r="AEK388"/>
      <c r="AEL388"/>
      <c r="AEM388"/>
      <c r="AEN388"/>
      <c r="AEO388"/>
      <c r="AEP388"/>
      <c r="AEQ388"/>
      <c r="AER388"/>
      <c r="AES388"/>
      <c r="AET388"/>
      <c r="AEU388"/>
      <c r="AEV388"/>
      <c r="AEW388"/>
      <c r="AEX388"/>
      <c r="AEY388"/>
      <c r="AEZ388"/>
      <c r="AFA388"/>
      <c r="AFB388"/>
      <c r="AFC388"/>
      <c r="AFD388"/>
      <c r="AFE388"/>
      <c r="AFF388"/>
      <c r="AFG388"/>
      <c r="AFH388"/>
      <c r="AFI388"/>
      <c r="AFJ388"/>
      <c r="AFK388"/>
      <c r="AFL388"/>
      <c r="AFM388"/>
      <c r="AFN388"/>
      <c r="AFO388"/>
      <c r="AFP388"/>
      <c r="AFQ388"/>
      <c r="AFR388"/>
      <c r="AFS388"/>
      <c r="AFT388"/>
      <c r="AFU388"/>
      <c r="AFV388"/>
      <c r="AFW388"/>
      <c r="AFX388"/>
      <c r="AFY388"/>
      <c r="AFZ388"/>
      <c r="AGA388"/>
      <c r="AGB388"/>
      <c r="AGC388"/>
      <c r="AGD388"/>
      <c r="AGE388"/>
      <c r="AGF388"/>
      <c r="AGG388"/>
      <c r="AGH388"/>
      <c r="AGI388"/>
      <c r="AGJ388"/>
      <c r="AGK388"/>
      <c r="AGL388"/>
      <c r="AGM388"/>
      <c r="AGN388"/>
      <c r="AGO388"/>
      <c r="AGP388"/>
      <c r="AGQ388"/>
      <c r="AGR388"/>
      <c r="AGS388"/>
      <c r="AGT388"/>
      <c r="AGU388"/>
      <c r="AGV388"/>
      <c r="AGW388"/>
      <c r="AGX388"/>
      <c r="AGY388"/>
      <c r="AGZ388"/>
      <c r="AHA388"/>
      <c r="AHB388"/>
      <c r="AHC388"/>
      <c r="AHD388"/>
      <c r="AHE388"/>
      <c r="AHF388"/>
      <c r="AHG388"/>
      <c r="AHH388"/>
      <c r="AHI388"/>
      <c r="AHJ388"/>
      <c r="AHK388"/>
      <c r="AHL388"/>
      <c r="AHM388"/>
      <c r="AHN388"/>
      <c r="AHO388"/>
      <c r="AHP388"/>
      <c r="AHQ388"/>
      <c r="AHR388"/>
      <c r="AHS388"/>
      <c r="AHT388"/>
      <c r="AHU388"/>
      <c r="AHV388"/>
      <c r="AHW388"/>
      <c r="AHX388"/>
      <c r="AHY388"/>
      <c r="AHZ388"/>
      <c r="AIA388"/>
      <c r="AIB388"/>
      <c r="AIC388"/>
      <c r="AID388"/>
      <c r="AIE388"/>
      <c r="AIF388"/>
      <c r="AIG388"/>
      <c r="AIH388"/>
      <c r="AII388"/>
      <c r="AIJ388"/>
      <c r="AIK388"/>
      <c r="AIL388"/>
      <c r="AIM388"/>
      <c r="AIN388"/>
      <c r="AIO388"/>
      <c r="AIP388"/>
      <c r="AIQ388"/>
      <c r="AIR388"/>
      <c r="AIS388"/>
      <c r="AIT388"/>
      <c r="AIU388"/>
      <c r="AIV388"/>
      <c r="AIW388"/>
      <c r="AIX388"/>
      <c r="AIY388"/>
      <c r="AIZ388"/>
      <c r="AJA388"/>
      <c r="AJB388"/>
      <c r="AJC388"/>
      <c r="AJD388"/>
      <c r="AJE388"/>
      <c r="AJF388"/>
      <c r="AJG388"/>
      <c r="AJH388"/>
      <c r="AJI388"/>
      <c r="AJJ388"/>
      <c r="AJK388"/>
      <c r="AJL388"/>
      <c r="AJM388"/>
      <c r="AJN388"/>
      <c r="AJO388"/>
      <c r="AJP388"/>
      <c r="AJQ388"/>
      <c r="AJR388"/>
      <c r="AJS388"/>
      <c r="AJT388"/>
      <c r="AJU388"/>
      <c r="AJV388"/>
      <c r="AJW388"/>
      <c r="AJX388"/>
      <c r="AJY388"/>
      <c r="AJZ388"/>
      <c r="AKA388"/>
      <c r="AKB388"/>
      <c r="AKC388"/>
      <c r="AKD388"/>
      <c r="AKE388"/>
      <c r="AKF388"/>
      <c r="AKG388"/>
      <c r="AKH388"/>
      <c r="AKI388"/>
      <c r="AKJ388"/>
      <c r="AKK388"/>
      <c r="AKL388"/>
      <c r="AKM388"/>
      <c r="AKN388"/>
      <c r="AKO388"/>
      <c r="AKP388"/>
      <c r="AKQ388"/>
      <c r="AKR388"/>
      <c r="AKS388"/>
      <c r="AKT388"/>
      <c r="AKU388"/>
      <c r="AKV388"/>
      <c r="AKW388"/>
      <c r="AKX388"/>
      <c r="AKY388"/>
      <c r="AKZ388"/>
      <c r="ALA388"/>
      <c r="ALB388"/>
      <c r="ALC388"/>
      <c r="ALD388"/>
      <c r="ALE388"/>
      <c r="ALF388"/>
      <c r="ALG388"/>
      <c r="ALH388"/>
      <c r="ALI388"/>
      <c r="ALJ388"/>
      <c r="ALK388"/>
      <c r="ALL388"/>
      <c r="ALM388"/>
      <c r="ALN388"/>
      <c r="ALO388"/>
      <c r="ALP388"/>
      <c r="ALQ388"/>
      <c r="ALR388"/>
      <c r="ALS388"/>
      <c r="ALT388"/>
      <c r="ALU388"/>
      <c r="ALV388"/>
      <c r="ALW388"/>
      <c r="ALX388"/>
      <c r="ALY388"/>
      <c r="ALZ388"/>
      <c r="AMA388"/>
      <c r="AMB388"/>
      <c r="AMC388"/>
      <c r="AMD388"/>
      <c r="AME388"/>
      <c r="AMF388"/>
      <c r="AMG388"/>
      <c r="AMH388"/>
      <c r="AMI388"/>
      <c r="AMJ388"/>
    </row>
    <row r="389" spans="1:1024">
      <c r="A389" s="7" t="s">
        <v>393</v>
      </c>
      <c r="B389" s="7">
        <v>468423</v>
      </c>
      <c r="C389" s="11"/>
      <c r="D389" s="12">
        <v>3</v>
      </c>
      <c r="E389" s="7">
        <f>VLOOKUP(B389,Gesamtstunden_26!B:I,8,0)</f>
        <v>7.833333333333333</v>
      </c>
      <c r="F389" s="13">
        <f t="shared" si="6"/>
        <v>-4.833333333333333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  <c r="BJ389" s="11"/>
      <c r="BK389" s="11"/>
      <c r="BL389" s="11"/>
      <c r="BM389" s="11"/>
      <c r="BN389" s="11"/>
      <c r="BO389" s="11"/>
      <c r="BP389" s="11"/>
      <c r="BQ389" s="11"/>
      <c r="BR389" s="11"/>
      <c r="BS389" s="11"/>
      <c r="BT389" s="11"/>
      <c r="BU389" s="11"/>
      <c r="BV389" s="11"/>
      <c r="BW389" s="11"/>
      <c r="BX389" s="11"/>
      <c r="BY389" s="11"/>
      <c r="BZ389" s="11"/>
      <c r="CA389" s="11"/>
      <c r="CB389" s="11"/>
      <c r="CC389" s="11"/>
      <c r="CD389" s="11"/>
      <c r="CE389" s="11"/>
      <c r="CF389" s="11"/>
      <c r="CG389" s="11"/>
      <c r="CH389" s="11"/>
      <c r="CI389" s="11"/>
      <c r="CJ389" s="11"/>
      <c r="CK389" s="11"/>
      <c r="CL389" s="11"/>
      <c r="CM389" s="11"/>
      <c r="CN389" s="11"/>
      <c r="CO389" s="11"/>
      <c r="CP389" s="11"/>
      <c r="CQ389" s="11"/>
      <c r="CR389" s="11"/>
      <c r="CS389" s="11"/>
      <c r="CT389" s="11"/>
      <c r="CU389" s="11"/>
      <c r="CV389" s="11"/>
      <c r="CW389" s="11"/>
      <c r="CX389" s="11"/>
      <c r="CY389" s="11"/>
      <c r="CZ389" s="11"/>
      <c r="DA389" s="11"/>
      <c r="DB389" s="11"/>
      <c r="DC389" s="11"/>
      <c r="DD389" s="11"/>
      <c r="DE389" s="11"/>
      <c r="DF389" s="11"/>
      <c r="DG389" s="11"/>
      <c r="DH389" s="11"/>
      <c r="DI389" s="11"/>
      <c r="DJ389" s="11"/>
      <c r="DK389" s="11"/>
      <c r="DL389" s="11"/>
      <c r="DM389" s="11"/>
      <c r="DN389" s="11"/>
      <c r="DO389" s="11"/>
      <c r="DP389" s="11"/>
      <c r="DQ389" s="11"/>
      <c r="DR389" s="11"/>
      <c r="DS389" s="11"/>
      <c r="DT389" s="11"/>
      <c r="DU389" s="11"/>
      <c r="DV389" s="11"/>
      <c r="DW389" s="11"/>
      <c r="DX389" s="11"/>
      <c r="DY389" s="11"/>
      <c r="DZ389" s="11"/>
      <c r="EA389" s="11"/>
      <c r="EB389" s="11"/>
      <c r="EC389" s="11"/>
      <c r="ED389" s="11"/>
      <c r="EE389" s="11"/>
      <c r="EF389" s="11"/>
      <c r="EG389" s="11"/>
      <c r="EH389" s="11"/>
      <c r="EI389" s="11"/>
      <c r="EJ389" s="11"/>
      <c r="EK389" s="11"/>
      <c r="EL389" s="11"/>
      <c r="EM389" s="11"/>
      <c r="EN389" s="11"/>
      <c r="EO389" s="11"/>
      <c r="EP389" s="11"/>
      <c r="EQ389" s="11"/>
      <c r="ER389" s="11"/>
      <c r="ES389" s="11"/>
      <c r="ET389" s="11"/>
      <c r="EU389" s="11"/>
      <c r="EV389" s="11"/>
      <c r="EW389" s="11"/>
      <c r="EX389" s="11"/>
      <c r="EY389" s="11"/>
      <c r="EZ389" s="11"/>
      <c r="FA389" s="11"/>
      <c r="FB389" s="11"/>
      <c r="FC389" s="11"/>
      <c r="FD389" s="11"/>
      <c r="FE389" s="11"/>
      <c r="FF389" s="11"/>
      <c r="FG389" s="11"/>
      <c r="FH389" s="11"/>
      <c r="FI389" s="11"/>
      <c r="FJ389" s="11"/>
      <c r="FK389" s="11"/>
      <c r="FL389" s="11"/>
      <c r="FM389" s="11"/>
      <c r="FN389" s="11"/>
      <c r="FO389" s="11"/>
      <c r="FP389" s="11"/>
      <c r="FQ389" s="11"/>
      <c r="FR389" s="11"/>
      <c r="FS389" s="11"/>
      <c r="FT389" s="11"/>
      <c r="FU389" s="11"/>
      <c r="FV389" s="11"/>
      <c r="FW389" s="11"/>
      <c r="FX389" s="11"/>
      <c r="FY389" s="11"/>
      <c r="FZ389" s="11"/>
      <c r="GA389" s="11"/>
      <c r="GB389" s="11"/>
      <c r="GC389" s="11"/>
      <c r="GD389" s="11"/>
      <c r="GE389" s="11"/>
      <c r="GF389" s="11"/>
      <c r="GG389" s="11"/>
      <c r="GH389" s="11"/>
      <c r="GI389" s="11"/>
      <c r="GJ389" s="11"/>
      <c r="GK389" s="11"/>
      <c r="GL389" s="11"/>
      <c r="GM389" s="11"/>
      <c r="GN389" s="11"/>
      <c r="GO389" s="11"/>
      <c r="GP389" s="11"/>
      <c r="GQ389" s="11"/>
      <c r="GR389" s="11"/>
      <c r="GS389" s="11"/>
      <c r="GT389" s="11"/>
      <c r="GU389" s="11"/>
      <c r="GV389" s="11"/>
      <c r="GW389" s="11"/>
      <c r="GX389" s="11"/>
      <c r="GY389" s="11"/>
      <c r="GZ389" s="11"/>
      <c r="HA389" s="11"/>
      <c r="HB389" s="11"/>
      <c r="HC389" s="11"/>
      <c r="HD389" s="11"/>
      <c r="HE389" s="11"/>
      <c r="HF389" s="11"/>
      <c r="HG389" s="11"/>
      <c r="HH389" s="11"/>
      <c r="HI389" s="11"/>
      <c r="HJ389" s="11"/>
      <c r="HK389" s="11"/>
      <c r="HL389" s="11"/>
      <c r="HM389" s="11"/>
      <c r="HN389" s="11"/>
      <c r="HO389" s="11"/>
      <c r="HP389" s="11"/>
      <c r="HQ389" s="11"/>
      <c r="HR389" s="11"/>
      <c r="HS389" s="11"/>
      <c r="HT389" s="11"/>
      <c r="HU389" s="11"/>
      <c r="HV389" s="11"/>
      <c r="HW389" s="11"/>
      <c r="HX389" s="11"/>
      <c r="HY389" s="11"/>
      <c r="HZ389" s="11"/>
      <c r="IA389" s="11"/>
      <c r="IB389" s="11"/>
      <c r="IC389" s="11"/>
      <c r="ID389" s="11"/>
      <c r="IE389" s="11"/>
      <c r="IF389" s="11"/>
      <c r="IG389" s="11"/>
      <c r="IH389" s="11"/>
      <c r="II389" s="11"/>
      <c r="IJ389" s="11"/>
      <c r="IK389" s="11"/>
      <c r="IL389" s="11"/>
      <c r="IM389" s="11"/>
      <c r="IN389" s="11"/>
      <c r="IO389" s="11"/>
      <c r="IP389" s="11"/>
      <c r="IQ389" s="11"/>
      <c r="IR389" s="11"/>
      <c r="IS389" s="11"/>
      <c r="IT389" s="11"/>
      <c r="IU389" s="11"/>
      <c r="IV389" s="11"/>
      <c r="IW389" s="11"/>
      <c r="IX389" s="11"/>
      <c r="IY389" s="11"/>
      <c r="IZ389" s="11"/>
      <c r="JA389" s="11"/>
      <c r="JB389" s="11"/>
      <c r="JC389" s="11"/>
      <c r="JD389" s="11"/>
      <c r="JE389" s="11"/>
      <c r="JF389" s="11"/>
      <c r="JG389" s="11"/>
      <c r="JH389" s="11"/>
      <c r="JI389" s="11"/>
      <c r="JJ389" s="11"/>
      <c r="JK389" s="11"/>
      <c r="JL389" s="11"/>
      <c r="JM389" s="11"/>
      <c r="JN389" s="11"/>
      <c r="JO389" s="11"/>
      <c r="JP389" s="11"/>
      <c r="JQ389" s="11"/>
      <c r="JR389" s="11"/>
      <c r="JS389" s="11"/>
      <c r="JT389" s="11"/>
      <c r="JU389" s="11"/>
      <c r="JV389" s="11"/>
      <c r="JW389" s="11"/>
      <c r="JX389" s="11"/>
      <c r="JY389" s="11"/>
      <c r="JZ389" s="11"/>
      <c r="KA389" s="11"/>
      <c r="KB389" s="11"/>
      <c r="KC389" s="11"/>
      <c r="KD389" s="11"/>
      <c r="KE389" s="11"/>
      <c r="KF389" s="11"/>
      <c r="KG389" s="11"/>
      <c r="KH389" s="11"/>
      <c r="KI389" s="11"/>
      <c r="KJ389" s="11"/>
      <c r="KK389" s="11"/>
      <c r="KL389" s="11"/>
      <c r="KM389" s="11"/>
      <c r="KN389" s="11"/>
      <c r="KO389" s="11"/>
      <c r="KP389" s="11"/>
      <c r="KQ389" s="11"/>
      <c r="KR389" s="11"/>
      <c r="KS389" s="11"/>
      <c r="KT389" s="11"/>
      <c r="KU389" s="11"/>
      <c r="KV389" s="11"/>
      <c r="KW389" s="11"/>
      <c r="KX389" s="11"/>
      <c r="KY389" s="11"/>
      <c r="KZ389" s="11"/>
      <c r="LA389" s="11"/>
      <c r="LB389" s="11"/>
      <c r="LC389" s="11"/>
      <c r="LD389" s="11"/>
      <c r="LE389" s="11"/>
      <c r="LF389" s="11"/>
      <c r="LG389" s="11"/>
      <c r="LH389" s="11"/>
      <c r="LI389" s="11"/>
      <c r="LJ389" s="11"/>
      <c r="LK389" s="11"/>
      <c r="LL389" s="11"/>
      <c r="LM389" s="11"/>
      <c r="LN389" s="11"/>
      <c r="LO389" s="11"/>
      <c r="LP389" s="11"/>
      <c r="LQ389" s="11"/>
      <c r="LR389" s="11"/>
      <c r="LS389" s="11"/>
      <c r="LT389" s="11"/>
      <c r="LU389" s="11"/>
      <c r="LV389" s="11"/>
      <c r="LW389" s="11"/>
      <c r="LX389" s="11"/>
      <c r="LY389" s="11"/>
      <c r="LZ389" s="11"/>
      <c r="MA389" s="11"/>
      <c r="MB389" s="11"/>
      <c r="MC389" s="11"/>
      <c r="MD389" s="11"/>
      <c r="ME389" s="11"/>
      <c r="MF389" s="11"/>
      <c r="MG389" s="11"/>
      <c r="MH389" s="11"/>
      <c r="MI389" s="11"/>
      <c r="MJ389" s="11"/>
      <c r="MK389" s="11"/>
      <c r="ML389" s="11"/>
      <c r="MM389" s="11"/>
      <c r="MN389" s="11"/>
      <c r="MO389" s="11"/>
      <c r="MP389" s="11"/>
      <c r="MQ389" s="11"/>
      <c r="MR389" s="11"/>
      <c r="MS389" s="11"/>
      <c r="MT389" s="11"/>
      <c r="MU389" s="11"/>
      <c r="MV389" s="11"/>
      <c r="MW389" s="11"/>
      <c r="MX389" s="11"/>
      <c r="MY389" s="11"/>
      <c r="MZ389" s="11"/>
      <c r="NA389" s="11"/>
      <c r="NB389" s="11"/>
      <c r="NC389" s="11"/>
      <c r="ND389" s="11"/>
      <c r="NE389" s="11"/>
      <c r="NF389" s="11"/>
      <c r="NG389" s="11"/>
      <c r="NH389" s="11"/>
      <c r="NI389" s="11"/>
      <c r="NJ389" s="11"/>
      <c r="NK389" s="11"/>
      <c r="NL389" s="11"/>
      <c r="NM389" s="11"/>
      <c r="NN389" s="11"/>
      <c r="NO389" s="11"/>
      <c r="NP389" s="11"/>
      <c r="NQ389" s="11"/>
      <c r="NR389" s="11"/>
      <c r="NS389" s="11"/>
      <c r="NT389" s="11"/>
      <c r="NU389" s="11"/>
      <c r="NV389" s="11"/>
      <c r="NW389" s="11"/>
      <c r="NX389" s="11"/>
      <c r="NY389" s="11"/>
      <c r="NZ389" s="11"/>
      <c r="OA389" s="11"/>
      <c r="OB389" s="11"/>
      <c r="OC389" s="11"/>
      <c r="OD389" s="11"/>
      <c r="OE389" s="11"/>
      <c r="OF389" s="11"/>
      <c r="OG389" s="11"/>
      <c r="OH389" s="11"/>
      <c r="OI389" s="11"/>
      <c r="OJ389" s="11"/>
      <c r="OK389" s="11"/>
      <c r="OL389" s="11"/>
      <c r="OM389" s="11"/>
      <c r="ON389" s="11"/>
      <c r="OO389" s="11"/>
      <c r="OP389" s="11"/>
      <c r="OQ389" s="11"/>
      <c r="OR389" s="11"/>
      <c r="OS389" s="11"/>
      <c r="OT389" s="11"/>
      <c r="OU389" s="11"/>
      <c r="OV389" s="11"/>
      <c r="OW389" s="11"/>
      <c r="OX389" s="11"/>
      <c r="OY389" s="11"/>
      <c r="OZ389" s="11"/>
      <c r="PA389" s="11"/>
      <c r="PB389" s="11"/>
      <c r="PC389" s="11"/>
      <c r="PD389" s="11"/>
      <c r="PE389" s="11"/>
      <c r="PF389" s="11"/>
      <c r="PG389" s="11"/>
      <c r="PH389" s="11"/>
      <c r="PI389" s="11"/>
      <c r="PJ389" s="11"/>
      <c r="PK389" s="11"/>
      <c r="PL389" s="11"/>
      <c r="PM389" s="11"/>
      <c r="PN389" s="11"/>
      <c r="PO389" s="11"/>
      <c r="PP389" s="11"/>
      <c r="PQ389" s="11"/>
      <c r="PR389" s="11"/>
      <c r="PS389" s="11"/>
      <c r="PT389" s="11"/>
      <c r="PU389" s="11"/>
      <c r="PV389" s="11"/>
      <c r="PW389" s="11"/>
      <c r="PX389" s="11"/>
      <c r="PY389" s="11"/>
      <c r="PZ389" s="11"/>
      <c r="QA389" s="11"/>
      <c r="QB389" s="11"/>
      <c r="QC389" s="11"/>
      <c r="QD389" s="11"/>
      <c r="QE389" s="11"/>
      <c r="QF389" s="11"/>
      <c r="QG389" s="11"/>
      <c r="QH389" s="11"/>
      <c r="QI389" s="11"/>
      <c r="QJ389" s="11"/>
      <c r="QK389" s="11"/>
      <c r="QL389" s="11"/>
      <c r="QM389" s="11"/>
      <c r="QN389" s="11"/>
      <c r="QO389" s="11"/>
      <c r="QP389" s="11"/>
      <c r="QQ389" s="11"/>
      <c r="QR389" s="11"/>
      <c r="QS389" s="11"/>
      <c r="QT389" s="11"/>
      <c r="QU389" s="11"/>
      <c r="QV389" s="11"/>
      <c r="QW389" s="11"/>
      <c r="QX389" s="11"/>
      <c r="QY389" s="11"/>
      <c r="QZ389" s="11"/>
      <c r="RA389" s="11"/>
      <c r="RB389" s="11"/>
      <c r="RC389" s="11"/>
      <c r="RD389" s="11"/>
      <c r="RE389" s="11"/>
      <c r="RF389" s="11"/>
      <c r="RG389" s="11"/>
      <c r="RH389" s="11"/>
      <c r="RI389" s="11"/>
      <c r="RJ389" s="11"/>
      <c r="RK389" s="11"/>
      <c r="RL389" s="11"/>
      <c r="RM389" s="11"/>
      <c r="RN389" s="11"/>
      <c r="RO389" s="11"/>
      <c r="RP389" s="11"/>
      <c r="RQ389" s="11"/>
      <c r="RR389" s="11"/>
      <c r="RS389" s="11"/>
      <c r="RT389" s="11"/>
      <c r="RU389" s="11"/>
      <c r="RV389" s="11"/>
      <c r="RW389" s="11"/>
      <c r="RX389" s="11"/>
      <c r="RY389" s="11"/>
      <c r="RZ389" s="11"/>
      <c r="SA389" s="11"/>
      <c r="SB389" s="11"/>
      <c r="SC389" s="11"/>
      <c r="SD389" s="11"/>
      <c r="SE389" s="11"/>
      <c r="SF389" s="11"/>
      <c r="SG389" s="11"/>
      <c r="SH389" s="11"/>
      <c r="SI389" s="11"/>
      <c r="SJ389" s="11"/>
      <c r="SK389" s="11"/>
      <c r="SL389" s="11"/>
      <c r="SM389" s="11"/>
      <c r="SN389" s="11"/>
      <c r="SO389" s="11"/>
      <c r="SP389" s="11"/>
      <c r="SQ389" s="11"/>
      <c r="SR389" s="11"/>
      <c r="SS389" s="11"/>
      <c r="ST389" s="11"/>
      <c r="SU389" s="11"/>
      <c r="SV389" s="11"/>
      <c r="SW389" s="11"/>
      <c r="SX389" s="11"/>
      <c r="SY389" s="11"/>
      <c r="SZ389" s="11"/>
      <c r="TA389" s="11"/>
      <c r="TB389" s="11"/>
      <c r="TC389" s="11"/>
      <c r="TD389" s="11"/>
      <c r="TE389" s="11"/>
      <c r="TF389" s="11"/>
      <c r="TG389" s="11"/>
      <c r="TH389" s="11"/>
      <c r="TI389" s="11"/>
      <c r="TJ389" s="11"/>
      <c r="TK389" s="11"/>
      <c r="TL389" s="11"/>
      <c r="TM389" s="11"/>
      <c r="TN389" s="11"/>
      <c r="TO389" s="11"/>
      <c r="TP389" s="11"/>
      <c r="TQ389" s="11"/>
      <c r="TR389" s="11"/>
      <c r="TS389" s="11"/>
      <c r="TT389" s="11"/>
      <c r="TU389" s="11"/>
      <c r="TV389" s="11"/>
      <c r="TW389" s="11"/>
      <c r="TX389" s="11"/>
      <c r="TY389" s="11"/>
      <c r="TZ389" s="11"/>
      <c r="UA389" s="11"/>
      <c r="UB389" s="11"/>
      <c r="UC389" s="11"/>
      <c r="UD389" s="11"/>
      <c r="UE389" s="11"/>
      <c r="UF389" s="11"/>
      <c r="UG389" s="11"/>
      <c r="UH389" s="11"/>
      <c r="UI389" s="11"/>
      <c r="UJ389" s="11"/>
      <c r="UK389" s="11"/>
      <c r="UL389" s="11"/>
      <c r="UM389" s="11"/>
      <c r="UN389" s="11"/>
      <c r="UO389" s="11"/>
      <c r="UP389" s="11"/>
      <c r="UQ389" s="11"/>
      <c r="UR389" s="11"/>
      <c r="US389" s="11"/>
      <c r="UT389" s="11"/>
      <c r="UU389" s="11"/>
      <c r="UV389" s="11"/>
      <c r="UW389" s="11"/>
      <c r="UX389" s="11"/>
      <c r="UY389" s="11"/>
      <c r="UZ389" s="11"/>
      <c r="VA389" s="11"/>
      <c r="VB389" s="11"/>
      <c r="VC389" s="11"/>
      <c r="VD389" s="11"/>
      <c r="VE389" s="11"/>
      <c r="VF389" s="11"/>
      <c r="VG389" s="11"/>
      <c r="VH389" s="11"/>
      <c r="VI389" s="11"/>
      <c r="VJ389" s="11"/>
      <c r="VK389" s="11"/>
      <c r="VL389" s="11"/>
      <c r="VM389" s="11"/>
      <c r="VN389" s="11"/>
      <c r="VO389" s="11"/>
      <c r="VP389" s="11"/>
      <c r="VQ389" s="11"/>
      <c r="VR389" s="11"/>
      <c r="VS389" s="11"/>
      <c r="VT389" s="11"/>
      <c r="VU389" s="11"/>
      <c r="VV389" s="11"/>
      <c r="VW389" s="11"/>
      <c r="VX389" s="11"/>
      <c r="VY389" s="11"/>
      <c r="VZ389" s="11"/>
      <c r="WA389" s="11"/>
      <c r="WB389" s="11"/>
      <c r="WC389" s="11"/>
      <c r="WD389" s="11"/>
      <c r="WE389" s="11"/>
      <c r="WF389" s="11"/>
      <c r="WG389" s="11"/>
      <c r="WH389" s="11"/>
      <c r="WI389" s="11"/>
      <c r="WJ389" s="11"/>
      <c r="WK389" s="11"/>
      <c r="WL389" s="11"/>
      <c r="WM389" s="11"/>
      <c r="WN389" s="11"/>
      <c r="WO389" s="11"/>
      <c r="WP389" s="11"/>
      <c r="WQ389" s="11"/>
      <c r="WR389" s="11"/>
      <c r="WS389" s="11"/>
      <c r="WT389" s="11"/>
      <c r="WU389" s="11"/>
      <c r="WV389" s="11"/>
      <c r="WW389" s="11"/>
      <c r="WX389" s="11"/>
      <c r="WY389" s="11"/>
      <c r="WZ389" s="11"/>
      <c r="XA389" s="11"/>
      <c r="XB389" s="11"/>
      <c r="XC389" s="11"/>
      <c r="XD389" s="11"/>
      <c r="XE389" s="11"/>
      <c r="XF389" s="11"/>
      <c r="XG389" s="11"/>
      <c r="XH389" s="11"/>
      <c r="XI389" s="11"/>
      <c r="XJ389" s="11"/>
      <c r="XK389" s="11"/>
      <c r="XL389" s="11"/>
      <c r="XM389" s="11"/>
      <c r="XN389" s="11"/>
      <c r="XO389" s="11"/>
      <c r="XP389" s="11"/>
      <c r="XQ389" s="11"/>
      <c r="XR389" s="11"/>
      <c r="XS389" s="11"/>
      <c r="XT389" s="11"/>
      <c r="XU389" s="11"/>
      <c r="XV389" s="11"/>
      <c r="XW389" s="11"/>
      <c r="XX389" s="11"/>
      <c r="XY389" s="11"/>
      <c r="XZ389" s="11"/>
      <c r="YA389" s="11"/>
      <c r="YB389" s="11"/>
      <c r="YC389" s="11"/>
      <c r="YD389" s="11"/>
      <c r="YE389" s="11"/>
      <c r="YF389" s="11"/>
      <c r="YG389" s="11"/>
      <c r="YH389" s="11"/>
      <c r="YI389" s="11"/>
      <c r="YJ389" s="11"/>
      <c r="YK389" s="11"/>
      <c r="YL389" s="11"/>
      <c r="YM389" s="11"/>
      <c r="YN389" s="11"/>
      <c r="YO389" s="11"/>
      <c r="YP389" s="11"/>
      <c r="YQ389" s="11"/>
      <c r="YR389" s="11"/>
      <c r="YS389" s="11"/>
      <c r="YT389" s="11"/>
      <c r="YU389" s="11"/>
      <c r="YV389" s="11"/>
      <c r="YW389" s="11"/>
      <c r="YX389" s="11"/>
      <c r="YY389" s="11"/>
      <c r="YZ389" s="11"/>
      <c r="ZA389" s="11"/>
      <c r="ZB389" s="11"/>
      <c r="ZC389" s="11"/>
      <c r="ZD389" s="11"/>
      <c r="ZE389" s="11"/>
      <c r="ZF389" s="11"/>
      <c r="ZG389" s="11"/>
      <c r="ZH389" s="11"/>
      <c r="ZI389" s="11"/>
      <c r="ZJ389" s="11"/>
      <c r="ZK389" s="11"/>
      <c r="ZL389" s="11"/>
      <c r="ZM389" s="11"/>
      <c r="ZN389" s="11"/>
      <c r="ZO389" s="11"/>
      <c r="ZP389" s="11"/>
      <c r="ZQ389" s="11"/>
      <c r="ZR389" s="11"/>
      <c r="ZS389" s="11"/>
      <c r="ZT389" s="11"/>
      <c r="ZU389" s="11"/>
      <c r="ZV389" s="11"/>
      <c r="ZW389" s="11"/>
      <c r="ZX389" s="11"/>
      <c r="ZY389" s="11"/>
      <c r="ZZ389" s="11"/>
      <c r="AAA389" s="11"/>
      <c r="AAB389" s="11"/>
      <c r="AAC389" s="11"/>
      <c r="AAD389" s="11"/>
      <c r="AAE389" s="11"/>
      <c r="AAF389" s="11"/>
      <c r="AAG389" s="11"/>
      <c r="AAH389" s="11"/>
      <c r="AAI389" s="11"/>
      <c r="AAJ389" s="11"/>
      <c r="AAK389" s="11"/>
      <c r="AAL389" s="11"/>
      <c r="AAM389" s="11"/>
      <c r="AAN389" s="11"/>
      <c r="AAO389" s="11"/>
      <c r="AAP389" s="11"/>
      <c r="AAQ389" s="11"/>
      <c r="AAR389" s="11"/>
      <c r="AAS389" s="11"/>
      <c r="AAT389" s="11"/>
      <c r="AAU389" s="11"/>
      <c r="AAV389" s="11"/>
      <c r="AAW389" s="11"/>
      <c r="AAX389" s="11"/>
      <c r="AAY389" s="11"/>
      <c r="AAZ389" s="11"/>
      <c r="ABA389" s="11"/>
      <c r="ABB389" s="11"/>
      <c r="ABC389" s="11"/>
      <c r="ABD389" s="11"/>
      <c r="ABE389" s="11"/>
      <c r="ABF389" s="11"/>
      <c r="ABG389" s="11"/>
      <c r="ABH389" s="11"/>
      <c r="ABI389" s="11"/>
      <c r="ABJ389" s="11"/>
      <c r="ABK389" s="11"/>
      <c r="ABL389" s="11"/>
      <c r="ABM389" s="11"/>
      <c r="ABN389" s="11"/>
      <c r="ABO389" s="11"/>
      <c r="ABP389" s="11"/>
      <c r="ABQ389" s="11"/>
      <c r="ABR389" s="11"/>
      <c r="ABS389" s="11"/>
      <c r="ABT389" s="11"/>
      <c r="ABU389" s="11"/>
      <c r="ABV389" s="11"/>
      <c r="ABW389" s="11"/>
      <c r="ABX389" s="11"/>
      <c r="ABY389" s="11"/>
      <c r="ABZ389" s="11"/>
      <c r="ACA389" s="11"/>
      <c r="ACB389" s="11"/>
      <c r="ACC389" s="11"/>
      <c r="ACD389" s="11"/>
      <c r="ACE389" s="11"/>
      <c r="ACF389" s="11"/>
      <c r="ACG389" s="11"/>
      <c r="ACH389" s="11"/>
      <c r="ACI389" s="11"/>
      <c r="ACJ389" s="11"/>
      <c r="ACK389" s="11"/>
      <c r="ACL389" s="11"/>
      <c r="ACM389" s="11"/>
      <c r="ACN389" s="11"/>
      <c r="ACO389" s="11"/>
      <c r="ACP389" s="11"/>
      <c r="ACQ389" s="11"/>
      <c r="ACR389" s="11"/>
      <c r="ACS389" s="11"/>
      <c r="ACT389" s="11"/>
      <c r="ACU389" s="11"/>
      <c r="ACV389" s="11"/>
      <c r="ACW389" s="11"/>
      <c r="ACX389" s="11"/>
      <c r="ACY389" s="11"/>
      <c r="ACZ389" s="11"/>
      <c r="ADA389" s="11"/>
      <c r="ADB389" s="11"/>
      <c r="ADC389" s="11"/>
      <c r="ADD389" s="11"/>
      <c r="ADE389" s="11"/>
      <c r="ADF389" s="11"/>
      <c r="ADG389" s="11"/>
      <c r="ADH389" s="11"/>
      <c r="ADI389" s="11"/>
      <c r="ADJ389" s="11"/>
      <c r="ADK389" s="11"/>
      <c r="ADL389" s="11"/>
      <c r="ADM389" s="11"/>
      <c r="ADN389" s="11"/>
      <c r="ADO389" s="11"/>
      <c r="ADP389" s="11"/>
      <c r="ADQ389" s="11"/>
      <c r="ADR389" s="11"/>
      <c r="ADS389" s="11"/>
      <c r="ADT389" s="11"/>
      <c r="ADU389" s="11"/>
      <c r="ADV389" s="11"/>
      <c r="ADW389" s="11"/>
      <c r="ADX389" s="11"/>
      <c r="ADY389" s="11"/>
      <c r="ADZ389" s="11"/>
      <c r="AEA389" s="11"/>
      <c r="AEB389" s="11"/>
      <c r="AEC389" s="11"/>
      <c r="AED389" s="11"/>
      <c r="AEE389" s="11"/>
      <c r="AEF389" s="11"/>
      <c r="AEG389" s="11"/>
      <c r="AEH389" s="11"/>
      <c r="AEI389" s="11"/>
      <c r="AEJ389" s="11"/>
      <c r="AEK389" s="11"/>
      <c r="AEL389" s="11"/>
      <c r="AEM389" s="11"/>
      <c r="AEN389" s="11"/>
      <c r="AEO389" s="11"/>
      <c r="AEP389" s="11"/>
      <c r="AEQ389" s="11"/>
      <c r="AER389" s="11"/>
      <c r="AES389" s="11"/>
      <c r="AET389" s="11"/>
      <c r="AEU389" s="11"/>
      <c r="AEV389" s="11"/>
      <c r="AEW389" s="11"/>
      <c r="AEX389" s="11"/>
      <c r="AEY389" s="11"/>
      <c r="AEZ389" s="11"/>
      <c r="AFA389" s="11"/>
      <c r="AFB389" s="11"/>
      <c r="AFC389" s="11"/>
      <c r="AFD389" s="11"/>
      <c r="AFE389" s="11"/>
      <c r="AFF389" s="11"/>
      <c r="AFG389" s="11"/>
      <c r="AFH389" s="11"/>
      <c r="AFI389" s="11"/>
      <c r="AFJ389" s="11"/>
      <c r="AFK389" s="11"/>
      <c r="AFL389" s="11"/>
      <c r="AFM389" s="11"/>
      <c r="AFN389" s="11"/>
      <c r="AFO389" s="11"/>
      <c r="AFP389" s="11"/>
      <c r="AFQ389" s="11"/>
      <c r="AFR389" s="11"/>
      <c r="AFS389" s="11"/>
      <c r="AFT389" s="11"/>
      <c r="AFU389" s="11"/>
      <c r="AFV389" s="11"/>
      <c r="AFW389" s="11"/>
      <c r="AFX389" s="11"/>
      <c r="AFY389" s="11"/>
      <c r="AFZ389" s="11"/>
      <c r="AGA389" s="11"/>
      <c r="AGB389" s="11"/>
      <c r="AGC389" s="11"/>
      <c r="AGD389" s="11"/>
      <c r="AGE389" s="11"/>
      <c r="AGF389" s="11"/>
      <c r="AGG389" s="11"/>
      <c r="AGH389" s="11"/>
      <c r="AGI389" s="11"/>
      <c r="AGJ389" s="11"/>
      <c r="AGK389" s="11"/>
      <c r="AGL389" s="11"/>
      <c r="AGM389" s="11"/>
      <c r="AGN389" s="11"/>
      <c r="AGO389" s="11"/>
      <c r="AGP389" s="11"/>
      <c r="AGQ389" s="11"/>
      <c r="AGR389" s="11"/>
      <c r="AGS389" s="11"/>
      <c r="AGT389" s="11"/>
      <c r="AGU389" s="11"/>
      <c r="AGV389" s="11"/>
      <c r="AGW389" s="11"/>
      <c r="AGX389" s="11"/>
      <c r="AGY389" s="11"/>
      <c r="AGZ389" s="11"/>
      <c r="AHA389" s="11"/>
      <c r="AHB389" s="11"/>
      <c r="AHC389" s="11"/>
      <c r="AHD389" s="11"/>
      <c r="AHE389" s="11"/>
      <c r="AHF389" s="11"/>
      <c r="AHG389" s="11"/>
      <c r="AHH389" s="11"/>
      <c r="AHI389" s="11"/>
      <c r="AHJ389" s="11"/>
      <c r="AHK389" s="11"/>
      <c r="AHL389" s="11"/>
      <c r="AHM389" s="11"/>
      <c r="AHN389" s="11"/>
      <c r="AHO389" s="11"/>
      <c r="AHP389" s="11"/>
      <c r="AHQ389" s="11"/>
      <c r="AHR389" s="11"/>
      <c r="AHS389" s="11"/>
      <c r="AHT389" s="11"/>
      <c r="AHU389" s="11"/>
      <c r="AHV389" s="11"/>
      <c r="AHW389" s="11"/>
      <c r="AHX389" s="11"/>
      <c r="AHY389" s="11"/>
      <c r="AHZ389" s="11"/>
      <c r="AIA389" s="11"/>
      <c r="AIB389" s="11"/>
      <c r="AIC389" s="11"/>
      <c r="AID389" s="11"/>
      <c r="AIE389" s="11"/>
      <c r="AIF389" s="11"/>
      <c r="AIG389" s="11"/>
      <c r="AIH389" s="11"/>
      <c r="AII389" s="11"/>
      <c r="AIJ389" s="11"/>
      <c r="AIK389" s="11"/>
      <c r="AIL389" s="11"/>
      <c r="AIM389" s="11"/>
      <c r="AIN389" s="11"/>
      <c r="AIO389" s="11"/>
      <c r="AIP389" s="11"/>
      <c r="AIQ389" s="11"/>
      <c r="AIR389" s="11"/>
      <c r="AIS389" s="11"/>
      <c r="AIT389" s="11"/>
      <c r="AIU389" s="11"/>
      <c r="AIV389" s="11"/>
      <c r="AIW389" s="11"/>
      <c r="AIX389" s="11"/>
      <c r="AIY389" s="11"/>
      <c r="AIZ389" s="11"/>
      <c r="AJA389" s="11"/>
      <c r="AJB389" s="11"/>
      <c r="AJC389" s="11"/>
      <c r="AJD389" s="11"/>
      <c r="AJE389" s="11"/>
      <c r="AJF389" s="11"/>
      <c r="AJG389" s="11"/>
      <c r="AJH389" s="11"/>
      <c r="AJI389" s="11"/>
      <c r="AJJ389" s="11"/>
      <c r="AJK389" s="11"/>
      <c r="AJL389" s="11"/>
      <c r="AJM389" s="11"/>
      <c r="AJN389" s="11"/>
      <c r="AJO389" s="11"/>
      <c r="AJP389" s="11"/>
      <c r="AJQ389" s="11"/>
      <c r="AJR389" s="11"/>
      <c r="AJS389" s="11"/>
      <c r="AJT389" s="11"/>
      <c r="AJU389" s="11"/>
      <c r="AJV389" s="11"/>
      <c r="AJW389" s="11"/>
      <c r="AJX389" s="11"/>
      <c r="AJY389" s="11"/>
      <c r="AJZ389" s="11"/>
      <c r="AKA389" s="11"/>
      <c r="AKB389" s="11"/>
      <c r="AKC389" s="11"/>
      <c r="AKD389" s="11"/>
      <c r="AKE389" s="11"/>
      <c r="AKF389" s="11"/>
      <c r="AKG389" s="11"/>
      <c r="AKH389" s="11"/>
      <c r="AKI389" s="11"/>
      <c r="AKJ389" s="11"/>
      <c r="AKK389" s="11"/>
      <c r="AKL389" s="11"/>
      <c r="AKM389" s="11"/>
      <c r="AKN389" s="11"/>
      <c r="AKO389" s="11"/>
      <c r="AKP389" s="11"/>
      <c r="AKQ389" s="11"/>
      <c r="AKR389" s="11"/>
      <c r="AKS389" s="11"/>
      <c r="AKT389" s="11"/>
      <c r="AKU389" s="11"/>
      <c r="AKV389" s="11"/>
      <c r="AKW389" s="11"/>
      <c r="AKX389" s="11"/>
      <c r="AKY389" s="11"/>
      <c r="AKZ389" s="11"/>
      <c r="ALA389" s="11"/>
      <c r="ALB389" s="11"/>
      <c r="ALC389" s="11"/>
      <c r="ALD389" s="11"/>
      <c r="ALE389" s="11"/>
      <c r="ALF389" s="11"/>
      <c r="ALG389" s="11"/>
      <c r="ALH389" s="11"/>
      <c r="ALI389" s="11"/>
      <c r="ALJ389" s="11"/>
      <c r="ALK389" s="11"/>
      <c r="ALL389" s="11"/>
      <c r="ALM389" s="11"/>
      <c r="ALN389" s="11"/>
      <c r="ALO389" s="11"/>
      <c r="ALP389" s="11"/>
      <c r="ALQ389" s="11"/>
      <c r="ALR389" s="11"/>
      <c r="ALS389" s="11"/>
      <c r="ALT389" s="11"/>
      <c r="ALU389" s="11"/>
      <c r="ALV389" s="11"/>
      <c r="ALW389" s="11"/>
      <c r="ALX389" s="11"/>
      <c r="ALY389" s="11"/>
      <c r="ALZ389" s="11"/>
      <c r="AMA389" s="11"/>
      <c r="AMB389" s="11"/>
      <c r="AMC389" s="11"/>
      <c r="AMD389" s="11"/>
      <c r="AME389" s="11"/>
      <c r="AMF389" s="11"/>
      <c r="AMG389" s="11"/>
      <c r="AMH389" s="11"/>
      <c r="AMI389" s="11"/>
      <c r="AMJ389" s="11"/>
    </row>
    <row r="390" spans="1:1024">
      <c r="A390" s="8" t="s">
        <v>394</v>
      </c>
      <c r="B390" s="8">
        <v>623732</v>
      </c>
      <c r="D390" s="1">
        <v>15.67</v>
      </c>
      <c r="E390" s="8">
        <f>VLOOKUP(B390,Gesamtstunden_26!B:I,8,0)</f>
        <v>0</v>
      </c>
      <c r="F390" s="2">
        <f t="shared" si="6"/>
        <v>15.67</v>
      </c>
    </row>
    <row r="391" spans="1:1024">
      <c r="A391" s="8" t="s">
        <v>395</v>
      </c>
      <c r="B391" s="8">
        <v>585009</v>
      </c>
      <c r="D391" s="1">
        <v>10</v>
      </c>
      <c r="E391" s="8">
        <f>VLOOKUP(B391,Gesamtstunden_26!B:I,8,0)</f>
        <v>0</v>
      </c>
      <c r="F391" s="2">
        <f t="shared" si="6"/>
        <v>10</v>
      </c>
    </row>
    <row r="392" spans="1:1024">
      <c r="A392" s="7" t="s">
        <v>396</v>
      </c>
      <c r="B392" s="7">
        <v>496044</v>
      </c>
      <c r="D392" s="1">
        <v>0</v>
      </c>
      <c r="E392" s="8">
        <f>VLOOKUP(B392,Gesamtstunden_26!B:I,8,0)</f>
        <v>3</v>
      </c>
      <c r="F392" s="2">
        <f t="shared" si="6"/>
        <v>-3</v>
      </c>
    </row>
    <row r="393" spans="1:1024">
      <c r="A393" s="8" t="s">
        <v>397</v>
      </c>
      <c r="B393" s="8">
        <v>10992</v>
      </c>
      <c r="D393" s="1">
        <v>6</v>
      </c>
      <c r="E393" s="8">
        <f>VLOOKUP(B393,Gesamtstunden_26!B:I,8,0)</f>
        <v>0</v>
      </c>
      <c r="F393" s="2">
        <f t="shared" si="6"/>
        <v>6</v>
      </c>
    </row>
    <row r="394" spans="1:1024">
      <c r="A394" s="10" t="s">
        <v>398</v>
      </c>
      <c r="B394" s="10">
        <v>772280</v>
      </c>
      <c r="D394" s="1">
        <v>0</v>
      </c>
      <c r="E394" s="8">
        <f>VLOOKUP(B394,Gesamtstunden_26!B:I,8,0)</f>
        <v>1.5</v>
      </c>
      <c r="F394" s="2">
        <f t="shared" si="6"/>
        <v>-1.5</v>
      </c>
    </row>
    <row r="395" spans="1:1024">
      <c r="A395" s="10" t="s">
        <v>399</v>
      </c>
      <c r="B395" s="10">
        <v>587311</v>
      </c>
      <c r="D395" s="1">
        <v>0</v>
      </c>
      <c r="E395" s="8">
        <f>VLOOKUP(B395,Gesamtstunden_26!B:I,8,0)</f>
        <v>4.333333333333333</v>
      </c>
      <c r="F395" s="2">
        <f t="shared" si="6"/>
        <v>-4.333333333333333</v>
      </c>
    </row>
    <row r="396" spans="1:1024" s="11" customFormat="1" ht="27.6">
      <c r="A396" s="8" t="s">
        <v>400</v>
      </c>
      <c r="B396" s="8">
        <v>369430</v>
      </c>
      <c r="C396"/>
      <c r="D396" s="1">
        <v>1</v>
      </c>
      <c r="E396" s="8">
        <f>VLOOKUP(B396,Gesamtstunden_26!B:I,8,0)</f>
        <v>0.66666666666666663</v>
      </c>
      <c r="F396" s="2">
        <f t="shared" si="6"/>
        <v>0.33333333333333337</v>
      </c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  <c r="CJ396"/>
      <c r="CK396"/>
      <c r="CL396"/>
      <c r="CM396"/>
      <c r="CN396"/>
      <c r="CO396"/>
      <c r="CP396"/>
      <c r="CQ396"/>
      <c r="CR396"/>
      <c r="CS396"/>
      <c r="CT396"/>
      <c r="CU396"/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  <c r="DQ396"/>
      <c r="DR396"/>
      <c r="DS396"/>
      <c r="DT396"/>
      <c r="DU396"/>
      <c r="DV396"/>
      <c r="DW396"/>
      <c r="DX396"/>
      <c r="DY396"/>
      <c r="DZ396"/>
      <c r="EA396"/>
      <c r="EB396"/>
      <c r="EC396"/>
      <c r="ED396"/>
      <c r="EE396"/>
      <c r="EF396"/>
      <c r="EG396"/>
      <c r="EH396"/>
      <c r="EI396"/>
      <c r="EJ396"/>
      <c r="EK396"/>
      <c r="EL396"/>
      <c r="EM396"/>
      <c r="EN396"/>
      <c r="EO396"/>
      <c r="EP396"/>
      <c r="EQ396"/>
      <c r="ER396"/>
      <c r="ES396"/>
      <c r="ET396"/>
      <c r="EU396"/>
      <c r="EV396"/>
      <c r="EW396"/>
      <c r="EX396"/>
      <c r="EY396"/>
      <c r="EZ396"/>
      <c r="FA396"/>
      <c r="FB396"/>
      <c r="FC396"/>
      <c r="FD396"/>
      <c r="FE396"/>
      <c r="FF396"/>
      <c r="FG396"/>
      <c r="FH396"/>
      <c r="FI396"/>
      <c r="FJ396"/>
      <c r="FK396"/>
      <c r="FL396"/>
      <c r="FM396"/>
      <c r="FN396"/>
      <c r="FO396"/>
      <c r="FP396"/>
      <c r="FQ396"/>
      <c r="FR396"/>
      <c r="FS396"/>
      <c r="FT396"/>
      <c r="FU396"/>
      <c r="FV396"/>
      <c r="FW396"/>
      <c r="FX396"/>
      <c r="FY396"/>
      <c r="FZ396"/>
      <c r="GA396"/>
      <c r="GB396"/>
      <c r="GC396"/>
      <c r="GD396"/>
      <c r="GE396"/>
      <c r="GF396"/>
      <c r="GG396"/>
      <c r="GH396"/>
      <c r="GI396"/>
      <c r="GJ396"/>
      <c r="GK396"/>
      <c r="GL396"/>
      <c r="GM396"/>
      <c r="GN396"/>
      <c r="GO396"/>
      <c r="GP396"/>
      <c r="GQ396"/>
      <c r="GR396"/>
      <c r="GS396"/>
      <c r="GT396"/>
      <c r="GU396"/>
      <c r="GV396"/>
      <c r="GW396"/>
      <c r="GX396"/>
      <c r="GY396"/>
      <c r="GZ396"/>
      <c r="HA396"/>
      <c r="HB396"/>
      <c r="HC396"/>
      <c r="HD396"/>
      <c r="HE396"/>
      <c r="HF396"/>
      <c r="HG396"/>
      <c r="HH396"/>
      <c r="HI396"/>
      <c r="HJ396"/>
      <c r="HK396"/>
      <c r="HL396"/>
      <c r="HM396"/>
      <c r="HN396"/>
      <c r="HO396"/>
      <c r="HP396"/>
      <c r="HQ396"/>
      <c r="HR396"/>
      <c r="HS396"/>
      <c r="HT396"/>
      <c r="HU396"/>
      <c r="HV396"/>
      <c r="HW396"/>
      <c r="HX396"/>
      <c r="HY396"/>
      <c r="HZ396"/>
      <c r="IA396"/>
      <c r="IB396"/>
      <c r="IC396"/>
      <c r="ID396"/>
      <c r="IE396"/>
      <c r="IF396"/>
      <c r="IG396"/>
      <c r="IH396"/>
      <c r="II396"/>
      <c r="IJ396"/>
      <c r="IK396"/>
      <c r="IL396"/>
      <c r="IM396"/>
      <c r="IN396"/>
      <c r="IO396"/>
      <c r="IP396"/>
      <c r="IQ396"/>
      <c r="IR396"/>
      <c r="IS396"/>
      <c r="IT396"/>
      <c r="IU396"/>
      <c r="IV396"/>
      <c r="IW396"/>
      <c r="IX396"/>
      <c r="IY396"/>
      <c r="IZ396"/>
      <c r="JA396"/>
      <c r="JB396"/>
      <c r="JC396"/>
      <c r="JD396"/>
      <c r="JE396"/>
      <c r="JF396"/>
      <c r="JG396"/>
      <c r="JH396"/>
      <c r="JI396"/>
      <c r="JJ396"/>
      <c r="JK396"/>
      <c r="JL396"/>
      <c r="JM396"/>
      <c r="JN396"/>
      <c r="JO396"/>
      <c r="JP396"/>
      <c r="JQ396"/>
      <c r="JR396"/>
      <c r="JS396"/>
      <c r="JT396"/>
      <c r="JU396"/>
      <c r="JV396"/>
      <c r="JW396"/>
      <c r="JX396"/>
      <c r="JY396"/>
      <c r="JZ396"/>
      <c r="KA396"/>
      <c r="KB396"/>
      <c r="KC396"/>
      <c r="KD396"/>
      <c r="KE396"/>
      <c r="KF396"/>
      <c r="KG396"/>
      <c r="KH396"/>
      <c r="KI396"/>
      <c r="KJ396"/>
      <c r="KK396"/>
      <c r="KL396"/>
      <c r="KM396"/>
      <c r="KN396"/>
      <c r="KO396"/>
      <c r="KP396"/>
      <c r="KQ396"/>
      <c r="KR396"/>
      <c r="KS396"/>
      <c r="KT396"/>
      <c r="KU396"/>
      <c r="KV396"/>
      <c r="KW396"/>
      <c r="KX396"/>
      <c r="KY396"/>
      <c r="KZ396"/>
      <c r="LA396"/>
      <c r="LB396"/>
      <c r="LC396"/>
      <c r="LD396"/>
      <c r="LE396"/>
      <c r="LF396"/>
      <c r="LG396"/>
      <c r="LH396"/>
      <c r="LI396"/>
      <c r="LJ396"/>
      <c r="LK396"/>
      <c r="LL396"/>
      <c r="LM396"/>
      <c r="LN396"/>
      <c r="LO396"/>
      <c r="LP396"/>
      <c r="LQ396"/>
      <c r="LR396"/>
      <c r="LS396"/>
      <c r="LT396"/>
      <c r="LU396"/>
      <c r="LV396"/>
      <c r="LW396"/>
      <c r="LX396"/>
      <c r="LY396"/>
      <c r="LZ396"/>
      <c r="MA396"/>
      <c r="MB396"/>
      <c r="MC396"/>
      <c r="MD396"/>
      <c r="ME396"/>
      <c r="MF396"/>
      <c r="MG396"/>
      <c r="MH396"/>
      <c r="MI396"/>
      <c r="MJ396"/>
      <c r="MK396"/>
      <c r="ML396"/>
      <c r="MM396"/>
      <c r="MN396"/>
      <c r="MO396"/>
      <c r="MP396"/>
      <c r="MQ396"/>
      <c r="MR396"/>
      <c r="MS396"/>
      <c r="MT396"/>
      <c r="MU396"/>
      <c r="MV396"/>
      <c r="MW396"/>
      <c r="MX396"/>
      <c r="MY396"/>
      <c r="MZ396"/>
      <c r="NA396"/>
      <c r="NB396"/>
      <c r="NC396"/>
      <c r="ND396"/>
      <c r="NE396"/>
      <c r="NF396"/>
      <c r="NG396"/>
      <c r="NH396"/>
      <c r="NI396"/>
      <c r="NJ396"/>
      <c r="NK396"/>
      <c r="NL396"/>
      <c r="NM396"/>
      <c r="NN396"/>
      <c r="NO396"/>
      <c r="NP396"/>
      <c r="NQ396"/>
      <c r="NR396"/>
      <c r="NS396"/>
      <c r="NT396"/>
      <c r="NU396"/>
      <c r="NV396"/>
      <c r="NW396"/>
      <c r="NX396"/>
      <c r="NY396"/>
      <c r="NZ396"/>
      <c r="OA396"/>
      <c r="OB396"/>
      <c r="OC396"/>
      <c r="OD396"/>
      <c r="OE396"/>
      <c r="OF396"/>
      <c r="OG396"/>
      <c r="OH396"/>
      <c r="OI396"/>
      <c r="OJ396"/>
      <c r="OK396"/>
      <c r="OL396"/>
      <c r="OM396"/>
      <c r="ON396"/>
      <c r="OO396"/>
      <c r="OP396"/>
      <c r="OQ396"/>
      <c r="OR396"/>
      <c r="OS396"/>
      <c r="OT396"/>
      <c r="OU396"/>
      <c r="OV396"/>
      <c r="OW396"/>
      <c r="OX396"/>
      <c r="OY396"/>
      <c r="OZ396"/>
      <c r="PA396"/>
      <c r="PB396"/>
      <c r="PC396"/>
      <c r="PD396"/>
      <c r="PE396"/>
      <c r="PF396"/>
      <c r="PG396"/>
      <c r="PH396"/>
      <c r="PI396"/>
      <c r="PJ396"/>
      <c r="PK396"/>
      <c r="PL396"/>
      <c r="PM396"/>
      <c r="PN396"/>
      <c r="PO396"/>
      <c r="PP396"/>
      <c r="PQ396"/>
      <c r="PR396"/>
      <c r="PS396"/>
      <c r="PT396"/>
      <c r="PU396"/>
      <c r="PV396"/>
      <c r="PW396"/>
      <c r="PX396"/>
      <c r="PY396"/>
      <c r="PZ396"/>
      <c r="QA396"/>
      <c r="QB396"/>
      <c r="QC396"/>
      <c r="QD396"/>
      <c r="QE396"/>
      <c r="QF396"/>
      <c r="QG396"/>
      <c r="QH396"/>
      <c r="QI396"/>
      <c r="QJ396"/>
      <c r="QK396"/>
      <c r="QL396"/>
      <c r="QM396"/>
      <c r="QN396"/>
      <c r="QO396"/>
      <c r="QP396"/>
      <c r="QQ396"/>
      <c r="QR396"/>
      <c r="QS396"/>
      <c r="QT396"/>
      <c r="QU396"/>
      <c r="QV396"/>
      <c r="QW396"/>
      <c r="QX396"/>
      <c r="QY396"/>
      <c r="QZ396"/>
      <c r="RA396"/>
      <c r="RB396"/>
      <c r="RC396"/>
      <c r="RD396"/>
      <c r="RE396"/>
      <c r="RF396"/>
      <c r="RG396"/>
      <c r="RH396"/>
      <c r="RI396"/>
      <c r="RJ396"/>
      <c r="RK396"/>
      <c r="RL396"/>
      <c r="RM396"/>
      <c r="RN396"/>
      <c r="RO396"/>
      <c r="RP396"/>
      <c r="RQ396"/>
      <c r="RR396"/>
      <c r="RS396"/>
      <c r="RT396"/>
      <c r="RU396"/>
      <c r="RV396"/>
      <c r="RW396"/>
      <c r="RX396"/>
      <c r="RY396"/>
      <c r="RZ396"/>
      <c r="SA396"/>
      <c r="SB396"/>
      <c r="SC396"/>
      <c r="SD396"/>
      <c r="SE396"/>
      <c r="SF396"/>
      <c r="SG396"/>
      <c r="SH396"/>
      <c r="SI396"/>
      <c r="SJ396"/>
      <c r="SK396"/>
      <c r="SL396"/>
      <c r="SM396"/>
      <c r="SN396"/>
      <c r="SO396"/>
      <c r="SP396"/>
      <c r="SQ396"/>
      <c r="SR396"/>
      <c r="SS396"/>
      <c r="ST396"/>
      <c r="SU396"/>
      <c r="SV396"/>
      <c r="SW396"/>
      <c r="SX396"/>
      <c r="SY396"/>
      <c r="SZ396"/>
      <c r="TA396"/>
      <c r="TB396"/>
      <c r="TC396"/>
      <c r="TD396"/>
      <c r="TE396"/>
      <c r="TF396"/>
      <c r="TG396"/>
      <c r="TH396"/>
      <c r="TI396"/>
      <c r="TJ396"/>
      <c r="TK396"/>
      <c r="TL396"/>
      <c r="TM396"/>
      <c r="TN396"/>
      <c r="TO396"/>
      <c r="TP396"/>
      <c r="TQ396"/>
      <c r="TR396"/>
      <c r="TS396"/>
      <c r="TT396"/>
      <c r="TU396"/>
      <c r="TV396"/>
      <c r="TW396"/>
      <c r="TX396"/>
      <c r="TY396"/>
      <c r="TZ396"/>
      <c r="UA396"/>
      <c r="UB396"/>
      <c r="UC396"/>
      <c r="UD396"/>
      <c r="UE396"/>
      <c r="UF396"/>
      <c r="UG396"/>
      <c r="UH396"/>
      <c r="UI396"/>
      <c r="UJ396"/>
      <c r="UK396"/>
      <c r="UL396"/>
      <c r="UM396"/>
      <c r="UN396"/>
      <c r="UO396"/>
      <c r="UP396"/>
      <c r="UQ396"/>
      <c r="UR396"/>
      <c r="US396"/>
      <c r="UT396"/>
      <c r="UU396"/>
      <c r="UV396"/>
      <c r="UW396"/>
      <c r="UX396"/>
      <c r="UY396"/>
      <c r="UZ396"/>
      <c r="VA396"/>
      <c r="VB396"/>
      <c r="VC396"/>
      <c r="VD396"/>
      <c r="VE396"/>
      <c r="VF396"/>
      <c r="VG396"/>
      <c r="VH396"/>
      <c r="VI396"/>
      <c r="VJ396"/>
      <c r="VK396"/>
      <c r="VL396"/>
      <c r="VM396"/>
      <c r="VN396"/>
      <c r="VO396"/>
      <c r="VP396"/>
      <c r="VQ396"/>
      <c r="VR396"/>
      <c r="VS396"/>
      <c r="VT396"/>
      <c r="VU396"/>
      <c r="VV396"/>
      <c r="VW396"/>
      <c r="VX396"/>
      <c r="VY396"/>
      <c r="VZ396"/>
      <c r="WA396"/>
      <c r="WB396"/>
      <c r="WC396"/>
      <c r="WD396"/>
      <c r="WE396"/>
      <c r="WF396"/>
      <c r="WG396"/>
      <c r="WH396"/>
      <c r="WI396"/>
      <c r="WJ396"/>
      <c r="WK396"/>
      <c r="WL396"/>
      <c r="WM396"/>
      <c r="WN396"/>
      <c r="WO396"/>
      <c r="WP396"/>
      <c r="WQ396"/>
      <c r="WR396"/>
      <c r="WS396"/>
      <c r="WT396"/>
      <c r="WU396"/>
      <c r="WV396"/>
      <c r="WW396"/>
      <c r="WX396"/>
      <c r="WY396"/>
      <c r="WZ396"/>
      <c r="XA396"/>
      <c r="XB396"/>
      <c r="XC396"/>
      <c r="XD396"/>
      <c r="XE396"/>
      <c r="XF396"/>
      <c r="XG396"/>
      <c r="XH396"/>
      <c r="XI396"/>
      <c r="XJ396"/>
      <c r="XK396"/>
      <c r="XL396"/>
      <c r="XM396"/>
      <c r="XN396"/>
      <c r="XO396"/>
      <c r="XP396"/>
      <c r="XQ396"/>
      <c r="XR396"/>
      <c r="XS396"/>
      <c r="XT396"/>
      <c r="XU396"/>
      <c r="XV396"/>
      <c r="XW396"/>
      <c r="XX396"/>
      <c r="XY396"/>
      <c r="XZ396"/>
      <c r="YA396"/>
      <c r="YB396"/>
      <c r="YC396"/>
      <c r="YD396"/>
      <c r="YE396"/>
      <c r="YF396"/>
      <c r="YG396"/>
      <c r="YH396"/>
      <c r="YI396"/>
      <c r="YJ396"/>
      <c r="YK396"/>
      <c r="YL396"/>
      <c r="YM396"/>
      <c r="YN396"/>
      <c r="YO396"/>
      <c r="YP396"/>
      <c r="YQ396"/>
      <c r="YR396"/>
      <c r="YS396"/>
      <c r="YT396"/>
      <c r="YU396"/>
      <c r="YV396"/>
      <c r="YW396"/>
      <c r="YX396"/>
      <c r="YY396"/>
      <c r="YZ396"/>
      <c r="ZA396"/>
      <c r="ZB396"/>
      <c r="ZC396"/>
      <c r="ZD396"/>
      <c r="ZE396"/>
      <c r="ZF396"/>
      <c r="ZG396"/>
      <c r="ZH396"/>
      <c r="ZI396"/>
      <c r="ZJ396"/>
      <c r="ZK396"/>
      <c r="ZL396"/>
      <c r="ZM396"/>
      <c r="ZN396"/>
      <c r="ZO396"/>
      <c r="ZP396"/>
      <c r="ZQ396"/>
      <c r="ZR396"/>
      <c r="ZS396"/>
      <c r="ZT396"/>
      <c r="ZU396"/>
      <c r="ZV396"/>
      <c r="ZW396"/>
      <c r="ZX396"/>
      <c r="ZY396"/>
      <c r="ZZ396"/>
      <c r="AAA396"/>
      <c r="AAB396"/>
      <c r="AAC396"/>
      <c r="AAD396"/>
      <c r="AAE396"/>
      <c r="AAF396"/>
      <c r="AAG396"/>
      <c r="AAH396"/>
      <c r="AAI396"/>
      <c r="AAJ396"/>
      <c r="AAK396"/>
      <c r="AAL396"/>
      <c r="AAM396"/>
      <c r="AAN396"/>
      <c r="AAO396"/>
      <c r="AAP396"/>
      <c r="AAQ396"/>
      <c r="AAR396"/>
      <c r="AAS396"/>
      <c r="AAT396"/>
      <c r="AAU396"/>
      <c r="AAV396"/>
      <c r="AAW396"/>
      <c r="AAX396"/>
      <c r="AAY396"/>
      <c r="AAZ396"/>
      <c r="ABA396"/>
      <c r="ABB396"/>
      <c r="ABC396"/>
      <c r="ABD396"/>
      <c r="ABE396"/>
      <c r="ABF396"/>
      <c r="ABG396"/>
      <c r="ABH396"/>
      <c r="ABI396"/>
      <c r="ABJ396"/>
      <c r="ABK396"/>
      <c r="ABL396"/>
      <c r="ABM396"/>
      <c r="ABN396"/>
      <c r="ABO396"/>
      <c r="ABP396"/>
      <c r="ABQ396"/>
      <c r="ABR396"/>
      <c r="ABS396"/>
      <c r="ABT396"/>
      <c r="ABU396"/>
      <c r="ABV396"/>
      <c r="ABW396"/>
      <c r="ABX396"/>
      <c r="ABY396"/>
      <c r="ABZ396"/>
      <c r="ACA396"/>
      <c r="ACB396"/>
      <c r="ACC396"/>
      <c r="ACD396"/>
      <c r="ACE396"/>
      <c r="ACF396"/>
      <c r="ACG396"/>
      <c r="ACH396"/>
      <c r="ACI396"/>
      <c r="ACJ396"/>
      <c r="ACK396"/>
      <c r="ACL396"/>
      <c r="ACM396"/>
      <c r="ACN396"/>
      <c r="ACO396"/>
      <c r="ACP396"/>
      <c r="ACQ396"/>
      <c r="ACR396"/>
      <c r="ACS396"/>
      <c r="ACT396"/>
      <c r="ACU396"/>
      <c r="ACV396"/>
      <c r="ACW396"/>
      <c r="ACX396"/>
      <c r="ACY396"/>
      <c r="ACZ396"/>
      <c r="ADA396"/>
      <c r="ADB396"/>
      <c r="ADC396"/>
      <c r="ADD396"/>
      <c r="ADE396"/>
      <c r="ADF396"/>
      <c r="ADG396"/>
      <c r="ADH396"/>
      <c r="ADI396"/>
      <c r="ADJ396"/>
      <c r="ADK396"/>
      <c r="ADL396"/>
      <c r="ADM396"/>
      <c r="ADN396"/>
      <c r="ADO396"/>
      <c r="ADP396"/>
      <c r="ADQ396"/>
      <c r="ADR396"/>
      <c r="ADS396"/>
      <c r="ADT396"/>
      <c r="ADU396"/>
      <c r="ADV396"/>
      <c r="ADW396"/>
      <c r="ADX396"/>
      <c r="ADY396"/>
      <c r="ADZ396"/>
      <c r="AEA396"/>
      <c r="AEB396"/>
      <c r="AEC396"/>
      <c r="AED396"/>
      <c r="AEE396"/>
      <c r="AEF396"/>
      <c r="AEG396"/>
      <c r="AEH396"/>
      <c r="AEI396"/>
      <c r="AEJ396"/>
      <c r="AEK396"/>
      <c r="AEL396"/>
      <c r="AEM396"/>
      <c r="AEN396"/>
      <c r="AEO396"/>
      <c r="AEP396"/>
      <c r="AEQ396"/>
      <c r="AER396"/>
      <c r="AES396"/>
      <c r="AET396"/>
      <c r="AEU396"/>
      <c r="AEV396"/>
      <c r="AEW396"/>
      <c r="AEX396"/>
      <c r="AEY396"/>
      <c r="AEZ396"/>
      <c r="AFA396"/>
      <c r="AFB396"/>
      <c r="AFC396"/>
      <c r="AFD396"/>
      <c r="AFE396"/>
      <c r="AFF396"/>
      <c r="AFG396"/>
      <c r="AFH396"/>
      <c r="AFI396"/>
      <c r="AFJ396"/>
      <c r="AFK396"/>
      <c r="AFL396"/>
      <c r="AFM396"/>
      <c r="AFN396"/>
      <c r="AFO396"/>
      <c r="AFP396"/>
      <c r="AFQ396"/>
      <c r="AFR396"/>
      <c r="AFS396"/>
      <c r="AFT396"/>
      <c r="AFU396"/>
      <c r="AFV396"/>
      <c r="AFW396"/>
      <c r="AFX396"/>
      <c r="AFY396"/>
      <c r="AFZ396"/>
      <c r="AGA396"/>
      <c r="AGB396"/>
      <c r="AGC396"/>
      <c r="AGD396"/>
      <c r="AGE396"/>
      <c r="AGF396"/>
      <c r="AGG396"/>
      <c r="AGH396"/>
      <c r="AGI396"/>
      <c r="AGJ396"/>
      <c r="AGK396"/>
      <c r="AGL396"/>
      <c r="AGM396"/>
      <c r="AGN396"/>
      <c r="AGO396"/>
      <c r="AGP396"/>
      <c r="AGQ396"/>
      <c r="AGR396"/>
      <c r="AGS396"/>
      <c r="AGT396"/>
      <c r="AGU396"/>
      <c r="AGV396"/>
      <c r="AGW396"/>
      <c r="AGX396"/>
      <c r="AGY396"/>
      <c r="AGZ396"/>
      <c r="AHA396"/>
      <c r="AHB396"/>
      <c r="AHC396"/>
      <c r="AHD396"/>
      <c r="AHE396"/>
      <c r="AHF396"/>
      <c r="AHG396"/>
      <c r="AHH396"/>
      <c r="AHI396"/>
      <c r="AHJ396"/>
      <c r="AHK396"/>
      <c r="AHL396"/>
      <c r="AHM396"/>
      <c r="AHN396"/>
      <c r="AHO396"/>
      <c r="AHP396"/>
      <c r="AHQ396"/>
      <c r="AHR396"/>
      <c r="AHS396"/>
      <c r="AHT396"/>
      <c r="AHU396"/>
      <c r="AHV396"/>
      <c r="AHW396"/>
      <c r="AHX396"/>
      <c r="AHY396"/>
      <c r="AHZ396"/>
      <c r="AIA396"/>
      <c r="AIB396"/>
      <c r="AIC396"/>
      <c r="AID396"/>
      <c r="AIE396"/>
      <c r="AIF396"/>
      <c r="AIG396"/>
      <c r="AIH396"/>
      <c r="AII396"/>
      <c r="AIJ396"/>
      <c r="AIK396"/>
      <c r="AIL396"/>
      <c r="AIM396"/>
      <c r="AIN396"/>
      <c r="AIO396"/>
      <c r="AIP396"/>
      <c r="AIQ396"/>
      <c r="AIR396"/>
      <c r="AIS396"/>
      <c r="AIT396"/>
      <c r="AIU396"/>
      <c r="AIV396"/>
      <c r="AIW396"/>
      <c r="AIX396"/>
      <c r="AIY396"/>
      <c r="AIZ396"/>
      <c r="AJA396"/>
      <c r="AJB396"/>
      <c r="AJC396"/>
      <c r="AJD396"/>
      <c r="AJE396"/>
      <c r="AJF396"/>
      <c r="AJG396"/>
      <c r="AJH396"/>
      <c r="AJI396"/>
      <c r="AJJ396"/>
      <c r="AJK396"/>
      <c r="AJL396"/>
      <c r="AJM396"/>
      <c r="AJN396"/>
      <c r="AJO396"/>
      <c r="AJP396"/>
      <c r="AJQ396"/>
      <c r="AJR396"/>
      <c r="AJS396"/>
      <c r="AJT396"/>
      <c r="AJU396"/>
      <c r="AJV396"/>
      <c r="AJW396"/>
      <c r="AJX396"/>
      <c r="AJY396"/>
      <c r="AJZ396"/>
      <c r="AKA396"/>
      <c r="AKB396"/>
      <c r="AKC396"/>
      <c r="AKD396"/>
      <c r="AKE396"/>
      <c r="AKF396"/>
      <c r="AKG396"/>
      <c r="AKH396"/>
      <c r="AKI396"/>
      <c r="AKJ396"/>
      <c r="AKK396"/>
      <c r="AKL396"/>
      <c r="AKM396"/>
      <c r="AKN396"/>
      <c r="AKO396"/>
      <c r="AKP396"/>
      <c r="AKQ396"/>
      <c r="AKR396"/>
      <c r="AKS396"/>
      <c r="AKT396"/>
      <c r="AKU396"/>
      <c r="AKV396"/>
      <c r="AKW396"/>
      <c r="AKX396"/>
      <c r="AKY396"/>
      <c r="AKZ396"/>
      <c r="ALA396"/>
      <c r="ALB396"/>
      <c r="ALC396"/>
      <c r="ALD396"/>
      <c r="ALE396"/>
      <c r="ALF396"/>
      <c r="ALG396"/>
      <c r="ALH396"/>
      <c r="ALI396"/>
      <c r="ALJ396"/>
      <c r="ALK396"/>
      <c r="ALL396"/>
      <c r="ALM396"/>
      <c r="ALN396"/>
      <c r="ALO396"/>
      <c r="ALP396"/>
      <c r="ALQ396"/>
      <c r="ALR396"/>
      <c r="ALS396"/>
      <c r="ALT396"/>
      <c r="ALU396"/>
      <c r="ALV396"/>
      <c r="ALW396"/>
      <c r="ALX396"/>
      <c r="ALY396"/>
      <c r="ALZ396"/>
      <c r="AMA396"/>
      <c r="AMB396"/>
      <c r="AMC396"/>
      <c r="AMD396"/>
      <c r="AME396"/>
      <c r="AMF396"/>
      <c r="AMG396"/>
      <c r="AMH396"/>
      <c r="AMI396"/>
      <c r="AMJ396"/>
    </row>
    <row r="397" spans="1:1024">
      <c r="A397" s="7" t="s">
        <v>401</v>
      </c>
      <c r="B397" s="7">
        <v>641872</v>
      </c>
      <c r="C397" s="11"/>
      <c r="D397" s="12">
        <v>0</v>
      </c>
      <c r="E397" s="7">
        <f>VLOOKUP(B397,Gesamtstunden_26!B:I,8,0)</f>
        <v>1</v>
      </c>
      <c r="F397" s="13">
        <f t="shared" si="6"/>
        <v>-1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  <c r="BJ397" s="11"/>
      <c r="BK397" s="11"/>
      <c r="BL397" s="11"/>
      <c r="BM397" s="11"/>
      <c r="BN397" s="11"/>
      <c r="BO397" s="11"/>
      <c r="BP397" s="11"/>
      <c r="BQ397" s="11"/>
      <c r="BR397" s="11"/>
      <c r="BS397" s="11"/>
      <c r="BT397" s="11"/>
      <c r="BU397" s="11"/>
      <c r="BV397" s="11"/>
      <c r="BW397" s="11"/>
      <c r="BX397" s="11"/>
      <c r="BY397" s="11"/>
      <c r="BZ397" s="11"/>
      <c r="CA397" s="11"/>
      <c r="CB397" s="11"/>
      <c r="CC397" s="11"/>
      <c r="CD397" s="11"/>
      <c r="CE397" s="11"/>
      <c r="CF397" s="11"/>
      <c r="CG397" s="11"/>
      <c r="CH397" s="11"/>
      <c r="CI397" s="11"/>
      <c r="CJ397" s="11"/>
      <c r="CK397" s="11"/>
      <c r="CL397" s="11"/>
      <c r="CM397" s="11"/>
      <c r="CN397" s="11"/>
      <c r="CO397" s="11"/>
      <c r="CP397" s="11"/>
      <c r="CQ397" s="11"/>
      <c r="CR397" s="11"/>
      <c r="CS397" s="11"/>
      <c r="CT397" s="11"/>
      <c r="CU397" s="11"/>
      <c r="CV397" s="11"/>
      <c r="CW397" s="11"/>
      <c r="CX397" s="11"/>
      <c r="CY397" s="11"/>
      <c r="CZ397" s="11"/>
      <c r="DA397" s="11"/>
      <c r="DB397" s="11"/>
      <c r="DC397" s="11"/>
      <c r="DD397" s="11"/>
      <c r="DE397" s="11"/>
      <c r="DF397" s="11"/>
      <c r="DG397" s="11"/>
      <c r="DH397" s="11"/>
      <c r="DI397" s="11"/>
      <c r="DJ397" s="11"/>
      <c r="DK397" s="11"/>
      <c r="DL397" s="11"/>
      <c r="DM397" s="11"/>
      <c r="DN397" s="11"/>
      <c r="DO397" s="11"/>
      <c r="DP397" s="11"/>
      <c r="DQ397" s="11"/>
      <c r="DR397" s="11"/>
      <c r="DS397" s="11"/>
      <c r="DT397" s="11"/>
      <c r="DU397" s="11"/>
      <c r="DV397" s="11"/>
      <c r="DW397" s="11"/>
      <c r="DX397" s="11"/>
      <c r="DY397" s="11"/>
      <c r="DZ397" s="11"/>
      <c r="EA397" s="11"/>
      <c r="EB397" s="11"/>
      <c r="EC397" s="11"/>
      <c r="ED397" s="11"/>
      <c r="EE397" s="11"/>
      <c r="EF397" s="11"/>
      <c r="EG397" s="11"/>
      <c r="EH397" s="11"/>
      <c r="EI397" s="11"/>
      <c r="EJ397" s="11"/>
      <c r="EK397" s="11"/>
      <c r="EL397" s="11"/>
      <c r="EM397" s="11"/>
      <c r="EN397" s="11"/>
      <c r="EO397" s="11"/>
      <c r="EP397" s="11"/>
      <c r="EQ397" s="11"/>
      <c r="ER397" s="11"/>
      <c r="ES397" s="11"/>
      <c r="ET397" s="11"/>
      <c r="EU397" s="11"/>
      <c r="EV397" s="11"/>
      <c r="EW397" s="11"/>
      <c r="EX397" s="11"/>
      <c r="EY397" s="11"/>
      <c r="EZ397" s="11"/>
      <c r="FA397" s="11"/>
      <c r="FB397" s="11"/>
      <c r="FC397" s="11"/>
      <c r="FD397" s="11"/>
      <c r="FE397" s="11"/>
      <c r="FF397" s="11"/>
      <c r="FG397" s="11"/>
      <c r="FH397" s="11"/>
      <c r="FI397" s="11"/>
      <c r="FJ397" s="11"/>
      <c r="FK397" s="11"/>
      <c r="FL397" s="11"/>
      <c r="FM397" s="11"/>
      <c r="FN397" s="11"/>
      <c r="FO397" s="11"/>
      <c r="FP397" s="11"/>
      <c r="FQ397" s="11"/>
      <c r="FR397" s="11"/>
      <c r="FS397" s="11"/>
      <c r="FT397" s="11"/>
      <c r="FU397" s="11"/>
      <c r="FV397" s="11"/>
      <c r="FW397" s="11"/>
      <c r="FX397" s="11"/>
      <c r="FY397" s="11"/>
      <c r="FZ397" s="11"/>
      <c r="GA397" s="11"/>
      <c r="GB397" s="11"/>
      <c r="GC397" s="11"/>
      <c r="GD397" s="11"/>
      <c r="GE397" s="11"/>
      <c r="GF397" s="11"/>
      <c r="GG397" s="11"/>
      <c r="GH397" s="11"/>
      <c r="GI397" s="11"/>
      <c r="GJ397" s="11"/>
      <c r="GK397" s="11"/>
      <c r="GL397" s="11"/>
      <c r="GM397" s="11"/>
      <c r="GN397" s="11"/>
      <c r="GO397" s="11"/>
      <c r="GP397" s="11"/>
      <c r="GQ397" s="11"/>
      <c r="GR397" s="11"/>
      <c r="GS397" s="11"/>
      <c r="GT397" s="11"/>
      <c r="GU397" s="11"/>
      <c r="GV397" s="11"/>
      <c r="GW397" s="11"/>
      <c r="GX397" s="11"/>
      <c r="GY397" s="11"/>
      <c r="GZ397" s="11"/>
      <c r="HA397" s="11"/>
      <c r="HB397" s="11"/>
      <c r="HC397" s="11"/>
      <c r="HD397" s="11"/>
      <c r="HE397" s="11"/>
      <c r="HF397" s="11"/>
      <c r="HG397" s="11"/>
      <c r="HH397" s="11"/>
      <c r="HI397" s="11"/>
      <c r="HJ397" s="11"/>
      <c r="HK397" s="11"/>
      <c r="HL397" s="11"/>
      <c r="HM397" s="11"/>
      <c r="HN397" s="11"/>
      <c r="HO397" s="11"/>
      <c r="HP397" s="11"/>
      <c r="HQ397" s="11"/>
      <c r="HR397" s="11"/>
      <c r="HS397" s="11"/>
      <c r="HT397" s="11"/>
      <c r="HU397" s="11"/>
      <c r="HV397" s="11"/>
      <c r="HW397" s="11"/>
      <c r="HX397" s="11"/>
      <c r="HY397" s="11"/>
      <c r="HZ397" s="11"/>
      <c r="IA397" s="11"/>
      <c r="IB397" s="11"/>
      <c r="IC397" s="11"/>
      <c r="ID397" s="11"/>
      <c r="IE397" s="11"/>
      <c r="IF397" s="11"/>
      <c r="IG397" s="11"/>
      <c r="IH397" s="11"/>
      <c r="II397" s="11"/>
      <c r="IJ397" s="11"/>
      <c r="IK397" s="11"/>
      <c r="IL397" s="11"/>
      <c r="IM397" s="11"/>
      <c r="IN397" s="11"/>
      <c r="IO397" s="11"/>
      <c r="IP397" s="11"/>
      <c r="IQ397" s="11"/>
      <c r="IR397" s="11"/>
      <c r="IS397" s="11"/>
      <c r="IT397" s="11"/>
      <c r="IU397" s="11"/>
      <c r="IV397" s="11"/>
      <c r="IW397" s="11"/>
      <c r="IX397" s="11"/>
      <c r="IY397" s="11"/>
      <c r="IZ397" s="11"/>
      <c r="JA397" s="11"/>
      <c r="JB397" s="11"/>
      <c r="JC397" s="11"/>
      <c r="JD397" s="11"/>
      <c r="JE397" s="11"/>
      <c r="JF397" s="11"/>
      <c r="JG397" s="11"/>
      <c r="JH397" s="11"/>
      <c r="JI397" s="11"/>
      <c r="JJ397" s="11"/>
      <c r="JK397" s="11"/>
      <c r="JL397" s="11"/>
      <c r="JM397" s="11"/>
      <c r="JN397" s="11"/>
      <c r="JO397" s="11"/>
      <c r="JP397" s="11"/>
      <c r="JQ397" s="11"/>
      <c r="JR397" s="11"/>
      <c r="JS397" s="11"/>
      <c r="JT397" s="11"/>
      <c r="JU397" s="11"/>
      <c r="JV397" s="11"/>
      <c r="JW397" s="11"/>
      <c r="JX397" s="11"/>
      <c r="JY397" s="11"/>
      <c r="JZ397" s="11"/>
      <c r="KA397" s="11"/>
      <c r="KB397" s="11"/>
      <c r="KC397" s="11"/>
      <c r="KD397" s="11"/>
      <c r="KE397" s="11"/>
      <c r="KF397" s="11"/>
      <c r="KG397" s="11"/>
      <c r="KH397" s="11"/>
      <c r="KI397" s="11"/>
      <c r="KJ397" s="11"/>
      <c r="KK397" s="11"/>
      <c r="KL397" s="11"/>
      <c r="KM397" s="11"/>
      <c r="KN397" s="11"/>
      <c r="KO397" s="11"/>
      <c r="KP397" s="11"/>
      <c r="KQ397" s="11"/>
      <c r="KR397" s="11"/>
      <c r="KS397" s="11"/>
      <c r="KT397" s="11"/>
      <c r="KU397" s="11"/>
      <c r="KV397" s="11"/>
      <c r="KW397" s="11"/>
      <c r="KX397" s="11"/>
      <c r="KY397" s="11"/>
      <c r="KZ397" s="11"/>
      <c r="LA397" s="11"/>
      <c r="LB397" s="11"/>
      <c r="LC397" s="11"/>
      <c r="LD397" s="11"/>
      <c r="LE397" s="11"/>
      <c r="LF397" s="11"/>
      <c r="LG397" s="11"/>
      <c r="LH397" s="11"/>
      <c r="LI397" s="11"/>
      <c r="LJ397" s="11"/>
      <c r="LK397" s="11"/>
      <c r="LL397" s="11"/>
      <c r="LM397" s="11"/>
      <c r="LN397" s="11"/>
      <c r="LO397" s="11"/>
      <c r="LP397" s="11"/>
      <c r="LQ397" s="11"/>
      <c r="LR397" s="11"/>
      <c r="LS397" s="11"/>
      <c r="LT397" s="11"/>
      <c r="LU397" s="11"/>
      <c r="LV397" s="11"/>
      <c r="LW397" s="11"/>
      <c r="LX397" s="11"/>
      <c r="LY397" s="11"/>
      <c r="LZ397" s="11"/>
      <c r="MA397" s="11"/>
      <c r="MB397" s="11"/>
      <c r="MC397" s="11"/>
      <c r="MD397" s="11"/>
      <c r="ME397" s="11"/>
      <c r="MF397" s="11"/>
      <c r="MG397" s="11"/>
      <c r="MH397" s="11"/>
      <c r="MI397" s="11"/>
      <c r="MJ397" s="11"/>
      <c r="MK397" s="11"/>
      <c r="ML397" s="11"/>
      <c r="MM397" s="11"/>
      <c r="MN397" s="11"/>
      <c r="MO397" s="11"/>
      <c r="MP397" s="11"/>
      <c r="MQ397" s="11"/>
      <c r="MR397" s="11"/>
      <c r="MS397" s="11"/>
      <c r="MT397" s="11"/>
      <c r="MU397" s="11"/>
      <c r="MV397" s="11"/>
      <c r="MW397" s="11"/>
      <c r="MX397" s="11"/>
      <c r="MY397" s="11"/>
      <c r="MZ397" s="11"/>
      <c r="NA397" s="11"/>
      <c r="NB397" s="11"/>
      <c r="NC397" s="11"/>
      <c r="ND397" s="11"/>
      <c r="NE397" s="11"/>
      <c r="NF397" s="11"/>
      <c r="NG397" s="11"/>
      <c r="NH397" s="11"/>
      <c r="NI397" s="11"/>
      <c r="NJ397" s="11"/>
      <c r="NK397" s="11"/>
      <c r="NL397" s="11"/>
      <c r="NM397" s="11"/>
      <c r="NN397" s="11"/>
      <c r="NO397" s="11"/>
      <c r="NP397" s="11"/>
      <c r="NQ397" s="11"/>
      <c r="NR397" s="11"/>
      <c r="NS397" s="11"/>
      <c r="NT397" s="11"/>
      <c r="NU397" s="11"/>
      <c r="NV397" s="11"/>
      <c r="NW397" s="11"/>
      <c r="NX397" s="11"/>
      <c r="NY397" s="11"/>
      <c r="NZ397" s="11"/>
      <c r="OA397" s="11"/>
      <c r="OB397" s="11"/>
      <c r="OC397" s="11"/>
      <c r="OD397" s="11"/>
      <c r="OE397" s="11"/>
      <c r="OF397" s="11"/>
      <c r="OG397" s="11"/>
      <c r="OH397" s="11"/>
      <c r="OI397" s="11"/>
      <c r="OJ397" s="11"/>
      <c r="OK397" s="11"/>
      <c r="OL397" s="11"/>
      <c r="OM397" s="11"/>
      <c r="ON397" s="11"/>
      <c r="OO397" s="11"/>
      <c r="OP397" s="11"/>
      <c r="OQ397" s="11"/>
      <c r="OR397" s="11"/>
      <c r="OS397" s="11"/>
      <c r="OT397" s="11"/>
      <c r="OU397" s="11"/>
      <c r="OV397" s="11"/>
      <c r="OW397" s="11"/>
      <c r="OX397" s="11"/>
      <c r="OY397" s="11"/>
      <c r="OZ397" s="11"/>
      <c r="PA397" s="11"/>
      <c r="PB397" s="11"/>
      <c r="PC397" s="11"/>
      <c r="PD397" s="11"/>
      <c r="PE397" s="11"/>
      <c r="PF397" s="11"/>
      <c r="PG397" s="11"/>
      <c r="PH397" s="11"/>
      <c r="PI397" s="11"/>
      <c r="PJ397" s="11"/>
      <c r="PK397" s="11"/>
      <c r="PL397" s="11"/>
      <c r="PM397" s="11"/>
      <c r="PN397" s="11"/>
      <c r="PO397" s="11"/>
      <c r="PP397" s="11"/>
      <c r="PQ397" s="11"/>
      <c r="PR397" s="11"/>
      <c r="PS397" s="11"/>
      <c r="PT397" s="11"/>
      <c r="PU397" s="11"/>
      <c r="PV397" s="11"/>
      <c r="PW397" s="11"/>
      <c r="PX397" s="11"/>
      <c r="PY397" s="11"/>
      <c r="PZ397" s="11"/>
      <c r="QA397" s="11"/>
      <c r="QB397" s="11"/>
      <c r="QC397" s="11"/>
      <c r="QD397" s="11"/>
      <c r="QE397" s="11"/>
      <c r="QF397" s="11"/>
      <c r="QG397" s="11"/>
      <c r="QH397" s="11"/>
      <c r="QI397" s="11"/>
      <c r="QJ397" s="11"/>
      <c r="QK397" s="11"/>
      <c r="QL397" s="11"/>
      <c r="QM397" s="11"/>
      <c r="QN397" s="11"/>
      <c r="QO397" s="11"/>
      <c r="QP397" s="11"/>
      <c r="QQ397" s="11"/>
      <c r="QR397" s="11"/>
      <c r="QS397" s="11"/>
      <c r="QT397" s="11"/>
      <c r="QU397" s="11"/>
      <c r="QV397" s="11"/>
      <c r="QW397" s="11"/>
      <c r="QX397" s="11"/>
      <c r="QY397" s="11"/>
      <c r="QZ397" s="11"/>
      <c r="RA397" s="11"/>
      <c r="RB397" s="11"/>
      <c r="RC397" s="11"/>
      <c r="RD397" s="11"/>
      <c r="RE397" s="11"/>
      <c r="RF397" s="11"/>
      <c r="RG397" s="11"/>
      <c r="RH397" s="11"/>
      <c r="RI397" s="11"/>
      <c r="RJ397" s="11"/>
      <c r="RK397" s="11"/>
      <c r="RL397" s="11"/>
      <c r="RM397" s="11"/>
      <c r="RN397" s="11"/>
      <c r="RO397" s="11"/>
      <c r="RP397" s="11"/>
      <c r="RQ397" s="11"/>
      <c r="RR397" s="11"/>
      <c r="RS397" s="11"/>
      <c r="RT397" s="11"/>
      <c r="RU397" s="11"/>
      <c r="RV397" s="11"/>
      <c r="RW397" s="11"/>
      <c r="RX397" s="11"/>
      <c r="RY397" s="11"/>
      <c r="RZ397" s="11"/>
      <c r="SA397" s="11"/>
      <c r="SB397" s="11"/>
      <c r="SC397" s="11"/>
      <c r="SD397" s="11"/>
      <c r="SE397" s="11"/>
      <c r="SF397" s="11"/>
      <c r="SG397" s="11"/>
      <c r="SH397" s="11"/>
      <c r="SI397" s="11"/>
      <c r="SJ397" s="11"/>
      <c r="SK397" s="11"/>
      <c r="SL397" s="11"/>
      <c r="SM397" s="11"/>
      <c r="SN397" s="11"/>
      <c r="SO397" s="11"/>
      <c r="SP397" s="11"/>
      <c r="SQ397" s="11"/>
      <c r="SR397" s="11"/>
      <c r="SS397" s="11"/>
      <c r="ST397" s="11"/>
      <c r="SU397" s="11"/>
      <c r="SV397" s="11"/>
      <c r="SW397" s="11"/>
      <c r="SX397" s="11"/>
      <c r="SY397" s="11"/>
      <c r="SZ397" s="11"/>
      <c r="TA397" s="11"/>
      <c r="TB397" s="11"/>
      <c r="TC397" s="11"/>
      <c r="TD397" s="11"/>
      <c r="TE397" s="11"/>
      <c r="TF397" s="11"/>
      <c r="TG397" s="11"/>
      <c r="TH397" s="11"/>
      <c r="TI397" s="11"/>
      <c r="TJ397" s="11"/>
      <c r="TK397" s="11"/>
      <c r="TL397" s="11"/>
      <c r="TM397" s="11"/>
      <c r="TN397" s="11"/>
      <c r="TO397" s="11"/>
      <c r="TP397" s="11"/>
      <c r="TQ397" s="11"/>
      <c r="TR397" s="11"/>
      <c r="TS397" s="11"/>
      <c r="TT397" s="11"/>
      <c r="TU397" s="11"/>
      <c r="TV397" s="11"/>
      <c r="TW397" s="11"/>
      <c r="TX397" s="11"/>
      <c r="TY397" s="11"/>
      <c r="TZ397" s="11"/>
      <c r="UA397" s="11"/>
      <c r="UB397" s="11"/>
      <c r="UC397" s="11"/>
      <c r="UD397" s="11"/>
      <c r="UE397" s="11"/>
      <c r="UF397" s="11"/>
      <c r="UG397" s="11"/>
      <c r="UH397" s="11"/>
      <c r="UI397" s="11"/>
      <c r="UJ397" s="11"/>
      <c r="UK397" s="11"/>
      <c r="UL397" s="11"/>
      <c r="UM397" s="11"/>
      <c r="UN397" s="11"/>
      <c r="UO397" s="11"/>
      <c r="UP397" s="11"/>
      <c r="UQ397" s="11"/>
      <c r="UR397" s="11"/>
      <c r="US397" s="11"/>
      <c r="UT397" s="11"/>
      <c r="UU397" s="11"/>
      <c r="UV397" s="11"/>
      <c r="UW397" s="11"/>
      <c r="UX397" s="11"/>
      <c r="UY397" s="11"/>
      <c r="UZ397" s="11"/>
      <c r="VA397" s="11"/>
      <c r="VB397" s="11"/>
      <c r="VC397" s="11"/>
      <c r="VD397" s="11"/>
      <c r="VE397" s="11"/>
      <c r="VF397" s="11"/>
      <c r="VG397" s="11"/>
      <c r="VH397" s="11"/>
      <c r="VI397" s="11"/>
      <c r="VJ397" s="11"/>
      <c r="VK397" s="11"/>
      <c r="VL397" s="11"/>
      <c r="VM397" s="11"/>
      <c r="VN397" s="11"/>
      <c r="VO397" s="11"/>
      <c r="VP397" s="11"/>
      <c r="VQ397" s="11"/>
      <c r="VR397" s="11"/>
      <c r="VS397" s="11"/>
      <c r="VT397" s="11"/>
      <c r="VU397" s="11"/>
      <c r="VV397" s="11"/>
      <c r="VW397" s="11"/>
      <c r="VX397" s="11"/>
      <c r="VY397" s="11"/>
      <c r="VZ397" s="11"/>
      <c r="WA397" s="11"/>
      <c r="WB397" s="11"/>
      <c r="WC397" s="11"/>
      <c r="WD397" s="11"/>
      <c r="WE397" s="11"/>
      <c r="WF397" s="11"/>
      <c r="WG397" s="11"/>
      <c r="WH397" s="11"/>
      <c r="WI397" s="11"/>
      <c r="WJ397" s="11"/>
      <c r="WK397" s="11"/>
      <c r="WL397" s="11"/>
      <c r="WM397" s="11"/>
      <c r="WN397" s="11"/>
      <c r="WO397" s="11"/>
      <c r="WP397" s="11"/>
      <c r="WQ397" s="11"/>
      <c r="WR397" s="11"/>
      <c r="WS397" s="11"/>
      <c r="WT397" s="11"/>
      <c r="WU397" s="11"/>
      <c r="WV397" s="11"/>
      <c r="WW397" s="11"/>
      <c r="WX397" s="11"/>
      <c r="WY397" s="11"/>
      <c r="WZ397" s="11"/>
      <c r="XA397" s="11"/>
      <c r="XB397" s="11"/>
      <c r="XC397" s="11"/>
      <c r="XD397" s="11"/>
      <c r="XE397" s="11"/>
      <c r="XF397" s="11"/>
      <c r="XG397" s="11"/>
      <c r="XH397" s="11"/>
      <c r="XI397" s="11"/>
      <c r="XJ397" s="11"/>
      <c r="XK397" s="11"/>
      <c r="XL397" s="11"/>
      <c r="XM397" s="11"/>
      <c r="XN397" s="11"/>
      <c r="XO397" s="11"/>
      <c r="XP397" s="11"/>
      <c r="XQ397" s="11"/>
      <c r="XR397" s="11"/>
      <c r="XS397" s="11"/>
      <c r="XT397" s="11"/>
      <c r="XU397" s="11"/>
      <c r="XV397" s="11"/>
      <c r="XW397" s="11"/>
      <c r="XX397" s="11"/>
      <c r="XY397" s="11"/>
      <c r="XZ397" s="11"/>
      <c r="YA397" s="11"/>
      <c r="YB397" s="11"/>
      <c r="YC397" s="11"/>
      <c r="YD397" s="11"/>
      <c r="YE397" s="11"/>
      <c r="YF397" s="11"/>
      <c r="YG397" s="11"/>
      <c r="YH397" s="11"/>
      <c r="YI397" s="11"/>
      <c r="YJ397" s="11"/>
      <c r="YK397" s="11"/>
      <c r="YL397" s="11"/>
      <c r="YM397" s="11"/>
      <c r="YN397" s="11"/>
      <c r="YO397" s="11"/>
      <c r="YP397" s="11"/>
      <c r="YQ397" s="11"/>
      <c r="YR397" s="11"/>
      <c r="YS397" s="11"/>
      <c r="YT397" s="11"/>
      <c r="YU397" s="11"/>
      <c r="YV397" s="11"/>
      <c r="YW397" s="11"/>
      <c r="YX397" s="11"/>
      <c r="YY397" s="11"/>
      <c r="YZ397" s="11"/>
      <c r="ZA397" s="11"/>
      <c r="ZB397" s="11"/>
      <c r="ZC397" s="11"/>
      <c r="ZD397" s="11"/>
      <c r="ZE397" s="11"/>
      <c r="ZF397" s="11"/>
      <c r="ZG397" s="11"/>
      <c r="ZH397" s="11"/>
      <c r="ZI397" s="11"/>
      <c r="ZJ397" s="11"/>
      <c r="ZK397" s="11"/>
      <c r="ZL397" s="11"/>
      <c r="ZM397" s="11"/>
      <c r="ZN397" s="11"/>
      <c r="ZO397" s="11"/>
      <c r="ZP397" s="11"/>
      <c r="ZQ397" s="11"/>
      <c r="ZR397" s="11"/>
      <c r="ZS397" s="11"/>
      <c r="ZT397" s="11"/>
      <c r="ZU397" s="11"/>
      <c r="ZV397" s="11"/>
      <c r="ZW397" s="11"/>
      <c r="ZX397" s="11"/>
      <c r="ZY397" s="11"/>
      <c r="ZZ397" s="11"/>
      <c r="AAA397" s="11"/>
      <c r="AAB397" s="11"/>
      <c r="AAC397" s="11"/>
      <c r="AAD397" s="11"/>
      <c r="AAE397" s="11"/>
      <c r="AAF397" s="11"/>
      <c r="AAG397" s="11"/>
      <c r="AAH397" s="11"/>
      <c r="AAI397" s="11"/>
      <c r="AAJ397" s="11"/>
      <c r="AAK397" s="11"/>
      <c r="AAL397" s="11"/>
      <c r="AAM397" s="11"/>
      <c r="AAN397" s="11"/>
      <c r="AAO397" s="11"/>
      <c r="AAP397" s="11"/>
      <c r="AAQ397" s="11"/>
      <c r="AAR397" s="11"/>
      <c r="AAS397" s="11"/>
      <c r="AAT397" s="11"/>
      <c r="AAU397" s="11"/>
      <c r="AAV397" s="11"/>
      <c r="AAW397" s="11"/>
      <c r="AAX397" s="11"/>
      <c r="AAY397" s="11"/>
      <c r="AAZ397" s="11"/>
      <c r="ABA397" s="11"/>
      <c r="ABB397" s="11"/>
      <c r="ABC397" s="11"/>
      <c r="ABD397" s="11"/>
      <c r="ABE397" s="11"/>
      <c r="ABF397" s="11"/>
      <c r="ABG397" s="11"/>
      <c r="ABH397" s="11"/>
      <c r="ABI397" s="11"/>
      <c r="ABJ397" s="11"/>
      <c r="ABK397" s="11"/>
      <c r="ABL397" s="11"/>
      <c r="ABM397" s="11"/>
      <c r="ABN397" s="11"/>
      <c r="ABO397" s="11"/>
      <c r="ABP397" s="11"/>
      <c r="ABQ397" s="11"/>
      <c r="ABR397" s="11"/>
      <c r="ABS397" s="11"/>
      <c r="ABT397" s="11"/>
      <c r="ABU397" s="11"/>
      <c r="ABV397" s="11"/>
      <c r="ABW397" s="11"/>
      <c r="ABX397" s="11"/>
      <c r="ABY397" s="11"/>
      <c r="ABZ397" s="11"/>
      <c r="ACA397" s="11"/>
      <c r="ACB397" s="11"/>
      <c r="ACC397" s="11"/>
      <c r="ACD397" s="11"/>
      <c r="ACE397" s="11"/>
      <c r="ACF397" s="11"/>
      <c r="ACG397" s="11"/>
      <c r="ACH397" s="11"/>
      <c r="ACI397" s="11"/>
      <c r="ACJ397" s="11"/>
      <c r="ACK397" s="11"/>
      <c r="ACL397" s="11"/>
      <c r="ACM397" s="11"/>
      <c r="ACN397" s="11"/>
      <c r="ACO397" s="11"/>
      <c r="ACP397" s="11"/>
      <c r="ACQ397" s="11"/>
      <c r="ACR397" s="11"/>
      <c r="ACS397" s="11"/>
      <c r="ACT397" s="11"/>
      <c r="ACU397" s="11"/>
      <c r="ACV397" s="11"/>
      <c r="ACW397" s="11"/>
      <c r="ACX397" s="11"/>
      <c r="ACY397" s="11"/>
      <c r="ACZ397" s="11"/>
      <c r="ADA397" s="11"/>
      <c r="ADB397" s="11"/>
      <c r="ADC397" s="11"/>
      <c r="ADD397" s="11"/>
      <c r="ADE397" s="11"/>
      <c r="ADF397" s="11"/>
      <c r="ADG397" s="11"/>
      <c r="ADH397" s="11"/>
      <c r="ADI397" s="11"/>
      <c r="ADJ397" s="11"/>
      <c r="ADK397" s="11"/>
      <c r="ADL397" s="11"/>
      <c r="ADM397" s="11"/>
      <c r="ADN397" s="11"/>
      <c r="ADO397" s="11"/>
      <c r="ADP397" s="11"/>
      <c r="ADQ397" s="11"/>
      <c r="ADR397" s="11"/>
      <c r="ADS397" s="11"/>
      <c r="ADT397" s="11"/>
      <c r="ADU397" s="11"/>
      <c r="ADV397" s="11"/>
      <c r="ADW397" s="11"/>
      <c r="ADX397" s="11"/>
      <c r="ADY397" s="11"/>
      <c r="ADZ397" s="11"/>
      <c r="AEA397" s="11"/>
      <c r="AEB397" s="11"/>
      <c r="AEC397" s="11"/>
      <c r="AED397" s="11"/>
      <c r="AEE397" s="11"/>
      <c r="AEF397" s="11"/>
      <c r="AEG397" s="11"/>
      <c r="AEH397" s="11"/>
      <c r="AEI397" s="11"/>
      <c r="AEJ397" s="11"/>
      <c r="AEK397" s="11"/>
      <c r="AEL397" s="11"/>
      <c r="AEM397" s="11"/>
      <c r="AEN397" s="11"/>
      <c r="AEO397" s="11"/>
      <c r="AEP397" s="11"/>
      <c r="AEQ397" s="11"/>
      <c r="AER397" s="11"/>
      <c r="AES397" s="11"/>
      <c r="AET397" s="11"/>
      <c r="AEU397" s="11"/>
      <c r="AEV397" s="11"/>
      <c r="AEW397" s="11"/>
      <c r="AEX397" s="11"/>
      <c r="AEY397" s="11"/>
      <c r="AEZ397" s="11"/>
      <c r="AFA397" s="11"/>
      <c r="AFB397" s="11"/>
      <c r="AFC397" s="11"/>
      <c r="AFD397" s="11"/>
      <c r="AFE397" s="11"/>
      <c r="AFF397" s="11"/>
      <c r="AFG397" s="11"/>
      <c r="AFH397" s="11"/>
      <c r="AFI397" s="11"/>
      <c r="AFJ397" s="11"/>
      <c r="AFK397" s="11"/>
      <c r="AFL397" s="11"/>
      <c r="AFM397" s="11"/>
      <c r="AFN397" s="11"/>
      <c r="AFO397" s="11"/>
      <c r="AFP397" s="11"/>
      <c r="AFQ397" s="11"/>
      <c r="AFR397" s="11"/>
      <c r="AFS397" s="11"/>
      <c r="AFT397" s="11"/>
      <c r="AFU397" s="11"/>
      <c r="AFV397" s="11"/>
      <c r="AFW397" s="11"/>
      <c r="AFX397" s="11"/>
      <c r="AFY397" s="11"/>
      <c r="AFZ397" s="11"/>
      <c r="AGA397" s="11"/>
      <c r="AGB397" s="11"/>
      <c r="AGC397" s="11"/>
      <c r="AGD397" s="11"/>
      <c r="AGE397" s="11"/>
      <c r="AGF397" s="11"/>
      <c r="AGG397" s="11"/>
      <c r="AGH397" s="11"/>
      <c r="AGI397" s="11"/>
      <c r="AGJ397" s="11"/>
      <c r="AGK397" s="11"/>
      <c r="AGL397" s="11"/>
      <c r="AGM397" s="11"/>
      <c r="AGN397" s="11"/>
      <c r="AGO397" s="11"/>
      <c r="AGP397" s="11"/>
      <c r="AGQ397" s="11"/>
      <c r="AGR397" s="11"/>
      <c r="AGS397" s="11"/>
      <c r="AGT397" s="11"/>
      <c r="AGU397" s="11"/>
      <c r="AGV397" s="11"/>
      <c r="AGW397" s="11"/>
      <c r="AGX397" s="11"/>
      <c r="AGY397" s="11"/>
      <c r="AGZ397" s="11"/>
      <c r="AHA397" s="11"/>
      <c r="AHB397" s="11"/>
      <c r="AHC397" s="11"/>
      <c r="AHD397" s="11"/>
      <c r="AHE397" s="11"/>
      <c r="AHF397" s="11"/>
      <c r="AHG397" s="11"/>
      <c r="AHH397" s="11"/>
      <c r="AHI397" s="11"/>
      <c r="AHJ397" s="11"/>
      <c r="AHK397" s="11"/>
      <c r="AHL397" s="11"/>
      <c r="AHM397" s="11"/>
      <c r="AHN397" s="11"/>
      <c r="AHO397" s="11"/>
      <c r="AHP397" s="11"/>
      <c r="AHQ397" s="11"/>
      <c r="AHR397" s="11"/>
      <c r="AHS397" s="11"/>
      <c r="AHT397" s="11"/>
      <c r="AHU397" s="11"/>
      <c r="AHV397" s="11"/>
      <c r="AHW397" s="11"/>
      <c r="AHX397" s="11"/>
      <c r="AHY397" s="11"/>
      <c r="AHZ397" s="11"/>
      <c r="AIA397" s="11"/>
      <c r="AIB397" s="11"/>
      <c r="AIC397" s="11"/>
      <c r="AID397" s="11"/>
      <c r="AIE397" s="11"/>
      <c r="AIF397" s="11"/>
      <c r="AIG397" s="11"/>
      <c r="AIH397" s="11"/>
      <c r="AII397" s="11"/>
      <c r="AIJ397" s="11"/>
      <c r="AIK397" s="11"/>
      <c r="AIL397" s="11"/>
      <c r="AIM397" s="11"/>
      <c r="AIN397" s="11"/>
      <c r="AIO397" s="11"/>
      <c r="AIP397" s="11"/>
      <c r="AIQ397" s="11"/>
      <c r="AIR397" s="11"/>
      <c r="AIS397" s="11"/>
      <c r="AIT397" s="11"/>
      <c r="AIU397" s="11"/>
      <c r="AIV397" s="11"/>
      <c r="AIW397" s="11"/>
      <c r="AIX397" s="11"/>
      <c r="AIY397" s="11"/>
      <c r="AIZ397" s="11"/>
      <c r="AJA397" s="11"/>
      <c r="AJB397" s="11"/>
      <c r="AJC397" s="11"/>
      <c r="AJD397" s="11"/>
      <c r="AJE397" s="11"/>
      <c r="AJF397" s="11"/>
      <c r="AJG397" s="11"/>
      <c r="AJH397" s="11"/>
      <c r="AJI397" s="11"/>
      <c r="AJJ397" s="11"/>
      <c r="AJK397" s="11"/>
      <c r="AJL397" s="11"/>
      <c r="AJM397" s="11"/>
      <c r="AJN397" s="11"/>
      <c r="AJO397" s="11"/>
      <c r="AJP397" s="11"/>
      <c r="AJQ397" s="11"/>
      <c r="AJR397" s="11"/>
      <c r="AJS397" s="11"/>
      <c r="AJT397" s="11"/>
      <c r="AJU397" s="11"/>
      <c r="AJV397" s="11"/>
      <c r="AJW397" s="11"/>
      <c r="AJX397" s="11"/>
      <c r="AJY397" s="11"/>
      <c r="AJZ397" s="11"/>
      <c r="AKA397" s="11"/>
      <c r="AKB397" s="11"/>
      <c r="AKC397" s="11"/>
      <c r="AKD397" s="11"/>
      <c r="AKE397" s="11"/>
      <c r="AKF397" s="11"/>
      <c r="AKG397" s="11"/>
      <c r="AKH397" s="11"/>
      <c r="AKI397" s="11"/>
      <c r="AKJ397" s="11"/>
      <c r="AKK397" s="11"/>
      <c r="AKL397" s="11"/>
      <c r="AKM397" s="11"/>
      <c r="AKN397" s="11"/>
      <c r="AKO397" s="11"/>
      <c r="AKP397" s="11"/>
      <c r="AKQ397" s="11"/>
      <c r="AKR397" s="11"/>
      <c r="AKS397" s="11"/>
      <c r="AKT397" s="11"/>
      <c r="AKU397" s="11"/>
      <c r="AKV397" s="11"/>
      <c r="AKW397" s="11"/>
      <c r="AKX397" s="11"/>
      <c r="AKY397" s="11"/>
      <c r="AKZ397" s="11"/>
      <c r="ALA397" s="11"/>
      <c r="ALB397" s="11"/>
      <c r="ALC397" s="11"/>
      <c r="ALD397" s="11"/>
      <c r="ALE397" s="11"/>
      <c r="ALF397" s="11"/>
      <c r="ALG397" s="11"/>
      <c r="ALH397" s="11"/>
      <c r="ALI397" s="11"/>
      <c r="ALJ397" s="11"/>
      <c r="ALK397" s="11"/>
      <c r="ALL397" s="11"/>
      <c r="ALM397" s="11"/>
      <c r="ALN397" s="11"/>
      <c r="ALO397" s="11"/>
      <c r="ALP397" s="11"/>
      <c r="ALQ397" s="11"/>
      <c r="ALR397" s="11"/>
      <c r="ALS397" s="11"/>
      <c r="ALT397" s="11"/>
      <c r="ALU397" s="11"/>
      <c r="ALV397" s="11"/>
      <c r="ALW397" s="11"/>
      <c r="ALX397" s="11"/>
      <c r="ALY397" s="11"/>
      <c r="ALZ397" s="11"/>
      <c r="AMA397" s="11"/>
      <c r="AMB397" s="11"/>
      <c r="AMC397" s="11"/>
      <c r="AMD397" s="11"/>
      <c r="AME397" s="11"/>
      <c r="AMF397" s="11"/>
      <c r="AMG397" s="11"/>
      <c r="AMH397" s="11"/>
      <c r="AMI397" s="11"/>
      <c r="AMJ397" s="11"/>
    </row>
    <row r="398" spans="1:1024" ht="27.6">
      <c r="A398" s="8" t="s">
        <v>402</v>
      </c>
      <c r="B398" s="8">
        <v>324600</v>
      </c>
      <c r="D398" s="1">
        <v>4.3333333333333304</v>
      </c>
      <c r="E398" s="8">
        <f>VLOOKUP(B398,Gesamtstunden_26!B:I,8,0)</f>
        <v>0</v>
      </c>
      <c r="F398" s="2">
        <f t="shared" si="6"/>
        <v>4.3333333333333304</v>
      </c>
    </row>
    <row r="399" spans="1:1024">
      <c r="A399" s="17" t="s">
        <v>403</v>
      </c>
      <c r="B399" s="17">
        <v>960559</v>
      </c>
      <c r="D399" s="1">
        <v>0</v>
      </c>
      <c r="E399" s="8">
        <f>VLOOKUP(B399,Gesamtstunden_26!B:I,8,0)</f>
        <v>8</v>
      </c>
      <c r="F399" s="2">
        <f t="shared" si="6"/>
        <v>-8</v>
      </c>
    </row>
    <row r="400" spans="1:1024">
      <c r="A400" s="8" t="s">
        <v>404</v>
      </c>
      <c r="B400" s="8">
        <v>790384</v>
      </c>
      <c r="D400" s="1">
        <v>3.34</v>
      </c>
      <c r="E400" s="8">
        <f>VLOOKUP(B400,Gesamtstunden_26!B:I,8,0)</f>
        <v>0</v>
      </c>
      <c r="F400" s="2">
        <f t="shared" si="6"/>
        <v>3.34</v>
      </c>
    </row>
    <row r="401" spans="1:1024">
      <c r="A401" s="7" t="s">
        <v>405</v>
      </c>
      <c r="B401" s="7">
        <v>781854</v>
      </c>
      <c r="D401" s="1">
        <v>0</v>
      </c>
      <c r="E401" s="8">
        <f>VLOOKUP(B401,Gesamtstunden_26!B:I,8,0)</f>
        <v>10.166666666666666</v>
      </c>
      <c r="F401" s="2">
        <f t="shared" si="6"/>
        <v>-10.166666666666666</v>
      </c>
    </row>
    <row r="402" spans="1:1024" s="11" customFormat="1" ht="27.6">
      <c r="A402" s="8" t="s">
        <v>406</v>
      </c>
      <c r="B402" s="8">
        <v>527913</v>
      </c>
      <c r="C402"/>
      <c r="D402" s="1">
        <v>16</v>
      </c>
      <c r="E402" s="8">
        <f>VLOOKUP(B402,Gesamtstunden_26!B:I,8,0)</f>
        <v>0</v>
      </c>
      <c r="F402" s="2">
        <f t="shared" si="6"/>
        <v>16</v>
      </c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/>
      <c r="CN402"/>
      <c r="CO402"/>
      <c r="CP402"/>
      <c r="CQ402"/>
      <c r="CR402"/>
      <c r="CS402"/>
      <c r="CT402"/>
      <c r="CU402"/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  <c r="DQ402"/>
      <c r="DR402"/>
      <c r="DS402"/>
      <c r="DT402"/>
      <c r="DU402"/>
      <c r="DV402"/>
      <c r="DW402"/>
      <c r="DX402"/>
      <c r="DY402"/>
      <c r="DZ402"/>
      <c r="EA402"/>
      <c r="EB402"/>
      <c r="EC402"/>
      <c r="ED402"/>
      <c r="EE402"/>
      <c r="EF402"/>
      <c r="EG402"/>
      <c r="EH402"/>
      <c r="EI402"/>
      <c r="EJ402"/>
      <c r="EK402"/>
      <c r="EL402"/>
      <c r="EM402"/>
      <c r="EN402"/>
      <c r="EO402"/>
      <c r="EP402"/>
      <c r="EQ402"/>
      <c r="ER402"/>
      <c r="ES402"/>
      <c r="ET402"/>
      <c r="EU402"/>
      <c r="EV402"/>
      <c r="EW402"/>
      <c r="EX402"/>
      <c r="EY402"/>
      <c r="EZ402"/>
      <c r="FA402"/>
      <c r="FB402"/>
      <c r="FC402"/>
      <c r="FD402"/>
      <c r="FE402"/>
      <c r="FF402"/>
      <c r="FG402"/>
      <c r="FH402"/>
      <c r="FI402"/>
      <c r="FJ402"/>
      <c r="FK402"/>
      <c r="FL402"/>
      <c r="FM402"/>
      <c r="FN402"/>
      <c r="FO402"/>
      <c r="FP402"/>
      <c r="FQ402"/>
      <c r="FR402"/>
      <c r="FS402"/>
      <c r="FT402"/>
      <c r="FU402"/>
      <c r="FV402"/>
      <c r="FW402"/>
      <c r="FX402"/>
      <c r="FY402"/>
      <c r="FZ402"/>
      <c r="GA402"/>
      <c r="GB402"/>
      <c r="GC402"/>
      <c r="GD402"/>
      <c r="GE402"/>
      <c r="GF402"/>
      <c r="GG402"/>
      <c r="GH402"/>
      <c r="GI402"/>
      <c r="GJ402"/>
      <c r="GK402"/>
      <c r="GL402"/>
      <c r="GM402"/>
      <c r="GN402"/>
      <c r="GO402"/>
      <c r="GP402"/>
      <c r="GQ402"/>
      <c r="GR402"/>
      <c r="GS402"/>
      <c r="GT402"/>
      <c r="GU402"/>
      <c r="GV402"/>
      <c r="GW402"/>
      <c r="GX402"/>
      <c r="GY402"/>
      <c r="GZ402"/>
      <c r="HA402"/>
      <c r="HB402"/>
      <c r="HC402"/>
      <c r="HD402"/>
      <c r="HE402"/>
      <c r="HF402"/>
      <c r="HG402"/>
      <c r="HH402"/>
      <c r="HI402"/>
      <c r="HJ402"/>
      <c r="HK402"/>
      <c r="HL402"/>
      <c r="HM402"/>
      <c r="HN402"/>
      <c r="HO402"/>
      <c r="HP402"/>
      <c r="HQ402"/>
      <c r="HR402"/>
      <c r="HS402"/>
      <c r="HT402"/>
      <c r="HU402"/>
      <c r="HV402"/>
      <c r="HW402"/>
      <c r="HX402"/>
      <c r="HY402"/>
      <c r="HZ402"/>
      <c r="IA402"/>
      <c r="IB402"/>
      <c r="IC402"/>
      <c r="ID402"/>
      <c r="IE402"/>
      <c r="IF402"/>
      <c r="IG402"/>
      <c r="IH402"/>
      <c r="II402"/>
      <c r="IJ402"/>
      <c r="IK402"/>
      <c r="IL402"/>
      <c r="IM402"/>
      <c r="IN402"/>
      <c r="IO402"/>
      <c r="IP402"/>
      <c r="IQ402"/>
      <c r="IR402"/>
      <c r="IS402"/>
      <c r="IT402"/>
      <c r="IU402"/>
      <c r="IV402"/>
      <c r="IW402"/>
      <c r="IX402"/>
      <c r="IY402"/>
      <c r="IZ402"/>
      <c r="JA402"/>
      <c r="JB402"/>
      <c r="JC402"/>
      <c r="JD402"/>
      <c r="JE402"/>
      <c r="JF402"/>
      <c r="JG402"/>
      <c r="JH402"/>
      <c r="JI402"/>
      <c r="JJ402"/>
      <c r="JK402"/>
      <c r="JL402"/>
      <c r="JM402"/>
      <c r="JN402"/>
      <c r="JO402"/>
      <c r="JP402"/>
      <c r="JQ402"/>
      <c r="JR402"/>
      <c r="JS402"/>
      <c r="JT402"/>
      <c r="JU402"/>
      <c r="JV402"/>
      <c r="JW402"/>
      <c r="JX402"/>
      <c r="JY402"/>
      <c r="JZ402"/>
      <c r="KA402"/>
      <c r="KB402"/>
      <c r="KC402"/>
      <c r="KD402"/>
      <c r="KE402"/>
      <c r="KF402"/>
      <c r="KG402"/>
      <c r="KH402"/>
      <c r="KI402"/>
      <c r="KJ402"/>
      <c r="KK402"/>
      <c r="KL402"/>
      <c r="KM402"/>
      <c r="KN402"/>
      <c r="KO402"/>
      <c r="KP402"/>
      <c r="KQ402"/>
      <c r="KR402"/>
      <c r="KS402"/>
      <c r="KT402"/>
      <c r="KU402"/>
      <c r="KV402"/>
      <c r="KW402"/>
      <c r="KX402"/>
      <c r="KY402"/>
      <c r="KZ402"/>
      <c r="LA402"/>
      <c r="LB402"/>
      <c r="LC402"/>
      <c r="LD402"/>
      <c r="LE402"/>
      <c r="LF402"/>
      <c r="LG402"/>
      <c r="LH402"/>
      <c r="LI402"/>
      <c r="LJ402"/>
      <c r="LK402"/>
      <c r="LL402"/>
      <c r="LM402"/>
      <c r="LN402"/>
      <c r="LO402"/>
      <c r="LP402"/>
      <c r="LQ402"/>
      <c r="LR402"/>
      <c r="LS402"/>
      <c r="LT402"/>
      <c r="LU402"/>
      <c r="LV402"/>
      <c r="LW402"/>
      <c r="LX402"/>
      <c r="LY402"/>
      <c r="LZ402"/>
      <c r="MA402"/>
      <c r="MB402"/>
      <c r="MC402"/>
      <c r="MD402"/>
      <c r="ME402"/>
      <c r="MF402"/>
      <c r="MG402"/>
      <c r="MH402"/>
      <c r="MI402"/>
      <c r="MJ402"/>
      <c r="MK402"/>
      <c r="ML402"/>
      <c r="MM402"/>
      <c r="MN402"/>
      <c r="MO402"/>
      <c r="MP402"/>
      <c r="MQ402"/>
      <c r="MR402"/>
      <c r="MS402"/>
      <c r="MT402"/>
      <c r="MU402"/>
      <c r="MV402"/>
      <c r="MW402"/>
      <c r="MX402"/>
      <c r="MY402"/>
      <c r="MZ402"/>
      <c r="NA402"/>
      <c r="NB402"/>
      <c r="NC402"/>
      <c r="ND402"/>
      <c r="NE402"/>
      <c r="NF402"/>
      <c r="NG402"/>
      <c r="NH402"/>
      <c r="NI402"/>
      <c r="NJ402"/>
      <c r="NK402"/>
      <c r="NL402"/>
      <c r="NM402"/>
      <c r="NN402"/>
      <c r="NO402"/>
      <c r="NP402"/>
      <c r="NQ402"/>
      <c r="NR402"/>
      <c r="NS402"/>
      <c r="NT402"/>
      <c r="NU402"/>
      <c r="NV402"/>
      <c r="NW402"/>
      <c r="NX402"/>
      <c r="NY402"/>
      <c r="NZ402"/>
      <c r="OA402"/>
      <c r="OB402"/>
      <c r="OC402"/>
      <c r="OD402"/>
      <c r="OE402"/>
      <c r="OF402"/>
      <c r="OG402"/>
      <c r="OH402"/>
      <c r="OI402"/>
      <c r="OJ402"/>
      <c r="OK402"/>
      <c r="OL402"/>
      <c r="OM402"/>
      <c r="ON402"/>
      <c r="OO402"/>
      <c r="OP402"/>
      <c r="OQ402"/>
      <c r="OR402"/>
      <c r="OS402"/>
      <c r="OT402"/>
      <c r="OU402"/>
      <c r="OV402"/>
      <c r="OW402"/>
      <c r="OX402"/>
      <c r="OY402"/>
      <c r="OZ402"/>
      <c r="PA402"/>
      <c r="PB402"/>
      <c r="PC402"/>
      <c r="PD402"/>
      <c r="PE402"/>
      <c r="PF402"/>
      <c r="PG402"/>
      <c r="PH402"/>
      <c r="PI402"/>
      <c r="PJ402"/>
      <c r="PK402"/>
      <c r="PL402"/>
      <c r="PM402"/>
      <c r="PN402"/>
      <c r="PO402"/>
      <c r="PP402"/>
      <c r="PQ402"/>
      <c r="PR402"/>
      <c r="PS402"/>
      <c r="PT402"/>
      <c r="PU402"/>
      <c r="PV402"/>
      <c r="PW402"/>
      <c r="PX402"/>
      <c r="PY402"/>
      <c r="PZ402"/>
      <c r="QA402"/>
      <c r="QB402"/>
      <c r="QC402"/>
      <c r="QD402"/>
      <c r="QE402"/>
      <c r="QF402"/>
      <c r="QG402"/>
      <c r="QH402"/>
      <c r="QI402"/>
      <c r="QJ402"/>
      <c r="QK402"/>
      <c r="QL402"/>
      <c r="QM402"/>
      <c r="QN402"/>
      <c r="QO402"/>
      <c r="QP402"/>
      <c r="QQ402"/>
      <c r="QR402"/>
      <c r="QS402"/>
      <c r="QT402"/>
      <c r="QU402"/>
      <c r="QV402"/>
      <c r="QW402"/>
      <c r="QX402"/>
      <c r="QY402"/>
      <c r="QZ402"/>
      <c r="RA402"/>
      <c r="RB402"/>
      <c r="RC402"/>
      <c r="RD402"/>
      <c r="RE402"/>
      <c r="RF402"/>
      <c r="RG402"/>
      <c r="RH402"/>
      <c r="RI402"/>
      <c r="RJ402"/>
      <c r="RK402"/>
      <c r="RL402"/>
      <c r="RM402"/>
      <c r="RN402"/>
      <c r="RO402"/>
      <c r="RP402"/>
      <c r="RQ402"/>
      <c r="RR402"/>
      <c r="RS402"/>
      <c r="RT402"/>
      <c r="RU402"/>
      <c r="RV402"/>
      <c r="RW402"/>
      <c r="RX402"/>
      <c r="RY402"/>
      <c r="RZ402"/>
      <c r="SA402"/>
      <c r="SB402"/>
      <c r="SC402"/>
      <c r="SD402"/>
      <c r="SE402"/>
      <c r="SF402"/>
      <c r="SG402"/>
      <c r="SH402"/>
      <c r="SI402"/>
      <c r="SJ402"/>
      <c r="SK402"/>
      <c r="SL402"/>
      <c r="SM402"/>
      <c r="SN402"/>
      <c r="SO402"/>
      <c r="SP402"/>
      <c r="SQ402"/>
      <c r="SR402"/>
      <c r="SS402"/>
      <c r="ST402"/>
      <c r="SU402"/>
      <c r="SV402"/>
      <c r="SW402"/>
      <c r="SX402"/>
      <c r="SY402"/>
      <c r="SZ402"/>
      <c r="TA402"/>
      <c r="TB402"/>
      <c r="TC402"/>
      <c r="TD402"/>
      <c r="TE402"/>
      <c r="TF402"/>
      <c r="TG402"/>
      <c r="TH402"/>
      <c r="TI402"/>
      <c r="TJ402"/>
      <c r="TK402"/>
      <c r="TL402"/>
      <c r="TM402"/>
      <c r="TN402"/>
      <c r="TO402"/>
      <c r="TP402"/>
      <c r="TQ402"/>
      <c r="TR402"/>
      <c r="TS402"/>
      <c r="TT402"/>
      <c r="TU402"/>
      <c r="TV402"/>
      <c r="TW402"/>
      <c r="TX402"/>
      <c r="TY402"/>
      <c r="TZ402"/>
      <c r="UA402"/>
      <c r="UB402"/>
      <c r="UC402"/>
      <c r="UD402"/>
      <c r="UE402"/>
      <c r="UF402"/>
      <c r="UG402"/>
      <c r="UH402"/>
      <c r="UI402"/>
      <c r="UJ402"/>
      <c r="UK402"/>
      <c r="UL402"/>
      <c r="UM402"/>
      <c r="UN402"/>
      <c r="UO402"/>
      <c r="UP402"/>
      <c r="UQ402"/>
      <c r="UR402"/>
      <c r="US402"/>
      <c r="UT402"/>
      <c r="UU402"/>
      <c r="UV402"/>
      <c r="UW402"/>
      <c r="UX402"/>
      <c r="UY402"/>
      <c r="UZ402"/>
      <c r="VA402"/>
      <c r="VB402"/>
      <c r="VC402"/>
      <c r="VD402"/>
      <c r="VE402"/>
      <c r="VF402"/>
      <c r="VG402"/>
      <c r="VH402"/>
      <c r="VI402"/>
      <c r="VJ402"/>
      <c r="VK402"/>
      <c r="VL402"/>
      <c r="VM402"/>
      <c r="VN402"/>
      <c r="VO402"/>
      <c r="VP402"/>
      <c r="VQ402"/>
      <c r="VR402"/>
      <c r="VS402"/>
      <c r="VT402"/>
      <c r="VU402"/>
      <c r="VV402"/>
      <c r="VW402"/>
      <c r="VX402"/>
      <c r="VY402"/>
      <c r="VZ402"/>
      <c r="WA402"/>
      <c r="WB402"/>
      <c r="WC402"/>
      <c r="WD402"/>
      <c r="WE402"/>
      <c r="WF402"/>
      <c r="WG402"/>
      <c r="WH402"/>
      <c r="WI402"/>
      <c r="WJ402"/>
      <c r="WK402"/>
      <c r="WL402"/>
      <c r="WM402"/>
      <c r="WN402"/>
      <c r="WO402"/>
      <c r="WP402"/>
      <c r="WQ402"/>
      <c r="WR402"/>
      <c r="WS402"/>
      <c r="WT402"/>
      <c r="WU402"/>
      <c r="WV402"/>
      <c r="WW402"/>
      <c r="WX402"/>
      <c r="WY402"/>
      <c r="WZ402"/>
      <c r="XA402"/>
      <c r="XB402"/>
      <c r="XC402"/>
      <c r="XD402"/>
      <c r="XE402"/>
      <c r="XF402"/>
      <c r="XG402"/>
      <c r="XH402"/>
      <c r="XI402"/>
      <c r="XJ402"/>
      <c r="XK402"/>
      <c r="XL402"/>
      <c r="XM402"/>
      <c r="XN402"/>
      <c r="XO402"/>
      <c r="XP402"/>
      <c r="XQ402"/>
      <c r="XR402"/>
      <c r="XS402"/>
      <c r="XT402"/>
      <c r="XU402"/>
      <c r="XV402"/>
      <c r="XW402"/>
      <c r="XX402"/>
      <c r="XY402"/>
      <c r="XZ402"/>
      <c r="YA402"/>
      <c r="YB402"/>
      <c r="YC402"/>
      <c r="YD402"/>
      <c r="YE402"/>
      <c r="YF402"/>
      <c r="YG402"/>
      <c r="YH402"/>
      <c r="YI402"/>
      <c r="YJ402"/>
      <c r="YK402"/>
      <c r="YL402"/>
      <c r="YM402"/>
      <c r="YN402"/>
      <c r="YO402"/>
      <c r="YP402"/>
      <c r="YQ402"/>
      <c r="YR402"/>
      <c r="YS402"/>
      <c r="YT402"/>
      <c r="YU402"/>
      <c r="YV402"/>
      <c r="YW402"/>
      <c r="YX402"/>
      <c r="YY402"/>
      <c r="YZ402"/>
      <c r="ZA402"/>
      <c r="ZB402"/>
      <c r="ZC402"/>
      <c r="ZD402"/>
      <c r="ZE402"/>
      <c r="ZF402"/>
      <c r="ZG402"/>
      <c r="ZH402"/>
      <c r="ZI402"/>
      <c r="ZJ402"/>
      <c r="ZK402"/>
      <c r="ZL402"/>
      <c r="ZM402"/>
      <c r="ZN402"/>
      <c r="ZO402"/>
      <c r="ZP402"/>
      <c r="ZQ402"/>
      <c r="ZR402"/>
      <c r="ZS402"/>
      <c r="ZT402"/>
      <c r="ZU402"/>
      <c r="ZV402"/>
      <c r="ZW402"/>
      <c r="ZX402"/>
      <c r="ZY402"/>
      <c r="ZZ402"/>
      <c r="AAA402"/>
      <c r="AAB402"/>
      <c r="AAC402"/>
      <c r="AAD402"/>
      <c r="AAE402"/>
      <c r="AAF402"/>
      <c r="AAG402"/>
      <c r="AAH402"/>
      <c r="AAI402"/>
      <c r="AAJ402"/>
      <c r="AAK402"/>
      <c r="AAL402"/>
      <c r="AAM402"/>
      <c r="AAN402"/>
      <c r="AAO402"/>
      <c r="AAP402"/>
      <c r="AAQ402"/>
      <c r="AAR402"/>
      <c r="AAS402"/>
      <c r="AAT402"/>
      <c r="AAU402"/>
      <c r="AAV402"/>
      <c r="AAW402"/>
      <c r="AAX402"/>
      <c r="AAY402"/>
      <c r="AAZ402"/>
      <c r="ABA402"/>
      <c r="ABB402"/>
      <c r="ABC402"/>
      <c r="ABD402"/>
      <c r="ABE402"/>
      <c r="ABF402"/>
      <c r="ABG402"/>
      <c r="ABH402"/>
      <c r="ABI402"/>
      <c r="ABJ402"/>
      <c r="ABK402"/>
      <c r="ABL402"/>
      <c r="ABM402"/>
      <c r="ABN402"/>
      <c r="ABO402"/>
      <c r="ABP402"/>
      <c r="ABQ402"/>
      <c r="ABR402"/>
      <c r="ABS402"/>
      <c r="ABT402"/>
      <c r="ABU402"/>
      <c r="ABV402"/>
      <c r="ABW402"/>
      <c r="ABX402"/>
      <c r="ABY402"/>
      <c r="ABZ402"/>
      <c r="ACA402"/>
      <c r="ACB402"/>
      <c r="ACC402"/>
      <c r="ACD402"/>
      <c r="ACE402"/>
      <c r="ACF402"/>
      <c r="ACG402"/>
      <c r="ACH402"/>
      <c r="ACI402"/>
      <c r="ACJ402"/>
      <c r="ACK402"/>
      <c r="ACL402"/>
      <c r="ACM402"/>
      <c r="ACN402"/>
      <c r="ACO402"/>
      <c r="ACP402"/>
      <c r="ACQ402"/>
      <c r="ACR402"/>
      <c r="ACS402"/>
      <c r="ACT402"/>
      <c r="ACU402"/>
      <c r="ACV402"/>
      <c r="ACW402"/>
      <c r="ACX402"/>
      <c r="ACY402"/>
      <c r="ACZ402"/>
      <c r="ADA402"/>
      <c r="ADB402"/>
      <c r="ADC402"/>
      <c r="ADD402"/>
      <c r="ADE402"/>
      <c r="ADF402"/>
      <c r="ADG402"/>
      <c r="ADH402"/>
      <c r="ADI402"/>
      <c r="ADJ402"/>
      <c r="ADK402"/>
      <c r="ADL402"/>
      <c r="ADM402"/>
      <c r="ADN402"/>
      <c r="ADO402"/>
      <c r="ADP402"/>
      <c r="ADQ402"/>
      <c r="ADR402"/>
      <c r="ADS402"/>
      <c r="ADT402"/>
      <c r="ADU402"/>
      <c r="ADV402"/>
      <c r="ADW402"/>
      <c r="ADX402"/>
      <c r="ADY402"/>
      <c r="ADZ402"/>
      <c r="AEA402"/>
      <c r="AEB402"/>
      <c r="AEC402"/>
      <c r="AED402"/>
      <c r="AEE402"/>
      <c r="AEF402"/>
      <c r="AEG402"/>
      <c r="AEH402"/>
      <c r="AEI402"/>
      <c r="AEJ402"/>
      <c r="AEK402"/>
      <c r="AEL402"/>
      <c r="AEM402"/>
      <c r="AEN402"/>
      <c r="AEO402"/>
      <c r="AEP402"/>
      <c r="AEQ402"/>
      <c r="AER402"/>
      <c r="AES402"/>
      <c r="AET402"/>
      <c r="AEU402"/>
      <c r="AEV402"/>
      <c r="AEW402"/>
      <c r="AEX402"/>
      <c r="AEY402"/>
      <c r="AEZ402"/>
      <c r="AFA402"/>
      <c r="AFB402"/>
      <c r="AFC402"/>
      <c r="AFD402"/>
      <c r="AFE402"/>
      <c r="AFF402"/>
      <c r="AFG402"/>
      <c r="AFH402"/>
      <c r="AFI402"/>
      <c r="AFJ402"/>
      <c r="AFK402"/>
      <c r="AFL402"/>
      <c r="AFM402"/>
      <c r="AFN402"/>
      <c r="AFO402"/>
      <c r="AFP402"/>
      <c r="AFQ402"/>
      <c r="AFR402"/>
      <c r="AFS402"/>
      <c r="AFT402"/>
      <c r="AFU402"/>
      <c r="AFV402"/>
      <c r="AFW402"/>
      <c r="AFX402"/>
      <c r="AFY402"/>
      <c r="AFZ402"/>
      <c r="AGA402"/>
      <c r="AGB402"/>
      <c r="AGC402"/>
      <c r="AGD402"/>
      <c r="AGE402"/>
      <c r="AGF402"/>
      <c r="AGG402"/>
      <c r="AGH402"/>
      <c r="AGI402"/>
      <c r="AGJ402"/>
      <c r="AGK402"/>
      <c r="AGL402"/>
      <c r="AGM402"/>
      <c r="AGN402"/>
      <c r="AGO402"/>
      <c r="AGP402"/>
      <c r="AGQ402"/>
      <c r="AGR402"/>
      <c r="AGS402"/>
      <c r="AGT402"/>
      <c r="AGU402"/>
      <c r="AGV402"/>
      <c r="AGW402"/>
      <c r="AGX402"/>
      <c r="AGY402"/>
      <c r="AGZ402"/>
      <c r="AHA402"/>
      <c r="AHB402"/>
      <c r="AHC402"/>
      <c r="AHD402"/>
      <c r="AHE402"/>
      <c r="AHF402"/>
      <c r="AHG402"/>
      <c r="AHH402"/>
      <c r="AHI402"/>
      <c r="AHJ402"/>
      <c r="AHK402"/>
      <c r="AHL402"/>
      <c r="AHM402"/>
      <c r="AHN402"/>
      <c r="AHO402"/>
      <c r="AHP402"/>
      <c r="AHQ402"/>
      <c r="AHR402"/>
      <c r="AHS402"/>
      <c r="AHT402"/>
      <c r="AHU402"/>
      <c r="AHV402"/>
      <c r="AHW402"/>
      <c r="AHX402"/>
      <c r="AHY402"/>
      <c r="AHZ402"/>
      <c r="AIA402"/>
      <c r="AIB402"/>
      <c r="AIC402"/>
      <c r="AID402"/>
      <c r="AIE402"/>
      <c r="AIF402"/>
      <c r="AIG402"/>
      <c r="AIH402"/>
      <c r="AII402"/>
      <c r="AIJ402"/>
      <c r="AIK402"/>
      <c r="AIL402"/>
      <c r="AIM402"/>
      <c r="AIN402"/>
      <c r="AIO402"/>
      <c r="AIP402"/>
      <c r="AIQ402"/>
      <c r="AIR402"/>
      <c r="AIS402"/>
      <c r="AIT402"/>
      <c r="AIU402"/>
      <c r="AIV402"/>
      <c r="AIW402"/>
      <c r="AIX402"/>
      <c r="AIY402"/>
      <c r="AIZ402"/>
      <c r="AJA402"/>
      <c r="AJB402"/>
      <c r="AJC402"/>
      <c r="AJD402"/>
      <c r="AJE402"/>
      <c r="AJF402"/>
      <c r="AJG402"/>
      <c r="AJH402"/>
      <c r="AJI402"/>
      <c r="AJJ402"/>
      <c r="AJK402"/>
      <c r="AJL402"/>
      <c r="AJM402"/>
      <c r="AJN402"/>
      <c r="AJO402"/>
      <c r="AJP402"/>
      <c r="AJQ402"/>
      <c r="AJR402"/>
      <c r="AJS402"/>
      <c r="AJT402"/>
      <c r="AJU402"/>
      <c r="AJV402"/>
      <c r="AJW402"/>
      <c r="AJX402"/>
      <c r="AJY402"/>
      <c r="AJZ402"/>
      <c r="AKA402"/>
      <c r="AKB402"/>
      <c r="AKC402"/>
      <c r="AKD402"/>
      <c r="AKE402"/>
      <c r="AKF402"/>
      <c r="AKG402"/>
      <c r="AKH402"/>
      <c r="AKI402"/>
      <c r="AKJ402"/>
      <c r="AKK402"/>
      <c r="AKL402"/>
      <c r="AKM402"/>
      <c r="AKN402"/>
      <c r="AKO402"/>
      <c r="AKP402"/>
      <c r="AKQ402"/>
      <c r="AKR402"/>
      <c r="AKS402"/>
      <c r="AKT402"/>
      <c r="AKU402"/>
      <c r="AKV402"/>
      <c r="AKW402"/>
      <c r="AKX402"/>
      <c r="AKY402"/>
      <c r="AKZ402"/>
      <c r="ALA402"/>
      <c r="ALB402"/>
      <c r="ALC402"/>
      <c r="ALD402"/>
      <c r="ALE402"/>
      <c r="ALF402"/>
      <c r="ALG402"/>
      <c r="ALH402"/>
      <c r="ALI402"/>
      <c r="ALJ402"/>
      <c r="ALK402"/>
      <c r="ALL402"/>
      <c r="ALM402"/>
      <c r="ALN402"/>
      <c r="ALO402"/>
      <c r="ALP402"/>
      <c r="ALQ402"/>
      <c r="ALR402"/>
      <c r="ALS402"/>
      <c r="ALT402"/>
      <c r="ALU402"/>
      <c r="ALV402"/>
      <c r="ALW402"/>
      <c r="ALX402"/>
      <c r="ALY402"/>
      <c r="ALZ402"/>
      <c r="AMA402"/>
      <c r="AMB402"/>
      <c r="AMC402"/>
      <c r="AMD402"/>
      <c r="AME402"/>
      <c r="AMF402"/>
      <c r="AMG402"/>
      <c r="AMH402"/>
      <c r="AMI402"/>
      <c r="AMJ402"/>
    </row>
    <row r="403" spans="1:1024">
      <c r="A403" s="7" t="s">
        <v>407</v>
      </c>
      <c r="B403" s="7">
        <v>926434</v>
      </c>
      <c r="C403" s="11"/>
      <c r="D403" s="12">
        <v>1.1666666666666701</v>
      </c>
      <c r="E403" s="7">
        <f>VLOOKUP(B403,Gesamtstunden_26!B:I,8,0)</f>
        <v>3</v>
      </c>
      <c r="F403" s="13">
        <f t="shared" si="6"/>
        <v>-1.8333333333333299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/>
      <c r="BK403" s="11"/>
      <c r="BL403" s="11"/>
      <c r="BM403" s="11"/>
      <c r="BN403" s="11"/>
      <c r="BO403" s="11"/>
      <c r="BP403" s="11"/>
      <c r="BQ403" s="11"/>
      <c r="BR403" s="11"/>
      <c r="BS403" s="11"/>
      <c r="BT403" s="11"/>
      <c r="BU403" s="11"/>
      <c r="BV403" s="11"/>
      <c r="BW403" s="11"/>
      <c r="BX403" s="11"/>
      <c r="BY403" s="11"/>
      <c r="BZ403" s="11"/>
      <c r="CA403" s="11"/>
      <c r="CB403" s="11"/>
      <c r="CC403" s="11"/>
      <c r="CD403" s="11"/>
      <c r="CE403" s="11"/>
      <c r="CF403" s="11"/>
      <c r="CG403" s="11"/>
      <c r="CH403" s="11"/>
      <c r="CI403" s="11"/>
      <c r="CJ403" s="11"/>
      <c r="CK403" s="11"/>
      <c r="CL403" s="11"/>
      <c r="CM403" s="11"/>
      <c r="CN403" s="11"/>
      <c r="CO403" s="11"/>
      <c r="CP403" s="11"/>
      <c r="CQ403" s="11"/>
      <c r="CR403" s="11"/>
      <c r="CS403" s="11"/>
      <c r="CT403" s="11"/>
      <c r="CU403" s="11"/>
      <c r="CV403" s="11"/>
      <c r="CW403" s="11"/>
      <c r="CX403" s="11"/>
      <c r="CY403" s="11"/>
      <c r="CZ403" s="11"/>
      <c r="DA403" s="11"/>
      <c r="DB403" s="11"/>
      <c r="DC403" s="11"/>
      <c r="DD403" s="11"/>
      <c r="DE403" s="11"/>
      <c r="DF403" s="11"/>
      <c r="DG403" s="11"/>
      <c r="DH403" s="11"/>
      <c r="DI403" s="11"/>
      <c r="DJ403" s="11"/>
      <c r="DK403" s="11"/>
      <c r="DL403" s="11"/>
      <c r="DM403" s="11"/>
      <c r="DN403" s="11"/>
      <c r="DO403" s="11"/>
      <c r="DP403" s="11"/>
      <c r="DQ403" s="11"/>
      <c r="DR403" s="11"/>
      <c r="DS403" s="11"/>
      <c r="DT403" s="11"/>
      <c r="DU403" s="11"/>
      <c r="DV403" s="11"/>
      <c r="DW403" s="11"/>
      <c r="DX403" s="11"/>
      <c r="DY403" s="11"/>
      <c r="DZ403" s="11"/>
      <c r="EA403" s="11"/>
      <c r="EB403" s="11"/>
      <c r="EC403" s="11"/>
      <c r="ED403" s="11"/>
      <c r="EE403" s="11"/>
      <c r="EF403" s="11"/>
      <c r="EG403" s="11"/>
      <c r="EH403" s="11"/>
      <c r="EI403" s="11"/>
      <c r="EJ403" s="11"/>
      <c r="EK403" s="11"/>
      <c r="EL403" s="11"/>
      <c r="EM403" s="11"/>
      <c r="EN403" s="11"/>
      <c r="EO403" s="11"/>
      <c r="EP403" s="11"/>
      <c r="EQ403" s="11"/>
      <c r="ER403" s="11"/>
      <c r="ES403" s="11"/>
      <c r="ET403" s="11"/>
      <c r="EU403" s="11"/>
      <c r="EV403" s="11"/>
      <c r="EW403" s="11"/>
      <c r="EX403" s="11"/>
      <c r="EY403" s="11"/>
      <c r="EZ403" s="11"/>
      <c r="FA403" s="11"/>
      <c r="FB403" s="11"/>
      <c r="FC403" s="11"/>
      <c r="FD403" s="11"/>
      <c r="FE403" s="11"/>
      <c r="FF403" s="11"/>
      <c r="FG403" s="11"/>
      <c r="FH403" s="11"/>
      <c r="FI403" s="11"/>
      <c r="FJ403" s="11"/>
      <c r="FK403" s="11"/>
      <c r="FL403" s="11"/>
      <c r="FM403" s="11"/>
      <c r="FN403" s="11"/>
      <c r="FO403" s="11"/>
      <c r="FP403" s="11"/>
      <c r="FQ403" s="11"/>
      <c r="FR403" s="11"/>
      <c r="FS403" s="11"/>
      <c r="FT403" s="11"/>
      <c r="FU403" s="11"/>
      <c r="FV403" s="11"/>
      <c r="FW403" s="11"/>
      <c r="FX403" s="11"/>
      <c r="FY403" s="11"/>
      <c r="FZ403" s="11"/>
      <c r="GA403" s="11"/>
      <c r="GB403" s="11"/>
      <c r="GC403" s="11"/>
      <c r="GD403" s="11"/>
      <c r="GE403" s="11"/>
      <c r="GF403" s="11"/>
      <c r="GG403" s="11"/>
      <c r="GH403" s="11"/>
      <c r="GI403" s="11"/>
      <c r="GJ403" s="11"/>
      <c r="GK403" s="11"/>
      <c r="GL403" s="11"/>
      <c r="GM403" s="11"/>
      <c r="GN403" s="11"/>
      <c r="GO403" s="11"/>
      <c r="GP403" s="11"/>
      <c r="GQ403" s="11"/>
      <c r="GR403" s="11"/>
      <c r="GS403" s="11"/>
      <c r="GT403" s="11"/>
      <c r="GU403" s="11"/>
      <c r="GV403" s="11"/>
      <c r="GW403" s="11"/>
      <c r="GX403" s="11"/>
      <c r="GY403" s="11"/>
      <c r="GZ403" s="11"/>
      <c r="HA403" s="11"/>
      <c r="HB403" s="11"/>
      <c r="HC403" s="11"/>
      <c r="HD403" s="11"/>
      <c r="HE403" s="11"/>
      <c r="HF403" s="11"/>
      <c r="HG403" s="11"/>
      <c r="HH403" s="11"/>
      <c r="HI403" s="11"/>
      <c r="HJ403" s="11"/>
      <c r="HK403" s="11"/>
      <c r="HL403" s="11"/>
      <c r="HM403" s="11"/>
      <c r="HN403" s="11"/>
      <c r="HO403" s="11"/>
      <c r="HP403" s="11"/>
      <c r="HQ403" s="11"/>
      <c r="HR403" s="11"/>
      <c r="HS403" s="11"/>
      <c r="HT403" s="11"/>
      <c r="HU403" s="11"/>
      <c r="HV403" s="11"/>
      <c r="HW403" s="11"/>
      <c r="HX403" s="11"/>
      <c r="HY403" s="11"/>
      <c r="HZ403" s="11"/>
      <c r="IA403" s="11"/>
      <c r="IB403" s="11"/>
      <c r="IC403" s="11"/>
      <c r="ID403" s="11"/>
      <c r="IE403" s="11"/>
      <c r="IF403" s="11"/>
      <c r="IG403" s="11"/>
      <c r="IH403" s="11"/>
      <c r="II403" s="11"/>
      <c r="IJ403" s="11"/>
      <c r="IK403" s="11"/>
      <c r="IL403" s="11"/>
      <c r="IM403" s="11"/>
      <c r="IN403" s="11"/>
      <c r="IO403" s="11"/>
      <c r="IP403" s="11"/>
      <c r="IQ403" s="11"/>
      <c r="IR403" s="11"/>
      <c r="IS403" s="11"/>
      <c r="IT403" s="11"/>
      <c r="IU403" s="11"/>
      <c r="IV403" s="11"/>
      <c r="IW403" s="11"/>
      <c r="IX403" s="11"/>
      <c r="IY403" s="11"/>
      <c r="IZ403" s="11"/>
      <c r="JA403" s="11"/>
      <c r="JB403" s="11"/>
      <c r="JC403" s="11"/>
      <c r="JD403" s="11"/>
      <c r="JE403" s="11"/>
      <c r="JF403" s="11"/>
      <c r="JG403" s="11"/>
      <c r="JH403" s="11"/>
      <c r="JI403" s="11"/>
      <c r="JJ403" s="11"/>
      <c r="JK403" s="11"/>
      <c r="JL403" s="11"/>
      <c r="JM403" s="11"/>
      <c r="JN403" s="11"/>
      <c r="JO403" s="11"/>
      <c r="JP403" s="11"/>
      <c r="JQ403" s="11"/>
      <c r="JR403" s="11"/>
      <c r="JS403" s="11"/>
      <c r="JT403" s="11"/>
      <c r="JU403" s="11"/>
      <c r="JV403" s="11"/>
      <c r="JW403" s="11"/>
      <c r="JX403" s="11"/>
      <c r="JY403" s="11"/>
      <c r="JZ403" s="11"/>
      <c r="KA403" s="11"/>
      <c r="KB403" s="11"/>
      <c r="KC403" s="11"/>
      <c r="KD403" s="11"/>
      <c r="KE403" s="11"/>
      <c r="KF403" s="11"/>
      <c r="KG403" s="11"/>
      <c r="KH403" s="11"/>
      <c r="KI403" s="11"/>
      <c r="KJ403" s="11"/>
      <c r="KK403" s="11"/>
      <c r="KL403" s="11"/>
      <c r="KM403" s="11"/>
      <c r="KN403" s="11"/>
      <c r="KO403" s="11"/>
      <c r="KP403" s="11"/>
      <c r="KQ403" s="11"/>
      <c r="KR403" s="11"/>
      <c r="KS403" s="11"/>
      <c r="KT403" s="11"/>
      <c r="KU403" s="11"/>
      <c r="KV403" s="11"/>
      <c r="KW403" s="11"/>
      <c r="KX403" s="11"/>
      <c r="KY403" s="11"/>
      <c r="KZ403" s="11"/>
      <c r="LA403" s="11"/>
      <c r="LB403" s="11"/>
      <c r="LC403" s="11"/>
      <c r="LD403" s="11"/>
      <c r="LE403" s="11"/>
      <c r="LF403" s="11"/>
      <c r="LG403" s="11"/>
      <c r="LH403" s="11"/>
      <c r="LI403" s="11"/>
      <c r="LJ403" s="11"/>
      <c r="LK403" s="11"/>
      <c r="LL403" s="11"/>
      <c r="LM403" s="11"/>
      <c r="LN403" s="11"/>
      <c r="LO403" s="11"/>
      <c r="LP403" s="11"/>
      <c r="LQ403" s="11"/>
      <c r="LR403" s="11"/>
      <c r="LS403" s="11"/>
      <c r="LT403" s="11"/>
      <c r="LU403" s="11"/>
      <c r="LV403" s="11"/>
      <c r="LW403" s="11"/>
      <c r="LX403" s="11"/>
      <c r="LY403" s="11"/>
      <c r="LZ403" s="11"/>
      <c r="MA403" s="11"/>
      <c r="MB403" s="11"/>
      <c r="MC403" s="11"/>
      <c r="MD403" s="11"/>
      <c r="ME403" s="11"/>
      <c r="MF403" s="11"/>
      <c r="MG403" s="11"/>
      <c r="MH403" s="11"/>
      <c r="MI403" s="11"/>
      <c r="MJ403" s="11"/>
      <c r="MK403" s="11"/>
      <c r="ML403" s="11"/>
      <c r="MM403" s="11"/>
      <c r="MN403" s="11"/>
      <c r="MO403" s="11"/>
      <c r="MP403" s="11"/>
      <c r="MQ403" s="11"/>
      <c r="MR403" s="11"/>
      <c r="MS403" s="11"/>
      <c r="MT403" s="11"/>
      <c r="MU403" s="11"/>
      <c r="MV403" s="11"/>
      <c r="MW403" s="11"/>
      <c r="MX403" s="11"/>
      <c r="MY403" s="11"/>
      <c r="MZ403" s="11"/>
      <c r="NA403" s="11"/>
      <c r="NB403" s="11"/>
      <c r="NC403" s="11"/>
      <c r="ND403" s="11"/>
      <c r="NE403" s="11"/>
      <c r="NF403" s="11"/>
      <c r="NG403" s="11"/>
      <c r="NH403" s="11"/>
      <c r="NI403" s="11"/>
      <c r="NJ403" s="11"/>
      <c r="NK403" s="11"/>
      <c r="NL403" s="11"/>
      <c r="NM403" s="11"/>
      <c r="NN403" s="11"/>
      <c r="NO403" s="11"/>
      <c r="NP403" s="11"/>
      <c r="NQ403" s="11"/>
      <c r="NR403" s="11"/>
      <c r="NS403" s="11"/>
      <c r="NT403" s="11"/>
      <c r="NU403" s="11"/>
      <c r="NV403" s="11"/>
      <c r="NW403" s="11"/>
      <c r="NX403" s="11"/>
      <c r="NY403" s="11"/>
      <c r="NZ403" s="11"/>
      <c r="OA403" s="11"/>
      <c r="OB403" s="11"/>
      <c r="OC403" s="11"/>
      <c r="OD403" s="11"/>
      <c r="OE403" s="11"/>
      <c r="OF403" s="11"/>
      <c r="OG403" s="11"/>
      <c r="OH403" s="11"/>
      <c r="OI403" s="11"/>
      <c r="OJ403" s="11"/>
      <c r="OK403" s="11"/>
      <c r="OL403" s="11"/>
      <c r="OM403" s="11"/>
      <c r="ON403" s="11"/>
      <c r="OO403" s="11"/>
      <c r="OP403" s="11"/>
      <c r="OQ403" s="11"/>
      <c r="OR403" s="11"/>
      <c r="OS403" s="11"/>
      <c r="OT403" s="11"/>
      <c r="OU403" s="11"/>
      <c r="OV403" s="11"/>
      <c r="OW403" s="11"/>
      <c r="OX403" s="11"/>
      <c r="OY403" s="11"/>
      <c r="OZ403" s="11"/>
      <c r="PA403" s="11"/>
      <c r="PB403" s="11"/>
      <c r="PC403" s="11"/>
      <c r="PD403" s="11"/>
      <c r="PE403" s="11"/>
      <c r="PF403" s="11"/>
      <c r="PG403" s="11"/>
      <c r="PH403" s="11"/>
      <c r="PI403" s="11"/>
      <c r="PJ403" s="11"/>
      <c r="PK403" s="11"/>
      <c r="PL403" s="11"/>
      <c r="PM403" s="11"/>
      <c r="PN403" s="11"/>
      <c r="PO403" s="11"/>
      <c r="PP403" s="11"/>
      <c r="PQ403" s="11"/>
      <c r="PR403" s="11"/>
      <c r="PS403" s="11"/>
      <c r="PT403" s="11"/>
      <c r="PU403" s="11"/>
      <c r="PV403" s="11"/>
      <c r="PW403" s="11"/>
      <c r="PX403" s="11"/>
      <c r="PY403" s="11"/>
      <c r="PZ403" s="11"/>
      <c r="QA403" s="11"/>
      <c r="QB403" s="11"/>
      <c r="QC403" s="11"/>
      <c r="QD403" s="11"/>
      <c r="QE403" s="11"/>
      <c r="QF403" s="11"/>
      <c r="QG403" s="11"/>
      <c r="QH403" s="11"/>
      <c r="QI403" s="11"/>
      <c r="QJ403" s="11"/>
      <c r="QK403" s="11"/>
      <c r="QL403" s="11"/>
      <c r="QM403" s="11"/>
      <c r="QN403" s="11"/>
      <c r="QO403" s="11"/>
      <c r="QP403" s="11"/>
      <c r="QQ403" s="11"/>
      <c r="QR403" s="11"/>
      <c r="QS403" s="11"/>
      <c r="QT403" s="11"/>
      <c r="QU403" s="11"/>
      <c r="QV403" s="11"/>
      <c r="QW403" s="11"/>
      <c r="QX403" s="11"/>
      <c r="QY403" s="11"/>
      <c r="QZ403" s="11"/>
      <c r="RA403" s="11"/>
      <c r="RB403" s="11"/>
      <c r="RC403" s="11"/>
      <c r="RD403" s="11"/>
      <c r="RE403" s="11"/>
      <c r="RF403" s="11"/>
      <c r="RG403" s="11"/>
      <c r="RH403" s="11"/>
      <c r="RI403" s="11"/>
      <c r="RJ403" s="11"/>
      <c r="RK403" s="11"/>
      <c r="RL403" s="11"/>
      <c r="RM403" s="11"/>
      <c r="RN403" s="11"/>
      <c r="RO403" s="11"/>
      <c r="RP403" s="11"/>
      <c r="RQ403" s="11"/>
      <c r="RR403" s="11"/>
      <c r="RS403" s="11"/>
      <c r="RT403" s="11"/>
      <c r="RU403" s="11"/>
      <c r="RV403" s="11"/>
      <c r="RW403" s="11"/>
      <c r="RX403" s="11"/>
      <c r="RY403" s="11"/>
      <c r="RZ403" s="11"/>
      <c r="SA403" s="11"/>
      <c r="SB403" s="11"/>
      <c r="SC403" s="11"/>
      <c r="SD403" s="11"/>
      <c r="SE403" s="11"/>
      <c r="SF403" s="11"/>
      <c r="SG403" s="11"/>
      <c r="SH403" s="11"/>
      <c r="SI403" s="11"/>
      <c r="SJ403" s="11"/>
      <c r="SK403" s="11"/>
      <c r="SL403" s="11"/>
      <c r="SM403" s="11"/>
      <c r="SN403" s="11"/>
      <c r="SO403" s="11"/>
      <c r="SP403" s="11"/>
      <c r="SQ403" s="11"/>
      <c r="SR403" s="11"/>
      <c r="SS403" s="11"/>
      <c r="ST403" s="11"/>
      <c r="SU403" s="11"/>
      <c r="SV403" s="11"/>
      <c r="SW403" s="11"/>
      <c r="SX403" s="11"/>
      <c r="SY403" s="11"/>
      <c r="SZ403" s="11"/>
      <c r="TA403" s="11"/>
      <c r="TB403" s="11"/>
      <c r="TC403" s="11"/>
      <c r="TD403" s="11"/>
      <c r="TE403" s="11"/>
      <c r="TF403" s="11"/>
      <c r="TG403" s="11"/>
      <c r="TH403" s="11"/>
      <c r="TI403" s="11"/>
      <c r="TJ403" s="11"/>
      <c r="TK403" s="11"/>
      <c r="TL403" s="11"/>
      <c r="TM403" s="11"/>
      <c r="TN403" s="11"/>
      <c r="TO403" s="11"/>
      <c r="TP403" s="11"/>
      <c r="TQ403" s="11"/>
      <c r="TR403" s="11"/>
      <c r="TS403" s="11"/>
      <c r="TT403" s="11"/>
      <c r="TU403" s="11"/>
      <c r="TV403" s="11"/>
      <c r="TW403" s="11"/>
      <c r="TX403" s="11"/>
      <c r="TY403" s="11"/>
      <c r="TZ403" s="11"/>
      <c r="UA403" s="11"/>
      <c r="UB403" s="11"/>
      <c r="UC403" s="11"/>
      <c r="UD403" s="11"/>
      <c r="UE403" s="11"/>
      <c r="UF403" s="11"/>
      <c r="UG403" s="11"/>
      <c r="UH403" s="11"/>
      <c r="UI403" s="11"/>
      <c r="UJ403" s="11"/>
      <c r="UK403" s="11"/>
      <c r="UL403" s="11"/>
      <c r="UM403" s="11"/>
      <c r="UN403" s="11"/>
      <c r="UO403" s="11"/>
      <c r="UP403" s="11"/>
      <c r="UQ403" s="11"/>
      <c r="UR403" s="11"/>
      <c r="US403" s="11"/>
      <c r="UT403" s="11"/>
      <c r="UU403" s="11"/>
      <c r="UV403" s="11"/>
      <c r="UW403" s="11"/>
      <c r="UX403" s="11"/>
      <c r="UY403" s="11"/>
      <c r="UZ403" s="11"/>
      <c r="VA403" s="11"/>
      <c r="VB403" s="11"/>
      <c r="VC403" s="11"/>
      <c r="VD403" s="11"/>
      <c r="VE403" s="11"/>
      <c r="VF403" s="11"/>
      <c r="VG403" s="11"/>
      <c r="VH403" s="11"/>
      <c r="VI403" s="11"/>
      <c r="VJ403" s="11"/>
      <c r="VK403" s="11"/>
      <c r="VL403" s="11"/>
      <c r="VM403" s="11"/>
      <c r="VN403" s="11"/>
      <c r="VO403" s="11"/>
      <c r="VP403" s="11"/>
      <c r="VQ403" s="11"/>
      <c r="VR403" s="11"/>
      <c r="VS403" s="11"/>
      <c r="VT403" s="11"/>
      <c r="VU403" s="11"/>
      <c r="VV403" s="11"/>
      <c r="VW403" s="11"/>
      <c r="VX403" s="11"/>
      <c r="VY403" s="11"/>
      <c r="VZ403" s="11"/>
      <c r="WA403" s="11"/>
      <c r="WB403" s="11"/>
      <c r="WC403" s="11"/>
      <c r="WD403" s="11"/>
      <c r="WE403" s="11"/>
      <c r="WF403" s="11"/>
      <c r="WG403" s="11"/>
      <c r="WH403" s="11"/>
      <c r="WI403" s="11"/>
      <c r="WJ403" s="11"/>
      <c r="WK403" s="11"/>
      <c r="WL403" s="11"/>
      <c r="WM403" s="11"/>
      <c r="WN403" s="11"/>
      <c r="WO403" s="11"/>
      <c r="WP403" s="11"/>
      <c r="WQ403" s="11"/>
      <c r="WR403" s="11"/>
      <c r="WS403" s="11"/>
      <c r="WT403" s="11"/>
      <c r="WU403" s="11"/>
      <c r="WV403" s="11"/>
      <c r="WW403" s="11"/>
      <c r="WX403" s="11"/>
      <c r="WY403" s="11"/>
      <c r="WZ403" s="11"/>
      <c r="XA403" s="11"/>
      <c r="XB403" s="11"/>
      <c r="XC403" s="11"/>
      <c r="XD403" s="11"/>
      <c r="XE403" s="11"/>
      <c r="XF403" s="11"/>
      <c r="XG403" s="11"/>
      <c r="XH403" s="11"/>
      <c r="XI403" s="11"/>
      <c r="XJ403" s="11"/>
      <c r="XK403" s="11"/>
      <c r="XL403" s="11"/>
      <c r="XM403" s="11"/>
      <c r="XN403" s="11"/>
      <c r="XO403" s="11"/>
      <c r="XP403" s="11"/>
      <c r="XQ403" s="11"/>
      <c r="XR403" s="11"/>
      <c r="XS403" s="11"/>
      <c r="XT403" s="11"/>
      <c r="XU403" s="11"/>
      <c r="XV403" s="11"/>
      <c r="XW403" s="11"/>
      <c r="XX403" s="11"/>
      <c r="XY403" s="11"/>
      <c r="XZ403" s="11"/>
      <c r="YA403" s="11"/>
      <c r="YB403" s="11"/>
      <c r="YC403" s="11"/>
      <c r="YD403" s="11"/>
      <c r="YE403" s="11"/>
      <c r="YF403" s="11"/>
      <c r="YG403" s="11"/>
      <c r="YH403" s="11"/>
      <c r="YI403" s="11"/>
      <c r="YJ403" s="11"/>
      <c r="YK403" s="11"/>
      <c r="YL403" s="11"/>
      <c r="YM403" s="11"/>
      <c r="YN403" s="11"/>
      <c r="YO403" s="11"/>
      <c r="YP403" s="11"/>
      <c r="YQ403" s="11"/>
      <c r="YR403" s="11"/>
      <c r="YS403" s="11"/>
      <c r="YT403" s="11"/>
      <c r="YU403" s="11"/>
      <c r="YV403" s="11"/>
      <c r="YW403" s="11"/>
      <c r="YX403" s="11"/>
      <c r="YY403" s="11"/>
      <c r="YZ403" s="11"/>
      <c r="ZA403" s="11"/>
      <c r="ZB403" s="11"/>
      <c r="ZC403" s="11"/>
      <c r="ZD403" s="11"/>
      <c r="ZE403" s="11"/>
      <c r="ZF403" s="11"/>
      <c r="ZG403" s="11"/>
      <c r="ZH403" s="11"/>
      <c r="ZI403" s="11"/>
      <c r="ZJ403" s="11"/>
      <c r="ZK403" s="11"/>
      <c r="ZL403" s="11"/>
      <c r="ZM403" s="11"/>
      <c r="ZN403" s="11"/>
      <c r="ZO403" s="11"/>
      <c r="ZP403" s="11"/>
      <c r="ZQ403" s="11"/>
      <c r="ZR403" s="11"/>
      <c r="ZS403" s="11"/>
      <c r="ZT403" s="11"/>
      <c r="ZU403" s="11"/>
      <c r="ZV403" s="11"/>
      <c r="ZW403" s="11"/>
      <c r="ZX403" s="11"/>
      <c r="ZY403" s="11"/>
      <c r="ZZ403" s="11"/>
      <c r="AAA403" s="11"/>
      <c r="AAB403" s="11"/>
      <c r="AAC403" s="11"/>
      <c r="AAD403" s="11"/>
      <c r="AAE403" s="11"/>
      <c r="AAF403" s="11"/>
      <c r="AAG403" s="11"/>
      <c r="AAH403" s="11"/>
      <c r="AAI403" s="11"/>
      <c r="AAJ403" s="11"/>
      <c r="AAK403" s="11"/>
      <c r="AAL403" s="11"/>
      <c r="AAM403" s="11"/>
      <c r="AAN403" s="11"/>
      <c r="AAO403" s="11"/>
      <c r="AAP403" s="11"/>
      <c r="AAQ403" s="11"/>
      <c r="AAR403" s="11"/>
      <c r="AAS403" s="11"/>
      <c r="AAT403" s="11"/>
      <c r="AAU403" s="11"/>
      <c r="AAV403" s="11"/>
      <c r="AAW403" s="11"/>
      <c r="AAX403" s="11"/>
      <c r="AAY403" s="11"/>
      <c r="AAZ403" s="11"/>
      <c r="ABA403" s="11"/>
      <c r="ABB403" s="11"/>
      <c r="ABC403" s="11"/>
      <c r="ABD403" s="11"/>
      <c r="ABE403" s="11"/>
      <c r="ABF403" s="11"/>
      <c r="ABG403" s="11"/>
      <c r="ABH403" s="11"/>
      <c r="ABI403" s="11"/>
      <c r="ABJ403" s="11"/>
      <c r="ABK403" s="11"/>
      <c r="ABL403" s="11"/>
      <c r="ABM403" s="11"/>
      <c r="ABN403" s="11"/>
      <c r="ABO403" s="11"/>
      <c r="ABP403" s="11"/>
      <c r="ABQ403" s="11"/>
      <c r="ABR403" s="11"/>
      <c r="ABS403" s="11"/>
      <c r="ABT403" s="11"/>
      <c r="ABU403" s="11"/>
      <c r="ABV403" s="11"/>
      <c r="ABW403" s="11"/>
      <c r="ABX403" s="11"/>
      <c r="ABY403" s="11"/>
      <c r="ABZ403" s="11"/>
      <c r="ACA403" s="11"/>
      <c r="ACB403" s="11"/>
      <c r="ACC403" s="11"/>
      <c r="ACD403" s="11"/>
      <c r="ACE403" s="11"/>
      <c r="ACF403" s="11"/>
      <c r="ACG403" s="11"/>
      <c r="ACH403" s="11"/>
      <c r="ACI403" s="11"/>
      <c r="ACJ403" s="11"/>
      <c r="ACK403" s="11"/>
      <c r="ACL403" s="11"/>
      <c r="ACM403" s="11"/>
      <c r="ACN403" s="11"/>
      <c r="ACO403" s="11"/>
      <c r="ACP403" s="11"/>
      <c r="ACQ403" s="11"/>
      <c r="ACR403" s="11"/>
      <c r="ACS403" s="11"/>
      <c r="ACT403" s="11"/>
      <c r="ACU403" s="11"/>
      <c r="ACV403" s="11"/>
      <c r="ACW403" s="11"/>
      <c r="ACX403" s="11"/>
      <c r="ACY403" s="11"/>
      <c r="ACZ403" s="11"/>
      <c r="ADA403" s="11"/>
      <c r="ADB403" s="11"/>
      <c r="ADC403" s="11"/>
      <c r="ADD403" s="11"/>
      <c r="ADE403" s="11"/>
      <c r="ADF403" s="11"/>
      <c r="ADG403" s="11"/>
      <c r="ADH403" s="11"/>
      <c r="ADI403" s="11"/>
      <c r="ADJ403" s="11"/>
      <c r="ADK403" s="11"/>
      <c r="ADL403" s="11"/>
      <c r="ADM403" s="11"/>
      <c r="ADN403" s="11"/>
      <c r="ADO403" s="11"/>
      <c r="ADP403" s="11"/>
      <c r="ADQ403" s="11"/>
      <c r="ADR403" s="11"/>
      <c r="ADS403" s="11"/>
      <c r="ADT403" s="11"/>
      <c r="ADU403" s="11"/>
      <c r="ADV403" s="11"/>
      <c r="ADW403" s="11"/>
      <c r="ADX403" s="11"/>
      <c r="ADY403" s="11"/>
      <c r="ADZ403" s="11"/>
      <c r="AEA403" s="11"/>
      <c r="AEB403" s="11"/>
      <c r="AEC403" s="11"/>
      <c r="AED403" s="11"/>
      <c r="AEE403" s="11"/>
      <c r="AEF403" s="11"/>
      <c r="AEG403" s="11"/>
      <c r="AEH403" s="11"/>
      <c r="AEI403" s="11"/>
      <c r="AEJ403" s="11"/>
      <c r="AEK403" s="11"/>
      <c r="AEL403" s="11"/>
      <c r="AEM403" s="11"/>
      <c r="AEN403" s="11"/>
      <c r="AEO403" s="11"/>
      <c r="AEP403" s="11"/>
      <c r="AEQ403" s="11"/>
      <c r="AER403" s="11"/>
      <c r="AES403" s="11"/>
      <c r="AET403" s="11"/>
      <c r="AEU403" s="11"/>
      <c r="AEV403" s="11"/>
      <c r="AEW403" s="11"/>
      <c r="AEX403" s="11"/>
      <c r="AEY403" s="11"/>
      <c r="AEZ403" s="11"/>
      <c r="AFA403" s="11"/>
      <c r="AFB403" s="11"/>
      <c r="AFC403" s="11"/>
      <c r="AFD403" s="11"/>
      <c r="AFE403" s="11"/>
      <c r="AFF403" s="11"/>
      <c r="AFG403" s="11"/>
      <c r="AFH403" s="11"/>
      <c r="AFI403" s="11"/>
      <c r="AFJ403" s="11"/>
      <c r="AFK403" s="11"/>
      <c r="AFL403" s="11"/>
      <c r="AFM403" s="11"/>
      <c r="AFN403" s="11"/>
      <c r="AFO403" s="11"/>
      <c r="AFP403" s="11"/>
      <c r="AFQ403" s="11"/>
      <c r="AFR403" s="11"/>
      <c r="AFS403" s="11"/>
      <c r="AFT403" s="11"/>
      <c r="AFU403" s="11"/>
      <c r="AFV403" s="11"/>
      <c r="AFW403" s="11"/>
      <c r="AFX403" s="11"/>
      <c r="AFY403" s="11"/>
      <c r="AFZ403" s="11"/>
      <c r="AGA403" s="11"/>
      <c r="AGB403" s="11"/>
      <c r="AGC403" s="11"/>
      <c r="AGD403" s="11"/>
      <c r="AGE403" s="11"/>
      <c r="AGF403" s="11"/>
      <c r="AGG403" s="11"/>
      <c r="AGH403" s="11"/>
      <c r="AGI403" s="11"/>
      <c r="AGJ403" s="11"/>
      <c r="AGK403" s="11"/>
      <c r="AGL403" s="11"/>
      <c r="AGM403" s="11"/>
      <c r="AGN403" s="11"/>
      <c r="AGO403" s="11"/>
      <c r="AGP403" s="11"/>
      <c r="AGQ403" s="11"/>
      <c r="AGR403" s="11"/>
      <c r="AGS403" s="11"/>
      <c r="AGT403" s="11"/>
      <c r="AGU403" s="11"/>
      <c r="AGV403" s="11"/>
      <c r="AGW403" s="11"/>
      <c r="AGX403" s="11"/>
      <c r="AGY403" s="11"/>
      <c r="AGZ403" s="11"/>
      <c r="AHA403" s="11"/>
      <c r="AHB403" s="11"/>
      <c r="AHC403" s="11"/>
      <c r="AHD403" s="11"/>
      <c r="AHE403" s="11"/>
      <c r="AHF403" s="11"/>
      <c r="AHG403" s="11"/>
      <c r="AHH403" s="11"/>
      <c r="AHI403" s="11"/>
      <c r="AHJ403" s="11"/>
      <c r="AHK403" s="11"/>
      <c r="AHL403" s="11"/>
      <c r="AHM403" s="11"/>
      <c r="AHN403" s="11"/>
      <c r="AHO403" s="11"/>
      <c r="AHP403" s="11"/>
      <c r="AHQ403" s="11"/>
      <c r="AHR403" s="11"/>
      <c r="AHS403" s="11"/>
      <c r="AHT403" s="11"/>
      <c r="AHU403" s="11"/>
      <c r="AHV403" s="11"/>
      <c r="AHW403" s="11"/>
      <c r="AHX403" s="11"/>
      <c r="AHY403" s="11"/>
      <c r="AHZ403" s="11"/>
      <c r="AIA403" s="11"/>
      <c r="AIB403" s="11"/>
      <c r="AIC403" s="11"/>
      <c r="AID403" s="11"/>
      <c r="AIE403" s="11"/>
      <c r="AIF403" s="11"/>
      <c r="AIG403" s="11"/>
      <c r="AIH403" s="11"/>
      <c r="AII403" s="11"/>
      <c r="AIJ403" s="11"/>
      <c r="AIK403" s="11"/>
      <c r="AIL403" s="11"/>
      <c r="AIM403" s="11"/>
      <c r="AIN403" s="11"/>
      <c r="AIO403" s="11"/>
      <c r="AIP403" s="11"/>
      <c r="AIQ403" s="11"/>
      <c r="AIR403" s="11"/>
      <c r="AIS403" s="11"/>
      <c r="AIT403" s="11"/>
      <c r="AIU403" s="11"/>
      <c r="AIV403" s="11"/>
      <c r="AIW403" s="11"/>
      <c r="AIX403" s="11"/>
      <c r="AIY403" s="11"/>
      <c r="AIZ403" s="11"/>
      <c r="AJA403" s="11"/>
      <c r="AJB403" s="11"/>
      <c r="AJC403" s="11"/>
      <c r="AJD403" s="11"/>
      <c r="AJE403" s="11"/>
      <c r="AJF403" s="11"/>
      <c r="AJG403" s="11"/>
      <c r="AJH403" s="11"/>
      <c r="AJI403" s="11"/>
      <c r="AJJ403" s="11"/>
      <c r="AJK403" s="11"/>
      <c r="AJL403" s="11"/>
      <c r="AJM403" s="11"/>
      <c r="AJN403" s="11"/>
      <c r="AJO403" s="11"/>
      <c r="AJP403" s="11"/>
      <c r="AJQ403" s="11"/>
      <c r="AJR403" s="11"/>
      <c r="AJS403" s="11"/>
      <c r="AJT403" s="11"/>
      <c r="AJU403" s="11"/>
      <c r="AJV403" s="11"/>
      <c r="AJW403" s="11"/>
      <c r="AJX403" s="11"/>
      <c r="AJY403" s="11"/>
      <c r="AJZ403" s="11"/>
      <c r="AKA403" s="11"/>
      <c r="AKB403" s="11"/>
      <c r="AKC403" s="11"/>
      <c r="AKD403" s="11"/>
      <c r="AKE403" s="11"/>
      <c r="AKF403" s="11"/>
      <c r="AKG403" s="11"/>
      <c r="AKH403" s="11"/>
      <c r="AKI403" s="11"/>
      <c r="AKJ403" s="11"/>
      <c r="AKK403" s="11"/>
      <c r="AKL403" s="11"/>
      <c r="AKM403" s="11"/>
      <c r="AKN403" s="11"/>
      <c r="AKO403" s="11"/>
      <c r="AKP403" s="11"/>
      <c r="AKQ403" s="11"/>
      <c r="AKR403" s="11"/>
      <c r="AKS403" s="11"/>
      <c r="AKT403" s="11"/>
      <c r="AKU403" s="11"/>
      <c r="AKV403" s="11"/>
      <c r="AKW403" s="11"/>
      <c r="AKX403" s="11"/>
      <c r="AKY403" s="11"/>
      <c r="AKZ403" s="11"/>
      <c r="ALA403" s="11"/>
      <c r="ALB403" s="11"/>
      <c r="ALC403" s="11"/>
      <c r="ALD403" s="11"/>
      <c r="ALE403" s="11"/>
      <c r="ALF403" s="11"/>
      <c r="ALG403" s="11"/>
      <c r="ALH403" s="11"/>
      <c r="ALI403" s="11"/>
      <c r="ALJ403" s="11"/>
      <c r="ALK403" s="11"/>
      <c r="ALL403" s="11"/>
      <c r="ALM403" s="11"/>
      <c r="ALN403" s="11"/>
      <c r="ALO403" s="11"/>
      <c r="ALP403" s="11"/>
      <c r="ALQ403" s="11"/>
      <c r="ALR403" s="11"/>
      <c r="ALS403" s="11"/>
      <c r="ALT403" s="11"/>
      <c r="ALU403" s="11"/>
      <c r="ALV403" s="11"/>
      <c r="ALW403" s="11"/>
      <c r="ALX403" s="11"/>
      <c r="ALY403" s="11"/>
      <c r="ALZ403" s="11"/>
      <c r="AMA403" s="11"/>
      <c r="AMB403" s="11"/>
      <c r="AMC403" s="11"/>
      <c r="AMD403" s="11"/>
      <c r="AME403" s="11"/>
      <c r="AMF403" s="11"/>
      <c r="AMG403" s="11"/>
      <c r="AMH403" s="11"/>
      <c r="AMI403" s="11"/>
      <c r="AMJ403" s="11"/>
    </row>
    <row r="404" spans="1:1024">
      <c r="A404" s="8" t="s">
        <v>408</v>
      </c>
      <c r="B404" s="8">
        <v>324752</v>
      </c>
      <c r="D404" s="1">
        <v>11</v>
      </c>
      <c r="E404" s="8">
        <f>VLOOKUP(B404,Gesamtstunden_26!B:I,8,0)</f>
        <v>0</v>
      </c>
      <c r="F404" s="2">
        <f t="shared" si="6"/>
        <v>11</v>
      </c>
    </row>
    <row r="405" spans="1:1024">
      <c r="A405" s="8" t="s">
        <v>409</v>
      </c>
      <c r="B405" s="8">
        <v>514839</v>
      </c>
      <c r="D405" s="1">
        <v>3</v>
      </c>
      <c r="E405" s="8">
        <f>VLOOKUP(B405,Gesamtstunden_26!B:I,8,0)</f>
        <v>1.6666666666666667</v>
      </c>
      <c r="F405" s="2">
        <f t="shared" si="6"/>
        <v>1.3333333333333333</v>
      </c>
    </row>
    <row r="406" spans="1:1024">
      <c r="A406" s="8" t="s">
        <v>410</v>
      </c>
      <c r="B406" s="8">
        <v>220393</v>
      </c>
      <c r="D406" s="1">
        <v>7.67</v>
      </c>
      <c r="E406" s="8">
        <f>VLOOKUP(B406,Gesamtstunden_26!B:I,8,0)</f>
        <v>1</v>
      </c>
      <c r="F406" s="2">
        <f t="shared" si="6"/>
        <v>6.67</v>
      </c>
    </row>
    <row r="407" spans="1:1024">
      <c r="A407" s="8" t="s">
        <v>411</v>
      </c>
      <c r="B407" s="8">
        <v>530062</v>
      </c>
      <c r="D407" s="1">
        <v>6</v>
      </c>
      <c r="E407" s="8">
        <f>VLOOKUP(B407,Gesamtstunden_26!B:I,8,0)</f>
        <v>0</v>
      </c>
      <c r="F407" s="2">
        <f t="shared" si="6"/>
        <v>6</v>
      </c>
    </row>
    <row r="408" spans="1:1024">
      <c r="A408" t="s">
        <v>412</v>
      </c>
      <c r="B408">
        <v>900975</v>
      </c>
      <c r="D408" s="1">
        <v>3</v>
      </c>
      <c r="E408" s="8">
        <f>VLOOKUP(B408,Gesamtstunden_26!B:I,8,0)</f>
        <v>3.6666666666666665</v>
      </c>
      <c r="F408" s="2">
        <f t="shared" si="6"/>
        <v>-0.66666666666666652</v>
      </c>
    </row>
    <row r="409" spans="1:1024" s="11" customFormat="1">
      <c r="A409" s="7" t="s">
        <v>413</v>
      </c>
      <c r="B409" s="7">
        <v>495110</v>
      </c>
      <c r="C409"/>
      <c r="D409" s="1">
        <v>0</v>
      </c>
      <c r="E409" s="8">
        <f>VLOOKUP(B409,Gesamtstunden_26!B:I,8,0)</f>
        <v>1.6666666666666665</v>
      </c>
      <c r="F409" s="2">
        <f t="shared" si="6"/>
        <v>-1.6666666666666665</v>
      </c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  <c r="CQ409"/>
      <c r="CR409"/>
      <c r="CS409"/>
      <c r="CT409"/>
      <c r="CU409"/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  <c r="DQ409"/>
      <c r="DR409"/>
      <c r="DS409"/>
      <c r="DT409"/>
      <c r="DU409"/>
      <c r="DV409"/>
      <c r="DW409"/>
      <c r="DX409"/>
      <c r="DY409"/>
      <c r="DZ409"/>
      <c r="EA409"/>
      <c r="EB409"/>
      <c r="EC409"/>
      <c r="ED409"/>
      <c r="EE409"/>
      <c r="EF409"/>
      <c r="EG409"/>
      <c r="EH409"/>
      <c r="EI409"/>
      <c r="EJ409"/>
      <c r="EK409"/>
      <c r="EL409"/>
      <c r="EM409"/>
      <c r="EN409"/>
      <c r="EO409"/>
      <c r="EP409"/>
      <c r="EQ409"/>
      <c r="ER409"/>
      <c r="ES409"/>
      <c r="ET409"/>
      <c r="EU409"/>
      <c r="EV409"/>
      <c r="EW409"/>
      <c r="EX409"/>
      <c r="EY409"/>
      <c r="EZ409"/>
      <c r="FA409"/>
      <c r="FB409"/>
      <c r="FC409"/>
      <c r="FD409"/>
      <c r="FE409"/>
      <c r="FF409"/>
      <c r="FG409"/>
      <c r="FH409"/>
      <c r="FI409"/>
      <c r="FJ409"/>
      <c r="FK409"/>
      <c r="FL409"/>
      <c r="FM409"/>
      <c r="FN409"/>
      <c r="FO409"/>
      <c r="FP409"/>
      <c r="FQ409"/>
      <c r="FR409"/>
      <c r="FS409"/>
      <c r="FT409"/>
      <c r="FU409"/>
      <c r="FV409"/>
      <c r="FW409"/>
      <c r="FX409"/>
      <c r="FY409"/>
      <c r="FZ409"/>
      <c r="GA409"/>
      <c r="GB409"/>
      <c r="GC409"/>
      <c r="GD409"/>
      <c r="GE409"/>
      <c r="GF409"/>
      <c r="GG409"/>
      <c r="GH409"/>
      <c r="GI409"/>
      <c r="GJ409"/>
      <c r="GK409"/>
      <c r="GL409"/>
      <c r="GM409"/>
      <c r="GN409"/>
      <c r="GO409"/>
      <c r="GP409"/>
      <c r="GQ409"/>
      <c r="GR409"/>
      <c r="GS409"/>
      <c r="GT409"/>
      <c r="GU409"/>
      <c r="GV409"/>
      <c r="GW409"/>
      <c r="GX409"/>
      <c r="GY409"/>
      <c r="GZ409"/>
      <c r="HA409"/>
      <c r="HB409"/>
      <c r="HC409"/>
      <c r="HD409"/>
      <c r="HE409"/>
      <c r="HF409"/>
      <c r="HG409"/>
      <c r="HH409"/>
      <c r="HI409"/>
      <c r="HJ409"/>
      <c r="HK409"/>
      <c r="HL409"/>
      <c r="HM409"/>
      <c r="HN409"/>
      <c r="HO409"/>
      <c r="HP409"/>
      <c r="HQ409"/>
      <c r="HR409"/>
      <c r="HS409"/>
      <c r="HT409"/>
      <c r="HU409"/>
      <c r="HV409"/>
      <c r="HW409"/>
      <c r="HX409"/>
      <c r="HY409"/>
      <c r="HZ409"/>
      <c r="IA409"/>
      <c r="IB409"/>
      <c r="IC409"/>
      <c r="ID409"/>
      <c r="IE409"/>
      <c r="IF409"/>
      <c r="IG409"/>
      <c r="IH409"/>
      <c r="II409"/>
      <c r="IJ409"/>
      <c r="IK409"/>
      <c r="IL409"/>
      <c r="IM409"/>
      <c r="IN409"/>
      <c r="IO409"/>
      <c r="IP409"/>
      <c r="IQ409"/>
      <c r="IR409"/>
      <c r="IS409"/>
      <c r="IT409"/>
      <c r="IU409"/>
      <c r="IV409"/>
      <c r="IW409"/>
      <c r="IX409"/>
      <c r="IY409"/>
      <c r="IZ409"/>
      <c r="JA409"/>
      <c r="JB409"/>
      <c r="JC409"/>
      <c r="JD409"/>
      <c r="JE409"/>
      <c r="JF409"/>
      <c r="JG409"/>
      <c r="JH409"/>
      <c r="JI409"/>
      <c r="JJ409"/>
      <c r="JK409"/>
      <c r="JL409"/>
      <c r="JM409"/>
      <c r="JN409"/>
      <c r="JO409"/>
      <c r="JP409"/>
      <c r="JQ409"/>
      <c r="JR409"/>
      <c r="JS409"/>
      <c r="JT409"/>
      <c r="JU409"/>
      <c r="JV409"/>
      <c r="JW409"/>
      <c r="JX409"/>
      <c r="JY409"/>
      <c r="JZ409"/>
      <c r="KA409"/>
      <c r="KB409"/>
      <c r="KC409"/>
      <c r="KD409"/>
      <c r="KE409"/>
      <c r="KF409"/>
      <c r="KG409"/>
      <c r="KH409"/>
      <c r="KI409"/>
      <c r="KJ409"/>
      <c r="KK409"/>
      <c r="KL409"/>
      <c r="KM409"/>
      <c r="KN409"/>
      <c r="KO409"/>
      <c r="KP409"/>
      <c r="KQ409"/>
      <c r="KR409"/>
      <c r="KS409"/>
      <c r="KT409"/>
      <c r="KU409"/>
      <c r="KV409"/>
      <c r="KW409"/>
      <c r="KX409"/>
      <c r="KY409"/>
      <c r="KZ409"/>
      <c r="LA409"/>
      <c r="LB409"/>
      <c r="LC409"/>
      <c r="LD409"/>
      <c r="LE409"/>
      <c r="LF409"/>
      <c r="LG409"/>
      <c r="LH409"/>
      <c r="LI409"/>
      <c r="LJ409"/>
      <c r="LK409"/>
      <c r="LL409"/>
      <c r="LM409"/>
      <c r="LN409"/>
      <c r="LO409"/>
      <c r="LP409"/>
      <c r="LQ409"/>
      <c r="LR409"/>
      <c r="LS409"/>
      <c r="LT409"/>
      <c r="LU409"/>
      <c r="LV409"/>
      <c r="LW409"/>
      <c r="LX409"/>
      <c r="LY409"/>
      <c r="LZ409"/>
      <c r="MA409"/>
      <c r="MB409"/>
      <c r="MC409"/>
      <c r="MD409"/>
      <c r="ME409"/>
      <c r="MF409"/>
      <c r="MG409"/>
      <c r="MH409"/>
      <c r="MI409"/>
      <c r="MJ409"/>
      <c r="MK409"/>
      <c r="ML409"/>
      <c r="MM409"/>
      <c r="MN409"/>
      <c r="MO409"/>
      <c r="MP409"/>
      <c r="MQ409"/>
      <c r="MR409"/>
      <c r="MS409"/>
      <c r="MT409"/>
      <c r="MU409"/>
      <c r="MV409"/>
      <c r="MW409"/>
      <c r="MX409"/>
      <c r="MY409"/>
      <c r="MZ409"/>
      <c r="NA409"/>
      <c r="NB409"/>
      <c r="NC409"/>
      <c r="ND409"/>
      <c r="NE409"/>
      <c r="NF409"/>
      <c r="NG409"/>
      <c r="NH409"/>
      <c r="NI409"/>
      <c r="NJ409"/>
      <c r="NK409"/>
      <c r="NL409"/>
      <c r="NM409"/>
      <c r="NN409"/>
      <c r="NO409"/>
      <c r="NP409"/>
      <c r="NQ409"/>
      <c r="NR409"/>
      <c r="NS409"/>
      <c r="NT409"/>
      <c r="NU409"/>
      <c r="NV409"/>
      <c r="NW409"/>
      <c r="NX409"/>
      <c r="NY409"/>
      <c r="NZ409"/>
      <c r="OA409"/>
      <c r="OB409"/>
      <c r="OC409"/>
      <c r="OD409"/>
      <c r="OE409"/>
      <c r="OF409"/>
      <c r="OG409"/>
      <c r="OH409"/>
      <c r="OI409"/>
      <c r="OJ409"/>
      <c r="OK409"/>
      <c r="OL409"/>
      <c r="OM409"/>
      <c r="ON409"/>
      <c r="OO409"/>
      <c r="OP409"/>
      <c r="OQ409"/>
      <c r="OR409"/>
      <c r="OS409"/>
      <c r="OT409"/>
      <c r="OU409"/>
      <c r="OV409"/>
      <c r="OW409"/>
      <c r="OX409"/>
      <c r="OY409"/>
      <c r="OZ409"/>
      <c r="PA409"/>
      <c r="PB409"/>
      <c r="PC409"/>
      <c r="PD409"/>
      <c r="PE409"/>
      <c r="PF409"/>
      <c r="PG409"/>
      <c r="PH409"/>
      <c r="PI409"/>
      <c r="PJ409"/>
      <c r="PK409"/>
      <c r="PL409"/>
      <c r="PM409"/>
      <c r="PN409"/>
      <c r="PO409"/>
      <c r="PP409"/>
      <c r="PQ409"/>
      <c r="PR409"/>
      <c r="PS409"/>
      <c r="PT409"/>
      <c r="PU409"/>
      <c r="PV409"/>
      <c r="PW409"/>
      <c r="PX409"/>
      <c r="PY409"/>
      <c r="PZ409"/>
      <c r="QA409"/>
      <c r="QB409"/>
      <c r="QC409"/>
      <c r="QD409"/>
      <c r="QE409"/>
      <c r="QF409"/>
      <c r="QG409"/>
      <c r="QH409"/>
      <c r="QI409"/>
      <c r="QJ409"/>
      <c r="QK409"/>
      <c r="QL409"/>
      <c r="QM409"/>
      <c r="QN409"/>
      <c r="QO409"/>
      <c r="QP409"/>
      <c r="QQ409"/>
      <c r="QR409"/>
      <c r="QS409"/>
      <c r="QT409"/>
      <c r="QU409"/>
      <c r="QV409"/>
      <c r="QW409"/>
      <c r="QX409"/>
      <c r="QY409"/>
      <c r="QZ409"/>
      <c r="RA409"/>
      <c r="RB409"/>
      <c r="RC409"/>
      <c r="RD409"/>
      <c r="RE409"/>
      <c r="RF409"/>
      <c r="RG409"/>
      <c r="RH409"/>
      <c r="RI409"/>
      <c r="RJ409"/>
      <c r="RK409"/>
      <c r="RL409"/>
      <c r="RM409"/>
      <c r="RN409"/>
      <c r="RO409"/>
      <c r="RP409"/>
      <c r="RQ409"/>
      <c r="RR409"/>
      <c r="RS409"/>
      <c r="RT409"/>
      <c r="RU409"/>
      <c r="RV409"/>
      <c r="RW409"/>
      <c r="RX409"/>
      <c r="RY409"/>
      <c r="RZ409"/>
      <c r="SA409"/>
      <c r="SB409"/>
      <c r="SC409"/>
      <c r="SD409"/>
      <c r="SE409"/>
      <c r="SF409"/>
      <c r="SG409"/>
      <c r="SH409"/>
      <c r="SI409"/>
      <c r="SJ409"/>
      <c r="SK409"/>
      <c r="SL409"/>
      <c r="SM409"/>
      <c r="SN409"/>
      <c r="SO409"/>
      <c r="SP409"/>
      <c r="SQ409"/>
      <c r="SR409"/>
      <c r="SS409"/>
      <c r="ST409"/>
      <c r="SU409"/>
      <c r="SV409"/>
      <c r="SW409"/>
      <c r="SX409"/>
      <c r="SY409"/>
      <c r="SZ409"/>
      <c r="TA409"/>
      <c r="TB409"/>
      <c r="TC409"/>
      <c r="TD409"/>
      <c r="TE409"/>
      <c r="TF409"/>
      <c r="TG409"/>
      <c r="TH409"/>
      <c r="TI409"/>
      <c r="TJ409"/>
      <c r="TK409"/>
      <c r="TL409"/>
      <c r="TM409"/>
      <c r="TN409"/>
      <c r="TO409"/>
      <c r="TP409"/>
      <c r="TQ409"/>
      <c r="TR409"/>
      <c r="TS409"/>
      <c r="TT409"/>
      <c r="TU409"/>
      <c r="TV409"/>
      <c r="TW409"/>
      <c r="TX409"/>
      <c r="TY409"/>
      <c r="TZ409"/>
      <c r="UA409"/>
      <c r="UB409"/>
      <c r="UC409"/>
      <c r="UD409"/>
      <c r="UE409"/>
      <c r="UF409"/>
      <c r="UG409"/>
      <c r="UH409"/>
      <c r="UI409"/>
      <c r="UJ409"/>
      <c r="UK409"/>
      <c r="UL409"/>
      <c r="UM409"/>
      <c r="UN409"/>
      <c r="UO409"/>
      <c r="UP409"/>
      <c r="UQ409"/>
      <c r="UR409"/>
      <c r="US409"/>
      <c r="UT409"/>
      <c r="UU409"/>
      <c r="UV409"/>
      <c r="UW409"/>
      <c r="UX409"/>
      <c r="UY409"/>
      <c r="UZ409"/>
      <c r="VA409"/>
      <c r="VB409"/>
      <c r="VC409"/>
      <c r="VD409"/>
      <c r="VE409"/>
      <c r="VF409"/>
      <c r="VG409"/>
      <c r="VH409"/>
      <c r="VI409"/>
      <c r="VJ409"/>
      <c r="VK409"/>
      <c r="VL409"/>
      <c r="VM409"/>
      <c r="VN409"/>
      <c r="VO409"/>
      <c r="VP409"/>
      <c r="VQ409"/>
      <c r="VR409"/>
      <c r="VS409"/>
      <c r="VT409"/>
      <c r="VU409"/>
      <c r="VV409"/>
      <c r="VW409"/>
      <c r="VX409"/>
      <c r="VY409"/>
      <c r="VZ409"/>
      <c r="WA409"/>
      <c r="WB409"/>
      <c r="WC409"/>
      <c r="WD409"/>
      <c r="WE409"/>
      <c r="WF409"/>
      <c r="WG409"/>
      <c r="WH409"/>
      <c r="WI409"/>
      <c r="WJ409"/>
      <c r="WK409"/>
      <c r="WL409"/>
      <c r="WM409"/>
      <c r="WN409"/>
      <c r="WO409"/>
      <c r="WP409"/>
      <c r="WQ409"/>
      <c r="WR409"/>
      <c r="WS409"/>
      <c r="WT409"/>
      <c r="WU409"/>
      <c r="WV409"/>
      <c r="WW409"/>
      <c r="WX409"/>
      <c r="WY409"/>
      <c r="WZ409"/>
      <c r="XA409"/>
      <c r="XB409"/>
      <c r="XC409"/>
      <c r="XD409"/>
      <c r="XE409"/>
      <c r="XF409"/>
      <c r="XG409"/>
      <c r="XH409"/>
      <c r="XI409"/>
      <c r="XJ409"/>
      <c r="XK409"/>
      <c r="XL409"/>
      <c r="XM409"/>
      <c r="XN409"/>
      <c r="XO409"/>
      <c r="XP409"/>
      <c r="XQ409"/>
      <c r="XR409"/>
      <c r="XS409"/>
      <c r="XT409"/>
      <c r="XU409"/>
      <c r="XV409"/>
      <c r="XW409"/>
      <c r="XX409"/>
      <c r="XY409"/>
      <c r="XZ409"/>
      <c r="YA409"/>
      <c r="YB409"/>
      <c r="YC409"/>
      <c r="YD409"/>
      <c r="YE409"/>
      <c r="YF409"/>
      <c r="YG409"/>
      <c r="YH409"/>
      <c r="YI409"/>
      <c r="YJ409"/>
      <c r="YK409"/>
      <c r="YL409"/>
      <c r="YM409"/>
      <c r="YN409"/>
      <c r="YO409"/>
      <c r="YP409"/>
      <c r="YQ409"/>
      <c r="YR409"/>
      <c r="YS409"/>
      <c r="YT409"/>
      <c r="YU409"/>
      <c r="YV409"/>
      <c r="YW409"/>
      <c r="YX409"/>
      <c r="YY409"/>
      <c r="YZ409"/>
      <c r="ZA409"/>
      <c r="ZB409"/>
      <c r="ZC409"/>
      <c r="ZD409"/>
      <c r="ZE409"/>
      <c r="ZF409"/>
      <c r="ZG409"/>
      <c r="ZH409"/>
      <c r="ZI409"/>
      <c r="ZJ409"/>
      <c r="ZK409"/>
      <c r="ZL409"/>
      <c r="ZM409"/>
      <c r="ZN409"/>
      <c r="ZO409"/>
      <c r="ZP409"/>
      <c r="ZQ409"/>
      <c r="ZR409"/>
      <c r="ZS409"/>
      <c r="ZT409"/>
      <c r="ZU409"/>
      <c r="ZV409"/>
      <c r="ZW409"/>
      <c r="ZX409"/>
      <c r="ZY409"/>
      <c r="ZZ409"/>
      <c r="AAA409"/>
      <c r="AAB409"/>
      <c r="AAC409"/>
      <c r="AAD409"/>
      <c r="AAE409"/>
      <c r="AAF409"/>
      <c r="AAG409"/>
      <c r="AAH409"/>
      <c r="AAI409"/>
      <c r="AAJ409"/>
      <c r="AAK409"/>
      <c r="AAL409"/>
      <c r="AAM409"/>
      <c r="AAN409"/>
      <c r="AAO409"/>
      <c r="AAP409"/>
      <c r="AAQ409"/>
      <c r="AAR409"/>
      <c r="AAS409"/>
      <c r="AAT409"/>
      <c r="AAU409"/>
      <c r="AAV409"/>
      <c r="AAW409"/>
      <c r="AAX409"/>
      <c r="AAY409"/>
      <c r="AAZ409"/>
      <c r="ABA409"/>
      <c r="ABB409"/>
      <c r="ABC409"/>
      <c r="ABD409"/>
      <c r="ABE409"/>
      <c r="ABF409"/>
      <c r="ABG409"/>
      <c r="ABH409"/>
      <c r="ABI409"/>
      <c r="ABJ409"/>
      <c r="ABK409"/>
      <c r="ABL409"/>
      <c r="ABM409"/>
      <c r="ABN409"/>
      <c r="ABO409"/>
      <c r="ABP409"/>
      <c r="ABQ409"/>
      <c r="ABR409"/>
      <c r="ABS409"/>
      <c r="ABT409"/>
      <c r="ABU409"/>
      <c r="ABV409"/>
      <c r="ABW409"/>
      <c r="ABX409"/>
      <c r="ABY409"/>
      <c r="ABZ409"/>
      <c r="ACA409"/>
      <c r="ACB409"/>
      <c r="ACC409"/>
      <c r="ACD409"/>
      <c r="ACE409"/>
      <c r="ACF409"/>
      <c r="ACG409"/>
      <c r="ACH409"/>
      <c r="ACI409"/>
      <c r="ACJ409"/>
      <c r="ACK409"/>
      <c r="ACL409"/>
      <c r="ACM409"/>
      <c r="ACN409"/>
      <c r="ACO409"/>
      <c r="ACP409"/>
      <c r="ACQ409"/>
      <c r="ACR409"/>
      <c r="ACS409"/>
      <c r="ACT409"/>
      <c r="ACU409"/>
      <c r="ACV409"/>
      <c r="ACW409"/>
      <c r="ACX409"/>
      <c r="ACY409"/>
      <c r="ACZ409"/>
      <c r="ADA409"/>
      <c r="ADB409"/>
      <c r="ADC409"/>
      <c r="ADD409"/>
      <c r="ADE409"/>
      <c r="ADF409"/>
      <c r="ADG409"/>
      <c r="ADH409"/>
      <c r="ADI409"/>
      <c r="ADJ409"/>
      <c r="ADK409"/>
      <c r="ADL409"/>
      <c r="ADM409"/>
      <c r="ADN409"/>
      <c r="ADO409"/>
      <c r="ADP409"/>
      <c r="ADQ409"/>
      <c r="ADR409"/>
      <c r="ADS409"/>
      <c r="ADT409"/>
      <c r="ADU409"/>
      <c r="ADV409"/>
      <c r="ADW409"/>
      <c r="ADX409"/>
      <c r="ADY409"/>
      <c r="ADZ409"/>
      <c r="AEA409"/>
      <c r="AEB409"/>
      <c r="AEC409"/>
      <c r="AED409"/>
      <c r="AEE409"/>
      <c r="AEF409"/>
      <c r="AEG409"/>
      <c r="AEH409"/>
      <c r="AEI409"/>
      <c r="AEJ409"/>
      <c r="AEK409"/>
      <c r="AEL409"/>
      <c r="AEM409"/>
      <c r="AEN409"/>
      <c r="AEO409"/>
      <c r="AEP409"/>
      <c r="AEQ409"/>
      <c r="AER409"/>
      <c r="AES409"/>
      <c r="AET409"/>
      <c r="AEU409"/>
      <c r="AEV409"/>
      <c r="AEW409"/>
      <c r="AEX409"/>
      <c r="AEY409"/>
      <c r="AEZ409"/>
      <c r="AFA409"/>
      <c r="AFB409"/>
      <c r="AFC409"/>
      <c r="AFD409"/>
      <c r="AFE409"/>
      <c r="AFF409"/>
      <c r="AFG409"/>
      <c r="AFH409"/>
      <c r="AFI409"/>
      <c r="AFJ409"/>
      <c r="AFK409"/>
      <c r="AFL409"/>
      <c r="AFM409"/>
      <c r="AFN409"/>
      <c r="AFO409"/>
      <c r="AFP409"/>
      <c r="AFQ409"/>
      <c r="AFR409"/>
      <c r="AFS409"/>
      <c r="AFT409"/>
      <c r="AFU409"/>
      <c r="AFV409"/>
      <c r="AFW409"/>
      <c r="AFX409"/>
      <c r="AFY409"/>
      <c r="AFZ409"/>
      <c r="AGA409"/>
      <c r="AGB409"/>
      <c r="AGC409"/>
      <c r="AGD409"/>
      <c r="AGE409"/>
      <c r="AGF409"/>
      <c r="AGG409"/>
      <c r="AGH409"/>
      <c r="AGI409"/>
      <c r="AGJ409"/>
      <c r="AGK409"/>
      <c r="AGL409"/>
      <c r="AGM409"/>
      <c r="AGN409"/>
      <c r="AGO409"/>
      <c r="AGP409"/>
      <c r="AGQ409"/>
      <c r="AGR409"/>
      <c r="AGS409"/>
      <c r="AGT409"/>
      <c r="AGU409"/>
      <c r="AGV409"/>
      <c r="AGW409"/>
      <c r="AGX409"/>
      <c r="AGY409"/>
      <c r="AGZ409"/>
      <c r="AHA409"/>
      <c r="AHB409"/>
      <c r="AHC409"/>
      <c r="AHD409"/>
      <c r="AHE409"/>
      <c r="AHF409"/>
      <c r="AHG409"/>
      <c r="AHH409"/>
      <c r="AHI409"/>
      <c r="AHJ409"/>
      <c r="AHK409"/>
      <c r="AHL409"/>
      <c r="AHM409"/>
      <c r="AHN409"/>
      <c r="AHO409"/>
      <c r="AHP409"/>
      <c r="AHQ409"/>
      <c r="AHR409"/>
      <c r="AHS409"/>
      <c r="AHT409"/>
      <c r="AHU409"/>
      <c r="AHV409"/>
      <c r="AHW409"/>
      <c r="AHX409"/>
      <c r="AHY409"/>
      <c r="AHZ409"/>
      <c r="AIA409"/>
      <c r="AIB409"/>
      <c r="AIC409"/>
      <c r="AID409"/>
      <c r="AIE409"/>
      <c r="AIF409"/>
      <c r="AIG409"/>
      <c r="AIH409"/>
      <c r="AII409"/>
      <c r="AIJ409"/>
      <c r="AIK409"/>
      <c r="AIL409"/>
      <c r="AIM409"/>
      <c r="AIN409"/>
      <c r="AIO409"/>
      <c r="AIP409"/>
      <c r="AIQ409"/>
      <c r="AIR409"/>
      <c r="AIS409"/>
      <c r="AIT409"/>
      <c r="AIU409"/>
      <c r="AIV409"/>
      <c r="AIW409"/>
      <c r="AIX409"/>
      <c r="AIY409"/>
      <c r="AIZ409"/>
      <c r="AJA409"/>
      <c r="AJB409"/>
      <c r="AJC409"/>
      <c r="AJD409"/>
      <c r="AJE409"/>
      <c r="AJF409"/>
      <c r="AJG409"/>
      <c r="AJH409"/>
      <c r="AJI409"/>
      <c r="AJJ409"/>
      <c r="AJK409"/>
      <c r="AJL409"/>
      <c r="AJM409"/>
      <c r="AJN409"/>
      <c r="AJO409"/>
      <c r="AJP409"/>
      <c r="AJQ409"/>
      <c r="AJR409"/>
      <c r="AJS409"/>
      <c r="AJT409"/>
      <c r="AJU409"/>
      <c r="AJV409"/>
      <c r="AJW409"/>
      <c r="AJX409"/>
      <c r="AJY409"/>
      <c r="AJZ409"/>
      <c r="AKA409"/>
      <c r="AKB409"/>
      <c r="AKC409"/>
      <c r="AKD409"/>
      <c r="AKE409"/>
      <c r="AKF409"/>
      <c r="AKG409"/>
      <c r="AKH409"/>
      <c r="AKI409"/>
      <c r="AKJ409"/>
      <c r="AKK409"/>
      <c r="AKL409"/>
      <c r="AKM409"/>
      <c r="AKN409"/>
      <c r="AKO409"/>
      <c r="AKP409"/>
      <c r="AKQ409"/>
      <c r="AKR409"/>
      <c r="AKS409"/>
      <c r="AKT409"/>
      <c r="AKU409"/>
      <c r="AKV409"/>
      <c r="AKW409"/>
      <c r="AKX409"/>
      <c r="AKY409"/>
      <c r="AKZ409"/>
      <c r="ALA409"/>
      <c r="ALB409"/>
      <c r="ALC409"/>
      <c r="ALD409"/>
      <c r="ALE409"/>
      <c r="ALF409"/>
      <c r="ALG409"/>
      <c r="ALH409"/>
      <c r="ALI409"/>
      <c r="ALJ409"/>
      <c r="ALK409"/>
      <c r="ALL409"/>
      <c r="ALM409"/>
      <c r="ALN409"/>
      <c r="ALO409"/>
      <c r="ALP409"/>
      <c r="ALQ409"/>
      <c r="ALR409"/>
      <c r="ALS409"/>
      <c r="ALT409"/>
      <c r="ALU409"/>
      <c r="ALV409"/>
      <c r="ALW409"/>
      <c r="ALX409"/>
      <c r="ALY409"/>
      <c r="ALZ409"/>
      <c r="AMA409"/>
      <c r="AMB409"/>
      <c r="AMC409"/>
      <c r="AMD409"/>
      <c r="AME409"/>
      <c r="AMF409"/>
      <c r="AMG409"/>
      <c r="AMH409"/>
      <c r="AMI409"/>
      <c r="AMJ409"/>
    </row>
    <row r="410" spans="1:1024">
      <c r="A410" s="7" t="s">
        <v>414</v>
      </c>
      <c r="B410" s="7">
        <v>328548</v>
      </c>
      <c r="C410" s="11"/>
      <c r="D410" s="12">
        <v>0</v>
      </c>
      <c r="E410" s="7">
        <f>VLOOKUP(B410,Gesamtstunden_26!B:I,8,0)</f>
        <v>2</v>
      </c>
      <c r="F410" s="13">
        <f t="shared" si="6"/>
        <v>-2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  <c r="BB410" s="11"/>
      <c r="BC410" s="11"/>
      <c r="BD410" s="11"/>
      <c r="BE410" s="11"/>
      <c r="BF410" s="11"/>
      <c r="BG410" s="11"/>
      <c r="BH410" s="11"/>
      <c r="BI410" s="11"/>
      <c r="BJ410" s="11"/>
      <c r="BK410" s="11"/>
      <c r="BL410" s="11"/>
      <c r="BM410" s="11"/>
      <c r="BN410" s="11"/>
      <c r="BO410" s="11"/>
      <c r="BP410" s="11"/>
      <c r="BQ410" s="11"/>
      <c r="BR410" s="11"/>
      <c r="BS410" s="11"/>
      <c r="BT410" s="11"/>
      <c r="BU410" s="11"/>
      <c r="BV410" s="11"/>
      <c r="BW410" s="11"/>
      <c r="BX410" s="11"/>
      <c r="BY410" s="11"/>
      <c r="BZ410" s="11"/>
      <c r="CA410" s="11"/>
      <c r="CB410" s="11"/>
      <c r="CC410" s="11"/>
      <c r="CD410" s="11"/>
      <c r="CE410" s="11"/>
      <c r="CF410" s="11"/>
      <c r="CG410" s="11"/>
      <c r="CH410" s="11"/>
      <c r="CI410" s="11"/>
      <c r="CJ410" s="11"/>
      <c r="CK410" s="11"/>
      <c r="CL410" s="11"/>
      <c r="CM410" s="11"/>
      <c r="CN410" s="11"/>
      <c r="CO410" s="11"/>
      <c r="CP410" s="11"/>
      <c r="CQ410" s="11"/>
      <c r="CR410" s="11"/>
      <c r="CS410" s="11"/>
      <c r="CT410" s="11"/>
      <c r="CU410" s="11"/>
      <c r="CV410" s="11"/>
      <c r="CW410" s="11"/>
      <c r="CX410" s="11"/>
      <c r="CY410" s="11"/>
      <c r="CZ410" s="11"/>
      <c r="DA410" s="11"/>
      <c r="DB410" s="11"/>
      <c r="DC410" s="11"/>
      <c r="DD410" s="11"/>
      <c r="DE410" s="11"/>
      <c r="DF410" s="11"/>
      <c r="DG410" s="11"/>
      <c r="DH410" s="11"/>
      <c r="DI410" s="11"/>
      <c r="DJ410" s="11"/>
      <c r="DK410" s="11"/>
      <c r="DL410" s="11"/>
      <c r="DM410" s="11"/>
      <c r="DN410" s="11"/>
      <c r="DO410" s="11"/>
      <c r="DP410" s="11"/>
      <c r="DQ410" s="11"/>
      <c r="DR410" s="11"/>
      <c r="DS410" s="11"/>
      <c r="DT410" s="11"/>
      <c r="DU410" s="11"/>
      <c r="DV410" s="11"/>
      <c r="DW410" s="11"/>
      <c r="DX410" s="11"/>
      <c r="DY410" s="11"/>
      <c r="DZ410" s="11"/>
      <c r="EA410" s="11"/>
      <c r="EB410" s="11"/>
      <c r="EC410" s="11"/>
      <c r="ED410" s="11"/>
      <c r="EE410" s="11"/>
      <c r="EF410" s="11"/>
      <c r="EG410" s="11"/>
      <c r="EH410" s="11"/>
      <c r="EI410" s="11"/>
      <c r="EJ410" s="11"/>
      <c r="EK410" s="11"/>
      <c r="EL410" s="11"/>
      <c r="EM410" s="11"/>
      <c r="EN410" s="11"/>
      <c r="EO410" s="11"/>
      <c r="EP410" s="11"/>
      <c r="EQ410" s="11"/>
      <c r="ER410" s="11"/>
      <c r="ES410" s="11"/>
      <c r="ET410" s="11"/>
      <c r="EU410" s="11"/>
      <c r="EV410" s="11"/>
      <c r="EW410" s="11"/>
      <c r="EX410" s="11"/>
      <c r="EY410" s="11"/>
      <c r="EZ410" s="11"/>
      <c r="FA410" s="11"/>
      <c r="FB410" s="11"/>
      <c r="FC410" s="11"/>
      <c r="FD410" s="11"/>
      <c r="FE410" s="11"/>
      <c r="FF410" s="11"/>
      <c r="FG410" s="11"/>
      <c r="FH410" s="11"/>
      <c r="FI410" s="11"/>
      <c r="FJ410" s="11"/>
      <c r="FK410" s="11"/>
      <c r="FL410" s="11"/>
      <c r="FM410" s="11"/>
      <c r="FN410" s="11"/>
      <c r="FO410" s="11"/>
      <c r="FP410" s="11"/>
      <c r="FQ410" s="11"/>
      <c r="FR410" s="11"/>
      <c r="FS410" s="11"/>
      <c r="FT410" s="11"/>
      <c r="FU410" s="11"/>
      <c r="FV410" s="11"/>
      <c r="FW410" s="11"/>
      <c r="FX410" s="11"/>
      <c r="FY410" s="11"/>
      <c r="FZ410" s="11"/>
      <c r="GA410" s="11"/>
      <c r="GB410" s="11"/>
      <c r="GC410" s="11"/>
      <c r="GD410" s="11"/>
      <c r="GE410" s="11"/>
      <c r="GF410" s="11"/>
      <c r="GG410" s="11"/>
      <c r="GH410" s="11"/>
      <c r="GI410" s="11"/>
      <c r="GJ410" s="11"/>
      <c r="GK410" s="11"/>
      <c r="GL410" s="11"/>
      <c r="GM410" s="11"/>
      <c r="GN410" s="11"/>
      <c r="GO410" s="11"/>
      <c r="GP410" s="11"/>
      <c r="GQ410" s="11"/>
      <c r="GR410" s="11"/>
      <c r="GS410" s="11"/>
      <c r="GT410" s="11"/>
      <c r="GU410" s="11"/>
      <c r="GV410" s="11"/>
      <c r="GW410" s="11"/>
      <c r="GX410" s="11"/>
      <c r="GY410" s="11"/>
      <c r="GZ410" s="11"/>
      <c r="HA410" s="11"/>
      <c r="HB410" s="11"/>
      <c r="HC410" s="11"/>
      <c r="HD410" s="11"/>
      <c r="HE410" s="11"/>
      <c r="HF410" s="11"/>
      <c r="HG410" s="11"/>
      <c r="HH410" s="11"/>
      <c r="HI410" s="11"/>
      <c r="HJ410" s="11"/>
      <c r="HK410" s="11"/>
      <c r="HL410" s="11"/>
      <c r="HM410" s="11"/>
      <c r="HN410" s="11"/>
      <c r="HO410" s="11"/>
      <c r="HP410" s="11"/>
      <c r="HQ410" s="11"/>
      <c r="HR410" s="11"/>
      <c r="HS410" s="11"/>
      <c r="HT410" s="11"/>
      <c r="HU410" s="11"/>
      <c r="HV410" s="11"/>
      <c r="HW410" s="11"/>
      <c r="HX410" s="11"/>
      <c r="HY410" s="11"/>
      <c r="HZ410" s="11"/>
      <c r="IA410" s="11"/>
      <c r="IB410" s="11"/>
      <c r="IC410" s="11"/>
      <c r="ID410" s="11"/>
      <c r="IE410" s="11"/>
      <c r="IF410" s="11"/>
      <c r="IG410" s="11"/>
      <c r="IH410" s="11"/>
      <c r="II410" s="11"/>
      <c r="IJ410" s="11"/>
      <c r="IK410" s="11"/>
      <c r="IL410" s="11"/>
      <c r="IM410" s="11"/>
      <c r="IN410" s="11"/>
      <c r="IO410" s="11"/>
      <c r="IP410" s="11"/>
      <c r="IQ410" s="11"/>
      <c r="IR410" s="11"/>
      <c r="IS410" s="11"/>
      <c r="IT410" s="11"/>
      <c r="IU410" s="11"/>
      <c r="IV410" s="11"/>
      <c r="IW410" s="11"/>
      <c r="IX410" s="11"/>
      <c r="IY410" s="11"/>
      <c r="IZ410" s="11"/>
      <c r="JA410" s="11"/>
      <c r="JB410" s="11"/>
      <c r="JC410" s="11"/>
      <c r="JD410" s="11"/>
      <c r="JE410" s="11"/>
      <c r="JF410" s="11"/>
      <c r="JG410" s="11"/>
      <c r="JH410" s="11"/>
      <c r="JI410" s="11"/>
      <c r="JJ410" s="11"/>
      <c r="JK410" s="11"/>
      <c r="JL410" s="11"/>
      <c r="JM410" s="11"/>
      <c r="JN410" s="11"/>
      <c r="JO410" s="11"/>
      <c r="JP410" s="11"/>
      <c r="JQ410" s="11"/>
      <c r="JR410" s="11"/>
      <c r="JS410" s="11"/>
      <c r="JT410" s="11"/>
      <c r="JU410" s="11"/>
      <c r="JV410" s="11"/>
      <c r="JW410" s="11"/>
      <c r="JX410" s="11"/>
      <c r="JY410" s="11"/>
      <c r="JZ410" s="11"/>
      <c r="KA410" s="11"/>
      <c r="KB410" s="11"/>
      <c r="KC410" s="11"/>
      <c r="KD410" s="11"/>
      <c r="KE410" s="11"/>
      <c r="KF410" s="11"/>
      <c r="KG410" s="11"/>
      <c r="KH410" s="11"/>
      <c r="KI410" s="11"/>
      <c r="KJ410" s="11"/>
      <c r="KK410" s="11"/>
      <c r="KL410" s="11"/>
      <c r="KM410" s="11"/>
      <c r="KN410" s="11"/>
      <c r="KO410" s="11"/>
      <c r="KP410" s="11"/>
      <c r="KQ410" s="11"/>
      <c r="KR410" s="11"/>
      <c r="KS410" s="11"/>
      <c r="KT410" s="11"/>
      <c r="KU410" s="11"/>
      <c r="KV410" s="11"/>
      <c r="KW410" s="11"/>
      <c r="KX410" s="11"/>
      <c r="KY410" s="11"/>
      <c r="KZ410" s="11"/>
      <c r="LA410" s="11"/>
      <c r="LB410" s="11"/>
      <c r="LC410" s="11"/>
      <c r="LD410" s="11"/>
      <c r="LE410" s="11"/>
      <c r="LF410" s="11"/>
      <c r="LG410" s="11"/>
      <c r="LH410" s="11"/>
      <c r="LI410" s="11"/>
      <c r="LJ410" s="11"/>
      <c r="LK410" s="11"/>
      <c r="LL410" s="11"/>
      <c r="LM410" s="11"/>
      <c r="LN410" s="11"/>
      <c r="LO410" s="11"/>
      <c r="LP410" s="11"/>
      <c r="LQ410" s="11"/>
      <c r="LR410" s="11"/>
      <c r="LS410" s="11"/>
      <c r="LT410" s="11"/>
      <c r="LU410" s="11"/>
      <c r="LV410" s="11"/>
      <c r="LW410" s="11"/>
      <c r="LX410" s="11"/>
      <c r="LY410" s="11"/>
      <c r="LZ410" s="11"/>
      <c r="MA410" s="11"/>
      <c r="MB410" s="11"/>
      <c r="MC410" s="11"/>
      <c r="MD410" s="11"/>
      <c r="ME410" s="11"/>
      <c r="MF410" s="11"/>
      <c r="MG410" s="11"/>
      <c r="MH410" s="11"/>
      <c r="MI410" s="11"/>
      <c r="MJ410" s="11"/>
      <c r="MK410" s="11"/>
      <c r="ML410" s="11"/>
      <c r="MM410" s="11"/>
      <c r="MN410" s="11"/>
      <c r="MO410" s="11"/>
      <c r="MP410" s="11"/>
      <c r="MQ410" s="11"/>
      <c r="MR410" s="11"/>
      <c r="MS410" s="11"/>
      <c r="MT410" s="11"/>
      <c r="MU410" s="11"/>
      <c r="MV410" s="11"/>
      <c r="MW410" s="11"/>
      <c r="MX410" s="11"/>
      <c r="MY410" s="11"/>
      <c r="MZ410" s="11"/>
      <c r="NA410" s="11"/>
      <c r="NB410" s="11"/>
      <c r="NC410" s="11"/>
      <c r="ND410" s="11"/>
      <c r="NE410" s="11"/>
      <c r="NF410" s="11"/>
      <c r="NG410" s="11"/>
      <c r="NH410" s="11"/>
      <c r="NI410" s="11"/>
      <c r="NJ410" s="11"/>
      <c r="NK410" s="11"/>
      <c r="NL410" s="11"/>
      <c r="NM410" s="11"/>
      <c r="NN410" s="11"/>
      <c r="NO410" s="11"/>
      <c r="NP410" s="11"/>
      <c r="NQ410" s="11"/>
      <c r="NR410" s="11"/>
      <c r="NS410" s="11"/>
      <c r="NT410" s="11"/>
      <c r="NU410" s="11"/>
      <c r="NV410" s="11"/>
      <c r="NW410" s="11"/>
      <c r="NX410" s="11"/>
      <c r="NY410" s="11"/>
      <c r="NZ410" s="11"/>
      <c r="OA410" s="11"/>
      <c r="OB410" s="11"/>
      <c r="OC410" s="11"/>
      <c r="OD410" s="11"/>
      <c r="OE410" s="11"/>
      <c r="OF410" s="11"/>
      <c r="OG410" s="11"/>
      <c r="OH410" s="11"/>
      <c r="OI410" s="11"/>
      <c r="OJ410" s="11"/>
      <c r="OK410" s="11"/>
      <c r="OL410" s="11"/>
      <c r="OM410" s="11"/>
      <c r="ON410" s="11"/>
      <c r="OO410" s="11"/>
      <c r="OP410" s="11"/>
      <c r="OQ410" s="11"/>
      <c r="OR410" s="11"/>
      <c r="OS410" s="11"/>
      <c r="OT410" s="11"/>
      <c r="OU410" s="11"/>
      <c r="OV410" s="11"/>
      <c r="OW410" s="11"/>
      <c r="OX410" s="11"/>
      <c r="OY410" s="11"/>
      <c r="OZ410" s="11"/>
      <c r="PA410" s="11"/>
      <c r="PB410" s="11"/>
      <c r="PC410" s="11"/>
      <c r="PD410" s="11"/>
      <c r="PE410" s="11"/>
      <c r="PF410" s="11"/>
      <c r="PG410" s="11"/>
      <c r="PH410" s="11"/>
      <c r="PI410" s="11"/>
      <c r="PJ410" s="11"/>
      <c r="PK410" s="11"/>
      <c r="PL410" s="11"/>
      <c r="PM410" s="11"/>
      <c r="PN410" s="11"/>
      <c r="PO410" s="11"/>
      <c r="PP410" s="11"/>
      <c r="PQ410" s="11"/>
      <c r="PR410" s="11"/>
      <c r="PS410" s="11"/>
      <c r="PT410" s="11"/>
      <c r="PU410" s="11"/>
      <c r="PV410" s="11"/>
      <c r="PW410" s="11"/>
      <c r="PX410" s="11"/>
      <c r="PY410" s="11"/>
      <c r="PZ410" s="11"/>
      <c r="QA410" s="11"/>
      <c r="QB410" s="11"/>
      <c r="QC410" s="11"/>
      <c r="QD410" s="11"/>
      <c r="QE410" s="11"/>
      <c r="QF410" s="11"/>
      <c r="QG410" s="11"/>
      <c r="QH410" s="11"/>
      <c r="QI410" s="11"/>
      <c r="QJ410" s="11"/>
      <c r="QK410" s="11"/>
      <c r="QL410" s="11"/>
      <c r="QM410" s="11"/>
      <c r="QN410" s="11"/>
      <c r="QO410" s="11"/>
      <c r="QP410" s="11"/>
      <c r="QQ410" s="11"/>
      <c r="QR410" s="11"/>
      <c r="QS410" s="11"/>
      <c r="QT410" s="11"/>
      <c r="QU410" s="11"/>
      <c r="QV410" s="11"/>
      <c r="QW410" s="11"/>
      <c r="QX410" s="11"/>
      <c r="QY410" s="11"/>
      <c r="QZ410" s="11"/>
      <c r="RA410" s="11"/>
      <c r="RB410" s="11"/>
      <c r="RC410" s="11"/>
      <c r="RD410" s="11"/>
      <c r="RE410" s="11"/>
      <c r="RF410" s="11"/>
      <c r="RG410" s="11"/>
      <c r="RH410" s="11"/>
      <c r="RI410" s="11"/>
      <c r="RJ410" s="11"/>
      <c r="RK410" s="11"/>
      <c r="RL410" s="11"/>
      <c r="RM410" s="11"/>
      <c r="RN410" s="11"/>
      <c r="RO410" s="11"/>
      <c r="RP410" s="11"/>
      <c r="RQ410" s="11"/>
      <c r="RR410" s="11"/>
      <c r="RS410" s="11"/>
      <c r="RT410" s="11"/>
      <c r="RU410" s="11"/>
      <c r="RV410" s="11"/>
      <c r="RW410" s="11"/>
      <c r="RX410" s="11"/>
      <c r="RY410" s="11"/>
      <c r="RZ410" s="11"/>
      <c r="SA410" s="11"/>
      <c r="SB410" s="11"/>
      <c r="SC410" s="11"/>
      <c r="SD410" s="11"/>
      <c r="SE410" s="11"/>
      <c r="SF410" s="11"/>
      <c r="SG410" s="11"/>
      <c r="SH410" s="11"/>
      <c r="SI410" s="11"/>
      <c r="SJ410" s="11"/>
      <c r="SK410" s="11"/>
      <c r="SL410" s="11"/>
      <c r="SM410" s="11"/>
      <c r="SN410" s="11"/>
      <c r="SO410" s="11"/>
      <c r="SP410" s="11"/>
      <c r="SQ410" s="11"/>
      <c r="SR410" s="11"/>
      <c r="SS410" s="11"/>
      <c r="ST410" s="11"/>
      <c r="SU410" s="11"/>
      <c r="SV410" s="11"/>
      <c r="SW410" s="11"/>
      <c r="SX410" s="11"/>
      <c r="SY410" s="11"/>
      <c r="SZ410" s="11"/>
      <c r="TA410" s="11"/>
      <c r="TB410" s="11"/>
      <c r="TC410" s="11"/>
      <c r="TD410" s="11"/>
      <c r="TE410" s="11"/>
      <c r="TF410" s="11"/>
      <c r="TG410" s="11"/>
      <c r="TH410" s="11"/>
      <c r="TI410" s="11"/>
      <c r="TJ410" s="11"/>
      <c r="TK410" s="11"/>
      <c r="TL410" s="11"/>
      <c r="TM410" s="11"/>
      <c r="TN410" s="11"/>
      <c r="TO410" s="11"/>
      <c r="TP410" s="11"/>
      <c r="TQ410" s="11"/>
      <c r="TR410" s="11"/>
      <c r="TS410" s="11"/>
      <c r="TT410" s="11"/>
      <c r="TU410" s="11"/>
      <c r="TV410" s="11"/>
      <c r="TW410" s="11"/>
      <c r="TX410" s="11"/>
      <c r="TY410" s="11"/>
      <c r="TZ410" s="11"/>
      <c r="UA410" s="11"/>
      <c r="UB410" s="11"/>
      <c r="UC410" s="11"/>
      <c r="UD410" s="11"/>
      <c r="UE410" s="11"/>
      <c r="UF410" s="11"/>
      <c r="UG410" s="11"/>
      <c r="UH410" s="11"/>
      <c r="UI410" s="11"/>
      <c r="UJ410" s="11"/>
      <c r="UK410" s="11"/>
      <c r="UL410" s="11"/>
      <c r="UM410" s="11"/>
      <c r="UN410" s="11"/>
      <c r="UO410" s="11"/>
      <c r="UP410" s="11"/>
      <c r="UQ410" s="11"/>
      <c r="UR410" s="11"/>
      <c r="US410" s="11"/>
      <c r="UT410" s="11"/>
      <c r="UU410" s="11"/>
      <c r="UV410" s="11"/>
      <c r="UW410" s="11"/>
      <c r="UX410" s="11"/>
      <c r="UY410" s="11"/>
      <c r="UZ410" s="11"/>
      <c r="VA410" s="11"/>
      <c r="VB410" s="11"/>
      <c r="VC410" s="11"/>
      <c r="VD410" s="11"/>
      <c r="VE410" s="11"/>
      <c r="VF410" s="11"/>
      <c r="VG410" s="11"/>
      <c r="VH410" s="11"/>
      <c r="VI410" s="11"/>
      <c r="VJ410" s="11"/>
      <c r="VK410" s="11"/>
      <c r="VL410" s="11"/>
      <c r="VM410" s="11"/>
      <c r="VN410" s="11"/>
      <c r="VO410" s="11"/>
      <c r="VP410" s="11"/>
      <c r="VQ410" s="11"/>
      <c r="VR410" s="11"/>
      <c r="VS410" s="11"/>
      <c r="VT410" s="11"/>
      <c r="VU410" s="11"/>
      <c r="VV410" s="11"/>
      <c r="VW410" s="11"/>
      <c r="VX410" s="11"/>
      <c r="VY410" s="11"/>
      <c r="VZ410" s="11"/>
      <c r="WA410" s="11"/>
      <c r="WB410" s="11"/>
      <c r="WC410" s="11"/>
      <c r="WD410" s="11"/>
      <c r="WE410" s="11"/>
      <c r="WF410" s="11"/>
      <c r="WG410" s="11"/>
      <c r="WH410" s="11"/>
      <c r="WI410" s="11"/>
      <c r="WJ410" s="11"/>
      <c r="WK410" s="11"/>
      <c r="WL410" s="11"/>
      <c r="WM410" s="11"/>
      <c r="WN410" s="11"/>
      <c r="WO410" s="11"/>
      <c r="WP410" s="11"/>
      <c r="WQ410" s="11"/>
      <c r="WR410" s="11"/>
      <c r="WS410" s="11"/>
      <c r="WT410" s="11"/>
      <c r="WU410" s="11"/>
      <c r="WV410" s="11"/>
      <c r="WW410" s="11"/>
      <c r="WX410" s="11"/>
      <c r="WY410" s="11"/>
      <c r="WZ410" s="11"/>
      <c r="XA410" s="11"/>
      <c r="XB410" s="11"/>
      <c r="XC410" s="11"/>
      <c r="XD410" s="11"/>
      <c r="XE410" s="11"/>
      <c r="XF410" s="11"/>
      <c r="XG410" s="11"/>
      <c r="XH410" s="11"/>
      <c r="XI410" s="11"/>
      <c r="XJ410" s="11"/>
      <c r="XK410" s="11"/>
      <c r="XL410" s="11"/>
      <c r="XM410" s="11"/>
      <c r="XN410" s="11"/>
      <c r="XO410" s="11"/>
      <c r="XP410" s="11"/>
      <c r="XQ410" s="11"/>
      <c r="XR410" s="11"/>
      <c r="XS410" s="11"/>
      <c r="XT410" s="11"/>
      <c r="XU410" s="11"/>
      <c r="XV410" s="11"/>
      <c r="XW410" s="11"/>
      <c r="XX410" s="11"/>
      <c r="XY410" s="11"/>
      <c r="XZ410" s="11"/>
      <c r="YA410" s="11"/>
      <c r="YB410" s="11"/>
      <c r="YC410" s="11"/>
      <c r="YD410" s="11"/>
      <c r="YE410" s="11"/>
      <c r="YF410" s="11"/>
      <c r="YG410" s="11"/>
      <c r="YH410" s="11"/>
      <c r="YI410" s="11"/>
      <c r="YJ410" s="11"/>
      <c r="YK410" s="11"/>
      <c r="YL410" s="11"/>
      <c r="YM410" s="11"/>
      <c r="YN410" s="11"/>
      <c r="YO410" s="11"/>
      <c r="YP410" s="11"/>
      <c r="YQ410" s="11"/>
      <c r="YR410" s="11"/>
      <c r="YS410" s="11"/>
      <c r="YT410" s="11"/>
      <c r="YU410" s="11"/>
      <c r="YV410" s="11"/>
      <c r="YW410" s="11"/>
      <c r="YX410" s="11"/>
      <c r="YY410" s="11"/>
      <c r="YZ410" s="11"/>
      <c r="ZA410" s="11"/>
      <c r="ZB410" s="11"/>
      <c r="ZC410" s="11"/>
      <c r="ZD410" s="11"/>
      <c r="ZE410" s="11"/>
      <c r="ZF410" s="11"/>
      <c r="ZG410" s="11"/>
      <c r="ZH410" s="11"/>
      <c r="ZI410" s="11"/>
      <c r="ZJ410" s="11"/>
      <c r="ZK410" s="11"/>
      <c r="ZL410" s="11"/>
      <c r="ZM410" s="11"/>
      <c r="ZN410" s="11"/>
      <c r="ZO410" s="11"/>
      <c r="ZP410" s="11"/>
      <c r="ZQ410" s="11"/>
      <c r="ZR410" s="11"/>
      <c r="ZS410" s="11"/>
      <c r="ZT410" s="11"/>
      <c r="ZU410" s="11"/>
      <c r="ZV410" s="11"/>
      <c r="ZW410" s="11"/>
      <c r="ZX410" s="11"/>
      <c r="ZY410" s="11"/>
      <c r="ZZ410" s="11"/>
      <c r="AAA410" s="11"/>
      <c r="AAB410" s="11"/>
      <c r="AAC410" s="11"/>
      <c r="AAD410" s="11"/>
      <c r="AAE410" s="11"/>
      <c r="AAF410" s="11"/>
      <c r="AAG410" s="11"/>
      <c r="AAH410" s="11"/>
      <c r="AAI410" s="11"/>
      <c r="AAJ410" s="11"/>
      <c r="AAK410" s="11"/>
      <c r="AAL410" s="11"/>
      <c r="AAM410" s="11"/>
      <c r="AAN410" s="11"/>
      <c r="AAO410" s="11"/>
      <c r="AAP410" s="11"/>
      <c r="AAQ410" s="11"/>
      <c r="AAR410" s="11"/>
      <c r="AAS410" s="11"/>
      <c r="AAT410" s="11"/>
      <c r="AAU410" s="11"/>
      <c r="AAV410" s="11"/>
      <c r="AAW410" s="11"/>
      <c r="AAX410" s="11"/>
      <c r="AAY410" s="11"/>
      <c r="AAZ410" s="11"/>
      <c r="ABA410" s="11"/>
      <c r="ABB410" s="11"/>
      <c r="ABC410" s="11"/>
      <c r="ABD410" s="11"/>
      <c r="ABE410" s="11"/>
      <c r="ABF410" s="11"/>
      <c r="ABG410" s="11"/>
      <c r="ABH410" s="11"/>
      <c r="ABI410" s="11"/>
      <c r="ABJ410" s="11"/>
      <c r="ABK410" s="11"/>
      <c r="ABL410" s="11"/>
      <c r="ABM410" s="11"/>
      <c r="ABN410" s="11"/>
      <c r="ABO410" s="11"/>
      <c r="ABP410" s="11"/>
      <c r="ABQ410" s="11"/>
      <c r="ABR410" s="11"/>
      <c r="ABS410" s="11"/>
      <c r="ABT410" s="11"/>
      <c r="ABU410" s="11"/>
      <c r="ABV410" s="11"/>
      <c r="ABW410" s="11"/>
      <c r="ABX410" s="11"/>
      <c r="ABY410" s="11"/>
      <c r="ABZ410" s="11"/>
      <c r="ACA410" s="11"/>
      <c r="ACB410" s="11"/>
      <c r="ACC410" s="11"/>
      <c r="ACD410" s="11"/>
      <c r="ACE410" s="11"/>
      <c r="ACF410" s="11"/>
      <c r="ACG410" s="11"/>
      <c r="ACH410" s="11"/>
      <c r="ACI410" s="11"/>
      <c r="ACJ410" s="11"/>
      <c r="ACK410" s="11"/>
      <c r="ACL410" s="11"/>
      <c r="ACM410" s="11"/>
      <c r="ACN410" s="11"/>
      <c r="ACO410" s="11"/>
      <c r="ACP410" s="11"/>
      <c r="ACQ410" s="11"/>
      <c r="ACR410" s="11"/>
      <c r="ACS410" s="11"/>
      <c r="ACT410" s="11"/>
      <c r="ACU410" s="11"/>
      <c r="ACV410" s="11"/>
      <c r="ACW410" s="11"/>
      <c r="ACX410" s="11"/>
      <c r="ACY410" s="11"/>
      <c r="ACZ410" s="11"/>
      <c r="ADA410" s="11"/>
      <c r="ADB410" s="11"/>
      <c r="ADC410" s="11"/>
      <c r="ADD410" s="11"/>
      <c r="ADE410" s="11"/>
      <c r="ADF410" s="11"/>
      <c r="ADG410" s="11"/>
      <c r="ADH410" s="11"/>
      <c r="ADI410" s="11"/>
      <c r="ADJ410" s="11"/>
      <c r="ADK410" s="11"/>
      <c r="ADL410" s="11"/>
      <c r="ADM410" s="11"/>
      <c r="ADN410" s="11"/>
      <c r="ADO410" s="11"/>
      <c r="ADP410" s="11"/>
      <c r="ADQ410" s="11"/>
      <c r="ADR410" s="11"/>
      <c r="ADS410" s="11"/>
      <c r="ADT410" s="11"/>
      <c r="ADU410" s="11"/>
      <c r="ADV410" s="11"/>
      <c r="ADW410" s="11"/>
      <c r="ADX410" s="11"/>
      <c r="ADY410" s="11"/>
      <c r="ADZ410" s="11"/>
      <c r="AEA410" s="11"/>
      <c r="AEB410" s="11"/>
      <c r="AEC410" s="11"/>
      <c r="AED410" s="11"/>
      <c r="AEE410" s="11"/>
      <c r="AEF410" s="11"/>
      <c r="AEG410" s="11"/>
      <c r="AEH410" s="11"/>
      <c r="AEI410" s="11"/>
      <c r="AEJ410" s="11"/>
      <c r="AEK410" s="11"/>
      <c r="AEL410" s="11"/>
      <c r="AEM410" s="11"/>
      <c r="AEN410" s="11"/>
      <c r="AEO410" s="11"/>
      <c r="AEP410" s="11"/>
      <c r="AEQ410" s="11"/>
      <c r="AER410" s="11"/>
      <c r="AES410" s="11"/>
      <c r="AET410" s="11"/>
      <c r="AEU410" s="11"/>
      <c r="AEV410" s="11"/>
      <c r="AEW410" s="11"/>
      <c r="AEX410" s="11"/>
      <c r="AEY410" s="11"/>
      <c r="AEZ410" s="11"/>
      <c r="AFA410" s="11"/>
      <c r="AFB410" s="11"/>
      <c r="AFC410" s="11"/>
      <c r="AFD410" s="11"/>
      <c r="AFE410" s="11"/>
      <c r="AFF410" s="11"/>
      <c r="AFG410" s="11"/>
      <c r="AFH410" s="11"/>
      <c r="AFI410" s="11"/>
      <c r="AFJ410" s="11"/>
      <c r="AFK410" s="11"/>
      <c r="AFL410" s="11"/>
      <c r="AFM410" s="11"/>
      <c r="AFN410" s="11"/>
      <c r="AFO410" s="11"/>
      <c r="AFP410" s="11"/>
      <c r="AFQ410" s="11"/>
      <c r="AFR410" s="11"/>
      <c r="AFS410" s="11"/>
      <c r="AFT410" s="11"/>
      <c r="AFU410" s="11"/>
      <c r="AFV410" s="11"/>
      <c r="AFW410" s="11"/>
      <c r="AFX410" s="11"/>
      <c r="AFY410" s="11"/>
      <c r="AFZ410" s="11"/>
      <c r="AGA410" s="11"/>
      <c r="AGB410" s="11"/>
      <c r="AGC410" s="11"/>
      <c r="AGD410" s="11"/>
      <c r="AGE410" s="11"/>
      <c r="AGF410" s="11"/>
      <c r="AGG410" s="11"/>
      <c r="AGH410" s="11"/>
      <c r="AGI410" s="11"/>
      <c r="AGJ410" s="11"/>
      <c r="AGK410" s="11"/>
      <c r="AGL410" s="11"/>
      <c r="AGM410" s="11"/>
      <c r="AGN410" s="11"/>
      <c r="AGO410" s="11"/>
      <c r="AGP410" s="11"/>
      <c r="AGQ410" s="11"/>
      <c r="AGR410" s="11"/>
      <c r="AGS410" s="11"/>
      <c r="AGT410" s="11"/>
      <c r="AGU410" s="11"/>
      <c r="AGV410" s="11"/>
      <c r="AGW410" s="11"/>
      <c r="AGX410" s="11"/>
      <c r="AGY410" s="11"/>
      <c r="AGZ410" s="11"/>
      <c r="AHA410" s="11"/>
      <c r="AHB410" s="11"/>
      <c r="AHC410" s="11"/>
      <c r="AHD410" s="11"/>
      <c r="AHE410" s="11"/>
      <c r="AHF410" s="11"/>
      <c r="AHG410" s="11"/>
      <c r="AHH410" s="11"/>
      <c r="AHI410" s="11"/>
      <c r="AHJ410" s="11"/>
      <c r="AHK410" s="11"/>
      <c r="AHL410" s="11"/>
      <c r="AHM410" s="11"/>
      <c r="AHN410" s="11"/>
      <c r="AHO410" s="11"/>
      <c r="AHP410" s="11"/>
      <c r="AHQ410" s="11"/>
      <c r="AHR410" s="11"/>
      <c r="AHS410" s="11"/>
      <c r="AHT410" s="11"/>
      <c r="AHU410" s="11"/>
      <c r="AHV410" s="11"/>
      <c r="AHW410" s="11"/>
      <c r="AHX410" s="11"/>
      <c r="AHY410" s="11"/>
      <c r="AHZ410" s="11"/>
      <c r="AIA410" s="11"/>
      <c r="AIB410" s="11"/>
      <c r="AIC410" s="11"/>
      <c r="AID410" s="11"/>
      <c r="AIE410" s="11"/>
      <c r="AIF410" s="11"/>
      <c r="AIG410" s="11"/>
      <c r="AIH410" s="11"/>
      <c r="AII410" s="11"/>
      <c r="AIJ410" s="11"/>
      <c r="AIK410" s="11"/>
      <c r="AIL410" s="11"/>
      <c r="AIM410" s="11"/>
      <c r="AIN410" s="11"/>
      <c r="AIO410" s="11"/>
      <c r="AIP410" s="11"/>
      <c r="AIQ410" s="11"/>
      <c r="AIR410" s="11"/>
      <c r="AIS410" s="11"/>
      <c r="AIT410" s="11"/>
      <c r="AIU410" s="11"/>
      <c r="AIV410" s="11"/>
      <c r="AIW410" s="11"/>
      <c r="AIX410" s="11"/>
      <c r="AIY410" s="11"/>
      <c r="AIZ410" s="11"/>
      <c r="AJA410" s="11"/>
      <c r="AJB410" s="11"/>
      <c r="AJC410" s="11"/>
      <c r="AJD410" s="11"/>
      <c r="AJE410" s="11"/>
      <c r="AJF410" s="11"/>
      <c r="AJG410" s="11"/>
      <c r="AJH410" s="11"/>
      <c r="AJI410" s="11"/>
      <c r="AJJ410" s="11"/>
      <c r="AJK410" s="11"/>
      <c r="AJL410" s="11"/>
      <c r="AJM410" s="11"/>
      <c r="AJN410" s="11"/>
      <c r="AJO410" s="11"/>
      <c r="AJP410" s="11"/>
      <c r="AJQ410" s="11"/>
      <c r="AJR410" s="11"/>
      <c r="AJS410" s="11"/>
      <c r="AJT410" s="11"/>
      <c r="AJU410" s="11"/>
      <c r="AJV410" s="11"/>
      <c r="AJW410" s="11"/>
      <c r="AJX410" s="11"/>
      <c r="AJY410" s="11"/>
      <c r="AJZ410" s="11"/>
      <c r="AKA410" s="11"/>
      <c r="AKB410" s="11"/>
      <c r="AKC410" s="11"/>
      <c r="AKD410" s="11"/>
      <c r="AKE410" s="11"/>
      <c r="AKF410" s="11"/>
      <c r="AKG410" s="11"/>
      <c r="AKH410" s="11"/>
      <c r="AKI410" s="11"/>
      <c r="AKJ410" s="11"/>
      <c r="AKK410" s="11"/>
      <c r="AKL410" s="11"/>
      <c r="AKM410" s="11"/>
      <c r="AKN410" s="11"/>
      <c r="AKO410" s="11"/>
      <c r="AKP410" s="11"/>
      <c r="AKQ410" s="11"/>
      <c r="AKR410" s="11"/>
      <c r="AKS410" s="11"/>
      <c r="AKT410" s="11"/>
      <c r="AKU410" s="11"/>
      <c r="AKV410" s="11"/>
      <c r="AKW410" s="11"/>
      <c r="AKX410" s="11"/>
      <c r="AKY410" s="11"/>
      <c r="AKZ410" s="11"/>
      <c r="ALA410" s="11"/>
      <c r="ALB410" s="11"/>
      <c r="ALC410" s="11"/>
      <c r="ALD410" s="11"/>
      <c r="ALE410" s="11"/>
      <c r="ALF410" s="11"/>
      <c r="ALG410" s="11"/>
      <c r="ALH410" s="11"/>
      <c r="ALI410" s="11"/>
      <c r="ALJ410" s="11"/>
      <c r="ALK410" s="11"/>
      <c r="ALL410" s="11"/>
      <c r="ALM410" s="11"/>
      <c r="ALN410" s="11"/>
      <c r="ALO410" s="11"/>
      <c r="ALP410" s="11"/>
      <c r="ALQ410" s="11"/>
      <c r="ALR410" s="11"/>
      <c r="ALS410" s="11"/>
      <c r="ALT410" s="11"/>
      <c r="ALU410" s="11"/>
      <c r="ALV410" s="11"/>
      <c r="ALW410" s="11"/>
      <c r="ALX410" s="11"/>
      <c r="ALY410" s="11"/>
      <c r="ALZ410" s="11"/>
      <c r="AMA410" s="11"/>
      <c r="AMB410" s="11"/>
      <c r="AMC410" s="11"/>
      <c r="AMD410" s="11"/>
      <c r="AME410" s="11"/>
      <c r="AMF410" s="11"/>
      <c r="AMG410" s="11"/>
      <c r="AMH410" s="11"/>
      <c r="AMI410" s="11"/>
      <c r="AMJ410" s="11"/>
    </row>
    <row r="411" spans="1:1024">
      <c r="A411" s="8" t="s">
        <v>415</v>
      </c>
      <c r="B411" s="8">
        <v>390258</v>
      </c>
      <c r="D411" s="1">
        <v>12</v>
      </c>
      <c r="E411" s="8">
        <f>VLOOKUP(B411,Gesamtstunden_26!B:I,8,0)</f>
        <v>0</v>
      </c>
      <c r="F411" s="2">
        <f t="shared" si="6"/>
        <v>12</v>
      </c>
    </row>
    <row r="412" spans="1:1024">
      <c r="A412" s="8" t="s">
        <v>416</v>
      </c>
      <c r="B412" s="8">
        <v>748420</v>
      </c>
      <c r="D412" s="1">
        <v>5</v>
      </c>
      <c r="E412" s="8">
        <f>VLOOKUP(B412,Gesamtstunden_26!B:I,8,0)</f>
        <v>0.66666666666666663</v>
      </c>
      <c r="F412" s="2">
        <f t="shared" si="6"/>
        <v>4.333333333333333</v>
      </c>
    </row>
    <row r="413" spans="1:1024">
      <c r="A413" s="7" t="s">
        <v>417</v>
      </c>
      <c r="B413" s="7">
        <v>686972</v>
      </c>
      <c r="D413" s="1">
        <v>0</v>
      </c>
      <c r="E413" s="8">
        <f>VLOOKUP(B413,Gesamtstunden_26!B:I,8,0)</f>
        <v>5.333333333333333</v>
      </c>
      <c r="F413" s="2">
        <f t="shared" si="6"/>
        <v>-5.333333333333333</v>
      </c>
    </row>
    <row r="414" spans="1:1024">
      <c r="A414" s="8" t="s">
        <v>418</v>
      </c>
      <c r="B414" s="8">
        <v>537495</v>
      </c>
      <c r="D414" s="1">
        <v>6.0066666666666597</v>
      </c>
      <c r="E414" s="8">
        <f>VLOOKUP(B414,Gesamtstunden_26!B:I,8,0)</f>
        <v>0</v>
      </c>
      <c r="F414" s="2">
        <f t="shared" si="6"/>
        <v>6.0066666666666597</v>
      </c>
    </row>
    <row r="415" spans="1:1024">
      <c r="A415" s="17" t="s">
        <v>419</v>
      </c>
      <c r="B415" s="17">
        <v>595661</v>
      </c>
      <c r="D415" s="1">
        <v>0</v>
      </c>
      <c r="E415" s="8">
        <f>VLOOKUP(B415,Gesamtstunden_26!B:I,8,0)</f>
        <v>4</v>
      </c>
      <c r="F415" s="2">
        <f t="shared" si="6"/>
        <v>-4</v>
      </c>
    </row>
    <row r="416" spans="1:1024" ht="27.6">
      <c r="A416" s="7" t="s">
        <v>420</v>
      </c>
      <c r="B416" s="7">
        <v>294548</v>
      </c>
      <c r="D416" s="1">
        <v>0</v>
      </c>
      <c r="E416" s="8">
        <f>VLOOKUP(B416,Gesamtstunden_26!B:I,8,0)</f>
        <v>3</v>
      </c>
      <c r="F416" s="2">
        <f t="shared" si="6"/>
        <v>-3</v>
      </c>
    </row>
    <row r="417" spans="1:1024">
      <c r="A417" s="7" t="s">
        <v>421</v>
      </c>
      <c r="B417" s="7">
        <v>624638</v>
      </c>
      <c r="D417" s="1">
        <v>0</v>
      </c>
      <c r="E417" s="8">
        <f>VLOOKUP(B417,Gesamtstunden_26!B:I,8,0)</f>
        <v>3</v>
      </c>
      <c r="F417" s="2">
        <f t="shared" si="6"/>
        <v>-3</v>
      </c>
    </row>
    <row r="418" spans="1:1024">
      <c r="A418" s="17" t="s">
        <v>422</v>
      </c>
      <c r="B418" s="17">
        <v>687118</v>
      </c>
      <c r="D418" s="1">
        <v>0</v>
      </c>
      <c r="E418" s="8">
        <f>VLOOKUP(B418,Gesamtstunden_26!B:I,8,0)</f>
        <v>4.333333333333333</v>
      </c>
      <c r="F418" s="2">
        <f t="shared" si="6"/>
        <v>-4.333333333333333</v>
      </c>
    </row>
    <row r="419" spans="1:1024">
      <c r="A419" s="8" t="s">
        <v>423</v>
      </c>
      <c r="B419" s="8">
        <v>75868</v>
      </c>
      <c r="D419" s="1">
        <v>11.3366666666667</v>
      </c>
      <c r="E419" s="8">
        <f>VLOOKUP(B419,Gesamtstunden_26!B:I,8,0)</f>
        <v>0</v>
      </c>
      <c r="F419" s="2">
        <f t="shared" si="6"/>
        <v>11.3366666666667</v>
      </c>
    </row>
    <row r="420" spans="1:1024">
      <c r="A420" s="7" t="s">
        <v>424</v>
      </c>
      <c r="B420" s="7">
        <v>569123</v>
      </c>
      <c r="D420" s="1">
        <v>0</v>
      </c>
      <c r="E420" s="8">
        <f>VLOOKUP(B420,Gesamtstunden_26!B:I,8,0)</f>
        <v>6</v>
      </c>
      <c r="F420" s="2">
        <f t="shared" si="6"/>
        <v>-6</v>
      </c>
    </row>
    <row r="421" spans="1:1024">
      <c r="A421" s="8" t="s">
        <v>425</v>
      </c>
      <c r="B421" s="8">
        <v>128912</v>
      </c>
      <c r="D421" s="1">
        <v>10.5</v>
      </c>
      <c r="E421" s="8">
        <f>VLOOKUP(B421,Gesamtstunden_26!B:I,8,0)</f>
        <v>0</v>
      </c>
      <c r="F421" s="2">
        <f t="shared" si="6"/>
        <v>10.5</v>
      </c>
    </row>
    <row r="422" spans="1:1024">
      <c r="A422" s="10" t="s">
        <v>426</v>
      </c>
      <c r="B422" s="10">
        <v>579086</v>
      </c>
      <c r="D422" s="1">
        <v>0</v>
      </c>
      <c r="E422" s="8">
        <f>VLOOKUP(B422,Gesamtstunden_26!B:I,8,0)</f>
        <v>0</v>
      </c>
      <c r="F422" s="2">
        <f t="shared" si="6"/>
        <v>0</v>
      </c>
    </row>
    <row r="423" spans="1:1024">
      <c r="A423" s="7" t="s">
        <v>427</v>
      </c>
      <c r="B423" s="7">
        <v>725703</v>
      </c>
      <c r="D423" s="1">
        <v>0</v>
      </c>
      <c r="E423" s="8">
        <f>VLOOKUP(B423,Gesamtstunden_26!B:I,8,0)</f>
        <v>3.6666666666666665</v>
      </c>
      <c r="F423" s="2">
        <f t="shared" si="6"/>
        <v>-3.6666666666666665</v>
      </c>
    </row>
    <row r="424" spans="1:1024">
      <c r="A424" s="8" t="s">
        <v>428</v>
      </c>
      <c r="B424" s="8">
        <v>230735</v>
      </c>
      <c r="D424" s="1">
        <v>2.1666666666666701</v>
      </c>
      <c r="E424" s="8">
        <f>VLOOKUP(B424,Gesamtstunden_26!B:I,8,0)</f>
        <v>1.5</v>
      </c>
      <c r="F424" s="2">
        <f t="shared" si="6"/>
        <v>0.66666666666667007</v>
      </c>
    </row>
    <row r="425" spans="1:1024" ht="27.6">
      <c r="A425" s="8" t="s">
        <v>429</v>
      </c>
      <c r="B425" s="8">
        <v>660253</v>
      </c>
      <c r="D425" s="1">
        <v>11.3366666666667</v>
      </c>
      <c r="E425" s="8">
        <f>VLOOKUP(B425,Gesamtstunden_26!B:I,8,0)</f>
        <v>0</v>
      </c>
      <c r="F425" s="2">
        <f t="shared" si="6"/>
        <v>11.3366666666667</v>
      </c>
    </row>
    <row r="426" spans="1:1024">
      <c r="A426" s="10" t="s">
        <v>430</v>
      </c>
      <c r="B426" s="10">
        <v>459248</v>
      </c>
      <c r="D426" s="1">
        <v>0</v>
      </c>
      <c r="E426" s="8">
        <f>VLOOKUP(B426,Gesamtstunden_26!B:I,8,0)</f>
        <v>0</v>
      </c>
      <c r="F426" s="2">
        <f t="shared" si="6"/>
        <v>0</v>
      </c>
    </row>
    <row r="427" spans="1:1024">
      <c r="A427" s="10" t="s">
        <v>431</v>
      </c>
      <c r="B427" s="10">
        <v>157147</v>
      </c>
      <c r="D427" s="1">
        <v>0</v>
      </c>
      <c r="E427" s="8">
        <f>VLOOKUP(B427,Gesamtstunden_26!B:I,8,0)</f>
        <v>1.5</v>
      </c>
      <c r="F427" s="2">
        <f t="shared" si="6"/>
        <v>-1.5</v>
      </c>
    </row>
    <row r="428" spans="1:1024">
      <c r="A428" s="8" t="s">
        <v>432</v>
      </c>
      <c r="B428" s="8">
        <v>682088</v>
      </c>
      <c r="D428" s="1">
        <v>8.3333333333333304</v>
      </c>
      <c r="E428" s="8">
        <f>VLOOKUP(B428,Gesamtstunden_26!B:I,8,0)</f>
        <v>0</v>
      </c>
      <c r="F428" s="2">
        <f t="shared" si="6"/>
        <v>8.3333333333333304</v>
      </c>
    </row>
    <row r="429" spans="1:1024">
      <c r="A429" s="8" t="s">
        <v>433</v>
      </c>
      <c r="B429" s="8">
        <v>410546</v>
      </c>
      <c r="D429" s="1">
        <v>15</v>
      </c>
      <c r="E429" s="8">
        <f>VLOOKUP(B429,Gesamtstunden_26!B:I,8,0)</f>
        <v>0</v>
      </c>
      <c r="F429" s="2">
        <f t="shared" si="6"/>
        <v>15</v>
      </c>
    </row>
    <row r="430" spans="1:1024" s="11" customFormat="1">
      <c r="A430" s="8" t="s">
        <v>434</v>
      </c>
      <c r="B430" s="8">
        <v>464487</v>
      </c>
      <c r="C430"/>
      <c r="D430" s="1">
        <v>5</v>
      </c>
      <c r="E430" s="8">
        <f>VLOOKUP(B430,Gesamtstunden_26!B:I,8,0)</f>
        <v>0</v>
      </c>
      <c r="F430" s="2">
        <f t="shared" si="6"/>
        <v>5</v>
      </c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  <c r="CM430"/>
      <c r="CN430"/>
      <c r="CO430"/>
      <c r="CP430"/>
      <c r="CQ430"/>
      <c r="CR430"/>
      <c r="CS430"/>
      <c r="CT430"/>
      <c r="CU430"/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  <c r="DQ430"/>
      <c r="DR430"/>
      <c r="DS430"/>
      <c r="DT430"/>
      <c r="DU430"/>
      <c r="DV430"/>
      <c r="DW430"/>
      <c r="DX430"/>
      <c r="DY430"/>
      <c r="DZ430"/>
      <c r="EA430"/>
      <c r="EB430"/>
      <c r="EC430"/>
      <c r="ED430"/>
      <c r="EE430"/>
      <c r="EF430"/>
      <c r="EG430"/>
      <c r="EH430"/>
      <c r="EI430"/>
      <c r="EJ430"/>
      <c r="EK430"/>
      <c r="EL430"/>
      <c r="EM430"/>
      <c r="EN430"/>
      <c r="EO430"/>
      <c r="EP430"/>
      <c r="EQ430"/>
      <c r="ER430"/>
      <c r="ES430"/>
      <c r="ET430"/>
      <c r="EU430"/>
      <c r="EV430"/>
      <c r="EW430"/>
      <c r="EX430"/>
      <c r="EY430"/>
      <c r="EZ430"/>
      <c r="FA430"/>
      <c r="FB430"/>
      <c r="FC430"/>
      <c r="FD430"/>
      <c r="FE430"/>
      <c r="FF430"/>
      <c r="FG430"/>
      <c r="FH430"/>
      <c r="FI430"/>
      <c r="FJ430"/>
      <c r="FK430"/>
      <c r="FL430"/>
      <c r="FM430"/>
      <c r="FN430"/>
      <c r="FO430"/>
      <c r="FP430"/>
      <c r="FQ430"/>
      <c r="FR430"/>
      <c r="FS430"/>
      <c r="FT430"/>
      <c r="FU430"/>
      <c r="FV430"/>
      <c r="FW430"/>
      <c r="FX430"/>
      <c r="FY430"/>
      <c r="FZ430"/>
      <c r="GA430"/>
      <c r="GB430"/>
      <c r="GC430"/>
      <c r="GD430"/>
      <c r="GE430"/>
      <c r="GF430"/>
      <c r="GG430"/>
      <c r="GH430"/>
      <c r="GI430"/>
      <c r="GJ430"/>
      <c r="GK430"/>
      <c r="GL430"/>
      <c r="GM430"/>
      <c r="GN430"/>
      <c r="GO430"/>
      <c r="GP430"/>
      <c r="GQ430"/>
      <c r="GR430"/>
      <c r="GS430"/>
      <c r="GT430"/>
      <c r="GU430"/>
      <c r="GV430"/>
      <c r="GW430"/>
      <c r="GX430"/>
      <c r="GY430"/>
      <c r="GZ430"/>
      <c r="HA430"/>
      <c r="HB430"/>
      <c r="HC430"/>
      <c r="HD430"/>
      <c r="HE430"/>
      <c r="HF430"/>
      <c r="HG430"/>
      <c r="HH430"/>
      <c r="HI430"/>
      <c r="HJ430"/>
      <c r="HK430"/>
      <c r="HL430"/>
      <c r="HM430"/>
      <c r="HN430"/>
      <c r="HO430"/>
      <c r="HP430"/>
      <c r="HQ430"/>
      <c r="HR430"/>
      <c r="HS430"/>
      <c r="HT430"/>
      <c r="HU430"/>
      <c r="HV430"/>
      <c r="HW430"/>
      <c r="HX430"/>
      <c r="HY430"/>
      <c r="HZ430"/>
      <c r="IA430"/>
      <c r="IB430"/>
      <c r="IC430"/>
      <c r="ID430"/>
      <c r="IE430"/>
      <c r="IF430"/>
      <c r="IG430"/>
      <c r="IH430"/>
      <c r="II430"/>
      <c r="IJ430"/>
      <c r="IK430"/>
      <c r="IL430"/>
      <c r="IM430"/>
      <c r="IN430"/>
      <c r="IO430"/>
      <c r="IP430"/>
      <c r="IQ430"/>
      <c r="IR430"/>
      <c r="IS430"/>
      <c r="IT430"/>
      <c r="IU430"/>
      <c r="IV430"/>
      <c r="IW430"/>
      <c r="IX430"/>
      <c r="IY430"/>
      <c r="IZ430"/>
      <c r="JA430"/>
      <c r="JB430"/>
      <c r="JC430"/>
      <c r="JD430"/>
      <c r="JE430"/>
      <c r="JF430"/>
      <c r="JG430"/>
      <c r="JH430"/>
      <c r="JI430"/>
      <c r="JJ430"/>
      <c r="JK430"/>
      <c r="JL430"/>
      <c r="JM430"/>
      <c r="JN430"/>
      <c r="JO430"/>
      <c r="JP430"/>
      <c r="JQ430"/>
      <c r="JR430"/>
      <c r="JS430"/>
      <c r="JT430"/>
      <c r="JU430"/>
      <c r="JV430"/>
      <c r="JW430"/>
      <c r="JX430"/>
      <c r="JY430"/>
      <c r="JZ430"/>
      <c r="KA430"/>
      <c r="KB430"/>
      <c r="KC430"/>
      <c r="KD430"/>
      <c r="KE430"/>
      <c r="KF430"/>
      <c r="KG430"/>
      <c r="KH430"/>
      <c r="KI430"/>
      <c r="KJ430"/>
      <c r="KK430"/>
      <c r="KL430"/>
      <c r="KM430"/>
      <c r="KN430"/>
      <c r="KO430"/>
      <c r="KP430"/>
      <c r="KQ430"/>
      <c r="KR430"/>
      <c r="KS430"/>
      <c r="KT430"/>
      <c r="KU430"/>
      <c r="KV430"/>
      <c r="KW430"/>
      <c r="KX430"/>
      <c r="KY430"/>
      <c r="KZ430"/>
      <c r="LA430"/>
      <c r="LB430"/>
      <c r="LC430"/>
      <c r="LD430"/>
      <c r="LE430"/>
      <c r="LF430"/>
      <c r="LG430"/>
      <c r="LH430"/>
      <c r="LI430"/>
      <c r="LJ430"/>
      <c r="LK430"/>
      <c r="LL430"/>
      <c r="LM430"/>
      <c r="LN430"/>
      <c r="LO430"/>
      <c r="LP430"/>
      <c r="LQ430"/>
      <c r="LR430"/>
      <c r="LS430"/>
      <c r="LT430"/>
      <c r="LU430"/>
      <c r="LV430"/>
      <c r="LW430"/>
      <c r="LX430"/>
      <c r="LY430"/>
      <c r="LZ430"/>
      <c r="MA430"/>
      <c r="MB430"/>
      <c r="MC430"/>
      <c r="MD430"/>
      <c r="ME430"/>
      <c r="MF430"/>
      <c r="MG430"/>
      <c r="MH430"/>
      <c r="MI430"/>
      <c r="MJ430"/>
      <c r="MK430"/>
      <c r="ML430"/>
      <c r="MM430"/>
      <c r="MN430"/>
      <c r="MO430"/>
      <c r="MP430"/>
      <c r="MQ430"/>
      <c r="MR430"/>
      <c r="MS430"/>
      <c r="MT430"/>
      <c r="MU430"/>
      <c r="MV430"/>
      <c r="MW430"/>
      <c r="MX430"/>
      <c r="MY430"/>
      <c r="MZ430"/>
      <c r="NA430"/>
      <c r="NB430"/>
      <c r="NC430"/>
      <c r="ND430"/>
      <c r="NE430"/>
      <c r="NF430"/>
      <c r="NG430"/>
      <c r="NH430"/>
      <c r="NI430"/>
      <c r="NJ430"/>
      <c r="NK430"/>
      <c r="NL430"/>
      <c r="NM430"/>
      <c r="NN430"/>
      <c r="NO430"/>
      <c r="NP430"/>
      <c r="NQ430"/>
      <c r="NR430"/>
      <c r="NS430"/>
      <c r="NT430"/>
      <c r="NU430"/>
      <c r="NV430"/>
      <c r="NW430"/>
      <c r="NX430"/>
      <c r="NY430"/>
      <c r="NZ430"/>
      <c r="OA430"/>
      <c r="OB430"/>
      <c r="OC430"/>
      <c r="OD430"/>
      <c r="OE430"/>
      <c r="OF430"/>
      <c r="OG430"/>
      <c r="OH430"/>
      <c r="OI430"/>
      <c r="OJ430"/>
      <c r="OK430"/>
      <c r="OL430"/>
      <c r="OM430"/>
      <c r="ON430"/>
      <c r="OO430"/>
      <c r="OP430"/>
      <c r="OQ430"/>
      <c r="OR430"/>
      <c r="OS430"/>
      <c r="OT430"/>
      <c r="OU430"/>
      <c r="OV430"/>
      <c r="OW430"/>
      <c r="OX430"/>
      <c r="OY430"/>
      <c r="OZ430"/>
      <c r="PA430"/>
      <c r="PB430"/>
      <c r="PC430"/>
      <c r="PD430"/>
      <c r="PE430"/>
      <c r="PF430"/>
      <c r="PG430"/>
      <c r="PH430"/>
      <c r="PI430"/>
      <c r="PJ430"/>
      <c r="PK430"/>
      <c r="PL430"/>
      <c r="PM430"/>
      <c r="PN430"/>
      <c r="PO430"/>
      <c r="PP430"/>
      <c r="PQ430"/>
      <c r="PR430"/>
      <c r="PS430"/>
      <c r="PT430"/>
      <c r="PU430"/>
      <c r="PV430"/>
      <c r="PW430"/>
      <c r="PX430"/>
      <c r="PY430"/>
      <c r="PZ430"/>
      <c r="QA430"/>
      <c r="QB430"/>
      <c r="QC430"/>
      <c r="QD430"/>
      <c r="QE430"/>
      <c r="QF430"/>
      <c r="QG430"/>
      <c r="QH430"/>
      <c r="QI430"/>
      <c r="QJ430"/>
      <c r="QK430"/>
      <c r="QL430"/>
      <c r="QM430"/>
      <c r="QN430"/>
      <c r="QO430"/>
      <c r="QP430"/>
      <c r="QQ430"/>
      <c r="QR430"/>
      <c r="QS430"/>
      <c r="QT430"/>
      <c r="QU430"/>
      <c r="QV430"/>
      <c r="QW430"/>
      <c r="QX430"/>
      <c r="QY430"/>
      <c r="QZ430"/>
      <c r="RA430"/>
      <c r="RB430"/>
      <c r="RC430"/>
      <c r="RD430"/>
      <c r="RE430"/>
      <c r="RF430"/>
      <c r="RG430"/>
      <c r="RH430"/>
      <c r="RI430"/>
      <c r="RJ430"/>
      <c r="RK430"/>
      <c r="RL430"/>
      <c r="RM430"/>
      <c r="RN430"/>
      <c r="RO430"/>
      <c r="RP430"/>
      <c r="RQ430"/>
      <c r="RR430"/>
      <c r="RS430"/>
      <c r="RT430"/>
      <c r="RU430"/>
      <c r="RV430"/>
      <c r="RW430"/>
      <c r="RX430"/>
      <c r="RY430"/>
      <c r="RZ430"/>
      <c r="SA430"/>
      <c r="SB430"/>
      <c r="SC430"/>
      <c r="SD430"/>
      <c r="SE430"/>
      <c r="SF430"/>
      <c r="SG430"/>
      <c r="SH430"/>
      <c r="SI430"/>
      <c r="SJ430"/>
      <c r="SK430"/>
      <c r="SL430"/>
      <c r="SM430"/>
      <c r="SN430"/>
      <c r="SO430"/>
      <c r="SP430"/>
      <c r="SQ430"/>
      <c r="SR430"/>
      <c r="SS430"/>
      <c r="ST430"/>
      <c r="SU430"/>
      <c r="SV430"/>
      <c r="SW430"/>
      <c r="SX430"/>
      <c r="SY430"/>
      <c r="SZ430"/>
      <c r="TA430"/>
      <c r="TB430"/>
      <c r="TC430"/>
      <c r="TD430"/>
      <c r="TE430"/>
      <c r="TF430"/>
      <c r="TG430"/>
      <c r="TH430"/>
      <c r="TI430"/>
      <c r="TJ430"/>
      <c r="TK430"/>
      <c r="TL430"/>
      <c r="TM430"/>
      <c r="TN430"/>
      <c r="TO430"/>
      <c r="TP430"/>
      <c r="TQ430"/>
      <c r="TR430"/>
      <c r="TS430"/>
      <c r="TT430"/>
      <c r="TU430"/>
      <c r="TV430"/>
      <c r="TW430"/>
      <c r="TX430"/>
      <c r="TY430"/>
      <c r="TZ430"/>
      <c r="UA430"/>
      <c r="UB430"/>
      <c r="UC430"/>
      <c r="UD430"/>
      <c r="UE430"/>
      <c r="UF430"/>
      <c r="UG430"/>
      <c r="UH430"/>
      <c r="UI430"/>
      <c r="UJ430"/>
      <c r="UK430"/>
      <c r="UL430"/>
      <c r="UM430"/>
      <c r="UN430"/>
      <c r="UO430"/>
      <c r="UP430"/>
      <c r="UQ430"/>
      <c r="UR430"/>
      <c r="US430"/>
      <c r="UT430"/>
      <c r="UU430"/>
      <c r="UV430"/>
      <c r="UW430"/>
      <c r="UX430"/>
      <c r="UY430"/>
      <c r="UZ430"/>
      <c r="VA430"/>
      <c r="VB430"/>
      <c r="VC430"/>
      <c r="VD430"/>
      <c r="VE430"/>
      <c r="VF430"/>
      <c r="VG430"/>
      <c r="VH430"/>
      <c r="VI430"/>
      <c r="VJ430"/>
      <c r="VK430"/>
      <c r="VL430"/>
      <c r="VM430"/>
      <c r="VN430"/>
      <c r="VO430"/>
      <c r="VP430"/>
      <c r="VQ430"/>
      <c r="VR430"/>
      <c r="VS430"/>
      <c r="VT430"/>
      <c r="VU430"/>
      <c r="VV430"/>
      <c r="VW430"/>
      <c r="VX430"/>
      <c r="VY430"/>
      <c r="VZ430"/>
      <c r="WA430"/>
      <c r="WB430"/>
      <c r="WC430"/>
      <c r="WD430"/>
      <c r="WE430"/>
      <c r="WF430"/>
      <c r="WG430"/>
      <c r="WH430"/>
      <c r="WI430"/>
      <c r="WJ430"/>
      <c r="WK430"/>
      <c r="WL430"/>
      <c r="WM430"/>
      <c r="WN430"/>
      <c r="WO430"/>
      <c r="WP430"/>
      <c r="WQ430"/>
      <c r="WR430"/>
      <c r="WS430"/>
      <c r="WT430"/>
      <c r="WU430"/>
      <c r="WV430"/>
      <c r="WW430"/>
      <c r="WX430"/>
      <c r="WY430"/>
      <c r="WZ430"/>
      <c r="XA430"/>
      <c r="XB430"/>
      <c r="XC430"/>
      <c r="XD430"/>
      <c r="XE430"/>
      <c r="XF430"/>
      <c r="XG430"/>
      <c r="XH430"/>
      <c r="XI430"/>
      <c r="XJ430"/>
      <c r="XK430"/>
      <c r="XL430"/>
      <c r="XM430"/>
      <c r="XN430"/>
      <c r="XO430"/>
      <c r="XP430"/>
      <c r="XQ430"/>
      <c r="XR430"/>
      <c r="XS430"/>
      <c r="XT430"/>
      <c r="XU430"/>
      <c r="XV430"/>
      <c r="XW430"/>
      <c r="XX430"/>
      <c r="XY430"/>
      <c r="XZ430"/>
      <c r="YA430"/>
      <c r="YB430"/>
      <c r="YC430"/>
      <c r="YD430"/>
      <c r="YE430"/>
      <c r="YF430"/>
      <c r="YG430"/>
      <c r="YH430"/>
      <c r="YI430"/>
      <c r="YJ430"/>
      <c r="YK430"/>
      <c r="YL430"/>
      <c r="YM430"/>
      <c r="YN430"/>
      <c r="YO430"/>
      <c r="YP430"/>
      <c r="YQ430"/>
      <c r="YR430"/>
      <c r="YS430"/>
      <c r="YT430"/>
      <c r="YU430"/>
      <c r="YV430"/>
      <c r="YW430"/>
      <c r="YX430"/>
      <c r="YY430"/>
      <c r="YZ430"/>
      <c r="ZA430"/>
      <c r="ZB430"/>
      <c r="ZC430"/>
      <c r="ZD430"/>
      <c r="ZE430"/>
      <c r="ZF430"/>
      <c r="ZG430"/>
      <c r="ZH430"/>
      <c r="ZI430"/>
      <c r="ZJ430"/>
      <c r="ZK430"/>
      <c r="ZL430"/>
      <c r="ZM430"/>
      <c r="ZN430"/>
      <c r="ZO430"/>
      <c r="ZP430"/>
      <c r="ZQ430"/>
      <c r="ZR430"/>
      <c r="ZS430"/>
      <c r="ZT430"/>
      <c r="ZU430"/>
      <c r="ZV430"/>
      <c r="ZW430"/>
      <c r="ZX430"/>
      <c r="ZY430"/>
      <c r="ZZ430"/>
      <c r="AAA430"/>
      <c r="AAB430"/>
      <c r="AAC430"/>
      <c r="AAD430"/>
      <c r="AAE430"/>
      <c r="AAF430"/>
      <c r="AAG430"/>
      <c r="AAH430"/>
      <c r="AAI430"/>
      <c r="AAJ430"/>
      <c r="AAK430"/>
      <c r="AAL430"/>
      <c r="AAM430"/>
      <c r="AAN430"/>
      <c r="AAO430"/>
      <c r="AAP430"/>
      <c r="AAQ430"/>
      <c r="AAR430"/>
      <c r="AAS430"/>
      <c r="AAT430"/>
      <c r="AAU430"/>
      <c r="AAV430"/>
      <c r="AAW430"/>
      <c r="AAX430"/>
      <c r="AAY430"/>
      <c r="AAZ430"/>
      <c r="ABA430"/>
      <c r="ABB430"/>
      <c r="ABC430"/>
      <c r="ABD430"/>
      <c r="ABE430"/>
      <c r="ABF430"/>
      <c r="ABG430"/>
      <c r="ABH430"/>
      <c r="ABI430"/>
      <c r="ABJ430"/>
      <c r="ABK430"/>
      <c r="ABL430"/>
      <c r="ABM430"/>
      <c r="ABN430"/>
      <c r="ABO430"/>
      <c r="ABP430"/>
      <c r="ABQ430"/>
      <c r="ABR430"/>
      <c r="ABS430"/>
      <c r="ABT430"/>
      <c r="ABU430"/>
      <c r="ABV430"/>
      <c r="ABW430"/>
      <c r="ABX430"/>
      <c r="ABY430"/>
      <c r="ABZ430"/>
      <c r="ACA430"/>
      <c r="ACB430"/>
      <c r="ACC430"/>
      <c r="ACD430"/>
      <c r="ACE430"/>
      <c r="ACF430"/>
      <c r="ACG430"/>
      <c r="ACH430"/>
      <c r="ACI430"/>
      <c r="ACJ430"/>
      <c r="ACK430"/>
      <c r="ACL430"/>
      <c r="ACM430"/>
      <c r="ACN430"/>
      <c r="ACO430"/>
      <c r="ACP430"/>
      <c r="ACQ430"/>
      <c r="ACR430"/>
      <c r="ACS430"/>
      <c r="ACT430"/>
      <c r="ACU430"/>
      <c r="ACV430"/>
      <c r="ACW430"/>
      <c r="ACX430"/>
      <c r="ACY430"/>
      <c r="ACZ430"/>
      <c r="ADA430"/>
      <c r="ADB430"/>
      <c r="ADC430"/>
      <c r="ADD430"/>
      <c r="ADE430"/>
      <c r="ADF430"/>
      <c r="ADG430"/>
      <c r="ADH430"/>
      <c r="ADI430"/>
      <c r="ADJ430"/>
      <c r="ADK430"/>
      <c r="ADL430"/>
      <c r="ADM430"/>
      <c r="ADN430"/>
      <c r="ADO430"/>
      <c r="ADP430"/>
      <c r="ADQ430"/>
      <c r="ADR430"/>
      <c r="ADS430"/>
      <c r="ADT430"/>
      <c r="ADU430"/>
      <c r="ADV430"/>
      <c r="ADW430"/>
      <c r="ADX430"/>
      <c r="ADY430"/>
      <c r="ADZ430"/>
      <c r="AEA430"/>
      <c r="AEB430"/>
      <c r="AEC430"/>
      <c r="AED430"/>
      <c r="AEE430"/>
      <c r="AEF430"/>
      <c r="AEG430"/>
      <c r="AEH430"/>
      <c r="AEI430"/>
      <c r="AEJ430"/>
      <c r="AEK430"/>
      <c r="AEL430"/>
      <c r="AEM430"/>
      <c r="AEN430"/>
      <c r="AEO430"/>
      <c r="AEP430"/>
      <c r="AEQ430"/>
      <c r="AER430"/>
      <c r="AES430"/>
      <c r="AET430"/>
      <c r="AEU430"/>
      <c r="AEV430"/>
      <c r="AEW430"/>
      <c r="AEX430"/>
      <c r="AEY430"/>
      <c r="AEZ430"/>
      <c r="AFA430"/>
      <c r="AFB430"/>
      <c r="AFC430"/>
      <c r="AFD430"/>
      <c r="AFE430"/>
      <c r="AFF430"/>
      <c r="AFG430"/>
      <c r="AFH430"/>
      <c r="AFI430"/>
      <c r="AFJ430"/>
      <c r="AFK430"/>
      <c r="AFL430"/>
      <c r="AFM430"/>
      <c r="AFN430"/>
      <c r="AFO430"/>
      <c r="AFP430"/>
      <c r="AFQ430"/>
      <c r="AFR430"/>
      <c r="AFS430"/>
      <c r="AFT430"/>
      <c r="AFU430"/>
      <c r="AFV430"/>
      <c r="AFW430"/>
      <c r="AFX430"/>
      <c r="AFY430"/>
      <c r="AFZ430"/>
      <c r="AGA430"/>
      <c r="AGB430"/>
      <c r="AGC430"/>
      <c r="AGD430"/>
      <c r="AGE430"/>
      <c r="AGF430"/>
      <c r="AGG430"/>
      <c r="AGH430"/>
      <c r="AGI430"/>
      <c r="AGJ430"/>
      <c r="AGK430"/>
      <c r="AGL430"/>
      <c r="AGM430"/>
      <c r="AGN430"/>
      <c r="AGO430"/>
      <c r="AGP430"/>
      <c r="AGQ430"/>
      <c r="AGR430"/>
      <c r="AGS430"/>
      <c r="AGT430"/>
      <c r="AGU430"/>
      <c r="AGV430"/>
      <c r="AGW430"/>
      <c r="AGX430"/>
      <c r="AGY430"/>
      <c r="AGZ430"/>
      <c r="AHA430"/>
      <c r="AHB430"/>
      <c r="AHC430"/>
      <c r="AHD430"/>
      <c r="AHE430"/>
      <c r="AHF430"/>
      <c r="AHG430"/>
      <c r="AHH430"/>
      <c r="AHI430"/>
      <c r="AHJ430"/>
      <c r="AHK430"/>
      <c r="AHL430"/>
      <c r="AHM430"/>
      <c r="AHN430"/>
      <c r="AHO430"/>
      <c r="AHP430"/>
      <c r="AHQ430"/>
      <c r="AHR430"/>
      <c r="AHS430"/>
      <c r="AHT430"/>
      <c r="AHU430"/>
      <c r="AHV430"/>
      <c r="AHW430"/>
      <c r="AHX430"/>
      <c r="AHY430"/>
      <c r="AHZ430"/>
      <c r="AIA430"/>
      <c r="AIB430"/>
      <c r="AIC430"/>
      <c r="AID430"/>
      <c r="AIE430"/>
      <c r="AIF430"/>
      <c r="AIG430"/>
      <c r="AIH430"/>
      <c r="AII430"/>
      <c r="AIJ430"/>
      <c r="AIK430"/>
      <c r="AIL430"/>
      <c r="AIM430"/>
      <c r="AIN430"/>
      <c r="AIO430"/>
      <c r="AIP430"/>
      <c r="AIQ430"/>
      <c r="AIR430"/>
      <c r="AIS430"/>
      <c r="AIT430"/>
      <c r="AIU430"/>
      <c r="AIV430"/>
      <c r="AIW430"/>
      <c r="AIX430"/>
      <c r="AIY430"/>
      <c r="AIZ430"/>
      <c r="AJA430"/>
      <c r="AJB430"/>
      <c r="AJC430"/>
      <c r="AJD430"/>
      <c r="AJE430"/>
      <c r="AJF430"/>
      <c r="AJG430"/>
      <c r="AJH430"/>
      <c r="AJI430"/>
      <c r="AJJ430"/>
      <c r="AJK430"/>
      <c r="AJL430"/>
      <c r="AJM430"/>
      <c r="AJN430"/>
      <c r="AJO430"/>
      <c r="AJP430"/>
      <c r="AJQ430"/>
      <c r="AJR430"/>
      <c r="AJS430"/>
      <c r="AJT430"/>
      <c r="AJU430"/>
      <c r="AJV430"/>
      <c r="AJW430"/>
      <c r="AJX430"/>
      <c r="AJY430"/>
      <c r="AJZ430"/>
      <c r="AKA430"/>
      <c r="AKB430"/>
      <c r="AKC430"/>
      <c r="AKD430"/>
      <c r="AKE430"/>
      <c r="AKF430"/>
      <c r="AKG430"/>
      <c r="AKH430"/>
      <c r="AKI430"/>
      <c r="AKJ430"/>
      <c r="AKK430"/>
      <c r="AKL430"/>
      <c r="AKM430"/>
      <c r="AKN430"/>
      <c r="AKO430"/>
      <c r="AKP430"/>
      <c r="AKQ430"/>
      <c r="AKR430"/>
      <c r="AKS430"/>
      <c r="AKT430"/>
      <c r="AKU430"/>
      <c r="AKV430"/>
      <c r="AKW430"/>
      <c r="AKX430"/>
      <c r="AKY430"/>
      <c r="AKZ430"/>
      <c r="ALA430"/>
      <c r="ALB430"/>
      <c r="ALC430"/>
      <c r="ALD430"/>
      <c r="ALE430"/>
      <c r="ALF430"/>
      <c r="ALG430"/>
      <c r="ALH430"/>
      <c r="ALI430"/>
      <c r="ALJ430"/>
      <c r="ALK430"/>
      <c r="ALL430"/>
      <c r="ALM430"/>
      <c r="ALN430"/>
      <c r="ALO430"/>
      <c r="ALP430"/>
      <c r="ALQ430"/>
      <c r="ALR430"/>
      <c r="ALS430"/>
      <c r="ALT430"/>
      <c r="ALU430"/>
      <c r="ALV430"/>
      <c r="ALW430"/>
      <c r="ALX430"/>
      <c r="ALY430"/>
      <c r="ALZ430"/>
      <c r="AMA430"/>
      <c r="AMB430"/>
      <c r="AMC430"/>
      <c r="AMD430"/>
      <c r="AME430"/>
      <c r="AMF430"/>
      <c r="AMG430"/>
      <c r="AMH430"/>
      <c r="AMI430"/>
      <c r="AMJ430"/>
    </row>
    <row r="431" spans="1:1024">
      <c r="A431" s="7" t="s">
        <v>435</v>
      </c>
      <c r="B431" s="7">
        <v>100256</v>
      </c>
      <c r="C431" s="11"/>
      <c r="D431" s="12">
        <v>0</v>
      </c>
      <c r="E431" s="7">
        <f>VLOOKUP(B431,Gesamtstunden_26!B:I,8,0)</f>
        <v>0</v>
      </c>
      <c r="F431" s="13">
        <f t="shared" si="6"/>
        <v>0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  <c r="BC431" s="11"/>
      <c r="BD431" s="11"/>
      <c r="BE431" s="11"/>
      <c r="BF431" s="11"/>
      <c r="BG431" s="11"/>
      <c r="BH431" s="11"/>
      <c r="BI431" s="11"/>
      <c r="BJ431" s="11"/>
      <c r="BK431" s="11"/>
      <c r="BL431" s="11"/>
      <c r="BM431" s="11"/>
      <c r="BN431" s="11"/>
      <c r="BO431" s="11"/>
      <c r="BP431" s="11"/>
      <c r="BQ431" s="11"/>
      <c r="BR431" s="11"/>
      <c r="BS431" s="11"/>
      <c r="BT431" s="11"/>
      <c r="BU431" s="11"/>
      <c r="BV431" s="11"/>
      <c r="BW431" s="11"/>
      <c r="BX431" s="11"/>
      <c r="BY431" s="11"/>
      <c r="BZ431" s="11"/>
      <c r="CA431" s="11"/>
      <c r="CB431" s="11"/>
      <c r="CC431" s="11"/>
      <c r="CD431" s="11"/>
      <c r="CE431" s="11"/>
      <c r="CF431" s="11"/>
      <c r="CG431" s="11"/>
      <c r="CH431" s="11"/>
      <c r="CI431" s="11"/>
      <c r="CJ431" s="11"/>
      <c r="CK431" s="11"/>
      <c r="CL431" s="11"/>
      <c r="CM431" s="11"/>
      <c r="CN431" s="11"/>
      <c r="CO431" s="11"/>
      <c r="CP431" s="11"/>
      <c r="CQ431" s="11"/>
      <c r="CR431" s="11"/>
      <c r="CS431" s="11"/>
      <c r="CT431" s="11"/>
      <c r="CU431" s="11"/>
      <c r="CV431" s="11"/>
      <c r="CW431" s="11"/>
      <c r="CX431" s="11"/>
      <c r="CY431" s="11"/>
      <c r="CZ431" s="11"/>
      <c r="DA431" s="11"/>
      <c r="DB431" s="11"/>
      <c r="DC431" s="11"/>
      <c r="DD431" s="11"/>
      <c r="DE431" s="11"/>
      <c r="DF431" s="11"/>
      <c r="DG431" s="11"/>
      <c r="DH431" s="11"/>
      <c r="DI431" s="11"/>
      <c r="DJ431" s="11"/>
      <c r="DK431" s="11"/>
      <c r="DL431" s="11"/>
      <c r="DM431" s="11"/>
      <c r="DN431" s="11"/>
      <c r="DO431" s="11"/>
      <c r="DP431" s="11"/>
      <c r="DQ431" s="11"/>
      <c r="DR431" s="11"/>
      <c r="DS431" s="11"/>
      <c r="DT431" s="11"/>
      <c r="DU431" s="11"/>
      <c r="DV431" s="11"/>
      <c r="DW431" s="11"/>
      <c r="DX431" s="11"/>
      <c r="DY431" s="11"/>
      <c r="DZ431" s="11"/>
      <c r="EA431" s="11"/>
      <c r="EB431" s="11"/>
      <c r="EC431" s="11"/>
      <c r="ED431" s="11"/>
      <c r="EE431" s="11"/>
      <c r="EF431" s="11"/>
      <c r="EG431" s="11"/>
      <c r="EH431" s="11"/>
      <c r="EI431" s="11"/>
      <c r="EJ431" s="11"/>
      <c r="EK431" s="11"/>
      <c r="EL431" s="11"/>
      <c r="EM431" s="11"/>
      <c r="EN431" s="11"/>
      <c r="EO431" s="11"/>
      <c r="EP431" s="11"/>
      <c r="EQ431" s="11"/>
      <c r="ER431" s="11"/>
      <c r="ES431" s="11"/>
      <c r="ET431" s="11"/>
      <c r="EU431" s="11"/>
      <c r="EV431" s="11"/>
      <c r="EW431" s="11"/>
      <c r="EX431" s="11"/>
      <c r="EY431" s="11"/>
      <c r="EZ431" s="11"/>
      <c r="FA431" s="11"/>
      <c r="FB431" s="11"/>
      <c r="FC431" s="11"/>
      <c r="FD431" s="11"/>
      <c r="FE431" s="11"/>
      <c r="FF431" s="11"/>
      <c r="FG431" s="11"/>
      <c r="FH431" s="11"/>
      <c r="FI431" s="11"/>
      <c r="FJ431" s="11"/>
      <c r="FK431" s="11"/>
      <c r="FL431" s="11"/>
      <c r="FM431" s="11"/>
      <c r="FN431" s="11"/>
      <c r="FO431" s="11"/>
      <c r="FP431" s="11"/>
      <c r="FQ431" s="11"/>
      <c r="FR431" s="11"/>
      <c r="FS431" s="11"/>
      <c r="FT431" s="11"/>
      <c r="FU431" s="11"/>
      <c r="FV431" s="11"/>
      <c r="FW431" s="11"/>
      <c r="FX431" s="11"/>
      <c r="FY431" s="11"/>
      <c r="FZ431" s="11"/>
      <c r="GA431" s="11"/>
      <c r="GB431" s="11"/>
      <c r="GC431" s="11"/>
      <c r="GD431" s="11"/>
      <c r="GE431" s="11"/>
      <c r="GF431" s="11"/>
      <c r="GG431" s="11"/>
      <c r="GH431" s="11"/>
      <c r="GI431" s="11"/>
      <c r="GJ431" s="11"/>
      <c r="GK431" s="11"/>
      <c r="GL431" s="11"/>
      <c r="GM431" s="11"/>
      <c r="GN431" s="11"/>
      <c r="GO431" s="11"/>
      <c r="GP431" s="11"/>
      <c r="GQ431" s="11"/>
      <c r="GR431" s="11"/>
      <c r="GS431" s="11"/>
      <c r="GT431" s="11"/>
      <c r="GU431" s="11"/>
      <c r="GV431" s="11"/>
      <c r="GW431" s="11"/>
      <c r="GX431" s="11"/>
      <c r="GY431" s="11"/>
      <c r="GZ431" s="11"/>
      <c r="HA431" s="11"/>
      <c r="HB431" s="11"/>
      <c r="HC431" s="11"/>
      <c r="HD431" s="11"/>
      <c r="HE431" s="11"/>
      <c r="HF431" s="11"/>
      <c r="HG431" s="11"/>
      <c r="HH431" s="11"/>
      <c r="HI431" s="11"/>
      <c r="HJ431" s="11"/>
      <c r="HK431" s="11"/>
      <c r="HL431" s="11"/>
      <c r="HM431" s="11"/>
      <c r="HN431" s="11"/>
      <c r="HO431" s="11"/>
      <c r="HP431" s="11"/>
      <c r="HQ431" s="11"/>
      <c r="HR431" s="11"/>
      <c r="HS431" s="11"/>
      <c r="HT431" s="11"/>
      <c r="HU431" s="11"/>
      <c r="HV431" s="11"/>
      <c r="HW431" s="11"/>
      <c r="HX431" s="11"/>
      <c r="HY431" s="11"/>
      <c r="HZ431" s="11"/>
      <c r="IA431" s="11"/>
      <c r="IB431" s="11"/>
      <c r="IC431" s="11"/>
      <c r="ID431" s="11"/>
      <c r="IE431" s="11"/>
      <c r="IF431" s="11"/>
      <c r="IG431" s="11"/>
      <c r="IH431" s="11"/>
      <c r="II431" s="11"/>
      <c r="IJ431" s="11"/>
      <c r="IK431" s="11"/>
      <c r="IL431" s="11"/>
      <c r="IM431" s="11"/>
      <c r="IN431" s="11"/>
      <c r="IO431" s="11"/>
      <c r="IP431" s="11"/>
      <c r="IQ431" s="11"/>
      <c r="IR431" s="11"/>
      <c r="IS431" s="11"/>
      <c r="IT431" s="11"/>
      <c r="IU431" s="11"/>
      <c r="IV431" s="11"/>
      <c r="IW431" s="11"/>
      <c r="IX431" s="11"/>
      <c r="IY431" s="11"/>
      <c r="IZ431" s="11"/>
      <c r="JA431" s="11"/>
      <c r="JB431" s="11"/>
      <c r="JC431" s="11"/>
      <c r="JD431" s="11"/>
      <c r="JE431" s="11"/>
      <c r="JF431" s="11"/>
      <c r="JG431" s="11"/>
      <c r="JH431" s="11"/>
      <c r="JI431" s="11"/>
      <c r="JJ431" s="11"/>
      <c r="JK431" s="11"/>
      <c r="JL431" s="11"/>
      <c r="JM431" s="11"/>
      <c r="JN431" s="11"/>
      <c r="JO431" s="11"/>
      <c r="JP431" s="11"/>
      <c r="JQ431" s="11"/>
      <c r="JR431" s="11"/>
      <c r="JS431" s="11"/>
      <c r="JT431" s="11"/>
      <c r="JU431" s="11"/>
      <c r="JV431" s="11"/>
      <c r="JW431" s="11"/>
      <c r="JX431" s="11"/>
      <c r="JY431" s="11"/>
      <c r="JZ431" s="11"/>
      <c r="KA431" s="11"/>
      <c r="KB431" s="11"/>
      <c r="KC431" s="11"/>
      <c r="KD431" s="11"/>
      <c r="KE431" s="11"/>
      <c r="KF431" s="11"/>
      <c r="KG431" s="11"/>
      <c r="KH431" s="11"/>
      <c r="KI431" s="11"/>
      <c r="KJ431" s="11"/>
      <c r="KK431" s="11"/>
      <c r="KL431" s="11"/>
      <c r="KM431" s="11"/>
      <c r="KN431" s="11"/>
      <c r="KO431" s="11"/>
      <c r="KP431" s="11"/>
      <c r="KQ431" s="11"/>
      <c r="KR431" s="11"/>
      <c r="KS431" s="11"/>
      <c r="KT431" s="11"/>
      <c r="KU431" s="11"/>
      <c r="KV431" s="11"/>
      <c r="KW431" s="11"/>
      <c r="KX431" s="11"/>
      <c r="KY431" s="11"/>
      <c r="KZ431" s="11"/>
      <c r="LA431" s="11"/>
      <c r="LB431" s="11"/>
      <c r="LC431" s="11"/>
      <c r="LD431" s="11"/>
      <c r="LE431" s="11"/>
      <c r="LF431" s="11"/>
      <c r="LG431" s="11"/>
      <c r="LH431" s="11"/>
      <c r="LI431" s="11"/>
      <c r="LJ431" s="11"/>
      <c r="LK431" s="11"/>
      <c r="LL431" s="11"/>
      <c r="LM431" s="11"/>
      <c r="LN431" s="11"/>
      <c r="LO431" s="11"/>
      <c r="LP431" s="11"/>
      <c r="LQ431" s="11"/>
      <c r="LR431" s="11"/>
      <c r="LS431" s="11"/>
      <c r="LT431" s="11"/>
      <c r="LU431" s="11"/>
      <c r="LV431" s="11"/>
      <c r="LW431" s="11"/>
      <c r="LX431" s="11"/>
      <c r="LY431" s="11"/>
      <c r="LZ431" s="11"/>
      <c r="MA431" s="11"/>
      <c r="MB431" s="11"/>
      <c r="MC431" s="11"/>
      <c r="MD431" s="11"/>
      <c r="ME431" s="11"/>
      <c r="MF431" s="11"/>
      <c r="MG431" s="11"/>
      <c r="MH431" s="11"/>
      <c r="MI431" s="11"/>
      <c r="MJ431" s="11"/>
      <c r="MK431" s="11"/>
      <c r="ML431" s="11"/>
      <c r="MM431" s="11"/>
      <c r="MN431" s="11"/>
      <c r="MO431" s="11"/>
      <c r="MP431" s="11"/>
      <c r="MQ431" s="11"/>
      <c r="MR431" s="11"/>
      <c r="MS431" s="11"/>
      <c r="MT431" s="11"/>
      <c r="MU431" s="11"/>
      <c r="MV431" s="11"/>
      <c r="MW431" s="11"/>
      <c r="MX431" s="11"/>
      <c r="MY431" s="11"/>
      <c r="MZ431" s="11"/>
      <c r="NA431" s="11"/>
      <c r="NB431" s="11"/>
      <c r="NC431" s="11"/>
      <c r="ND431" s="11"/>
      <c r="NE431" s="11"/>
      <c r="NF431" s="11"/>
      <c r="NG431" s="11"/>
      <c r="NH431" s="11"/>
      <c r="NI431" s="11"/>
      <c r="NJ431" s="11"/>
      <c r="NK431" s="11"/>
      <c r="NL431" s="11"/>
      <c r="NM431" s="11"/>
      <c r="NN431" s="11"/>
      <c r="NO431" s="11"/>
      <c r="NP431" s="11"/>
      <c r="NQ431" s="11"/>
      <c r="NR431" s="11"/>
      <c r="NS431" s="11"/>
      <c r="NT431" s="11"/>
      <c r="NU431" s="11"/>
      <c r="NV431" s="11"/>
      <c r="NW431" s="11"/>
      <c r="NX431" s="11"/>
      <c r="NY431" s="11"/>
      <c r="NZ431" s="11"/>
      <c r="OA431" s="11"/>
      <c r="OB431" s="11"/>
      <c r="OC431" s="11"/>
      <c r="OD431" s="11"/>
      <c r="OE431" s="11"/>
      <c r="OF431" s="11"/>
      <c r="OG431" s="11"/>
      <c r="OH431" s="11"/>
      <c r="OI431" s="11"/>
      <c r="OJ431" s="11"/>
      <c r="OK431" s="11"/>
      <c r="OL431" s="11"/>
      <c r="OM431" s="11"/>
      <c r="ON431" s="11"/>
      <c r="OO431" s="11"/>
      <c r="OP431" s="11"/>
      <c r="OQ431" s="11"/>
      <c r="OR431" s="11"/>
      <c r="OS431" s="11"/>
      <c r="OT431" s="11"/>
      <c r="OU431" s="11"/>
      <c r="OV431" s="11"/>
      <c r="OW431" s="11"/>
      <c r="OX431" s="11"/>
      <c r="OY431" s="11"/>
      <c r="OZ431" s="11"/>
      <c r="PA431" s="11"/>
      <c r="PB431" s="11"/>
      <c r="PC431" s="11"/>
      <c r="PD431" s="11"/>
      <c r="PE431" s="11"/>
      <c r="PF431" s="11"/>
      <c r="PG431" s="11"/>
      <c r="PH431" s="11"/>
      <c r="PI431" s="11"/>
      <c r="PJ431" s="11"/>
      <c r="PK431" s="11"/>
      <c r="PL431" s="11"/>
      <c r="PM431" s="11"/>
      <c r="PN431" s="11"/>
      <c r="PO431" s="11"/>
      <c r="PP431" s="11"/>
      <c r="PQ431" s="11"/>
      <c r="PR431" s="11"/>
      <c r="PS431" s="11"/>
      <c r="PT431" s="11"/>
      <c r="PU431" s="11"/>
      <c r="PV431" s="11"/>
      <c r="PW431" s="11"/>
      <c r="PX431" s="11"/>
      <c r="PY431" s="11"/>
      <c r="PZ431" s="11"/>
      <c r="QA431" s="11"/>
      <c r="QB431" s="11"/>
      <c r="QC431" s="11"/>
      <c r="QD431" s="11"/>
      <c r="QE431" s="11"/>
      <c r="QF431" s="11"/>
      <c r="QG431" s="11"/>
      <c r="QH431" s="11"/>
      <c r="QI431" s="11"/>
      <c r="QJ431" s="11"/>
      <c r="QK431" s="11"/>
      <c r="QL431" s="11"/>
      <c r="QM431" s="11"/>
      <c r="QN431" s="11"/>
      <c r="QO431" s="11"/>
      <c r="QP431" s="11"/>
      <c r="QQ431" s="11"/>
      <c r="QR431" s="11"/>
      <c r="QS431" s="11"/>
      <c r="QT431" s="11"/>
      <c r="QU431" s="11"/>
      <c r="QV431" s="11"/>
      <c r="QW431" s="11"/>
      <c r="QX431" s="11"/>
      <c r="QY431" s="11"/>
      <c r="QZ431" s="11"/>
      <c r="RA431" s="11"/>
      <c r="RB431" s="11"/>
      <c r="RC431" s="11"/>
      <c r="RD431" s="11"/>
      <c r="RE431" s="11"/>
      <c r="RF431" s="11"/>
      <c r="RG431" s="11"/>
      <c r="RH431" s="11"/>
      <c r="RI431" s="11"/>
      <c r="RJ431" s="11"/>
      <c r="RK431" s="11"/>
      <c r="RL431" s="11"/>
      <c r="RM431" s="11"/>
      <c r="RN431" s="11"/>
      <c r="RO431" s="11"/>
      <c r="RP431" s="11"/>
      <c r="RQ431" s="11"/>
      <c r="RR431" s="11"/>
      <c r="RS431" s="11"/>
      <c r="RT431" s="11"/>
      <c r="RU431" s="11"/>
      <c r="RV431" s="11"/>
      <c r="RW431" s="11"/>
      <c r="RX431" s="11"/>
      <c r="RY431" s="11"/>
      <c r="RZ431" s="11"/>
      <c r="SA431" s="11"/>
      <c r="SB431" s="11"/>
      <c r="SC431" s="11"/>
      <c r="SD431" s="11"/>
      <c r="SE431" s="11"/>
      <c r="SF431" s="11"/>
      <c r="SG431" s="11"/>
      <c r="SH431" s="11"/>
      <c r="SI431" s="11"/>
      <c r="SJ431" s="11"/>
      <c r="SK431" s="11"/>
      <c r="SL431" s="11"/>
      <c r="SM431" s="11"/>
      <c r="SN431" s="11"/>
      <c r="SO431" s="11"/>
      <c r="SP431" s="11"/>
      <c r="SQ431" s="11"/>
      <c r="SR431" s="11"/>
      <c r="SS431" s="11"/>
      <c r="ST431" s="11"/>
      <c r="SU431" s="11"/>
      <c r="SV431" s="11"/>
      <c r="SW431" s="11"/>
      <c r="SX431" s="11"/>
      <c r="SY431" s="11"/>
      <c r="SZ431" s="11"/>
      <c r="TA431" s="11"/>
      <c r="TB431" s="11"/>
      <c r="TC431" s="11"/>
      <c r="TD431" s="11"/>
      <c r="TE431" s="11"/>
      <c r="TF431" s="11"/>
      <c r="TG431" s="11"/>
      <c r="TH431" s="11"/>
      <c r="TI431" s="11"/>
      <c r="TJ431" s="11"/>
      <c r="TK431" s="11"/>
      <c r="TL431" s="11"/>
      <c r="TM431" s="11"/>
      <c r="TN431" s="11"/>
      <c r="TO431" s="11"/>
      <c r="TP431" s="11"/>
      <c r="TQ431" s="11"/>
      <c r="TR431" s="11"/>
      <c r="TS431" s="11"/>
      <c r="TT431" s="11"/>
      <c r="TU431" s="11"/>
      <c r="TV431" s="11"/>
      <c r="TW431" s="11"/>
      <c r="TX431" s="11"/>
      <c r="TY431" s="11"/>
      <c r="TZ431" s="11"/>
      <c r="UA431" s="11"/>
      <c r="UB431" s="11"/>
      <c r="UC431" s="11"/>
      <c r="UD431" s="11"/>
      <c r="UE431" s="11"/>
      <c r="UF431" s="11"/>
      <c r="UG431" s="11"/>
      <c r="UH431" s="11"/>
      <c r="UI431" s="11"/>
      <c r="UJ431" s="11"/>
      <c r="UK431" s="11"/>
      <c r="UL431" s="11"/>
      <c r="UM431" s="11"/>
      <c r="UN431" s="11"/>
      <c r="UO431" s="11"/>
      <c r="UP431" s="11"/>
      <c r="UQ431" s="11"/>
      <c r="UR431" s="11"/>
      <c r="US431" s="11"/>
      <c r="UT431" s="11"/>
      <c r="UU431" s="11"/>
      <c r="UV431" s="11"/>
      <c r="UW431" s="11"/>
      <c r="UX431" s="11"/>
      <c r="UY431" s="11"/>
      <c r="UZ431" s="11"/>
      <c r="VA431" s="11"/>
      <c r="VB431" s="11"/>
      <c r="VC431" s="11"/>
      <c r="VD431" s="11"/>
      <c r="VE431" s="11"/>
      <c r="VF431" s="11"/>
      <c r="VG431" s="11"/>
      <c r="VH431" s="11"/>
      <c r="VI431" s="11"/>
      <c r="VJ431" s="11"/>
      <c r="VK431" s="11"/>
      <c r="VL431" s="11"/>
      <c r="VM431" s="11"/>
      <c r="VN431" s="11"/>
      <c r="VO431" s="11"/>
      <c r="VP431" s="11"/>
      <c r="VQ431" s="11"/>
      <c r="VR431" s="11"/>
      <c r="VS431" s="11"/>
      <c r="VT431" s="11"/>
      <c r="VU431" s="11"/>
      <c r="VV431" s="11"/>
      <c r="VW431" s="11"/>
      <c r="VX431" s="11"/>
      <c r="VY431" s="11"/>
      <c r="VZ431" s="11"/>
      <c r="WA431" s="11"/>
      <c r="WB431" s="11"/>
      <c r="WC431" s="11"/>
      <c r="WD431" s="11"/>
      <c r="WE431" s="11"/>
      <c r="WF431" s="11"/>
      <c r="WG431" s="11"/>
      <c r="WH431" s="11"/>
      <c r="WI431" s="11"/>
      <c r="WJ431" s="11"/>
      <c r="WK431" s="11"/>
      <c r="WL431" s="11"/>
      <c r="WM431" s="11"/>
      <c r="WN431" s="11"/>
      <c r="WO431" s="11"/>
      <c r="WP431" s="11"/>
      <c r="WQ431" s="11"/>
      <c r="WR431" s="11"/>
      <c r="WS431" s="11"/>
      <c r="WT431" s="11"/>
      <c r="WU431" s="11"/>
      <c r="WV431" s="11"/>
      <c r="WW431" s="11"/>
      <c r="WX431" s="11"/>
      <c r="WY431" s="11"/>
      <c r="WZ431" s="11"/>
      <c r="XA431" s="11"/>
      <c r="XB431" s="11"/>
      <c r="XC431" s="11"/>
      <c r="XD431" s="11"/>
      <c r="XE431" s="11"/>
      <c r="XF431" s="11"/>
      <c r="XG431" s="11"/>
      <c r="XH431" s="11"/>
      <c r="XI431" s="11"/>
      <c r="XJ431" s="11"/>
      <c r="XK431" s="11"/>
      <c r="XL431" s="11"/>
      <c r="XM431" s="11"/>
      <c r="XN431" s="11"/>
      <c r="XO431" s="11"/>
      <c r="XP431" s="11"/>
      <c r="XQ431" s="11"/>
      <c r="XR431" s="11"/>
      <c r="XS431" s="11"/>
      <c r="XT431" s="11"/>
      <c r="XU431" s="11"/>
      <c r="XV431" s="11"/>
      <c r="XW431" s="11"/>
      <c r="XX431" s="11"/>
      <c r="XY431" s="11"/>
      <c r="XZ431" s="11"/>
      <c r="YA431" s="11"/>
      <c r="YB431" s="11"/>
      <c r="YC431" s="11"/>
      <c r="YD431" s="11"/>
      <c r="YE431" s="11"/>
      <c r="YF431" s="11"/>
      <c r="YG431" s="11"/>
      <c r="YH431" s="11"/>
      <c r="YI431" s="11"/>
      <c r="YJ431" s="11"/>
      <c r="YK431" s="11"/>
      <c r="YL431" s="11"/>
      <c r="YM431" s="11"/>
      <c r="YN431" s="11"/>
      <c r="YO431" s="11"/>
      <c r="YP431" s="11"/>
      <c r="YQ431" s="11"/>
      <c r="YR431" s="11"/>
      <c r="YS431" s="11"/>
      <c r="YT431" s="11"/>
      <c r="YU431" s="11"/>
      <c r="YV431" s="11"/>
      <c r="YW431" s="11"/>
      <c r="YX431" s="11"/>
      <c r="YY431" s="11"/>
      <c r="YZ431" s="11"/>
      <c r="ZA431" s="11"/>
      <c r="ZB431" s="11"/>
      <c r="ZC431" s="11"/>
      <c r="ZD431" s="11"/>
      <c r="ZE431" s="11"/>
      <c r="ZF431" s="11"/>
      <c r="ZG431" s="11"/>
      <c r="ZH431" s="11"/>
      <c r="ZI431" s="11"/>
      <c r="ZJ431" s="11"/>
      <c r="ZK431" s="11"/>
      <c r="ZL431" s="11"/>
      <c r="ZM431" s="11"/>
      <c r="ZN431" s="11"/>
      <c r="ZO431" s="11"/>
      <c r="ZP431" s="11"/>
      <c r="ZQ431" s="11"/>
      <c r="ZR431" s="11"/>
      <c r="ZS431" s="11"/>
      <c r="ZT431" s="11"/>
      <c r="ZU431" s="11"/>
      <c r="ZV431" s="11"/>
      <c r="ZW431" s="11"/>
      <c r="ZX431" s="11"/>
      <c r="ZY431" s="11"/>
      <c r="ZZ431" s="11"/>
      <c r="AAA431" s="11"/>
      <c r="AAB431" s="11"/>
      <c r="AAC431" s="11"/>
      <c r="AAD431" s="11"/>
      <c r="AAE431" s="11"/>
      <c r="AAF431" s="11"/>
      <c r="AAG431" s="11"/>
      <c r="AAH431" s="11"/>
      <c r="AAI431" s="11"/>
      <c r="AAJ431" s="11"/>
      <c r="AAK431" s="11"/>
      <c r="AAL431" s="11"/>
      <c r="AAM431" s="11"/>
      <c r="AAN431" s="11"/>
      <c r="AAO431" s="11"/>
      <c r="AAP431" s="11"/>
      <c r="AAQ431" s="11"/>
      <c r="AAR431" s="11"/>
      <c r="AAS431" s="11"/>
      <c r="AAT431" s="11"/>
      <c r="AAU431" s="11"/>
      <c r="AAV431" s="11"/>
      <c r="AAW431" s="11"/>
      <c r="AAX431" s="11"/>
      <c r="AAY431" s="11"/>
      <c r="AAZ431" s="11"/>
      <c r="ABA431" s="11"/>
      <c r="ABB431" s="11"/>
      <c r="ABC431" s="11"/>
      <c r="ABD431" s="11"/>
      <c r="ABE431" s="11"/>
      <c r="ABF431" s="11"/>
      <c r="ABG431" s="11"/>
      <c r="ABH431" s="11"/>
      <c r="ABI431" s="11"/>
      <c r="ABJ431" s="11"/>
      <c r="ABK431" s="11"/>
      <c r="ABL431" s="11"/>
      <c r="ABM431" s="11"/>
      <c r="ABN431" s="11"/>
      <c r="ABO431" s="11"/>
      <c r="ABP431" s="11"/>
      <c r="ABQ431" s="11"/>
      <c r="ABR431" s="11"/>
      <c r="ABS431" s="11"/>
      <c r="ABT431" s="11"/>
      <c r="ABU431" s="11"/>
      <c r="ABV431" s="11"/>
      <c r="ABW431" s="11"/>
      <c r="ABX431" s="11"/>
      <c r="ABY431" s="11"/>
      <c r="ABZ431" s="11"/>
      <c r="ACA431" s="11"/>
      <c r="ACB431" s="11"/>
      <c r="ACC431" s="11"/>
      <c r="ACD431" s="11"/>
      <c r="ACE431" s="11"/>
      <c r="ACF431" s="11"/>
      <c r="ACG431" s="11"/>
      <c r="ACH431" s="11"/>
      <c r="ACI431" s="11"/>
      <c r="ACJ431" s="11"/>
      <c r="ACK431" s="11"/>
      <c r="ACL431" s="11"/>
      <c r="ACM431" s="11"/>
      <c r="ACN431" s="11"/>
      <c r="ACO431" s="11"/>
      <c r="ACP431" s="11"/>
      <c r="ACQ431" s="11"/>
      <c r="ACR431" s="11"/>
      <c r="ACS431" s="11"/>
      <c r="ACT431" s="11"/>
      <c r="ACU431" s="11"/>
      <c r="ACV431" s="11"/>
      <c r="ACW431" s="11"/>
      <c r="ACX431" s="11"/>
      <c r="ACY431" s="11"/>
      <c r="ACZ431" s="11"/>
      <c r="ADA431" s="11"/>
      <c r="ADB431" s="11"/>
      <c r="ADC431" s="11"/>
      <c r="ADD431" s="11"/>
      <c r="ADE431" s="11"/>
      <c r="ADF431" s="11"/>
      <c r="ADG431" s="11"/>
      <c r="ADH431" s="11"/>
      <c r="ADI431" s="11"/>
      <c r="ADJ431" s="11"/>
      <c r="ADK431" s="11"/>
      <c r="ADL431" s="11"/>
      <c r="ADM431" s="11"/>
      <c r="ADN431" s="11"/>
      <c r="ADO431" s="11"/>
      <c r="ADP431" s="11"/>
      <c r="ADQ431" s="11"/>
      <c r="ADR431" s="11"/>
      <c r="ADS431" s="11"/>
      <c r="ADT431" s="11"/>
      <c r="ADU431" s="11"/>
      <c r="ADV431" s="11"/>
      <c r="ADW431" s="11"/>
      <c r="ADX431" s="11"/>
      <c r="ADY431" s="11"/>
      <c r="ADZ431" s="11"/>
      <c r="AEA431" s="11"/>
      <c r="AEB431" s="11"/>
      <c r="AEC431" s="11"/>
      <c r="AED431" s="11"/>
      <c r="AEE431" s="11"/>
      <c r="AEF431" s="11"/>
      <c r="AEG431" s="11"/>
      <c r="AEH431" s="11"/>
      <c r="AEI431" s="11"/>
      <c r="AEJ431" s="11"/>
      <c r="AEK431" s="11"/>
      <c r="AEL431" s="11"/>
      <c r="AEM431" s="11"/>
      <c r="AEN431" s="11"/>
      <c r="AEO431" s="11"/>
      <c r="AEP431" s="11"/>
      <c r="AEQ431" s="11"/>
      <c r="AER431" s="11"/>
      <c r="AES431" s="11"/>
      <c r="AET431" s="11"/>
      <c r="AEU431" s="11"/>
      <c r="AEV431" s="11"/>
      <c r="AEW431" s="11"/>
      <c r="AEX431" s="11"/>
      <c r="AEY431" s="11"/>
      <c r="AEZ431" s="11"/>
      <c r="AFA431" s="11"/>
      <c r="AFB431" s="11"/>
      <c r="AFC431" s="11"/>
      <c r="AFD431" s="11"/>
      <c r="AFE431" s="11"/>
      <c r="AFF431" s="11"/>
      <c r="AFG431" s="11"/>
      <c r="AFH431" s="11"/>
      <c r="AFI431" s="11"/>
      <c r="AFJ431" s="11"/>
      <c r="AFK431" s="11"/>
      <c r="AFL431" s="11"/>
      <c r="AFM431" s="11"/>
      <c r="AFN431" s="11"/>
      <c r="AFO431" s="11"/>
      <c r="AFP431" s="11"/>
      <c r="AFQ431" s="11"/>
      <c r="AFR431" s="11"/>
      <c r="AFS431" s="11"/>
      <c r="AFT431" s="11"/>
      <c r="AFU431" s="11"/>
      <c r="AFV431" s="11"/>
      <c r="AFW431" s="11"/>
      <c r="AFX431" s="11"/>
      <c r="AFY431" s="11"/>
      <c r="AFZ431" s="11"/>
      <c r="AGA431" s="11"/>
      <c r="AGB431" s="11"/>
      <c r="AGC431" s="11"/>
      <c r="AGD431" s="11"/>
      <c r="AGE431" s="11"/>
      <c r="AGF431" s="11"/>
      <c r="AGG431" s="11"/>
      <c r="AGH431" s="11"/>
      <c r="AGI431" s="11"/>
      <c r="AGJ431" s="11"/>
      <c r="AGK431" s="11"/>
      <c r="AGL431" s="11"/>
      <c r="AGM431" s="11"/>
      <c r="AGN431" s="11"/>
      <c r="AGO431" s="11"/>
      <c r="AGP431" s="11"/>
      <c r="AGQ431" s="11"/>
      <c r="AGR431" s="11"/>
      <c r="AGS431" s="11"/>
      <c r="AGT431" s="11"/>
      <c r="AGU431" s="11"/>
      <c r="AGV431" s="11"/>
      <c r="AGW431" s="11"/>
      <c r="AGX431" s="11"/>
      <c r="AGY431" s="11"/>
      <c r="AGZ431" s="11"/>
      <c r="AHA431" s="11"/>
      <c r="AHB431" s="11"/>
      <c r="AHC431" s="11"/>
      <c r="AHD431" s="11"/>
      <c r="AHE431" s="11"/>
      <c r="AHF431" s="11"/>
      <c r="AHG431" s="11"/>
      <c r="AHH431" s="11"/>
      <c r="AHI431" s="11"/>
      <c r="AHJ431" s="11"/>
      <c r="AHK431" s="11"/>
      <c r="AHL431" s="11"/>
      <c r="AHM431" s="11"/>
      <c r="AHN431" s="11"/>
      <c r="AHO431" s="11"/>
      <c r="AHP431" s="11"/>
      <c r="AHQ431" s="11"/>
      <c r="AHR431" s="11"/>
      <c r="AHS431" s="11"/>
      <c r="AHT431" s="11"/>
      <c r="AHU431" s="11"/>
      <c r="AHV431" s="11"/>
      <c r="AHW431" s="11"/>
      <c r="AHX431" s="11"/>
      <c r="AHY431" s="11"/>
      <c r="AHZ431" s="11"/>
      <c r="AIA431" s="11"/>
      <c r="AIB431" s="11"/>
      <c r="AIC431" s="11"/>
      <c r="AID431" s="11"/>
      <c r="AIE431" s="11"/>
      <c r="AIF431" s="11"/>
      <c r="AIG431" s="11"/>
      <c r="AIH431" s="11"/>
      <c r="AII431" s="11"/>
      <c r="AIJ431" s="11"/>
      <c r="AIK431" s="11"/>
      <c r="AIL431" s="11"/>
      <c r="AIM431" s="11"/>
      <c r="AIN431" s="11"/>
      <c r="AIO431" s="11"/>
      <c r="AIP431" s="11"/>
      <c r="AIQ431" s="11"/>
      <c r="AIR431" s="11"/>
      <c r="AIS431" s="11"/>
      <c r="AIT431" s="11"/>
      <c r="AIU431" s="11"/>
      <c r="AIV431" s="11"/>
      <c r="AIW431" s="11"/>
      <c r="AIX431" s="11"/>
      <c r="AIY431" s="11"/>
      <c r="AIZ431" s="11"/>
      <c r="AJA431" s="11"/>
      <c r="AJB431" s="11"/>
      <c r="AJC431" s="11"/>
      <c r="AJD431" s="11"/>
      <c r="AJE431" s="11"/>
      <c r="AJF431" s="11"/>
      <c r="AJG431" s="11"/>
      <c r="AJH431" s="11"/>
      <c r="AJI431" s="11"/>
      <c r="AJJ431" s="11"/>
      <c r="AJK431" s="11"/>
      <c r="AJL431" s="11"/>
      <c r="AJM431" s="11"/>
      <c r="AJN431" s="11"/>
      <c r="AJO431" s="11"/>
      <c r="AJP431" s="11"/>
      <c r="AJQ431" s="11"/>
      <c r="AJR431" s="11"/>
      <c r="AJS431" s="11"/>
      <c r="AJT431" s="11"/>
      <c r="AJU431" s="11"/>
      <c r="AJV431" s="11"/>
      <c r="AJW431" s="11"/>
      <c r="AJX431" s="11"/>
      <c r="AJY431" s="11"/>
      <c r="AJZ431" s="11"/>
      <c r="AKA431" s="11"/>
      <c r="AKB431" s="11"/>
      <c r="AKC431" s="11"/>
      <c r="AKD431" s="11"/>
      <c r="AKE431" s="11"/>
      <c r="AKF431" s="11"/>
      <c r="AKG431" s="11"/>
      <c r="AKH431" s="11"/>
      <c r="AKI431" s="11"/>
      <c r="AKJ431" s="11"/>
      <c r="AKK431" s="11"/>
      <c r="AKL431" s="11"/>
      <c r="AKM431" s="11"/>
      <c r="AKN431" s="11"/>
      <c r="AKO431" s="11"/>
      <c r="AKP431" s="11"/>
      <c r="AKQ431" s="11"/>
      <c r="AKR431" s="11"/>
      <c r="AKS431" s="11"/>
      <c r="AKT431" s="11"/>
      <c r="AKU431" s="11"/>
      <c r="AKV431" s="11"/>
      <c r="AKW431" s="11"/>
      <c r="AKX431" s="11"/>
      <c r="AKY431" s="11"/>
      <c r="AKZ431" s="11"/>
      <c r="ALA431" s="11"/>
      <c r="ALB431" s="11"/>
      <c r="ALC431" s="11"/>
      <c r="ALD431" s="11"/>
      <c r="ALE431" s="11"/>
      <c r="ALF431" s="11"/>
      <c r="ALG431" s="11"/>
      <c r="ALH431" s="11"/>
      <c r="ALI431" s="11"/>
      <c r="ALJ431" s="11"/>
      <c r="ALK431" s="11"/>
      <c r="ALL431" s="11"/>
      <c r="ALM431" s="11"/>
      <c r="ALN431" s="11"/>
      <c r="ALO431" s="11"/>
      <c r="ALP431" s="11"/>
      <c r="ALQ431" s="11"/>
      <c r="ALR431" s="11"/>
      <c r="ALS431" s="11"/>
      <c r="ALT431" s="11"/>
      <c r="ALU431" s="11"/>
      <c r="ALV431" s="11"/>
      <c r="ALW431" s="11"/>
      <c r="ALX431" s="11"/>
      <c r="ALY431" s="11"/>
      <c r="ALZ431" s="11"/>
      <c r="AMA431" s="11"/>
      <c r="AMB431" s="11"/>
      <c r="AMC431" s="11"/>
      <c r="AMD431" s="11"/>
      <c r="AME431" s="11"/>
      <c r="AMF431" s="11"/>
      <c r="AMG431" s="11"/>
      <c r="AMH431" s="11"/>
      <c r="AMI431" s="11"/>
      <c r="AMJ431" s="11"/>
    </row>
    <row r="432" spans="1:1024">
      <c r="A432" t="s">
        <v>436</v>
      </c>
      <c r="B432">
        <v>518819</v>
      </c>
      <c r="D432" s="1">
        <v>6</v>
      </c>
      <c r="E432" s="8">
        <f>VLOOKUP(B432,Gesamtstunden_26!B:I,8,0)</f>
        <v>0</v>
      </c>
      <c r="F432" s="2">
        <f t="shared" si="6"/>
        <v>6</v>
      </c>
    </row>
    <row r="433" spans="1:1024">
      <c r="A433" s="8" t="s">
        <v>437</v>
      </c>
      <c r="B433" s="8">
        <v>502273</v>
      </c>
      <c r="D433" s="1">
        <v>13</v>
      </c>
      <c r="E433" s="8">
        <f>VLOOKUP(B433,Gesamtstunden_26!B:I,8,0)</f>
        <v>0</v>
      </c>
      <c r="F433" s="2">
        <f t="shared" si="6"/>
        <v>13</v>
      </c>
    </row>
    <row r="434" spans="1:1024">
      <c r="A434" s="8" t="s">
        <v>438</v>
      </c>
      <c r="B434" s="8">
        <v>509758</v>
      </c>
      <c r="D434" s="1">
        <v>0.67000000000000404</v>
      </c>
      <c r="E434" s="8">
        <f>VLOOKUP(B434,Gesamtstunden_26!B:I,8,0)</f>
        <v>0</v>
      </c>
      <c r="F434" s="2">
        <f t="shared" si="6"/>
        <v>0.67000000000000404</v>
      </c>
    </row>
    <row r="435" spans="1:1024">
      <c r="A435" s="8" t="s">
        <v>439</v>
      </c>
      <c r="B435" s="8">
        <v>868212</v>
      </c>
      <c r="D435" s="1">
        <v>4.5</v>
      </c>
      <c r="E435" s="8">
        <f>VLOOKUP(B435,Gesamtstunden_26!B:I,8,0)</f>
        <v>0</v>
      </c>
      <c r="F435" s="2">
        <f t="shared" si="6"/>
        <v>4.5</v>
      </c>
    </row>
    <row r="436" spans="1:1024">
      <c r="A436" s="10" t="s">
        <v>440</v>
      </c>
      <c r="B436" s="10">
        <v>910059</v>
      </c>
      <c r="D436" s="1">
        <v>0</v>
      </c>
      <c r="E436" s="8">
        <f>VLOOKUP(B436,Gesamtstunden_26!B:I,8,0)</f>
        <v>1.5</v>
      </c>
      <c r="F436" s="2">
        <f t="shared" si="6"/>
        <v>-1.5</v>
      </c>
    </row>
    <row r="437" spans="1:1024">
      <c r="A437" s="8" t="s">
        <v>441</v>
      </c>
      <c r="B437" s="8">
        <v>186453</v>
      </c>
      <c r="D437" s="1">
        <v>14.34</v>
      </c>
      <c r="E437" s="8">
        <f>VLOOKUP(B437,Gesamtstunden_26!B:I,8,0)</f>
        <v>0</v>
      </c>
      <c r="F437" s="2">
        <f t="shared" si="6"/>
        <v>14.34</v>
      </c>
    </row>
    <row r="438" spans="1:1024">
      <c r="A438" s="16" t="s">
        <v>442</v>
      </c>
      <c r="B438" s="16">
        <v>477040</v>
      </c>
      <c r="D438" s="1">
        <v>0</v>
      </c>
      <c r="E438" s="8">
        <f>VLOOKUP(B438,Gesamtstunden_26!B:I,8,0)</f>
        <v>0.33333333333333331</v>
      </c>
      <c r="F438" s="2">
        <f t="shared" si="6"/>
        <v>-0.33333333333333331</v>
      </c>
    </row>
    <row r="439" spans="1:1024">
      <c r="A439" s="8" t="s">
        <v>443</v>
      </c>
      <c r="B439" s="8">
        <v>503370</v>
      </c>
      <c r="D439" s="1">
        <v>11</v>
      </c>
      <c r="E439" s="8">
        <f>VLOOKUP(B439,Gesamtstunden_26!B:I,8,0)</f>
        <v>0</v>
      </c>
      <c r="F439" s="2">
        <f t="shared" si="6"/>
        <v>11</v>
      </c>
    </row>
    <row r="440" spans="1:1024">
      <c r="A440" s="10" t="s">
        <v>444</v>
      </c>
      <c r="B440" s="10">
        <v>682082</v>
      </c>
      <c r="D440" s="1">
        <v>0</v>
      </c>
      <c r="E440" s="8">
        <f>VLOOKUP(B440,Gesamtstunden_26!B:I,8,0)</f>
        <v>1.1666666666666665</v>
      </c>
      <c r="F440" s="2">
        <f t="shared" si="6"/>
        <v>-1.1666666666666665</v>
      </c>
    </row>
    <row r="441" spans="1:1024" s="11" customFormat="1">
      <c r="A441" s="8" t="s">
        <v>445</v>
      </c>
      <c r="B441" s="8">
        <v>124349</v>
      </c>
      <c r="C441"/>
      <c r="D441" s="1">
        <v>10.67</v>
      </c>
      <c r="E441" s="8">
        <f>VLOOKUP(B441,Gesamtstunden_26!B:I,8,0)</f>
        <v>0</v>
      </c>
      <c r="F441" s="2">
        <f t="shared" si="6"/>
        <v>10.67</v>
      </c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  <c r="CJ441"/>
      <c r="CK441"/>
      <c r="CL441"/>
      <c r="CM441"/>
      <c r="CN441"/>
      <c r="CO441"/>
      <c r="CP441"/>
      <c r="CQ441"/>
      <c r="CR441"/>
      <c r="CS441"/>
      <c r="CT441"/>
      <c r="CU441"/>
      <c r="CV441"/>
      <c r="CW441"/>
      <c r="CX441"/>
      <c r="CY441"/>
      <c r="CZ441"/>
      <c r="DA441"/>
      <c r="DB441"/>
      <c r="DC441"/>
      <c r="DD441"/>
      <c r="DE441"/>
      <c r="DF441"/>
      <c r="DG441"/>
      <c r="DH441"/>
      <c r="DI441"/>
      <c r="DJ441"/>
      <c r="DK441"/>
      <c r="DL441"/>
      <c r="DM441"/>
      <c r="DN441"/>
      <c r="DO441"/>
      <c r="DP441"/>
      <c r="DQ441"/>
      <c r="DR441"/>
      <c r="DS441"/>
      <c r="DT441"/>
      <c r="DU441"/>
      <c r="DV441"/>
      <c r="DW441"/>
      <c r="DX441"/>
      <c r="DY441"/>
      <c r="DZ441"/>
      <c r="EA441"/>
      <c r="EB441"/>
      <c r="EC441"/>
      <c r="ED441"/>
      <c r="EE441"/>
      <c r="EF441"/>
      <c r="EG441"/>
      <c r="EH441"/>
      <c r="EI441"/>
      <c r="EJ441"/>
      <c r="EK441"/>
      <c r="EL441"/>
      <c r="EM441"/>
      <c r="EN441"/>
      <c r="EO441"/>
      <c r="EP441"/>
      <c r="EQ441"/>
      <c r="ER441"/>
      <c r="ES441"/>
      <c r="ET441"/>
      <c r="EU441"/>
      <c r="EV441"/>
      <c r="EW441"/>
      <c r="EX441"/>
      <c r="EY441"/>
      <c r="EZ441"/>
      <c r="FA441"/>
      <c r="FB441"/>
      <c r="FC441"/>
      <c r="FD441"/>
      <c r="FE441"/>
      <c r="FF441"/>
      <c r="FG441"/>
      <c r="FH441"/>
      <c r="FI441"/>
      <c r="FJ441"/>
      <c r="FK441"/>
      <c r="FL441"/>
      <c r="FM441"/>
      <c r="FN441"/>
      <c r="FO441"/>
      <c r="FP441"/>
      <c r="FQ441"/>
      <c r="FR441"/>
      <c r="FS441"/>
      <c r="FT441"/>
      <c r="FU441"/>
      <c r="FV441"/>
      <c r="FW441"/>
      <c r="FX441"/>
      <c r="FY441"/>
      <c r="FZ441"/>
      <c r="GA441"/>
      <c r="GB441"/>
      <c r="GC441"/>
      <c r="GD441"/>
      <c r="GE441"/>
      <c r="GF441"/>
      <c r="GG441"/>
      <c r="GH441"/>
      <c r="GI441"/>
      <c r="GJ441"/>
      <c r="GK441"/>
      <c r="GL441"/>
      <c r="GM441"/>
      <c r="GN441"/>
      <c r="GO441"/>
      <c r="GP441"/>
      <c r="GQ441"/>
      <c r="GR441"/>
      <c r="GS441"/>
      <c r="GT441"/>
      <c r="GU441"/>
      <c r="GV441"/>
      <c r="GW441"/>
      <c r="GX441"/>
      <c r="GY441"/>
      <c r="GZ441"/>
      <c r="HA441"/>
      <c r="HB441"/>
      <c r="HC441"/>
      <c r="HD441"/>
      <c r="HE441"/>
      <c r="HF441"/>
      <c r="HG441"/>
      <c r="HH441"/>
      <c r="HI441"/>
      <c r="HJ441"/>
      <c r="HK441"/>
      <c r="HL441"/>
      <c r="HM441"/>
      <c r="HN441"/>
      <c r="HO441"/>
      <c r="HP441"/>
      <c r="HQ441"/>
      <c r="HR441"/>
      <c r="HS441"/>
      <c r="HT441"/>
      <c r="HU441"/>
      <c r="HV441"/>
      <c r="HW441"/>
      <c r="HX441"/>
      <c r="HY441"/>
      <c r="HZ441"/>
      <c r="IA441"/>
      <c r="IB441"/>
      <c r="IC441"/>
      <c r="ID441"/>
      <c r="IE441"/>
      <c r="IF441"/>
      <c r="IG441"/>
      <c r="IH441"/>
      <c r="II441"/>
      <c r="IJ441"/>
      <c r="IK441"/>
      <c r="IL441"/>
      <c r="IM441"/>
      <c r="IN441"/>
      <c r="IO441"/>
      <c r="IP441"/>
      <c r="IQ441"/>
      <c r="IR441"/>
      <c r="IS441"/>
      <c r="IT441"/>
      <c r="IU441"/>
      <c r="IV441"/>
      <c r="IW441"/>
      <c r="IX441"/>
      <c r="IY441"/>
      <c r="IZ441"/>
      <c r="JA441"/>
      <c r="JB441"/>
      <c r="JC441"/>
      <c r="JD441"/>
      <c r="JE441"/>
      <c r="JF441"/>
      <c r="JG441"/>
      <c r="JH441"/>
      <c r="JI441"/>
      <c r="JJ441"/>
      <c r="JK441"/>
      <c r="JL441"/>
      <c r="JM441"/>
      <c r="JN441"/>
      <c r="JO441"/>
      <c r="JP441"/>
      <c r="JQ441"/>
      <c r="JR441"/>
      <c r="JS441"/>
      <c r="JT441"/>
      <c r="JU441"/>
      <c r="JV441"/>
      <c r="JW441"/>
      <c r="JX441"/>
      <c r="JY441"/>
      <c r="JZ441"/>
      <c r="KA441"/>
      <c r="KB441"/>
      <c r="KC441"/>
      <c r="KD441"/>
      <c r="KE441"/>
      <c r="KF441"/>
      <c r="KG441"/>
      <c r="KH441"/>
      <c r="KI441"/>
      <c r="KJ441"/>
      <c r="KK441"/>
      <c r="KL441"/>
      <c r="KM441"/>
      <c r="KN441"/>
      <c r="KO441"/>
      <c r="KP441"/>
      <c r="KQ441"/>
      <c r="KR441"/>
      <c r="KS441"/>
      <c r="KT441"/>
      <c r="KU441"/>
      <c r="KV441"/>
      <c r="KW441"/>
      <c r="KX441"/>
      <c r="KY441"/>
      <c r="KZ441"/>
      <c r="LA441"/>
      <c r="LB441"/>
      <c r="LC441"/>
      <c r="LD441"/>
      <c r="LE441"/>
      <c r="LF441"/>
      <c r="LG441"/>
      <c r="LH441"/>
      <c r="LI441"/>
      <c r="LJ441"/>
      <c r="LK441"/>
      <c r="LL441"/>
      <c r="LM441"/>
      <c r="LN441"/>
      <c r="LO441"/>
      <c r="LP441"/>
      <c r="LQ441"/>
      <c r="LR441"/>
      <c r="LS441"/>
      <c r="LT441"/>
      <c r="LU441"/>
      <c r="LV441"/>
      <c r="LW441"/>
      <c r="LX441"/>
      <c r="LY441"/>
      <c r="LZ441"/>
      <c r="MA441"/>
      <c r="MB441"/>
      <c r="MC441"/>
      <c r="MD441"/>
      <c r="ME441"/>
      <c r="MF441"/>
      <c r="MG441"/>
      <c r="MH441"/>
      <c r="MI441"/>
      <c r="MJ441"/>
      <c r="MK441"/>
      <c r="ML441"/>
      <c r="MM441"/>
      <c r="MN441"/>
      <c r="MO441"/>
      <c r="MP441"/>
      <c r="MQ441"/>
      <c r="MR441"/>
      <c r="MS441"/>
      <c r="MT441"/>
      <c r="MU441"/>
      <c r="MV441"/>
      <c r="MW441"/>
      <c r="MX441"/>
      <c r="MY441"/>
      <c r="MZ441"/>
      <c r="NA441"/>
      <c r="NB441"/>
      <c r="NC441"/>
      <c r="ND441"/>
      <c r="NE441"/>
      <c r="NF441"/>
      <c r="NG441"/>
      <c r="NH441"/>
      <c r="NI441"/>
      <c r="NJ441"/>
      <c r="NK441"/>
      <c r="NL441"/>
      <c r="NM441"/>
      <c r="NN441"/>
      <c r="NO441"/>
      <c r="NP441"/>
      <c r="NQ441"/>
      <c r="NR441"/>
      <c r="NS441"/>
      <c r="NT441"/>
      <c r="NU441"/>
      <c r="NV441"/>
      <c r="NW441"/>
      <c r="NX441"/>
      <c r="NY441"/>
      <c r="NZ441"/>
      <c r="OA441"/>
      <c r="OB441"/>
      <c r="OC441"/>
      <c r="OD441"/>
      <c r="OE441"/>
      <c r="OF441"/>
      <c r="OG441"/>
      <c r="OH441"/>
      <c r="OI441"/>
      <c r="OJ441"/>
      <c r="OK441"/>
      <c r="OL441"/>
      <c r="OM441"/>
      <c r="ON441"/>
      <c r="OO441"/>
      <c r="OP441"/>
      <c r="OQ441"/>
      <c r="OR441"/>
      <c r="OS441"/>
      <c r="OT441"/>
      <c r="OU441"/>
      <c r="OV441"/>
      <c r="OW441"/>
      <c r="OX441"/>
      <c r="OY441"/>
      <c r="OZ441"/>
      <c r="PA441"/>
      <c r="PB441"/>
      <c r="PC441"/>
      <c r="PD441"/>
      <c r="PE441"/>
      <c r="PF441"/>
      <c r="PG441"/>
      <c r="PH441"/>
      <c r="PI441"/>
      <c r="PJ441"/>
      <c r="PK441"/>
      <c r="PL441"/>
      <c r="PM441"/>
      <c r="PN441"/>
      <c r="PO441"/>
      <c r="PP441"/>
      <c r="PQ441"/>
      <c r="PR441"/>
      <c r="PS441"/>
      <c r="PT441"/>
      <c r="PU441"/>
      <c r="PV441"/>
      <c r="PW441"/>
      <c r="PX441"/>
      <c r="PY441"/>
      <c r="PZ441"/>
      <c r="QA441"/>
      <c r="QB441"/>
      <c r="QC441"/>
      <c r="QD441"/>
      <c r="QE441"/>
      <c r="QF441"/>
      <c r="QG441"/>
      <c r="QH441"/>
      <c r="QI441"/>
      <c r="QJ441"/>
      <c r="QK441"/>
      <c r="QL441"/>
      <c r="QM441"/>
      <c r="QN441"/>
      <c r="QO441"/>
      <c r="QP441"/>
      <c r="QQ441"/>
      <c r="QR441"/>
      <c r="QS441"/>
      <c r="QT441"/>
      <c r="QU441"/>
      <c r="QV441"/>
      <c r="QW441"/>
      <c r="QX441"/>
      <c r="QY441"/>
      <c r="QZ441"/>
      <c r="RA441"/>
      <c r="RB441"/>
      <c r="RC441"/>
      <c r="RD441"/>
      <c r="RE441"/>
      <c r="RF441"/>
      <c r="RG441"/>
      <c r="RH441"/>
      <c r="RI441"/>
      <c r="RJ441"/>
      <c r="RK441"/>
      <c r="RL441"/>
      <c r="RM441"/>
      <c r="RN441"/>
      <c r="RO441"/>
      <c r="RP441"/>
      <c r="RQ441"/>
      <c r="RR441"/>
      <c r="RS441"/>
      <c r="RT441"/>
      <c r="RU441"/>
      <c r="RV441"/>
      <c r="RW441"/>
      <c r="RX441"/>
      <c r="RY441"/>
      <c r="RZ441"/>
      <c r="SA441"/>
      <c r="SB441"/>
      <c r="SC441"/>
      <c r="SD441"/>
      <c r="SE441"/>
      <c r="SF441"/>
      <c r="SG441"/>
      <c r="SH441"/>
      <c r="SI441"/>
      <c r="SJ441"/>
      <c r="SK441"/>
      <c r="SL441"/>
      <c r="SM441"/>
      <c r="SN441"/>
      <c r="SO441"/>
      <c r="SP441"/>
      <c r="SQ441"/>
      <c r="SR441"/>
      <c r="SS441"/>
      <c r="ST441"/>
      <c r="SU441"/>
      <c r="SV441"/>
      <c r="SW441"/>
      <c r="SX441"/>
      <c r="SY441"/>
      <c r="SZ441"/>
      <c r="TA441"/>
      <c r="TB441"/>
      <c r="TC441"/>
      <c r="TD441"/>
      <c r="TE441"/>
      <c r="TF441"/>
      <c r="TG441"/>
      <c r="TH441"/>
      <c r="TI441"/>
      <c r="TJ441"/>
      <c r="TK441"/>
      <c r="TL441"/>
      <c r="TM441"/>
      <c r="TN441"/>
      <c r="TO441"/>
      <c r="TP441"/>
      <c r="TQ441"/>
      <c r="TR441"/>
      <c r="TS441"/>
      <c r="TT441"/>
      <c r="TU441"/>
      <c r="TV441"/>
      <c r="TW441"/>
      <c r="TX441"/>
      <c r="TY441"/>
      <c r="TZ441"/>
      <c r="UA441"/>
      <c r="UB441"/>
      <c r="UC441"/>
      <c r="UD441"/>
      <c r="UE441"/>
      <c r="UF441"/>
      <c r="UG441"/>
      <c r="UH441"/>
      <c r="UI441"/>
      <c r="UJ441"/>
      <c r="UK441"/>
      <c r="UL441"/>
      <c r="UM441"/>
      <c r="UN441"/>
      <c r="UO441"/>
      <c r="UP441"/>
      <c r="UQ441"/>
      <c r="UR441"/>
      <c r="US441"/>
      <c r="UT441"/>
      <c r="UU441"/>
      <c r="UV441"/>
      <c r="UW441"/>
      <c r="UX441"/>
      <c r="UY441"/>
      <c r="UZ441"/>
      <c r="VA441"/>
      <c r="VB441"/>
      <c r="VC441"/>
      <c r="VD441"/>
      <c r="VE441"/>
      <c r="VF441"/>
      <c r="VG441"/>
      <c r="VH441"/>
      <c r="VI441"/>
      <c r="VJ441"/>
      <c r="VK441"/>
      <c r="VL441"/>
      <c r="VM441"/>
      <c r="VN441"/>
      <c r="VO441"/>
      <c r="VP441"/>
      <c r="VQ441"/>
      <c r="VR441"/>
      <c r="VS441"/>
      <c r="VT441"/>
      <c r="VU441"/>
      <c r="VV441"/>
      <c r="VW441"/>
      <c r="VX441"/>
      <c r="VY441"/>
      <c r="VZ441"/>
      <c r="WA441"/>
      <c r="WB441"/>
      <c r="WC441"/>
      <c r="WD441"/>
      <c r="WE441"/>
      <c r="WF441"/>
      <c r="WG441"/>
      <c r="WH441"/>
      <c r="WI441"/>
      <c r="WJ441"/>
      <c r="WK441"/>
      <c r="WL441"/>
      <c r="WM441"/>
      <c r="WN441"/>
      <c r="WO441"/>
      <c r="WP441"/>
      <c r="WQ441"/>
      <c r="WR441"/>
      <c r="WS441"/>
      <c r="WT441"/>
      <c r="WU441"/>
      <c r="WV441"/>
      <c r="WW441"/>
      <c r="WX441"/>
      <c r="WY441"/>
      <c r="WZ441"/>
      <c r="XA441"/>
      <c r="XB441"/>
      <c r="XC441"/>
      <c r="XD441"/>
      <c r="XE441"/>
      <c r="XF441"/>
      <c r="XG441"/>
      <c r="XH441"/>
      <c r="XI441"/>
      <c r="XJ441"/>
      <c r="XK441"/>
      <c r="XL441"/>
      <c r="XM441"/>
      <c r="XN441"/>
      <c r="XO441"/>
      <c r="XP441"/>
      <c r="XQ441"/>
      <c r="XR441"/>
      <c r="XS441"/>
      <c r="XT441"/>
      <c r="XU441"/>
      <c r="XV441"/>
      <c r="XW441"/>
      <c r="XX441"/>
      <c r="XY441"/>
      <c r="XZ441"/>
      <c r="YA441"/>
      <c r="YB441"/>
      <c r="YC441"/>
      <c r="YD441"/>
      <c r="YE441"/>
      <c r="YF441"/>
      <c r="YG441"/>
      <c r="YH441"/>
      <c r="YI441"/>
      <c r="YJ441"/>
      <c r="YK441"/>
      <c r="YL441"/>
      <c r="YM441"/>
      <c r="YN441"/>
      <c r="YO441"/>
      <c r="YP441"/>
      <c r="YQ441"/>
      <c r="YR441"/>
      <c r="YS441"/>
      <c r="YT441"/>
      <c r="YU441"/>
      <c r="YV441"/>
      <c r="YW441"/>
      <c r="YX441"/>
      <c r="YY441"/>
      <c r="YZ441"/>
      <c r="ZA441"/>
      <c r="ZB441"/>
      <c r="ZC441"/>
      <c r="ZD441"/>
      <c r="ZE441"/>
      <c r="ZF441"/>
      <c r="ZG441"/>
      <c r="ZH441"/>
      <c r="ZI441"/>
      <c r="ZJ441"/>
      <c r="ZK441"/>
      <c r="ZL441"/>
      <c r="ZM441"/>
      <c r="ZN441"/>
      <c r="ZO441"/>
      <c r="ZP441"/>
      <c r="ZQ441"/>
      <c r="ZR441"/>
      <c r="ZS441"/>
      <c r="ZT441"/>
      <c r="ZU441"/>
      <c r="ZV441"/>
      <c r="ZW441"/>
      <c r="ZX441"/>
      <c r="ZY441"/>
      <c r="ZZ441"/>
      <c r="AAA441"/>
      <c r="AAB441"/>
      <c r="AAC441"/>
      <c r="AAD441"/>
      <c r="AAE441"/>
      <c r="AAF441"/>
      <c r="AAG441"/>
      <c r="AAH441"/>
      <c r="AAI441"/>
      <c r="AAJ441"/>
      <c r="AAK441"/>
      <c r="AAL441"/>
      <c r="AAM441"/>
      <c r="AAN441"/>
      <c r="AAO441"/>
      <c r="AAP441"/>
      <c r="AAQ441"/>
      <c r="AAR441"/>
      <c r="AAS441"/>
      <c r="AAT441"/>
      <c r="AAU441"/>
      <c r="AAV441"/>
      <c r="AAW441"/>
      <c r="AAX441"/>
      <c r="AAY441"/>
      <c r="AAZ441"/>
      <c r="ABA441"/>
      <c r="ABB441"/>
      <c r="ABC441"/>
      <c r="ABD441"/>
      <c r="ABE441"/>
      <c r="ABF441"/>
      <c r="ABG441"/>
      <c r="ABH441"/>
      <c r="ABI441"/>
      <c r="ABJ441"/>
      <c r="ABK441"/>
      <c r="ABL441"/>
      <c r="ABM441"/>
      <c r="ABN441"/>
      <c r="ABO441"/>
      <c r="ABP441"/>
      <c r="ABQ441"/>
      <c r="ABR441"/>
      <c r="ABS441"/>
      <c r="ABT441"/>
      <c r="ABU441"/>
      <c r="ABV441"/>
      <c r="ABW441"/>
      <c r="ABX441"/>
      <c r="ABY441"/>
      <c r="ABZ441"/>
      <c r="ACA441"/>
      <c r="ACB441"/>
      <c r="ACC441"/>
      <c r="ACD441"/>
      <c r="ACE441"/>
      <c r="ACF441"/>
      <c r="ACG441"/>
      <c r="ACH441"/>
      <c r="ACI441"/>
      <c r="ACJ441"/>
      <c r="ACK441"/>
      <c r="ACL441"/>
      <c r="ACM441"/>
      <c r="ACN441"/>
      <c r="ACO441"/>
      <c r="ACP441"/>
      <c r="ACQ441"/>
      <c r="ACR441"/>
      <c r="ACS441"/>
      <c r="ACT441"/>
      <c r="ACU441"/>
      <c r="ACV441"/>
      <c r="ACW441"/>
      <c r="ACX441"/>
      <c r="ACY441"/>
      <c r="ACZ441"/>
      <c r="ADA441"/>
      <c r="ADB441"/>
      <c r="ADC441"/>
      <c r="ADD441"/>
      <c r="ADE441"/>
      <c r="ADF441"/>
      <c r="ADG441"/>
      <c r="ADH441"/>
      <c r="ADI441"/>
      <c r="ADJ441"/>
      <c r="ADK441"/>
      <c r="ADL441"/>
      <c r="ADM441"/>
      <c r="ADN441"/>
      <c r="ADO441"/>
      <c r="ADP441"/>
      <c r="ADQ441"/>
      <c r="ADR441"/>
      <c r="ADS441"/>
      <c r="ADT441"/>
      <c r="ADU441"/>
      <c r="ADV441"/>
      <c r="ADW441"/>
      <c r="ADX441"/>
      <c r="ADY441"/>
      <c r="ADZ441"/>
      <c r="AEA441"/>
      <c r="AEB441"/>
      <c r="AEC441"/>
      <c r="AED441"/>
      <c r="AEE441"/>
      <c r="AEF441"/>
      <c r="AEG441"/>
      <c r="AEH441"/>
      <c r="AEI441"/>
      <c r="AEJ441"/>
      <c r="AEK441"/>
      <c r="AEL441"/>
      <c r="AEM441"/>
      <c r="AEN441"/>
      <c r="AEO441"/>
      <c r="AEP441"/>
      <c r="AEQ441"/>
      <c r="AER441"/>
      <c r="AES441"/>
      <c r="AET441"/>
      <c r="AEU441"/>
      <c r="AEV441"/>
      <c r="AEW441"/>
      <c r="AEX441"/>
      <c r="AEY441"/>
      <c r="AEZ441"/>
      <c r="AFA441"/>
      <c r="AFB441"/>
      <c r="AFC441"/>
      <c r="AFD441"/>
      <c r="AFE441"/>
      <c r="AFF441"/>
      <c r="AFG441"/>
      <c r="AFH441"/>
      <c r="AFI441"/>
      <c r="AFJ441"/>
      <c r="AFK441"/>
      <c r="AFL441"/>
      <c r="AFM441"/>
      <c r="AFN441"/>
      <c r="AFO441"/>
      <c r="AFP441"/>
      <c r="AFQ441"/>
      <c r="AFR441"/>
      <c r="AFS441"/>
      <c r="AFT441"/>
      <c r="AFU441"/>
      <c r="AFV441"/>
      <c r="AFW441"/>
      <c r="AFX441"/>
      <c r="AFY441"/>
      <c r="AFZ441"/>
      <c r="AGA441"/>
      <c r="AGB441"/>
      <c r="AGC441"/>
      <c r="AGD441"/>
      <c r="AGE441"/>
      <c r="AGF441"/>
      <c r="AGG441"/>
      <c r="AGH441"/>
      <c r="AGI441"/>
      <c r="AGJ441"/>
      <c r="AGK441"/>
      <c r="AGL441"/>
      <c r="AGM441"/>
      <c r="AGN441"/>
      <c r="AGO441"/>
      <c r="AGP441"/>
      <c r="AGQ441"/>
      <c r="AGR441"/>
      <c r="AGS441"/>
      <c r="AGT441"/>
      <c r="AGU441"/>
      <c r="AGV441"/>
      <c r="AGW441"/>
      <c r="AGX441"/>
      <c r="AGY441"/>
      <c r="AGZ441"/>
      <c r="AHA441"/>
      <c r="AHB441"/>
      <c r="AHC441"/>
      <c r="AHD441"/>
      <c r="AHE441"/>
      <c r="AHF441"/>
      <c r="AHG441"/>
      <c r="AHH441"/>
      <c r="AHI441"/>
      <c r="AHJ441"/>
      <c r="AHK441"/>
      <c r="AHL441"/>
      <c r="AHM441"/>
      <c r="AHN441"/>
      <c r="AHO441"/>
      <c r="AHP441"/>
      <c r="AHQ441"/>
      <c r="AHR441"/>
      <c r="AHS441"/>
      <c r="AHT441"/>
      <c r="AHU441"/>
      <c r="AHV441"/>
      <c r="AHW441"/>
      <c r="AHX441"/>
      <c r="AHY441"/>
      <c r="AHZ441"/>
      <c r="AIA441"/>
      <c r="AIB441"/>
      <c r="AIC441"/>
      <c r="AID441"/>
      <c r="AIE441"/>
      <c r="AIF441"/>
      <c r="AIG441"/>
      <c r="AIH441"/>
      <c r="AII441"/>
      <c r="AIJ441"/>
      <c r="AIK441"/>
      <c r="AIL441"/>
      <c r="AIM441"/>
      <c r="AIN441"/>
      <c r="AIO441"/>
      <c r="AIP441"/>
      <c r="AIQ441"/>
      <c r="AIR441"/>
      <c r="AIS441"/>
      <c r="AIT441"/>
      <c r="AIU441"/>
      <c r="AIV441"/>
      <c r="AIW441"/>
      <c r="AIX441"/>
      <c r="AIY441"/>
      <c r="AIZ441"/>
      <c r="AJA441"/>
      <c r="AJB441"/>
      <c r="AJC441"/>
      <c r="AJD441"/>
      <c r="AJE441"/>
      <c r="AJF441"/>
      <c r="AJG441"/>
      <c r="AJH441"/>
      <c r="AJI441"/>
      <c r="AJJ441"/>
      <c r="AJK441"/>
      <c r="AJL441"/>
      <c r="AJM441"/>
      <c r="AJN441"/>
      <c r="AJO441"/>
      <c r="AJP441"/>
      <c r="AJQ441"/>
      <c r="AJR441"/>
      <c r="AJS441"/>
      <c r="AJT441"/>
      <c r="AJU441"/>
      <c r="AJV441"/>
      <c r="AJW441"/>
      <c r="AJX441"/>
      <c r="AJY441"/>
      <c r="AJZ441"/>
      <c r="AKA441"/>
      <c r="AKB441"/>
      <c r="AKC441"/>
      <c r="AKD441"/>
      <c r="AKE441"/>
      <c r="AKF441"/>
      <c r="AKG441"/>
      <c r="AKH441"/>
      <c r="AKI441"/>
      <c r="AKJ441"/>
      <c r="AKK441"/>
      <c r="AKL441"/>
      <c r="AKM441"/>
      <c r="AKN441"/>
      <c r="AKO441"/>
      <c r="AKP441"/>
      <c r="AKQ441"/>
      <c r="AKR441"/>
      <c r="AKS441"/>
      <c r="AKT441"/>
      <c r="AKU441"/>
      <c r="AKV441"/>
      <c r="AKW441"/>
      <c r="AKX441"/>
      <c r="AKY441"/>
      <c r="AKZ441"/>
      <c r="ALA441"/>
      <c r="ALB441"/>
      <c r="ALC441"/>
      <c r="ALD441"/>
      <c r="ALE441"/>
      <c r="ALF441"/>
      <c r="ALG441"/>
      <c r="ALH441"/>
      <c r="ALI441"/>
      <c r="ALJ441"/>
      <c r="ALK441"/>
      <c r="ALL441"/>
      <c r="ALM441"/>
      <c r="ALN441"/>
      <c r="ALO441"/>
      <c r="ALP441"/>
      <c r="ALQ441"/>
      <c r="ALR441"/>
      <c r="ALS441"/>
      <c r="ALT441"/>
      <c r="ALU441"/>
      <c r="ALV441"/>
      <c r="ALW441"/>
      <c r="ALX441"/>
      <c r="ALY441"/>
      <c r="ALZ441"/>
      <c r="AMA441"/>
      <c r="AMB441"/>
      <c r="AMC441"/>
      <c r="AMD441"/>
      <c r="AME441"/>
      <c r="AMF441"/>
      <c r="AMG441"/>
      <c r="AMH441"/>
      <c r="AMI441"/>
      <c r="AMJ441"/>
    </row>
    <row r="442" spans="1:1024">
      <c r="A442" s="7" t="s">
        <v>446</v>
      </c>
      <c r="B442" s="7">
        <v>63772</v>
      </c>
      <c r="C442" s="11"/>
      <c r="D442" s="12">
        <v>0</v>
      </c>
      <c r="E442" s="7">
        <f>VLOOKUP(B442,Gesamtstunden_26!B:I,8,0)</f>
        <v>1</v>
      </c>
      <c r="F442" s="13">
        <f t="shared" si="6"/>
        <v>-1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  <c r="BD442" s="11"/>
      <c r="BE442" s="11"/>
      <c r="BF442" s="11"/>
      <c r="BG442" s="11"/>
      <c r="BH442" s="11"/>
      <c r="BI442" s="11"/>
      <c r="BJ442" s="11"/>
      <c r="BK442" s="11"/>
      <c r="BL442" s="11"/>
      <c r="BM442" s="11"/>
      <c r="BN442" s="11"/>
      <c r="BO442" s="11"/>
      <c r="BP442" s="11"/>
      <c r="BQ442" s="11"/>
      <c r="BR442" s="11"/>
      <c r="BS442" s="11"/>
      <c r="BT442" s="11"/>
      <c r="BU442" s="11"/>
      <c r="BV442" s="11"/>
      <c r="BW442" s="11"/>
      <c r="BX442" s="11"/>
      <c r="BY442" s="11"/>
      <c r="BZ442" s="11"/>
      <c r="CA442" s="11"/>
      <c r="CB442" s="11"/>
      <c r="CC442" s="11"/>
      <c r="CD442" s="11"/>
      <c r="CE442" s="11"/>
      <c r="CF442" s="11"/>
      <c r="CG442" s="11"/>
      <c r="CH442" s="11"/>
      <c r="CI442" s="11"/>
      <c r="CJ442" s="11"/>
      <c r="CK442" s="11"/>
      <c r="CL442" s="11"/>
      <c r="CM442" s="11"/>
      <c r="CN442" s="11"/>
      <c r="CO442" s="11"/>
      <c r="CP442" s="11"/>
      <c r="CQ442" s="11"/>
      <c r="CR442" s="11"/>
      <c r="CS442" s="11"/>
      <c r="CT442" s="11"/>
      <c r="CU442" s="11"/>
      <c r="CV442" s="11"/>
      <c r="CW442" s="11"/>
      <c r="CX442" s="11"/>
      <c r="CY442" s="11"/>
      <c r="CZ442" s="11"/>
      <c r="DA442" s="11"/>
      <c r="DB442" s="11"/>
      <c r="DC442" s="11"/>
      <c r="DD442" s="11"/>
      <c r="DE442" s="11"/>
      <c r="DF442" s="11"/>
      <c r="DG442" s="11"/>
      <c r="DH442" s="11"/>
      <c r="DI442" s="11"/>
      <c r="DJ442" s="11"/>
      <c r="DK442" s="11"/>
      <c r="DL442" s="11"/>
      <c r="DM442" s="11"/>
      <c r="DN442" s="11"/>
      <c r="DO442" s="11"/>
      <c r="DP442" s="11"/>
      <c r="DQ442" s="11"/>
      <c r="DR442" s="11"/>
      <c r="DS442" s="11"/>
      <c r="DT442" s="11"/>
      <c r="DU442" s="11"/>
      <c r="DV442" s="11"/>
      <c r="DW442" s="11"/>
      <c r="DX442" s="11"/>
      <c r="DY442" s="11"/>
      <c r="DZ442" s="11"/>
      <c r="EA442" s="11"/>
      <c r="EB442" s="11"/>
      <c r="EC442" s="11"/>
      <c r="ED442" s="11"/>
      <c r="EE442" s="11"/>
      <c r="EF442" s="11"/>
      <c r="EG442" s="11"/>
      <c r="EH442" s="11"/>
      <c r="EI442" s="11"/>
      <c r="EJ442" s="11"/>
      <c r="EK442" s="11"/>
      <c r="EL442" s="11"/>
      <c r="EM442" s="11"/>
      <c r="EN442" s="11"/>
      <c r="EO442" s="11"/>
      <c r="EP442" s="11"/>
      <c r="EQ442" s="11"/>
      <c r="ER442" s="11"/>
      <c r="ES442" s="11"/>
      <c r="ET442" s="11"/>
      <c r="EU442" s="11"/>
      <c r="EV442" s="11"/>
      <c r="EW442" s="11"/>
      <c r="EX442" s="11"/>
      <c r="EY442" s="11"/>
      <c r="EZ442" s="11"/>
      <c r="FA442" s="11"/>
      <c r="FB442" s="11"/>
      <c r="FC442" s="11"/>
      <c r="FD442" s="11"/>
      <c r="FE442" s="11"/>
      <c r="FF442" s="11"/>
      <c r="FG442" s="11"/>
      <c r="FH442" s="11"/>
      <c r="FI442" s="11"/>
      <c r="FJ442" s="11"/>
      <c r="FK442" s="11"/>
      <c r="FL442" s="11"/>
      <c r="FM442" s="11"/>
      <c r="FN442" s="11"/>
      <c r="FO442" s="11"/>
      <c r="FP442" s="11"/>
      <c r="FQ442" s="11"/>
      <c r="FR442" s="11"/>
      <c r="FS442" s="11"/>
      <c r="FT442" s="11"/>
      <c r="FU442" s="11"/>
      <c r="FV442" s="11"/>
      <c r="FW442" s="11"/>
      <c r="FX442" s="11"/>
      <c r="FY442" s="11"/>
      <c r="FZ442" s="11"/>
      <c r="GA442" s="11"/>
      <c r="GB442" s="11"/>
      <c r="GC442" s="11"/>
      <c r="GD442" s="11"/>
      <c r="GE442" s="11"/>
      <c r="GF442" s="11"/>
      <c r="GG442" s="11"/>
      <c r="GH442" s="11"/>
      <c r="GI442" s="11"/>
      <c r="GJ442" s="11"/>
      <c r="GK442" s="11"/>
      <c r="GL442" s="11"/>
      <c r="GM442" s="11"/>
      <c r="GN442" s="11"/>
      <c r="GO442" s="11"/>
      <c r="GP442" s="11"/>
      <c r="GQ442" s="11"/>
      <c r="GR442" s="11"/>
      <c r="GS442" s="11"/>
      <c r="GT442" s="11"/>
      <c r="GU442" s="11"/>
      <c r="GV442" s="11"/>
      <c r="GW442" s="11"/>
      <c r="GX442" s="11"/>
      <c r="GY442" s="11"/>
      <c r="GZ442" s="11"/>
      <c r="HA442" s="11"/>
      <c r="HB442" s="11"/>
      <c r="HC442" s="11"/>
      <c r="HD442" s="11"/>
      <c r="HE442" s="11"/>
      <c r="HF442" s="11"/>
      <c r="HG442" s="11"/>
      <c r="HH442" s="11"/>
      <c r="HI442" s="11"/>
      <c r="HJ442" s="11"/>
      <c r="HK442" s="11"/>
      <c r="HL442" s="11"/>
      <c r="HM442" s="11"/>
      <c r="HN442" s="11"/>
      <c r="HO442" s="11"/>
      <c r="HP442" s="11"/>
      <c r="HQ442" s="11"/>
      <c r="HR442" s="11"/>
      <c r="HS442" s="11"/>
      <c r="HT442" s="11"/>
      <c r="HU442" s="11"/>
      <c r="HV442" s="11"/>
      <c r="HW442" s="11"/>
      <c r="HX442" s="11"/>
      <c r="HY442" s="11"/>
      <c r="HZ442" s="11"/>
      <c r="IA442" s="11"/>
      <c r="IB442" s="11"/>
      <c r="IC442" s="11"/>
      <c r="ID442" s="11"/>
      <c r="IE442" s="11"/>
      <c r="IF442" s="11"/>
      <c r="IG442" s="11"/>
      <c r="IH442" s="11"/>
      <c r="II442" s="11"/>
      <c r="IJ442" s="11"/>
      <c r="IK442" s="11"/>
      <c r="IL442" s="11"/>
      <c r="IM442" s="11"/>
      <c r="IN442" s="11"/>
      <c r="IO442" s="11"/>
      <c r="IP442" s="11"/>
      <c r="IQ442" s="11"/>
      <c r="IR442" s="11"/>
      <c r="IS442" s="11"/>
      <c r="IT442" s="11"/>
      <c r="IU442" s="11"/>
      <c r="IV442" s="11"/>
      <c r="IW442" s="11"/>
      <c r="IX442" s="11"/>
      <c r="IY442" s="11"/>
      <c r="IZ442" s="11"/>
      <c r="JA442" s="11"/>
      <c r="JB442" s="11"/>
      <c r="JC442" s="11"/>
      <c r="JD442" s="11"/>
      <c r="JE442" s="11"/>
      <c r="JF442" s="11"/>
      <c r="JG442" s="11"/>
      <c r="JH442" s="11"/>
      <c r="JI442" s="11"/>
      <c r="JJ442" s="11"/>
      <c r="JK442" s="11"/>
      <c r="JL442" s="11"/>
      <c r="JM442" s="11"/>
      <c r="JN442" s="11"/>
      <c r="JO442" s="11"/>
      <c r="JP442" s="11"/>
      <c r="JQ442" s="11"/>
      <c r="JR442" s="11"/>
      <c r="JS442" s="11"/>
      <c r="JT442" s="11"/>
      <c r="JU442" s="11"/>
      <c r="JV442" s="11"/>
      <c r="JW442" s="11"/>
      <c r="JX442" s="11"/>
      <c r="JY442" s="11"/>
      <c r="JZ442" s="11"/>
      <c r="KA442" s="11"/>
      <c r="KB442" s="11"/>
      <c r="KC442" s="11"/>
      <c r="KD442" s="11"/>
      <c r="KE442" s="11"/>
      <c r="KF442" s="11"/>
      <c r="KG442" s="11"/>
      <c r="KH442" s="11"/>
      <c r="KI442" s="11"/>
      <c r="KJ442" s="11"/>
      <c r="KK442" s="11"/>
      <c r="KL442" s="11"/>
      <c r="KM442" s="11"/>
      <c r="KN442" s="11"/>
      <c r="KO442" s="11"/>
      <c r="KP442" s="11"/>
      <c r="KQ442" s="11"/>
      <c r="KR442" s="11"/>
      <c r="KS442" s="11"/>
      <c r="KT442" s="11"/>
      <c r="KU442" s="11"/>
      <c r="KV442" s="11"/>
      <c r="KW442" s="11"/>
      <c r="KX442" s="11"/>
      <c r="KY442" s="11"/>
      <c r="KZ442" s="11"/>
      <c r="LA442" s="11"/>
      <c r="LB442" s="11"/>
      <c r="LC442" s="11"/>
      <c r="LD442" s="11"/>
      <c r="LE442" s="11"/>
      <c r="LF442" s="11"/>
      <c r="LG442" s="11"/>
      <c r="LH442" s="11"/>
      <c r="LI442" s="11"/>
      <c r="LJ442" s="11"/>
      <c r="LK442" s="11"/>
      <c r="LL442" s="11"/>
      <c r="LM442" s="11"/>
      <c r="LN442" s="11"/>
      <c r="LO442" s="11"/>
      <c r="LP442" s="11"/>
      <c r="LQ442" s="11"/>
      <c r="LR442" s="11"/>
      <c r="LS442" s="11"/>
      <c r="LT442" s="11"/>
      <c r="LU442" s="11"/>
      <c r="LV442" s="11"/>
      <c r="LW442" s="11"/>
      <c r="LX442" s="11"/>
      <c r="LY442" s="11"/>
      <c r="LZ442" s="11"/>
      <c r="MA442" s="11"/>
      <c r="MB442" s="11"/>
      <c r="MC442" s="11"/>
      <c r="MD442" s="11"/>
      <c r="ME442" s="11"/>
      <c r="MF442" s="11"/>
      <c r="MG442" s="11"/>
      <c r="MH442" s="11"/>
      <c r="MI442" s="11"/>
      <c r="MJ442" s="11"/>
      <c r="MK442" s="11"/>
      <c r="ML442" s="11"/>
      <c r="MM442" s="11"/>
      <c r="MN442" s="11"/>
      <c r="MO442" s="11"/>
      <c r="MP442" s="11"/>
      <c r="MQ442" s="11"/>
      <c r="MR442" s="11"/>
      <c r="MS442" s="11"/>
      <c r="MT442" s="11"/>
      <c r="MU442" s="11"/>
      <c r="MV442" s="11"/>
      <c r="MW442" s="11"/>
      <c r="MX442" s="11"/>
      <c r="MY442" s="11"/>
      <c r="MZ442" s="11"/>
      <c r="NA442" s="11"/>
      <c r="NB442" s="11"/>
      <c r="NC442" s="11"/>
      <c r="ND442" s="11"/>
      <c r="NE442" s="11"/>
      <c r="NF442" s="11"/>
      <c r="NG442" s="11"/>
      <c r="NH442" s="11"/>
      <c r="NI442" s="11"/>
      <c r="NJ442" s="11"/>
      <c r="NK442" s="11"/>
      <c r="NL442" s="11"/>
      <c r="NM442" s="11"/>
      <c r="NN442" s="11"/>
      <c r="NO442" s="11"/>
      <c r="NP442" s="11"/>
      <c r="NQ442" s="11"/>
      <c r="NR442" s="11"/>
      <c r="NS442" s="11"/>
      <c r="NT442" s="11"/>
      <c r="NU442" s="11"/>
      <c r="NV442" s="11"/>
      <c r="NW442" s="11"/>
      <c r="NX442" s="11"/>
      <c r="NY442" s="11"/>
      <c r="NZ442" s="11"/>
      <c r="OA442" s="11"/>
      <c r="OB442" s="11"/>
      <c r="OC442" s="11"/>
      <c r="OD442" s="11"/>
      <c r="OE442" s="11"/>
      <c r="OF442" s="11"/>
      <c r="OG442" s="11"/>
      <c r="OH442" s="11"/>
      <c r="OI442" s="11"/>
      <c r="OJ442" s="11"/>
      <c r="OK442" s="11"/>
      <c r="OL442" s="11"/>
      <c r="OM442" s="11"/>
      <c r="ON442" s="11"/>
      <c r="OO442" s="11"/>
      <c r="OP442" s="11"/>
      <c r="OQ442" s="11"/>
      <c r="OR442" s="11"/>
      <c r="OS442" s="11"/>
      <c r="OT442" s="11"/>
      <c r="OU442" s="11"/>
      <c r="OV442" s="11"/>
      <c r="OW442" s="11"/>
      <c r="OX442" s="11"/>
      <c r="OY442" s="11"/>
      <c r="OZ442" s="11"/>
      <c r="PA442" s="11"/>
      <c r="PB442" s="11"/>
      <c r="PC442" s="11"/>
      <c r="PD442" s="11"/>
      <c r="PE442" s="11"/>
      <c r="PF442" s="11"/>
      <c r="PG442" s="11"/>
      <c r="PH442" s="11"/>
      <c r="PI442" s="11"/>
      <c r="PJ442" s="11"/>
      <c r="PK442" s="11"/>
      <c r="PL442" s="11"/>
      <c r="PM442" s="11"/>
      <c r="PN442" s="11"/>
      <c r="PO442" s="11"/>
      <c r="PP442" s="11"/>
      <c r="PQ442" s="11"/>
      <c r="PR442" s="11"/>
      <c r="PS442" s="11"/>
      <c r="PT442" s="11"/>
      <c r="PU442" s="11"/>
      <c r="PV442" s="11"/>
      <c r="PW442" s="11"/>
      <c r="PX442" s="11"/>
      <c r="PY442" s="11"/>
      <c r="PZ442" s="11"/>
      <c r="QA442" s="11"/>
      <c r="QB442" s="11"/>
      <c r="QC442" s="11"/>
      <c r="QD442" s="11"/>
      <c r="QE442" s="11"/>
      <c r="QF442" s="11"/>
      <c r="QG442" s="11"/>
      <c r="QH442" s="11"/>
      <c r="QI442" s="11"/>
      <c r="QJ442" s="11"/>
      <c r="QK442" s="11"/>
      <c r="QL442" s="11"/>
      <c r="QM442" s="11"/>
      <c r="QN442" s="11"/>
      <c r="QO442" s="11"/>
      <c r="QP442" s="11"/>
      <c r="QQ442" s="11"/>
      <c r="QR442" s="11"/>
      <c r="QS442" s="11"/>
      <c r="QT442" s="11"/>
      <c r="QU442" s="11"/>
      <c r="QV442" s="11"/>
      <c r="QW442" s="11"/>
      <c r="QX442" s="11"/>
      <c r="QY442" s="11"/>
      <c r="QZ442" s="11"/>
      <c r="RA442" s="11"/>
      <c r="RB442" s="11"/>
      <c r="RC442" s="11"/>
      <c r="RD442" s="11"/>
      <c r="RE442" s="11"/>
      <c r="RF442" s="11"/>
      <c r="RG442" s="11"/>
      <c r="RH442" s="11"/>
      <c r="RI442" s="11"/>
      <c r="RJ442" s="11"/>
      <c r="RK442" s="11"/>
      <c r="RL442" s="11"/>
      <c r="RM442" s="11"/>
      <c r="RN442" s="11"/>
      <c r="RO442" s="11"/>
      <c r="RP442" s="11"/>
      <c r="RQ442" s="11"/>
      <c r="RR442" s="11"/>
      <c r="RS442" s="11"/>
      <c r="RT442" s="11"/>
      <c r="RU442" s="11"/>
      <c r="RV442" s="11"/>
      <c r="RW442" s="11"/>
      <c r="RX442" s="11"/>
      <c r="RY442" s="11"/>
      <c r="RZ442" s="11"/>
      <c r="SA442" s="11"/>
      <c r="SB442" s="11"/>
      <c r="SC442" s="11"/>
      <c r="SD442" s="11"/>
      <c r="SE442" s="11"/>
      <c r="SF442" s="11"/>
      <c r="SG442" s="11"/>
      <c r="SH442" s="11"/>
      <c r="SI442" s="11"/>
      <c r="SJ442" s="11"/>
      <c r="SK442" s="11"/>
      <c r="SL442" s="11"/>
      <c r="SM442" s="11"/>
      <c r="SN442" s="11"/>
      <c r="SO442" s="11"/>
      <c r="SP442" s="11"/>
      <c r="SQ442" s="11"/>
      <c r="SR442" s="11"/>
      <c r="SS442" s="11"/>
      <c r="ST442" s="11"/>
      <c r="SU442" s="11"/>
      <c r="SV442" s="11"/>
      <c r="SW442" s="11"/>
      <c r="SX442" s="11"/>
      <c r="SY442" s="11"/>
      <c r="SZ442" s="11"/>
      <c r="TA442" s="11"/>
      <c r="TB442" s="11"/>
      <c r="TC442" s="11"/>
      <c r="TD442" s="11"/>
      <c r="TE442" s="11"/>
      <c r="TF442" s="11"/>
      <c r="TG442" s="11"/>
      <c r="TH442" s="11"/>
      <c r="TI442" s="11"/>
      <c r="TJ442" s="11"/>
      <c r="TK442" s="11"/>
      <c r="TL442" s="11"/>
      <c r="TM442" s="11"/>
      <c r="TN442" s="11"/>
      <c r="TO442" s="11"/>
      <c r="TP442" s="11"/>
      <c r="TQ442" s="11"/>
      <c r="TR442" s="11"/>
      <c r="TS442" s="11"/>
      <c r="TT442" s="11"/>
      <c r="TU442" s="11"/>
      <c r="TV442" s="11"/>
      <c r="TW442" s="11"/>
      <c r="TX442" s="11"/>
      <c r="TY442" s="11"/>
      <c r="TZ442" s="11"/>
      <c r="UA442" s="11"/>
      <c r="UB442" s="11"/>
      <c r="UC442" s="11"/>
      <c r="UD442" s="11"/>
      <c r="UE442" s="11"/>
      <c r="UF442" s="11"/>
      <c r="UG442" s="11"/>
      <c r="UH442" s="11"/>
      <c r="UI442" s="11"/>
      <c r="UJ442" s="11"/>
      <c r="UK442" s="11"/>
      <c r="UL442" s="11"/>
      <c r="UM442" s="11"/>
      <c r="UN442" s="11"/>
      <c r="UO442" s="11"/>
      <c r="UP442" s="11"/>
      <c r="UQ442" s="11"/>
      <c r="UR442" s="11"/>
      <c r="US442" s="11"/>
      <c r="UT442" s="11"/>
      <c r="UU442" s="11"/>
      <c r="UV442" s="11"/>
      <c r="UW442" s="11"/>
      <c r="UX442" s="11"/>
      <c r="UY442" s="11"/>
      <c r="UZ442" s="11"/>
      <c r="VA442" s="11"/>
      <c r="VB442" s="11"/>
      <c r="VC442" s="11"/>
      <c r="VD442" s="11"/>
      <c r="VE442" s="11"/>
      <c r="VF442" s="11"/>
      <c r="VG442" s="11"/>
      <c r="VH442" s="11"/>
      <c r="VI442" s="11"/>
      <c r="VJ442" s="11"/>
      <c r="VK442" s="11"/>
      <c r="VL442" s="11"/>
      <c r="VM442" s="11"/>
      <c r="VN442" s="11"/>
      <c r="VO442" s="11"/>
      <c r="VP442" s="11"/>
      <c r="VQ442" s="11"/>
      <c r="VR442" s="11"/>
      <c r="VS442" s="11"/>
      <c r="VT442" s="11"/>
      <c r="VU442" s="11"/>
      <c r="VV442" s="11"/>
      <c r="VW442" s="11"/>
      <c r="VX442" s="11"/>
      <c r="VY442" s="11"/>
      <c r="VZ442" s="11"/>
      <c r="WA442" s="11"/>
      <c r="WB442" s="11"/>
      <c r="WC442" s="11"/>
      <c r="WD442" s="11"/>
      <c r="WE442" s="11"/>
      <c r="WF442" s="11"/>
      <c r="WG442" s="11"/>
      <c r="WH442" s="11"/>
      <c r="WI442" s="11"/>
      <c r="WJ442" s="11"/>
      <c r="WK442" s="11"/>
      <c r="WL442" s="11"/>
      <c r="WM442" s="11"/>
      <c r="WN442" s="11"/>
      <c r="WO442" s="11"/>
      <c r="WP442" s="11"/>
      <c r="WQ442" s="11"/>
      <c r="WR442" s="11"/>
      <c r="WS442" s="11"/>
      <c r="WT442" s="11"/>
      <c r="WU442" s="11"/>
      <c r="WV442" s="11"/>
      <c r="WW442" s="11"/>
      <c r="WX442" s="11"/>
      <c r="WY442" s="11"/>
      <c r="WZ442" s="11"/>
      <c r="XA442" s="11"/>
      <c r="XB442" s="11"/>
      <c r="XC442" s="11"/>
      <c r="XD442" s="11"/>
      <c r="XE442" s="11"/>
      <c r="XF442" s="11"/>
      <c r="XG442" s="11"/>
      <c r="XH442" s="11"/>
      <c r="XI442" s="11"/>
      <c r="XJ442" s="11"/>
      <c r="XK442" s="11"/>
      <c r="XL442" s="11"/>
      <c r="XM442" s="11"/>
      <c r="XN442" s="11"/>
      <c r="XO442" s="11"/>
      <c r="XP442" s="11"/>
      <c r="XQ442" s="11"/>
      <c r="XR442" s="11"/>
      <c r="XS442" s="11"/>
      <c r="XT442" s="11"/>
      <c r="XU442" s="11"/>
      <c r="XV442" s="11"/>
      <c r="XW442" s="11"/>
      <c r="XX442" s="11"/>
      <c r="XY442" s="11"/>
      <c r="XZ442" s="11"/>
      <c r="YA442" s="11"/>
      <c r="YB442" s="11"/>
      <c r="YC442" s="11"/>
      <c r="YD442" s="11"/>
      <c r="YE442" s="11"/>
      <c r="YF442" s="11"/>
      <c r="YG442" s="11"/>
      <c r="YH442" s="11"/>
      <c r="YI442" s="11"/>
      <c r="YJ442" s="11"/>
      <c r="YK442" s="11"/>
      <c r="YL442" s="11"/>
      <c r="YM442" s="11"/>
      <c r="YN442" s="11"/>
      <c r="YO442" s="11"/>
      <c r="YP442" s="11"/>
      <c r="YQ442" s="11"/>
      <c r="YR442" s="11"/>
      <c r="YS442" s="11"/>
      <c r="YT442" s="11"/>
      <c r="YU442" s="11"/>
      <c r="YV442" s="11"/>
      <c r="YW442" s="11"/>
      <c r="YX442" s="11"/>
      <c r="YY442" s="11"/>
      <c r="YZ442" s="11"/>
      <c r="ZA442" s="11"/>
      <c r="ZB442" s="11"/>
      <c r="ZC442" s="11"/>
      <c r="ZD442" s="11"/>
      <c r="ZE442" s="11"/>
      <c r="ZF442" s="11"/>
      <c r="ZG442" s="11"/>
      <c r="ZH442" s="11"/>
      <c r="ZI442" s="11"/>
      <c r="ZJ442" s="11"/>
      <c r="ZK442" s="11"/>
      <c r="ZL442" s="11"/>
      <c r="ZM442" s="11"/>
      <c r="ZN442" s="11"/>
      <c r="ZO442" s="11"/>
      <c r="ZP442" s="11"/>
      <c r="ZQ442" s="11"/>
      <c r="ZR442" s="11"/>
      <c r="ZS442" s="11"/>
      <c r="ZT442" s="11"/>
      <c r="ZU442" s="11"/>
      <c r="ZV442" s="11"/>
      <c r="ZW442" s="11"/>
      <c r="ZX442" s="11"/>
      <c r="ZY442" s="11"/>
      <c r="ZZ442" s="11"/>
      <c r="AAA442" s="11"/>
      <c r="AAB442" s="11"/>
      <c r="AAC442" s="11"/>
      <c r="AAD442" s="11"/>
      <c r="AAE442" s="11"/>
      <c r="AAF442" s="11"/>
      <c r="AAG442" s="11"/>
      <c r="AAH442" s="11"/>
      <c r="AAI442" s="11"/>
      <c r="AAJ442" s="11"/>
      <c r="AAK442" s="11"/>
      <c r="AAL442" s="11"/>
      <c r="AAM442" s="11"/>
      <c r="AAN442" s="11"/>
      <c r="AAO442" s="11"/>
      <c r="AAP442" s="11"/>
      <c r="AAQ442" s="11"/>
      <c r="AAR442" s="11"/>
      <c r="AAS442" s="11"/>
      <c r="AAT442" s="11"/>
      <c r="AAU442" s="11"/>
      <c r="AAV442" s="11"/>
      <c r="AAW442" s="11"/>
      <c r="AAX442" s="11"/>
      <c r="AAY442" s="11"/>
      <c r="AAZ442" s="11"/>
      <c r="ABA442" s="11"/>
      <c r="ABB442" s="11"/>
      <c r="ABC442" s="11"/>
      <c r="ABD442" s="11"/>
      <c r="ABE442" s="11"/>
      <c r="ABF442" s="11"/>
      <c r="ABG442" s="11"/>
      <c r="ABH442" s="11"/>
      <c r="ABI442" s="11"/>
      <c r="ABJ442" s="11"/>
      <c r="ABK442" s="11"/>
      <c r="ABL442" s="11"/>
      <c r="ABM442" s="11"/>
      <c r="ABN442" s="11"/>
      <c r="ABO442" s="11"/>
      <c r="ABP442" s="11"/>
      <c r="ABQ442" s="11"/>
      <c r="ABR442" s="11"/>
      <c r="ABS442" s="11"/>
      <c r="ABT442" s="11"/>
      <c r="ABU442" s="11"/>
      <c r="ABV442" s="11"/>
      <c r="ABW442" s="11"/>
      <c r="ABX442" s="11"/>
      <c r="ABY442" s="11"/>
      <c r="ABZ442" s="11"/>
      <c r="ACA442" s="11"/>
      <c r="ACB442" s="11"/>
      <c r="ACC442" s="11"/>
      <c r="ACD442" s="11"/>
      <c r="ACE442" s="11"/>
      <c r="ACF442" s="11"/>
      <c r="ACG442" s="11"/>
      <c r="ACH442" s="11"/>
      <c r="ACI442" s="11"/>
      <c r="ACJ442" s="11"/>
      <c r="ACK442" s="11"/>
      <c r="ACL442" s="11"/>
      <c r="ACM442" s="11"/>
      <c r="ACN442" s="11"/>
      <c r="ACO442" s="11"/>
      <c r="ACP442" s="11"/>
      <c r="ACQ442" s="11"/>
      <c r="ACR442" s="11"/>
      <c r="ACS442" s="11"/>
      <c r="ACT442" s="11"/>
      <c r="ACU442" s="11"/>
      <c r="ACV442" s="11"/>
      <c r="ACW442" s="11"/>
      <c r="ACX442" s="11"/>
      <c r="ACY442" s="11"/>
      <c r="ACZ442" s="11"/>
      <c r="ADA442" s="11"/>
      <c r="ADB442" s="11"/>
      <c r="ADC442" s="11"/>
      <c r="ADD442" s="11"/>
      <c r="ADE442" s="11"/>
      <c r="ADF442" s="11"/>
      <c r="ADG442" s="11"/>
      <c r="ADH442" s="11"/>
      <c r="ADI442" s="11"/>
      <c r="ADJ442" s="11"/>
      <c r="ADK442" s="11"/>
      <c r="ADL442" s="11"/>
      <c r="ADM442" s="11"/>
      <c r="ADN442" s="11"/>
      <c r="ADO442" s="11"/>
      <c r="ADP442" s="11"/>
      <c r="ADQ442" s="11"/>
      <c r="ADR442" s="11"/>
      <c r="ADS442" s="11"/>
      <c r="ADT442" s="11"/>
      <c r="ADU442" s="11"/>
      <c r="ADV442" s="11"/>
      <c r="ADW442" s="11"/>
      <c r="ADX442" s="11"/>
      <c r="ADY442" s="11"/>
      <c r="ADZ442" s="11"/>
      <c r="AEA442" s="11"/>
      <c r="AEB442" s="11"/>
      <c r="AEC442" s="11"/>
      <c r="AED442" s="11"/>
      <c r="AEE442" s="11"/>
      <c r="AEF442" s="11"/>
      <c r="AEG442" s="11"/>
      <c r="AEH442" s="11"/>
      <c r="AEI442" s="11"/>
      <c r="AEJ442" s="11"/>
      <c r="AEK442" s="11"/>
      <c r="AEL442" s="11"/>
      <c r="AEM442" s="11"/>
      <c r="AEN442" s="11"/>
      <c r="AEO442" s="11"/>
      <c r="AEP442" s="11"/>
      <c r="AEQ442" s="11"/>
      <c r="AER442" s="11"/>
      <c r="AES442" s="11"/>
      <c r="AET442" s="11"/>
      <c r="AEU442" s="11"/>
      <c r="AEV442" s="11"/>
      <c r="AEW442" s="11"/>
      <c r="AEX442" s="11"/>
      <c r="AEY442" s="11"/>
      <c r="AEZ442" s="11"/>
      <c r="AFA442" s="11"/>
      <c r="AFB442" s="11"/>
      <c r="AFC442" s="11"/>
      <c r="AFD442" s="11"/>
      <c r="AFE442" s="11"/>
      <c r="AFF442" s="11"/>
      <c r="AFG442" s="11"/>
      <c r="AFH442" s="11"/>
      <c r="AFI442" s="11"/>
      <c r="AFJ442" s="11"/>
      <c r="AFK442" s="11"/>
      <c r="AFL442" s="11"/>
      <c r="AFM442" s="11"/>
      <c r="AFN442" s="11"/>
      <c r="AFO442" s="11"/>
      <c r="AFP442" s="11"/>
      <c r="AFQ442" s="11"/>
      <c r="AFR442" s="11"/>
      <c r="AFS442" s="11"/>
      <c r="AFT442" s="11"/>
      <c r="AFU442" s="11"/>
      <c r="AFV442" s="11"/>
      <c r="AFW442" s="11"/>
      <c r="AFX442" s="11"/>
      <c r="AFY442" s="11"/>
      <c r="AFZ442" s="11"/>
      <c r="AGA442" s="11"/>
      <c r="AGB442" s="11"/>
      <c r="AGC442" s="11"/>
      <c r="AGD442" s="11"/>
      <c r="AGE442" s="11"/>
      <c r="AGF442" s="11"/>
      <c r="AGG442" s="11"/>
      <c r="AGH442" s="11"/>
      <c r="AGI442" s="11"/>
      <c r="AGJ442" s="11"/>
      <c r="AGK442" s="11"/>
      <c r="AGL442" s="11"/>
      <c r="AGM442" s="11"/>
      <c r="AGN442" s="11"/>
      <c r="AGO442" s="11"/>
      <c r="AGP442" s="11"/>
      <c r="AGQ442" s="11"/>
      <c r="AGR442" s="11"/>
      <c r="AGS442" s="11"/>
      <c r="AGT442" s="11"/>
      <c r="AGU442" s="11"/>
      <c r="AGV442" s="11"/>
      <c r="AGW442" s="11"/>
      <c r="AGX442" s="11"/>
      <c r="AGY442" s="11"/>
      <c r="AGZ442" s="11"/>
      <c r="AHA442" s="11"/>
      <c r="AHB442" s="11"/>
      <c r="AHC442" s="11"/>
      <c r="AHD442" s="11"/>
      <c r="AHE442" s="11"/>
      <c r="AHF442" s="11"/>
      <c r="AHG442" s="11"/>
      <c r="AHH442" s="11"/>
      <c r="AHI442" s="11"/>
      <c r="AHJ442" s="11"/>
      <c r="AHK442" s="11"/>
      <c r="AHL442" s="11"/>
      <c r="AHM442" s="11"/>
      <c r="AHN442" s="11"/>
      <c r="AHO442" s="11"/>
      <c r="AHP442" s="11"/>
      <c r="AHQ442" s="11"/>
      <c r="AHR442" s="11"/>
      <c r="AHS442" s="11"/>
      <c r="AHT442" s="11"/>
      <c r="AHU442" s="11"/>
      <c r="AHV442" s="11"/>
      <c r="AHW442" s="11"/>
      <c r="AHX442" s="11"/>
      <c r="AHY442" s="11"/>
      <c r="AHZ442" s="11"/>
      <c r="AIA442" s="11"/>
      <c r="AIB442" s="11"/>
      <c r="AIC442" s="11"/>
      <c r="AID442" s="11"/>
      <c r="AIE442" s="11"/>
      <c r="AIF442" s="11"/>
      <c r="AIG442" s="11"/>
      <c r="AIH442" s="11"/>
      <c r="AII442" s="11"/>
      <c r="AIJ442" s="11"/>
      <c r="AIK442" s="11"/>
      <c r="AIL442" s="11"/>
      <c r="AIM442" s="11"/>
      <c r="AIN442" s="11"/>
      <c r="AIO442" s="11"/>
      <c r="AIP442" s="11"/>
      <c r="AIQ442" s="11"/>
      <c r="AIR442" s="11"/>
      <c r="AIS442" s="11"/>
      <c r="AIT442" s="11"/>
      <c r="AIU442" s="11"/>
      <c r="AIV442" s="11"/>
      <c r="AIW442" s="11"/>
      <c r="AIX442" s="11"/>
      <c r="AIY442" s="11"/>
      <c r="AIZ442" s="11"/>
      <c r="AJA442" s="11"/>
      <c r="AJB442" s="11"/>
      <c r="AJC442" s="11"/>
      <c r="AJD442" s="11"/>
      <c r="AJE442" s="11"/>
      <c r="AJF442" s="11"/>
      <c r="AJG442" s="11"/>
      <c r="AJH442" s="11"/>
      <c r="AJI442" s="11"/>
      <c r="AJJ442" s="11"/>
      <c r="AJK442" s="11"/>
      <c r="AJL442" s="11"/>
      <c r="AJM442" s="11"/>
      <c r="AJN442" s="11"/>
      <c r="AJO442" s="11"/>
      <c r="AJP442" s="11"/>
      <c r="AJQ442" s="11"/>
      <c r="AJR442" s="11"/>
      <c r="AJS442" s="11"/>
      <c r="AJT442" s="11"/>
      <c r="AJU442" s="11"/>
      <c r="AJV442" s="11"/>
      <c r="AJW442" s="11"/>
      <c r="AJX442" s="11"/>
      <c r="AJY442" s="11"/>
      <c r="AJZ442" s="11"/>
      <c r="AKA442" s="11"/>
      <c r="AKB442" s="11"/>
      <c r="AKC442" s="11"/>
      <c r="AKD442" s="11"/>
      <c r="AKE442" s="11"/>
      <c r="AKF442" s="11"/>
      <c r="AKG442" s="11"/>
      <c r="AKH442" s="11"/>
      <c r="AKI442" s="11"/>
      <c r="AKJ442" s="11"/>
      <c r="AKK442" s="11"/>
      <c r="AKL442" s="11"/>
      <c r="AKM442" s="11"/>
      <c r="AKN442" s="11"/>
      <c r="AKO442" s="11"/>
      <c r="AKP442" s="11"/>
      <c r="AKQ442" s="11"/>
      <c r="AKR442" s="11"/>
      <c r="AKS442" s="11"/>
      <c r="AKT442" s="11"/>
      <c r="AKU442" s="11"/>
      <c r="AKV442" s="11"/>
      <c r="AKW442" s="11"/>
      <c r="AKX442" s="11"/>
      <c r="AKY442" s="11"/>
      <c r="AKZ442" s="11"/>
      <c r="ALA442" s="11"/>
      <c r="ALB442" s="11"/>
      <c r="ALC442" s="11"/>
      <c r="ALD442" s="11"/>
      <c r="ALE442" s="11"/>
      <c r="ALF442" s="11"/>
      <c r="ALG442" s="11"/>
      <c r="ALH442" s="11"/>
      <c r="ALI442" s="11"/>
      <c r="ALJ442" s="11"/>
      <c r="ALK442" s="11"/>
      <c r="ALL442" s="11"/>
      <c r="ALM442" s="11"/>
      <c r="ALN442" s="11"/>
      <c r="ALO442" s="11"/>
      <c r="ALP442" s="11"/>
      <c r="ALQ442" s="11"/>
      <c r="ALR442" s="11"/>
      <c r="ALS442" s="11"/>
      <c r="ALT442" s="11"/>
      <c r="ALU442" s="11"/>
      <c r="ALV442" s="11"/>
      <c r="ALW442" s="11"/>
      <c r="ALX442" s="11"/>
      <c r="ALY442" s="11"/>
      <c r="ALZ442" s="11"/>
      <c r="AMA442" s="11"/>
      <c r="AMB442" s="11"/>
      <c r="AMC442" s="11"/>
      <c r="AMD442" s="11"/>
      <c r="AME442" s="11"/>
      <c r="AMF442" s="11"/>
      <c r="AMG442" s="11"/>
      <c r="AMH442" s="11"/>
      <c r="AMI442" s="11"/>
      <c r="AMJ442" s="11"/>
    </row>
    <row r="443" spans="1:1024">
      <c r="A443" s="8" t="s">
        <v>447</v>
      </c>
      <c r="B443" s="8">
        <v>891738</v>
      </c>
      <c r="D443" s="1">
        <v>3.6666666666666701</v>
      </c>
      <c r="E443" s="8">
        <f>VLOOKUP(B443,Gesamtstunden_26!B:I,8,0)</f>
        <v>3</v>
      </c>
      <c r="F443" s="2">
        <f t="shared" si="6"/>
        <v>0.66666666666667007</v>
      </c>
    </row>
    <row r="444" spans="1:1024">
      <c r="A444" s="16" t="s">
        <v>448</v>
      </c>
      <c r="B444" s="16">
        <v>481387</v>
      </c>
      <c r="D444" s="1">
        <v>0</v>
      </c>
      <c r="E444" s="8">
        <f>VLOOKUP(B444,Gesamtstunden_26!B:I,8,0)</f>
        <v>0.66666666666666663</v>
      </c>
      <c r="F444" s="2">
        <f t="shared" si="6"/>
        <v>-0.66666666666666663</v>
      </c>
    </row>
    <row r="445" spans="1:1024">
      <c r="A445" s="8" t="s">
        <v>449</v>
      </c>
      <c r="B445" s="8">
        <v>557761</v>
      </c>
      <c r="D445" s="1">
        <v>15.67</v>
      </c>
      <c r="E445" s="8">
        <f>VLOOKUP(B445,Gesamtstunden_26!B:I,8,0)</f>
        <v>0</v>
      </c>
      <c r="F445" s="2">
        <f t="shared" si="6"/>
        <v>15.67</v>
      </c>
    </row>
    <row r="446" spans="1:1024">
      <c r="A446" s="10" t="s">
        <v>450</v>
      </c>
      <c r="B446" s="10">
        <v>635374</v>
      </c>
      <c r="D446" s="1">
        <v>0</v>
      </c>
      <c r="E446" s="8">
        <f>VLOOKUP(B446,Gesamtstunden_26!B:I,8,0)</f>
        <v>6.166666666666667</v>
      </c>
      <c r="F446" s="2">
        <f t="shared" si="6"/>
        <v>-6.166666666666667</v>
      </c>
    </row>
    <row r="447" spans="1:1024">
      <c r="A447" s="17" t="s">
        <v>451</v>
      </c>
      <c r="B447" s="17">
        <v>721932</v>
      </c>
      <c r="D447" s="1">
        <v>0</v>
      </c>
      <c r="E447" s="8">
        <f>VLOOKUP(B447,Gesamtstunden_26!B:I,8,0)</f>
        <v>2.3333333333333335</v>
      </c>
      <c r="F447" s="2">
        <f t="shared" si="6"/>
        <v>-2.3333333333333335</v>
      </c>
    </row>
    <row r="448" spans="1:1024">
      <c r="A448" s="8" t="s">
        <v>452</v>
      </c>
      <c r="B448" s="8">
        <v>681855</v>
      </c>
      <c r="D448" s="1">
        <v>10.6733333333333</v>
      </c>
      <c r="E448" s="8">
        <f>VLOOKUP(B448,Gesamtstunden_26!B:I,8,0)</f>
        <v>0</v>
      </c>
      <c r="F448" s="2">
        <f t="shared" si="6"/>
        <v>10.6733333333333</v>
      </c>
    </row>
    <row r="449" spans="1:6">
      <c r="A449" s="8" t="s">
        <v>453</v>
      </c>
      <c r="B449" s="8">
        <v>728926</v>
      </c>
      <c r="D449" s="1">
        <v>11</v>
      </c>
      <c r="E449" s="8">
        <f>VLOOKUP(B449,Gesamtstunden_26!B:I,8,0)</f>
        <v>0</v>
      </c>
      <c r="F449" s="2">
        <f t="shared" si="6"/>
        <v>11</v>
      </c>
    </row>
    <row r="450" spans="1:6">
      <c r="A450" s="8" t="s">
        <v>454</v>
      </c>
      <c r="B450" s="8">
        <v>407232</v>
      </c>
      <c r="D450" s="1">
        <v>12</v>
      </c>
      <c r="E450" s="8">
        <f>VLOOKUP(B450,Gesamtstunden_26!B:I,8,0)</f>
        <v>0</v>
      </c>
      <c r="F450" s="2">
        <f t="shared" ref="F450:F513" si="7">D450-E450</f>
        <v>12</v>
      </c>
    </row>
    <row r="451" spans="1:6" ht="27.6">
      <c r="A451" s="8" t="s">
        <v>455</v>
      </c>
      <c r="B451" s="8">
        <v>190629</v>
      </c>
      <c r="D451" s="1">
        <v>5</v>
      </c>
      <c r="E451" s="8">
        <f>VLOOKUP(B451,Gesamtstunden_26!B:I,8,0)</f>
        <v>0</v>
      </c>
      <c r="F451" s="2">
        <f t="shared" si="7"/>
        <v>5</v>
      </c>
    </row>
    <row r="452" spans="1:6">
      <c r="A452" s="18" t="s">
        <v>456</v>
      </c>
      <c r="B452" s="18">
        <v>442239</v>
      </c>
      <c r="D452" s="1">
        <v>0</v>
      </c>
      <c r="E452" s="8">
        <f>VLOOKUP(B452,Gesamtstunden_26!B:I,8,0)</f>
        <v>9.8333333333333339</v>
      </c>
      <c r="F452" s="2">
        <f t="shared" si="7"/>
        <v>-9.8333333333333339</v>
      </c>
    </row>
    <row r="453" spans="1:6">
      <c r="A453" s="10" t="s">
        <v>457</v>
      </c>
      <c r="B453" s="10">
        <v>184651</v>
      </c>
      <c r="D453" s="1">
        <v>0</v>
      </c>
      <c r="E453" s="8">
        <f>VLOOKUP(B453,Gesamtstunden_26!B:I,8,0)</f>
        <v>2.166666666666667</v>
      </c>
      <c r="F453" s="2">
        <f t="shared" si="7"/>
        <v>-2.166666666666667</v>
      </c>
    </row>
    <row r="454" spans="1:6">
      <c r="A454" s="10" t="s">
        <v>458</v>
      </c>
      <c r="B454" s="10">
        <v>696603</v>
      </c>
      <c r="D454" s="1">
        <v>0</v>
      </c>
      <c r="E454" s="8">
        <f>VLOOKUP(B454,Gesamtstunden_26!B:I,8,0)</f>
        <v>2.6666666666666665</v>
      </c>
      <c r="F454" s="2">
        <f t="shared" si="7"/>
        <v>-2.6666666666666665</v>
      </c>
    </row>
    <row r="455" spans="1:6">
      <c r="A455" s="16" t="s">
        <v>459</v>
      </c>
      <c r="B455" s="16">
        <v>157111</v>
      </c>
      <c r="D455" s="1">
        <v>0</v>
      </c>
      <c r="E455" s="8">
        <f>VLOOKUP(B455,Gesamtstunden_26!B:I,8,0)</f>
        <v>0.33333333333333331</v>
      </c>
      <c r="F455" s="2">
        <f t="shared" si="7"/>
        <v>-0.33333333333333331</v>
      </c>
    </row>
    <row r="456" spans="1:6">
      <c r="A456" s="7" t="s">
        <v>460</v>
      </c>
      <c r="B456" s="7">
        <v>132132</v>
      </c>
      <c r="D456" s="1">
        <v>0</v>
      </c>
      <c r="E456" s="8">
        <f>VLOOKUP(B456,Gesamtstunden_26!B:I,8,0)</f>
        <v>2.166666666666667</v>
      </c>
      <c r="F456" s="2">
        <f t="shared" si="7"/>
        <v>-2.166666666666667</v>
      </c>
    </row>
    <row r="457" spans="1:6">
      <c r="A457" s="7" t="s">
        <v>461</v>
      </c>
      <c r="B457" s="7">
        <v>693099</v>
      </c>
      <c r="D457" s="1">
        <v>0</v>
      </c>
      <c r="E457" s="8">
        <f>VLOOKUP(B457,Gesamtstunden_26!B:I,8,0)</f>
        <v>10.666666666666666</v>
      </c>
      <c r="F457" s="2">
        <f t="shared" si="7"/>
        <v>-10.666666666666666</v>
      </c>
    </row>
    <row r="458" spans="1:6">
      <c r="A458" s="8" t="s">
        <v>462</v>
      </c>
      <c r="B458" s="8">
        <v>387179</v>
      </c>
      <c r="D458" s="1">
        <v>14.5</v>
      </c>
      <c r="E458" s="8">
        <f>VLOOKUP(B458,Gesamtstunden_26!B:I,8,0)</f>
        <v>0</v>
      </c>
      <c r="F458" s="2">
        <f t="shared" si="7"/>
        <v>14.5</v>
      </c>
    </row>
    <row r="459" spans="1:6">
      <c r="A459" s="10" t="s">
        <v>463</v>
      </c>
      <c r="B459" s="10">
        <v>494196</v>
      </c>
      <c r="D459" s="1">
        <v>0</v>
      </c>
      <c r="E459" s="8">
        <f>VLOOKUP(B459,Gesamtstunden_26!B:I,8,0)</f>
        <v>2</v>
      </c>
      <c r="F459" s="2">
        <f t="shared" si="7"/>
        <v>-2</v>
      </c>
    </row>
    <row r="460" spans="1:6" ht="27.6">
      <c r="A460" s="8" t="s">
        <v>464</v>
      </c>
      <c r="B460" s="8">
        <v>808032</v>
      </c>
      <c r="D460" s="1">
        <v>3.5</v>
      </c>
      <c r="E460" s="8">
        <f>VLOOKUP(B460,Gesamtstunden_26!B:I,8,0)</f>
        <v>0</v>
      </c>
      <c r="F460" s="2">
        <f t="shared" si="7"/>
        <v>3.5</v>
      </c>
    </row>
    <row r="461" spans="1:6">
      <c r="A461" s="7" t="s">
        <v>465</v>
      </c>
      <c r="B461" s="7">
        <v>588228</v>
      </c>
      <c r="D461" s="1">
        <v>0</v>
      </c>
      <c r="E461" s="8">
        <f>VLOOKUP(B461,Gesamtstunden_26!B:I,8,0)</f>
        <v>1.7499999933333332</v>
      </c>
      <c r="F461" s="2">
        <f t="shared" si="7"/>
        <v>-1.7499999933333332</v>
      </c>
    </row>
    <row r="462" spans="1:6">
      <c r="A462" s="8" t="s">
        <v>466</v>
      </c>
      <c r="B462" s="8">
        <v>441659</v>
      </c>
      <c r="D462" s="1">
        <v>0.66666666666666696</v>
      </c>
      <c r="E462" s="8">
        <f>VLOOKUP(B462,Gesamtstunden_26!B:I,8,0)</f>
        <v>0</v>
      </c>
      <c r="F462" s="2">
        <f t="shared" si="7"/>
        <v>0.66666666666666696</v>
      </c>
    </row>
    <row r="463" spans="1:6">
      <c r="A463" s="16" t="s">
        <v>467</v>
      </c>
      <c r="B463" s="16">
        <v>560929</v>
      </c>
      <c r="D463" s="1">
        <v>0</v>
      </c>
      <c r="E463" s="8">
        <f>VLOOKUP(B463,Gesamtstunden_26!B:I,8,0)</f>
        <v>0</v>
      </c>
      <c r="F463" s="2">
        <f t="shared" si="7"/>
        <v>0</v>
      </c>
    </row>
    <row r="464" spans="1:6">
      <c r="A464" s="10" t="s">
        <v>468</v>
      </c>
      <c r="B464" s="10">
        <v>170071</v>
      </c>
      <c r="D464" s="1">
        <v>0</v>
      </c>
      <c r="E464" s="8">
        <f>VLOOKUP(B464,Gesamtstunden_26!B:I,8,0)</f>
        <v>5.666666666666667</v>
      </c>
      <c r="F464" s="2">
        <f t="shared" si="7"/>
        <v>-5.666666666666667</v>
      </c>
    </row>
    <row r="465" spans="1:1024">
      <c r="A465" s="8" t="s">
        <v>469</v>
      </c>
      <c r="B465" s="8">
        <v>696071</v>
      </c>
      <c r="D465" s="1">
        <v>2.3333333333333299</v>
      </c>
      <c r="E465" s="8">
        <f>VLOOKUP(B465,Gesamtstunden_26!B:I,8,0)</f>
        <v>0</v>
      </c>
      <c r="F465" s="2">
        <f t="shared" si="7"/>
        <v>2.3333333333333299</v>
      </c>
    </row>
    <row r="466" spans="1:1024">
      <c r="A466" s="7" t="s">
        <v>470</v>
      </c>
      <c r="B466" s="7">
        <v>868469</v>
      </c>
      <c r="D466" s="1">
        <v>0</v>
      </c>
      <c r="E466" s="8">
        <f>VLOOKUP(B466,Gesamtstunden_26!B:I,8,0)</f>
        <v>1</v>
      </c>
      <c r="F466" s="2">
        <f t="shared" si="7"/>
        <v>-1</v>
      </c>
    </row>
    <row r="467" spans="1:1024">
      <c r="A467" s="8" t="s">
        <v>471</v>
      </c>
      <c r="B467" s="8">
        <v>207833</v>
      </c>
      <c r="D467" s="1">
        <v>15.67</v>
      </c>
      <c r="E467" s="8">
        <f>VLOOKUP(B467,Gesamtstunden_26!B:I,8,0)</f>
        <v>0</v>
      </c>
      <c r="F467" s="2">
        <f t="shared" si="7"/>
        <v>15.67</v>
      </c>
    </row>
    <row r="468" spans="1:1024">
      <c r="A468" s="8" t="s">
        <v>472</v>
      </c>
      <c r="B468">
        <v>595693</v>
      </c>
      <c r="D468" s="1">
        <v>4</v>
      </c>
      <c r="E468" s="8">
        <f>VLOOKUP(B468,Gesamtstunden_26!B:I,8,0)</f>
        <v>0.33333333333333331</v>
      </c>
      <c r="F468" s="2">
        <f t="shared" si="7"/>
        <v>3.6666666666666665</v>
      </c>
    </row>
    <row r="469" spans="1:1024">
      <c r="A469" s="8" t="s">
        <v>473</v>
      </c>
      <c r="B469" s="8">
        <v>696097</v>
      </c>
      <c r="D469" s="1">
        <v>0.66666666666666696</v>
      </c>
      <c r="E469" s="8">
        <f>VLOOKUP(B469,Gesamtstunden_26!B:I,8,0)</f>
        <v>0</v>
      </c>
      <c r="F469" s="2">
        <f t="shared" si="7"/>
        <v>0.66666666666666696</v>
      </c>
    </row>
    <row r="470" spans="1:1024">
      <c r="A470" s="17" t="s">
        <v>474</v>
      </c>
      <c r="B470" s="17">
        <v>845124</v>
      </c>
      <c r="D470" s="1">
        <v>0</v>
      </c>
      <c r="E470" s="8">
        <f>VLOOKUP(B470,Gesamtstunden_26!B:I,8,0)</f>
        <v>4</v>
      </c>
      <c r="F470" s="2">
        <f t="shared" si="7"/>
        <v>-4</v>
      </c>
    </row>
    <row r="471" spans="1:1024">
      <c r="A471" s="8" t="s">
        <v>475</v>
      </c>
      <c r="B471" s="8">
        <v>356207</v>
      </c>
      <c r="D471" s="1">
        <v>13.67</v>
      </c>
      <c r="E471" s="8">
        <f>VLOOKUP(B471,Gesamtstunden_26!B:I,8,0)</f>
        <v>0</v>
      </c>
      <c r="F471" s="2">
        <f t="shared" si="7"/>
        <v>13.67</v>
      </c>
    </row>
    <row r="472" spans="1:1024">
      <c r="A472" s="10" t="s">
        <v>476</v>
      </c>
      <c r="B472" s="10">
        <v>844290</v>
      </c>
      <c r="D472" s="1">
        <v>0</v>
      </c>
      <c r="E472" s="8">
        <f>VLOOKUP(B472,Gesamtstunden_26!B:I,8,0)</f>
        <v>3.6666666666666665</v>
      </c>
      <c r="F472" s="2">
        <f t="shared" si="7"/>
        <v>-3.6666666666666665</v>
      </c>
    </row>
    <row r="473" spans="1:1024">
      <c r="A473" s="8" t="s">
        <v>477</v>
      </c>
      <c r="B473" s="8">
        <v>911799</v>
      </c>
      <c r="D473" s="1">
        <v>2.5</v>
      </c>
      <c r="E473" s="8">
        <f>VLOOKUP(B473,Gesamtstunden_26!B:I,8,0)</f>
        <v>0</v>
      </c>
      <c r="F473" s="2">
        <f t="shared" si="7"/>
        <v>2.5</v>
      </c>
    </row>
    <row r="474" spans="1:1024">
      <c r="A474" s="8" t="s">
        <v>478</v>
      </c>
      <c r="B474" s="8">
        <v>242433</v>
      </c>
      <c r="D474" s="1">
        <v>11</v>
      </c>
      <c r="E474" s="8">
        <f>VLOOKUP(B474,Gesamtstunden_26!B:I,8,0)</f>
        <v>0</v>
      </c>
      <c r="F474" s="2">
        <f t="shared" si="7"/>
        <v>11</v>
      </c>
    </row>
    <row r="475" spans="1:1024">
      <c r="A475" s="8" t="s">
        <v>479</v>
      </c>
      <c r="B475" s="8">
        <v>250499</v>
      </c>
      <c r="D475" s="1">
        <v>11</v>
      </c>
      <c r="E475" s="8">
        <f>VLOOKUP(B475,Gesamtstunden_26!B:I,8,0)</f>
        <v>0</v>
      </c>
      <c r="F475" s="2">
        <f t="shared" si="7"/>
        <v>11</v>
      </c>
    </row>
    <row r="476" spans="1:1024">
      <c r="A476" s="8" t="s">
        <v>480</v>
      </c>
      <c r="B476" s="8">
        <v>844737</v>
      </c>
      <c r="D476" s="1">
        <v>6.6666666666666696</v>
      </c>
      <c r="E476" s="8">
        <f>VLOOKUP(B476,Gesamtstunden_26!B:I,8,0)</f>
        <v>0</v>
      </c>
      <c r="F476" s="2">
        <f t="shared" si="7"/>
        <v>6.6666666666666696</v>
      </c>
    </row>
    <row r="477" spans="1:1024" s="11" customFormat="1">
      <c r="A477" s="8" t="s">
        <v>481</v>
      </c>
      <c r="B477" s="8">
        <v>622021</v>
      </c>
      <c r="C477"/>
      <c r="D477" s="1">
        <v>6</v>
      </c>
      <c r="E477" s="8">
        <f>VLOOKUP(B477,Gesamtstunden_26!B:I,8,0)</f>
        <v>0</v>
      </c>
      <c r="F477" s="2">
        <f t="shared" si="7"/>
        <v>6</v>
      </c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  <c r="BR477"/>
      <c r="BS477"/>
      <c r="BT477"/>
      <c r="BU477"/>
      <c r="BV477"/>
      <c r="BW477"/>
      <c r="BX477"/>
      <c r="BY477"/>
      <c r="BZ477"/>
      <c r="CA477"/>
      <c r="CB477"/>
      <c r="CC477"/>
      <c r="CD477"/>
      <c r="CE477"/>
      <c r="CF477"/>
      <c r="CG477"/>
      <c r="CH477"/>
      <c r="CI477"/>
      <c r="CJ477"/>
      <c r="CK477"/>
      <c r="CL477"/>
      <c r="CM477"/>
      <c r="CN477"/>
      <c r="CO477"/>
      <c r="CP477"/>
      <c r="CQ477"/>
      <c r="CR477"/>
      <c r="CS477"/>
      <c r="CT477"/>
      <c r="CU477"/>
      <c r="CV477"/>
      <c r="CW477"/>
      <c r="CX477"/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  <c r="DM477"/>
      <c r="DN477"/>
      <c r="DO477"/>
      <c r="DP477"/>
      <c r="DQ477"/>
      <c r="DR477"/>
      <c r="DS477"/>
      <c r="DT477"/>
      <c r="DU477"/>
      <c r="DV477"/>
      <c r="DW477"/>
      <c r="DX477"/>
      <c r="DY477"/>
      <c r="DZ477"/>
      <c r="EA477"/>
      <c r="EB477"/>
      <c r="EC477"/>
      <c r="ED477"/>
      <c r="EE477"/>
      <c r="EF477"/>
      <c r="EG477"/>
      <c r="EH477"/>
      <c r="EI477"/>
      <c r="EJ477"/>
      <c r="EK477"/>
      <c r="EL477"/>
      <c r="EM477"/>
      <c r="EN477"/>
      <c r="EO477"/>
      <c r="EP477"/>
      <c r="EQ477"/>
      <c r="ER477"/>
      <c r="ES477"/>
      <c r="ET477"/>
      <c r="EU477"/>
      <c r="EV477"/>
      <c r="EW477"/>
      <c r="EX477"/>
      <c r="EY477"/>
      <c r="EZ477"/>
      <c r="FA477"/>
      <c r="FB477"/>
      <c r="FC477"/>
      <c r="FD477"/>
      <c r="FE477"/>
      <c r="FF477"/>
      <c r="FG477"/>
      <c r="FH477"/>
      <c r="FI477"/>
      <c r="FJ477"/>
      <c r="FK477"/>
      <c r="FL477"/>
      <c r="FM477"/>
      <c r="FN477"/>
      <c r="FO477"/>
      <c r="FP477"/>
      <c r="FQ477"/>
      <c r="FR477"/>
      <c r="FS477"/>
      <c r="FT477"/>
      <c r="FU477"/>
      <c r="FV477"/>
      <c r="FW477"/>
      <c r="FX477"/>
      <c r="FY477"/>
      <c r="FZ477"/>
      <c r="GA477"/>
      <c r="GB477"/>
      <c r="GC477"/>
      <c r="GD477"/>
      <c r="GE477"/>
      <c r="GF477"/>
      <c r="GG477"/>
      <c r="GH477"/>
      <c r="GI477"/>
      <c r="GJ477"/>
      <c r="GK477"/>
      <c r="GL477"/>
      <c r="GM477"/>
      <c r="GN477"/>
      <c r="GO477"/>
      <c r="GP477"/>
      <c r="GQ477"/>
      <c r="GR477"/>
      <c r="GS477"/>
      <c r="GT477"/>
      <c r="GU477"/>
      <c r="GV477"/>
      <c r="GW477"/>
      <c r="GX477"/>
      <c r="GY477"/>
      <c r="GZ477"/>
      <c r="HA477"/>
      <c r="HB477"/>
      <c r="HC477"/>
      <c r="HD477"/>
      <c r="HE477"/>
      <c r="HF477"/>
      <c r="HG477"/>
      <c r="HH477"/>
      <c r="HI477"/>
      <c r="HJ477"/>
      <c r="HK477"/>
      <c r="HL477"/>
      <c r="HM477"/>
      <c r="HN477"/>
      <c r="HO477"/>
      <c r="HP477"/>
      <c r="HQ477"/>
      <c r="HR477"/>
      <c r="HS477"/>
      <c r="HT477"/>
      <c r="HU477"/>
      <c r="HV477"/>
      <c r="HW477"/>
      <c r="HX477"/>
      <c r="HY477"/>
      <c r="HZ477"/>
      <c r="IA477"/>
      <c r="IB477"/>
      <c r="IC477"/>
      <c r="ID477"/>
      <c r="IE477"/>
      <c r="IF477"/>
      <c r="IG477"/>
      <c r="IH477"/>
      <c r="II477"/>
      <c r="IJ477"/>
      <c r="IK477"/>
      <c r="IL477"/>
      <c r="IM477"/>
      <c r="IN477"/>
      <c r="IO477"/>
      <c r="IP477"/>
      <c r="IQ477"/>
      <c r="IR477"/>
      <c r="IS477"/>
      <c r="IT477"/>
      <c r="IU477"/>
      <c r="IV477"/>
      <c r="IW477"/>
      <c r="IX477"/>
      <c r="IY477"/>
      <c r="IZ477"/>
      <c r="JA477"/>
      <c r="JB477"/>
      <c r="JC477"/>
      <c r="JD477"/>
      <c r="JE477"/>
      <c r="JF477"/>
      <c r="JG477"/>
      <c r="JH477"/>
      <c r="JI477"/>
      <c r="JJ477"/>
      <c r="JK477"/>
      <c r="JL477"/>
      <c r="JM477"/>
      <c r="JN477"/>
      <c r="JO477"/>
      <c r="JP477"/>
      <c r="JQ477"/>
      <c r="JR477"/>
      <c r="JS477"/>
      <c r="JT477"/>
      <c r="JU477"/>
      <c r="JV477"/>
      <c r="JW477"/>
      <c r="JX477"/>
      <c r="JY477"/>
      <c r="JZ477"/>
      <c r="KA477"/>
      <c r="KB477"/>
      <c r="KC477"/>
      <c r="KD477"/>
      <c r="KE477"/>
      <c r="KF477"/>
      <c r="KG477"/>
      <c r="KH477"/>
      <c r="KI477"/>
      <c r="KJ477"/>
      <c r="KK477"/>
      <c r="KL477"/>
      <c r="KM477"/>
      <c r="KN477"/>
      <c r="KO477"/>
      <c r="KP477"/>
      <c r="KQ477"/>
      <c r="KR477"/>
      <c r="KS477"/>
      <c r="KT477"/>
      <c r="KU477"/>
      <c r="KV477"/>
      <c r="KW477"/>
      <c r="KX477"/>
      <c r="KY477"/>
      <c r="KZ477"/>
      <c r="LA477"/>
      <c r="LB477"/>
      <c r="LC477"/>
      <c r="LD477"/>
      <c r="LE477"/>
      <c r="LF477"/>
      <c r="LG477"/>
      <c r="LH477"/>
      <c r="LI477"/>
      <c r="LJ477"/>
      <c r="LK477"/>
      <c r="LL477"/>
      <c r="LM477"/>
      <c r="LN477"/>
      <c r="LO477"/>
      <c r="LP477"/>
      <c r="LQ477"/>
      <c r="LR477"/>
      <c r="LS477"/>
      <c r="LT477"/>
      <c r="LU477"/>
      <c r="LV477"/>
      <c r="LW477"/>
      <c r="LX477"/>
      <c r="LY477"/>
      <c r="LZ477"/>
      <c r="MA477"/>
      <c r="MB477"/>
      <c r="MC477"/>
      <c r="MD477"/>
      <c r="ME477"/>
      <c r="MF477"/>
      <c r="MG477"/>
      <c r="MH477"/>
      <c r="MI477"/>
      <c r="MJ477"/>
      <c r="MK477"/>
      <c r="ML477"/>
      <c r="MM477"/>
      <c r="MN477"/>
      <c r="MO477"/>
      <c r="MP477"/>
      <c r="MQ477"/>
      <c r="MR477"/>
      <c r="MS477"/>
      <c r="MT477"/>
      <c r="MU477"/>
      <c r="MV477"/>
      <c r="MW477"/>
      <c r="MX477"/>
      <c r="MY477"/>
      <c r="MZ477"/>
      <c r="NA477"/>
      <c r="NB477"/>
      <c r="NC477"/>
      <c r="ND477"/>
      <c r="NE477"/>
      <c r="NF477"/>
      <c r="NG477"/>
      <c r="NH477"/>
      <c r="NI477"/>
      <c r="NJ477"/>
      <c r="NK477"/>
      <c r="NL477"/>
      <c r="NM477"/>
      <c r="NN477"/>
      <c r="NO477"/>
      <c r="NP477"/>
      <c r="NQ477"/>
      <c r="NR477"/>
      <c r="NS477"/>
      <c r="NT477"/>
      <c r="NU477"/>
      <c r="NV477"/>
      <c r="NW477"/>
      <c r="NX477"/>
      <c r="NY477"/>
      <c r="NZ477"/>
      <c r="OA477"/>
      <c r="OB477"/>
      <c r="OC477"/>
      <c r="OD477"/>
      <c r="OE477"/>
      <c r="OF477"/>
      <c r="OG477"/>
      <c r="OH477"/>
      <c r="OI477"/>
      <c r="OJ477"/>
      <c r="OK477"/>
      <c r="OL477"/>
      <c r="OM477"/>
      <c r="ON477"/>
      <c r="OO477"/>
      <c r="OP477"/>
      <c r="OQ477"/>
      <c r="OR477"/>
      <c r="OS477"/>
      <c r="OT477"/>
      <c r="OU477"/>
      <c r="OV477"/>
      <c r="OW477"/>
      <c r="OX477"/>
      <c r="OY477"/>
      <c r="OZ477"/>
      <c r="PA477"/>
      <c r="PB477"/>
      <c r="PC477"/>
      <c r="PD477"/>
      <c r="PE477"/>
      <c r="PF477"/>
      <c r="PG477"/>
      <c r="PH477"/>
      <c r="PI477"/>
      <c r="PJ477"/>
      <c r="PK477"/>
      <c r="PL477"/>
      <c r="PM477"/>
      <c r="PN477"/>
      <c r="PO477"/>
      <c r="PP477"/>
      <c r="PQ477"/>
      <c r="PR477"/>
      <c r="PS477"/>
      <c r="PT477"/>
      <c r="PU477"/>
      <c r="PV477"/>
      <c r="PW477"/>
      <c r="PX477"/>
      <c r="PY477"/>
      <c r="PZ477"/>
      <c r="QA477"/>
      <c r="QB477"/>
      <c r="QC477"/>
      <c r="QD477"/>
      <c r="QE477"/>
      <c r="QF477"/>
      <c r="QG477"/>
      <c r="QH477"/>
      <c r="QI477"/>
      <c r="QJ477"/>
      <c r="QK477"/>
      <c r="QL477"/>
      <c r="QM477"/>
      <c r="QN477"/>
      <c r="QO477"/>
      <c r="QP477"/>
      <c r="QQ477"/>
      <c r="QR477"/>
      <c r="QS477"/>
      <c r="QT477"/>
      <c r="QU477"/>
      <c r="QV477"/>
      <c r="QW477"/>
      <c r="QX477"/>
      <c r="QY477"/>
      <c r="QZ477"/>
      <c r="RA477"/>
      <c r="RB477"/>
      <c r="RC477"/>
      <c r="RD477"/>
      <c r="RE477"/>
      <c r="RF477"/>
      <c r="RG477"/>
      <c r="RH477"/>
      <c r="RI477"/>
      <c r="RJ477"/>
      <c r="RK477"/>
      <c r="RL477"/>
      <c r="RM477"/>
      <c r="RN477"/>
      <c r="RO477"/>
      <c r="RP477"/>
      <c r="RQ477"/>
      <c r="RR477"/>
      <c r="RS477"/>
      <c r="RT477"/>
      <c r="RU477"/>
      <c r="RV477"/>
      <c r="RW477"/>
      <c r="RX477"/>
      <c r="RY477"/>
      <c r="RZ477"/>
      <c r="SA477"/>
      <c r="SB477"/>
      <c r="SC477"/>
      <c r="SD477"/>
      <c r="SE477"/>
      <c r="SF477"/>
      <c r="SG477"/>
      <c r="SH477"/>
      <c r="SI477"/>
      <c r="SJ477"/>
      <c r="SK477"/>
      <c r="SL477"/>
      <c r="SM477"/>
      <c r="SN477"/>
      <c r="SO477"/>
      <c r="SP477"/>
      <c r="SQ477"/>
      <c r="SR477"/>
      <c r="SS477"/>
      <c r="ST477"/>
      <c r="SU477"/>
      <c r="SV477"/>
      <c r="SW477"/>
      <c r="SX477"/>
      <c r="SY477"/>
      <c r="SZ477"/>
      <c r="TA477"/>
      <c r="TB477"/>
      <c r="TC477"/>
      <c r="TD477"/>
      <c r="TE477"/>
      <c r="TF477"/>
      <c r="TG477"/>
      <c r="TH477"/>
      <c r="TI477"/>
      <c r="TJ477"/>
      <c r="TK477"/>
      <c r="TL477"/>
      <c r="TM477"/>
      <c r="TN477"/>
      <c r="TO477"/>
      <c r="TP477"/>
      <c r="TQ477"/>
      <c r="TR477"/>
      <c r="TS477"/>
      <c r="TT477"/>
      <c r="TU477"/>
      <c r="TV477"/>
      <c r="TW477"/>
      <c r="TX477"/>
      <c r="TY477"/>
      <c r="TZ477"/>
      <c r="UA477"/>
      <c r="UB477"/>
      <c r="UC477"/>
      <c r="UD477"/>
      <c r="UE477"/>
      <c r="UF477"/>
      <c r="UG477"/>
      <c r="UH477"/>
      <c r="UI477"/>
      <c r="UJ477"/>
      <c r="UK477"/>
      <c r="UL477"/>
      <c r="UM477"/>
      <c r="UN477"/>
      <c r="UO477"/>
      <c r="UP477"/>
      <c r="UQ477"/>
      <c r="UR477"/>
      <c r="US477"/>
      <c r="UT477"/>
      <c r="UU477"/>
      <c r="UV477"/>
      <c r="UW477"/>
      <c r="UX477"/>
      <c r="UY477"/>
      <c r="UZ477"/>
      <c r="VA477"/>
      <c r="VB477"/>
      <c r="VC477"/>
      <c r="VD477"/>
      <c r="VE477"/>
      <c r="VF477"/>
      <c r="VG477"/>
      <c r="VH477"/>
      <c r="VI477"/>
      <c r="VJ477"/>
      <c r="VK477"/>
      <c r="VL477"/>
      <c r="VM477"/>
      <c r="VN477"/>
      <c r="VO477"/>
      <c r="VP477"/>
      <c r="VQ477"/>
      <c r="VR477"/>
      <c r="VS477"/>
      <c r="VT477"/>
      <c r="VU477"/>
      <c r="VV477"/>
      <c r="VW477"/>
      <c r="VX477"/>
      <c r="VY477"/>
      <c r="VZ477"/>
      <c r="WA477"/>
      <c r="WB477"/>
      <c r="WC477"/>
      <c r="WD477"/>
      <c r="WE477"/>
      <c r="WF477"/>
      <c r="WG477"/>
      <c r="WH477"/>
      <c r="WI477"/>
      <c r="WJ477"/>
      <c r="WK477"/>
      <c r="WL477"/>
      <c r="WM477"/>
      <c r="WN477"/>
      <c r="WO477"/>
      <c r="WP477"/>
      <c r="WQ477"/>
      <c r="WR477"/>
      <c r="WS477"/>
      <c r="WT477"/>
      <c r="WU477"/>
      <c r="WV477"/>
      <c r="WW477"/>
      <c r="WX477"/>
      <c r="WY477"/>
      <c r="WZ477"/>
      <c r="XA477"/>
      <c r="XB477"/>
      <c r="XC477"/>
      <c r="XD477"/>
      <c r="XE477"/>
      <c r="XF477"/>
      <c r="XG477"/>
      <c r="XH477"/>
      <c r="XI477"/>
      <c r="XJ477"/>
      <c r="XK477"/>
      <c r="XL477"/>
      <c r="XM477"/>
      <c r="XN477"/>
      <c r="XO477"/>
      <c r="XP477"/>
      <c r="XQ477"/>
      <c r="XR477"/>
      <c r="XS477"/>
      <c r="XT477"/>
      <c r="XU477"/>
      <c r="XV477"/>
      <c r="XW477"/>
      <c r="XX477"/>
      <c r="XY477"/>
      <c r="XZ477"/>
      <c r="YA477"/>
      <c r="YB477"/>
      <c r="YC477"/>
      <c r="YD477"/>
      <c r="YE477"/>
      <c r="YF477"/>
      <c r="YG477"/>
      <c r="YH477"/>
      <c r="YI477"/>
      <c r="YJ477"/>
      <c r="YK477"/>
      <c r="YL477"/>
      <c r="YM477"/>
      <c r="YN477"/>
      <c r="YO477"/>
      <c r="YP477"/>
      <c r="YQ477"/>
      <c r="YR477"/>
      <c r="YS477"/>
      <c r="YT477"/>
      <c r="YU477"/>
      <c r="YV477"/>
      <c r="YW477"/>
      <c r="YX477"/>
      <c r="YY477"/>
      <c r="YZ477"/>
      <c r="ZA477"/>
      <c r="ZB477"/>
      <c r="ZC477"/>
      <c r="ZD477"/>
      <c r="ZE477"/>
      <c r="ZF477"/>
      <c r="ZG477"/>
      <c r="ZH477"/>
      <c r="ZI477"/>
      <c r="ZJ477"/>
      <c r="ZK477"/>
      <c r="ZL477"/>
      <c r="ZM477"/>
      <c r="ZN477"/>
      <c r="ZO477"/>
      <c r="ZP477"/>
      <c r="ZQ477"/>
      <c r="ZR477"/>
      <c r="ZS477"/>
      <c r="ZT477"/>
      <c r="ZU477"/>
      <c r="ZV477"/>
      <c r="ZW477"/>
      <c r="ZX477"/>
      <c r="ZY477"/>
      <c r="ZZ477"/>
      <c r="AAA477"/>
      <c r="AAB477"/>
      <c r="AAC477"/>
      <c r="AAD477"/>
      <c r="AAE477"/>
      <c r="AAF477"/>
      <c r="AAG477"/>
      <c r="AAH477"/>
      <c r="AAI477"/>
      <c r="AAJ477"/>
      <c r="AAK477"/>
      <c r="AAL477"/>
      <c r="AAM477"/>
      <c r="AAN477"/>
      <c r="AAO477"/>
      <c r="AAP477"/>
      <c r="AAQ477"/>
      <c r="AAR477"/>
      <c r="AAS477"/>
      <c r="AAT477"/>
      <c r="AAU477"/>
      <c r="AAV477"/>
      <c r="AAW477"/>
      <c r="AAX477"/>
      <c r="AAY477"/>
      <c r="AAZ477"/>
      <c r="ABA477"/>
      <c r="ABB477"/>
      <c r="ABC477"/>
      <c r="ABD477"/>
      <c r="ABE477"/>
      <c r="ABF477"/>
      <c r="ABG477"/>
      <c r="ABH477"/>
      <c r="ABI477"/>
      <c r="ABJ477"/>
      <c r="ABK477"/>
      <c r="ABL477"/>
      <c r="ABM477"/>
      <c r="ABN477"/>
      <c r="ABO477"/>
      <c r="ABP477"/>
      <c r="ABQ477"/>
      <c r="ABR477"/>
      <c r="ABS477"/>
      <c r="ABT477"/>
      <c r="ABU477"/>
      <c r="ABV477"/>
      <c r="ABW477"/>
      <c r="ABX477"/>
      <c r="ABY477"/>
      <c r="ABZ477"/>
      <c r="ACA477"/>
      <c r="ACB477"/>
      <c r="ACC477"/>
      <c r="ACD477"/>
      <c r="ACE477"/>
      <c r="ACF477"/>
      <c r="ACG477"/>
      <c r="ACH477"/>
      <c r="ACI477"/>
      <c r="ACJ477"/>
      <c r="ACK477"/>
      <c r="ACL477"/>
      <c r="ACM477"/>
      <c r="ACN477"/>
      <c r="ACO477"/>
      <c r="ACP477"/>
      <c r="ACQ477"/>
      <c r="ACR477"/>
      <c r="ACS477"/>
      <c r="ACT477"/>
      <c r="ACU477"/>
      <c r="ACV477"/>
      <c r="ACW477"/>
      <c r="ACX477"/>
      <c r="ACY477"/>
      <c r="ACZ477"/>
      <c r="ADA477"/>
      <c r="ADB477"/>
      <c r="ADC477"/>
      <c r="ADD477"/>
      <c r="ADE477"/>
      <c r="ADF477"/>
      <c r="ADG477"/>
      <c r="ADH477"/>
      <c r="ADI477"/>
      <c r="ADJ477"/>
      <c r="ADK477"/>
      <c r="ADL477"/>
      <c r="ADM477"/>
      <c r="ADN477"/>
      <c r="ADO477"/>
      <c r="ADP477"/>
      <c r="ADQ477"/>
      <c r="ADR477"/>
      <c r="ADS477"/>
      <c r="ADT477"/>
      <c r="ADU477"/>
      <c r="ADV477"/>
      <c r="ADW477"/>
      <c r="ADX477"/>
      <c r="ADY477"/>
      <c r="ADZ477"/>
      <c r="AEA477"/>
      <c r="AEB477"/>
      <c r="AEC477"/>
      <c r="AED477"/>
      <c r="AEE477"/>
      <c r="AEF477"/>
      <c r="AEG477"/>
      <c r="AEH477"/>
      <c r="AEI477"/>
      <c r="AEJ477"/>
      <c r="AEK477"/>
      <c r="AEL477"/>
      <c r="AEM477"/>
      <c r="AEN477"/>
      <c r="AEO477"/>
      <c r="AEP477"/>
      <c r="AEQ477"/>
      <c r="AER477"/>
      <c r="AES477"/>
      <c r="AET477"/>
      <c r="AEU477"/>
      <c r="AEV477"/>
      <c r="AEW477"/>
      <c r="AEX477"/>
      <c r="AEY477"/>
      <c r="AEZ477"/>
      <c r="AFA477"/>
      <c r="AFB477"/>
      <c r="AFC477"/>
      <c r="AFD477"/>
      <c r="AFE477"/>
      <c r="AFF477"/>
      <c r="AFG477"/>
      <c r="AFH477"/>
      <c r="AFI477"/>
      <c r="AFJ477"/>
      <c r="AFK477"/>
      <c r="AFL477"/>
      <c r="AFM477"/>
      <c r="AFN477"/>
      <c r="AFO477"/>
      <c r="AFP477"/>
      <c r="AFQ477"/>
      <c r="AFR477"/>
      <c r="AFS477"/>
      <c r="AFT477"/>
      <c r="AFU477"/>
      <c r="AFV477"/>
      <c r="AFW477"/>
      <c r="AFX477"/>
      <c r="AFY477"/>
      <c r="AFZ477"/>
      <c r="AGA477"/>
      <c r="AGB477"/>
      <c r="AGC477"/>
      <c r="AGD477"/>
      <c r="AGE477"/>
      <c r="AGF477"/>
      <c r="AGG477"/>
      <c r="AGH477"/>
      <c r="AGI477"/>
      <c r="AGJ477"/>
      <c r="AGK477"/>
      <c r="AGL477"/>
      <c r="AGM477"/>
      <c r="AGN477"/>
      <c r="AGO477"/>
      <c r="AGP477"/>
      <c r="AGQ477"/>
      <c r="AGR477"/>
      <c r="AGS477"/>
      <c r="AGT477"/>
      <c r="AGU477"/>
      <c r="AGV477"/>
      <c r="AGW477"/>
      <c r="AGX477"/>
      <c r="AGY477"/>
      <c r="AGZ477"/>
      <c r="AHA477"/>
      <c r="AHB477"/>
      <c r="AHC477"/>
      <c r="AHD477"/>
      <c r="AHE477"/>
      <c r="AHF477"/>
      <c r="AHG477"/>
      <c r="AHH477"/>
      <c r="AHI477"/>
      <c r="AHJ477"/>
      <c r="AHK477"/>
      <c r="AHL477"/>
      <c r="AHM477"/>
      <c r="AHN477"/>
      <c r="AHO477"/>
      <c r="AHP477"/>
      <c r="AHQ477"/>
      <c r="AHR477"/>
      <c r="AHS477"/>
      <c r="AHT477"/>
      <c r="AHU477"/>
      <c r="AHV477"/>
      <c r="AHW477"/>
      <c r="AHX477"/>
      <c r="AHY477"/>
      <c r="AHZ477"/>
      <c r="AIA477"/>
      <c r="AIB477"/>
      <c r="AIC477"/>
      <c r="AID477"/>
      <c r="AIE477"/>
      <c r="AIF477"/>
      <c r="AIG477"/>
      <c r="AIH477"/>
      <c r="AII477"/>
      <c r="AIJ477"/>
      <c r="AIK477"/>
      <c r="AIL477"/>
      <c r="AIM477"/>
      <c r="AIN477"/>
      <c r="AIO477"/>
      <c r="AIP477"/>
      <c r="AIQ477"/>
      <c r="AIR477"/>
      <c r="AIS477"/>
      <c r="AIT477"/>
      <c r="AIU477"/>
      <c r="AIV477"/>
      <c r="AIW477"/>
      <c r="AIX477"/>
      <c r="AIY477"/>
      <c r="AIZ477"/>
      <c r="AJA477"/>
      <c r="AJB477"/>
      <c r="AJC477"/>
      <c r="AJD477"/>
      <c r="AJE477"/>
      <c r="AJF477"/>
      <c r="AJG477"/>
      <c r="AJH477"/>
      <c r="AJI477"/>
      <c r="AJJ477"/>
      <c r="AJK477"/>
      <c r="AJL477"/>
      <c r="AJM477"/>
      <c r="AJN477"/>
      <c r="AJO477"/>
      <c r="AJP477"/>
      <c r="AJQ477"/>
      <c r="AJR477"/>
      <c r="AJS477"/>
      <c r="AJT477"/>
      <c r="AJU477"/>
      <c r="AJV477"/>
      <c r="AJW477"/>
      <c r="AJX477"/>
      <c r="AJY477"/>
      <c r="AJZ477"/>
      <c r="AKA477"/>
      <c r="AKB477"/>
      <c r="AKC477"/>
      <c r="AKD477"/>
      <c r="AKE477"/>
      <c r="AKF477"/>
      <c r="AKG477"/>
      <c r="AKH477"/>
      <c r="AKI477"/>
      <c r="AKJ477"/>
      <c r="AKK477"/>
      <c r="AKL477"/>
      <c r="AKM477"/>
      <c r="AKN477"/>
      <c r="AKO477"/>
      <c r="AKP477"/>
      <c r="AKQ477"/>
      <c r="AKR477"/>
      <c r="AKS477"/>
      <c r="AKT477"/>
      <c r="AKU477"/>
      <c r="AKV477"/>
      <c r="AKW477"/>
      <c r="AKX477"/>
      <c r="AKY477"/>
      <c r="AKZ477"/>
      <c r="ALA477"/>
      <c r="ALB477"/>
      <c r="ALC477"/>
      <c r="ALD477"/>
      <c r="ALE477"/>
      <c r="ALF477"/>
      <c r="ALG477"/>
      <c r="ALH477"/>
      <c r="ALI477"/>
      <c r="ALJ477"/>
      <c r="ALK477"/>
      <c r="ALL477"/>
      <c r="ALM477"/>
      <c r="ALN477"/>
      <c r="ALO477"/>
      <c r="ALP477"/>
      <c r="ALQ477"/>
      <c r="ALR477"/>
      <c r="ALS477"/>
      <c r="ALT477"/>
      <c r="ALU477"/>
      <c r="ALV477"/>
      <c r="ALW477"/>
      <c r="ALX477"/>
      <c r="ALY477"/>
      <c r="ALZ477"/>
      <c r="AMA477"/>
      <c r="AMB477"/>
      <c r="AMC477"/>
      <c r="AMD477"/>
      <c r="AME477"/>
      <c r="AMF477"/>
      <c r="AMG477"/>
      <c r="AMH477"/>
      <c r="AMI477"/>
      <c r="AMJ477"/>
    </row>
    <row r="478" spans="1:1024" ht="27.6">
      <c r="A478" s="7" t="s">
        <v>482</v>
      </c>
      <c r="B478" s="7">
        <v>620294</v>
      </c>
      <c r="C478" s="11"/>
      <c r="D478" s="12">
        <v>1.1666666666666701</v>
      </c>
      <c r="E478" s="7">
        <f>VLOOKUP(B478,Gesamtstunden_26!B:I,8,0)</f>
        <v>4.833333333333333</v>
      </c>
      <c r="F478" s="13">
        <f t="shared" si="7"/>
        <v>-3.666666666666663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  <c r="BB478" s="11"/>
      <c r="BC478" s="11"/>
      <c r="BD478" s="11"/>
      <c r="BE478" s="11"/>
      <c r="BF478" s="11"/>
      <c r="BG478" s="11"/>
      <c r="BH478" s="11"/>
      <c r="BI478" s="11"/>
      <c r="BJ478" s="11"/>
      <c r="BK478" s="11"/>
      <c r="BL478" s="11"/>
      <c r="BM478" s="11"/>
      <c r="BN478" s="11"/>
      <c r="BO478" s="11"/>
      <c r="BP478" s="11"/>
      <c r="BQ478" s="11"/>
      <c r="BR478" s="11"/>
      <c r="BS478" s="11"/>
      <c r="BT478" s="11"/>
      <c r="BU478" s="11"/>
      <c r="BV478" s="11"/>
      <c r="BW478" s="11"/>
      <c r="BX478" s="11"/>
      <c r="BY478" s="11"/>
      <c r="BZ478" s="11"/>
      <c r="CA478" s="11"/>
      <c r="CB478" s="11"/>
      <c r="CC478" s="11"/>
      <c r="CD478" s="11"/>
      <c r="CE478" s="11"/>
      <c r="CF478" s="11"/>
      <c r="CG478" s="11"/>
      <c r="CH478" s="11"/>
      <c r="CI478" s="11"/>
      <c r="CJ478" s="11"/>
      <c r="CK478" s="11"/>
      <c r="CL478" s="11"/>
      <c r="CM478" s="11"/>
      <c r="CN478" s="11"/>
      <c r="CO478" s="11"/>
      <c r="CP478" s="11"/>
      <c r="CQ478" s="11"/>
      <c r="CR478" s="11"/>
      <c r="CS478" s="11"/>
      <c r="CT478" s="11"/>
      <c r="CU478" s="11"/>
      <c r="CV478" s="11"/>
      <c r="CW478" s="11"/>
      <c r="CX478" s="11"/>
      <c r="CY478" s="11"/>
      <c r="CZ478" s="11"/>
      <c r="DA478" s="11"/>
      <c r="DB478" s="11"/>
      <c r="DC478" s="11"/>
      <c r="DD478" s="11"/>
      <c r="DE478" s="11"/>
      <c r="DF478" s="11"/>
      <c r="DG478" s="11"/>
      <c r="DH478" s="11"/>
      <c r="DI478" s="11"/>
      <c r="DJ478" s="11"/>
      <c r="DK478" s="11"/>
      <c r="DL478" s="11"/>
      <c r="DM478" s="11"/>
      <c r="DN478" s="11"/>
      <c r="DO478" s="11"/>
      <c r="DP478" s="11"/>
      <c r="DQ478" s="11"/>
      <c r="DR478" s="11"/>
      <c r="DS478" s="11"/>
      <c r="DT478" s="11"/>
      <c r="DU478" s="11"/>
      <c r="DV478" s="11"/>
      <c r="DW478" s="11"/>
      <c r="DX478" s="11"/>
      <c r="DY478" s="11"/>
      <c r="DZ478" s="11"/>
      <c r="EA478" s="11"/>
      <c r="EB478" s="11"/>
      <c r="EC478" s="11"/>
      <c r="ED478" s="11"/>
      <c r="EE478" s="11"/>
      <c r="EF478" s="11"/>
      <c r="EG478" s="11"/>
      <c r="EH478" s="11"/>
      <c r="EI478" s="11"/>
      <c r="EJ478" s="11"/>
      <c r="EK478" s="11"/>
      <c r="EL478" s="11"/>
      <c r="EM478" s="11"/>
      <c r="EN478" s="11"/>
      <c r="EO478" s="11"/>
      <c r="EP478" s="11"/>
      <c r="EQ478" s="11"/>
      <c r="ER478" s="11"/>
      <c r="ES478" s="11"/>
      <c r="ET478" s="11"/>
      <c r="EU478" s="11"/>
      <c r="EV478" s="11"/>
      <c r="EW478" s="11"/>
      <c r="EX478" s="11"/>
      <c r="EY478" s="11"/>
      <c r="EZ478" s="11"/>
      <c r="FA478" s="11"/>
      <c r="FB478" s="11"/>
      <c r="FC478" s="11"/>
      <c r="FD478" s="11"/>
      <c r="FE478" s="11"/>
      <c r="FF478" s="11"/>
      <c r="FG478" s="11"/>
      <c r="FH478" s="11"/>
      <c r="FI478" s="11"/>
      <c r="FJ478" s="11"/>
      <c r="FK478" s="11"/>
      <c r="FL478" s="11"/>
      <c r="FM478" s="11"/>
      <c r="FN478" s="11"/>
      <c r="FO478" s="11"/>
      <c r="FP478" s="11"/>
      <c r="FQ478" s="11"/>
      <c r="FR478" s="11"/>
      <c r="FS478" s="11"/>
      <c r="FT478" s="11"/>
      <c r="FU478" s="11"/>
      <c r="FV478" s="11"/>
      <c r="FW478" s="11"/>
      <c r="FX478" s="11"/>
      <c r="FY478" s="11"/>
      <c r="FZ478" s="11"/>
      <c r="GA478" s="11"/>
      <c r="GB478" s="11"/>
      <c r="GC478" s="11"/>
      <c r="GD478" s="11"/>
      <c r="GE478" s="11"/>
      <c r="GF478" s="11"/>
      <c r="GG478" s="11"/>
      <c r="GH478" s="11"/>
      <c r="GI478" s="11"/>
      <c r="GJ478" s="11"/>
      <c r="GK478" s="11"/>
      <c r="GL478" s="11"/>
      <c r="GM478" s="11"/>
      <c r="GN478" s="11"/>
      <c r="GO478" s="11"/>
      <c r="GP478" s="11"/>
      <c r="GQ478" s="11"/>
      <c r="GR478" s="11"/>
      <c r="GS478" s="11"/>
      <c r="GT478" s="11"/>
      <c r="GU478" s="11"/>
      <c r="GV478" s="11"/>
      <c r="GW478" s="11"/>
      <c r="GX478" s="11"/>
      <c r="GY478" s="11"/>
      <c r="GZ478" s="11"/>
      <c r="HA478" s="11"/>
      <c r="HB478" s="11"/>
      <c r="HC478" s="11"/>
      <c r="HD478" s="11"/>
      <c r="HE478" s="11"/>
      <c r="HF478" s="11"/>
      <c r="HG478" s="11"/>
      <c r="HH478" s="11"/>
      <c r="HI478" s="11"/>
      <c r="HJ478" s="11"/>
      <c r="HK478" s="11"/>
      <c r="HL478" s="11"/>
      <c r="HM478" s="11"/>
      <c r="HN478" s="11"/>
      <c r="HO478" s="11"/>
      <c r="HP478" s="11"/>
      <c r="HQ478" s="11"/>
      <c r="HR478" s="11"/>
      <c r="HS478" s="11"/>
      <c r="HT478" s="11"/>
      <c r="HU478" s="11"/>
      <c r="HV478" s="11"/>
      <c r="HW478" s="11"/>
      <c r="HX478" s="11"/>
      <c r="HY478" s="11"/>
      <c r="HZ478" s="11"/>
      <c r="IA478" s="11"/>
      <c r="IB478" s="11"/>
      <c r="IC478" s="11"/>
      <c r="ID478" s="11"/>
      <c r="IE478" s="11"/>
      <c r="IF478" s="11"/>
      <c r="IG478" s="11"/>
      <c r="IH478" s="11"/>
      <c r="II478" s="11"/>
      <c r="IJ478" s="11"/>
      <c r="IK478" s="11"/>
      <c r="IL478" s="11"/>
      <c r="IM478" s="11"/>
      <c r="IN478" s="11"/>
      <c r="IO478" s="11"/>
      <c r="IP478" s="11"/>
      <c r="IQ478" s="11"/>
      <c r="IR478" s="11"/>
      <c r="IS478" s="11"/>
      <c r="IT478" s="11"/>
      <c r="IU478" s="11"/>
      <c r="IV478" s="11"/>
      <c r="IW478" s="11"/>
      <c r="IX478" s="11"/>
      <c r="IY478" s="11"/>
      <c r="IZ478" s="11"/>
      <c r="JA478" s="11"/>
      <c r="JB478" s="11"/>
      <c r="JC478" s="11"/>
      <c r="JD478" s="11"/>
      <c r="JE478" s="11"/>
      <c r="JF478" s="11"/>
      <c r="JG478" s="11"/>
      <c r="JH478" s="11"/>
      <c r="JI478" s="11"/>
      <c r="JJ478" s="11"/>
      <c r="JK478" s="11"/>
      <c r="JL478" s="11"/>
      <c r="JM478" s="11"/>
      <c r="JN478" s="11"/>
      <c r="JO478" s="11"/>
      <c r="JP478" s="11"/>
      <c r="JQ478" s="11"/>
      <c r="JR478" s="11"/>
      <c r="JS478" s="11"/>
      <c r="JT478" s="11"/>
      <c r="JU478" s="11"/>
      <c r="JV478" s="11"/>
      <c r="JW478" s="11"/>
      <c r="JX478" s="11"/>
      <c r="JY478" s="11"/>
      <c r="JZ478" s="11"/>
      <c r="KA478" s="11"/>
      <c r="KB478" s="11"/>
      <c r="KC478" s="11"/>
      <c r="KD478" s="11"/>
      <c r="KE478" s="11"/>
      <c r="KF478" s="11"/>
      <c r="KG478" s="11"/>
      <c r="KH478" s="11"/>
      <c r="KI478" s="11"/>
      <c r="KJ478" s="11"/>
      <c r="KK478" s="11"/>
      <c r="KL478" s="11"/>
      <c r="KM478" s="11"/>
      <c r="KN478" s="11"/>
      <c r="KO478" s="11"/>
      <c r="KP478" s="11"/>
      <c r="KQ478" s="11"/>
      <c r="KR478" s="11"/>
      <c r="KS478" s="11"/>
      <c r="KT478" s="11"/>
      <c r="KU478" s="11"/>
      <c r="KV478" s="11"/>
      <c r="KW478" s="11"/>
      <c r="KX478" s="11"/>
      <c r="KY478" s="11"/>
      <c r="KZ478" s="11"/>
      <c r="LA478" s="11"/>
      <c r="LB478" s="11"/>
      <c r="LC478" s="11"/>
      <c r="LD478" s="11"/>
      <c r="LE478" s="11"/>
      <c r="LF478" s="11"/>
      <c r="LG478" s="11"/>
      <c r="LH478" s="11"/>
      <c r="LI478" s="11"/>
      <c r="LJ478" s="11"/>
      <c r="LK478" s="11"/>
      <c r="LL478" s="11"/>
      <c r="LM478" s="11"/>
      <c r="LN478" s="11"/>
      <c r="LO478" s="11"/>
      <c r="LP478" s="11"/>
      <c r="LQ478" s="11"/>
      <c r="LR478" s="11"/>
      <c r="LS478" s="11"/>
      <c r="LT478" s="11"/>
      <c r="LU478" s="11"/>
      <c r="LV478" s="11"/>
      <c r="LW478" s="11"/>
      <c r="LX478" s="11"/>
      <c r="LY478" s="11"/>
      <c r="LZ478" s="11"/>
      <c r="MA478" s="11"/>
      <c r="MB478" s="11"/>
      <c r="MC478" s="11"/>
      <c r="MD478" s="11"/>
      <c r="ME478" s="11"/>
      <c r="MF478" s="11"/>
      <c r="MG478" s="11"/>
      <c r="MH478" s="11"/>
      <c r="MI478" s="11"/>
      <c r="MJ478" s="11"/>
      <c r="MK478" s="11"/>
      <c r="ML478" s="11"/>
      <c r="MM478" s="11"/>
      <c r="MN478" s="11"/>
      <c r="MO478" s="11"/>
      <c r="MP478" s="11"/>
      <c r="MQ478" s="11"/>
      <c r="MR478" s="11"/>
      <c r="MS478" s="11"/>
      <c r="MT478" s="11"/>
      <c r="MU478" s="11"/>
      <c r="MV478" s="11"/>
      <c r="MW478" s="11"/>
      <c r="MX478" s="11"/>
      <c r="MY478" s="11"/>
      <c r="MZ478" s="11"/>
      <c r="NA478" s="11"/>
      <c r="NB478" s="11"/>
      <c r="NC478" s="11"/>
      <c r="ND478" s="11"/>
      <c r="NE478" s="11"/>
      <c r="NF478" s="11"/>
      <c r="NG478" s="11"/>
      <c r="NH478" s="11"/>
      <c r="NI478" s="11"/>
      <c r="NJ478" s="11"/>
      <c r="NK478" s="11"/>
      <c r="NL478" s="11"/>
      <c r="NM478" s="11"/>
      <c r="NN478" s="11"/>
      <c r="NO478" s="11"/>
      <c r="NP478" s="11"/>
      <c r="NQ478" s="11"/>
      <c r="NR478" s="11"/>
      <c r="NS478" s="11"/>
      <c r="NT478" s="11"/>
      <c r="NU478" s="11"/>
      <c r="NV478" s="11"/>
      <c r="NW478" s="11"/>
      <c r="NX478" s="11"/>
      <c r="NY478" s="11"/>
      <c r="NZ478" s="11"/>
      <c r="OA478" s="11"/>
      <c r="OB478" s="11"/>
      <c r="OC478" s="11"/>
      <c r="OD478" s="11"/>
      <c r="OE478" s="11"/>
      <c r="OF478" s="11"/>
      <c r="OG478" s="11"/>
      <c r="OH478" s="11"/>
      <c r="OI478" s="11"/>
      <c r="OJ478" s="11"/>
      <c r="OK478" s="11"/>
      <c r="OL478" s="11"/>
      <c r="OM478" s="11"/>
      <c r="ON478" s="11"/>
      <c r="OO478" s="11"/>
      <c r="OP478" s="11"/>
      <c r="OQ478" s="11"/>
      <c r="OR478" s="11"/>
      <c r="OS478" s="11"/>
      <c r="OT478" s="11"/>
      <c r="OU478" s="11"/>
      <c r="OV478" s="11"/>
      <c r="OW478" s="11"/>
      <c r="OX478" s="11"/>
      <c r="OY478" s="11"/>
      <c r="OZ478" s="11"/>
      <c r="PA478" s="11"/>
      <c r="PB478" s="11"/>
      <c r="PC478" s="11"/>
      <c r="PD478" s="11"/>
      <c r="PE478" s="11"/>
      <c r="PF478" s="11"/>
      <c r="PG478" s="11"/>
      <c r="PH478" s="11"/>
      <c r="PI478" s="11"/>
      <c r="PJ478" s="11"/>
      <c r="PK478" s="11"/>
      <c r="PL478" s="11"/>
      <c r="PM478" s="11"/>
      <c r="PN478" s="11"/>
      <c r="PO478" s="11"/>
      <c r="PP478" s="11"/>
      <c r="PQ478" s="11"/>
      <c r="PR478" s="11"/>
      <c r="PS478" s="11"/>
      <c r="PT478" s="11"/>
      <c r="PU478" s="11"/>
      <c r="PV478" s="11"/>
      <c r="PW478" s="11"/>
      <c r="PX478" s="11"/>
      <c r="PY478" s="11"/>
      <c r="PZ478" s="11"/>
      <c r="QA478" s="11"/>
      <c r="QB478" s="11"/>
      <c r="QC478" s="11"/>
      <c r="QD478" s="11"/>
      <c r="QE478" s="11"/>
      <c r="QF478" s="11"/>
      <c r="QG478" s="11"/>
      <c r="QH478" s="11"/>
      <c r="QI478" s="11"/>
      <c r="QJ478" s="11"/>
      <c r="QK478" s="11"/>
      <c r="QL478" s="11"/>
      <c r="QM478" s="11"/>
      <c r="QN478" s="11"/>
      <c r="QO478" s="11"/>
      <c r="QP478" s="11"/>
      <c r="QQ478" s="11"/>
      <c r="QR478" s="11"/>
      <c r="QS478" s="11"/>
      <c r="QT478" s="11"/>
      <c r="QU478" s="11"/>
      <c r="QV478" s="11"/>
      <c r="QW478" s="11"/>
      <c r="QX478" s="11"/>
      <c r="QY478" s="11"/>
      <c r="QZ478" s="11"/>
      <c r="RA478" s="11"/>
      <c r="RB478" s="11"/>
      <c r="RC478" s="11"/>
      <c r="RD478" s="11"/>
      <c r="RE478" s="11"/>
      <c r="RF478" s="11"/>
      <c r="RG478" s="11"/>
      <c r="RH478" s="11"/>
      <c r="RI478" s="11"/>
      <c r="RJ478" s="11"/>
      <c r="RK478" s="11"/>
      <c r="RL478" s="11"/>
      <c r="RM478" s="11"/>
      <c r="RN478" s="11"/>
      <c r="RO478" s="11"/>
      <c r="RP478" s="11"/>
      <c r="RQ478" s="11"/>
      <c r="RR478" s="11"/>
      <c r="RS478" s="11"/>
      <c r="RT478" s="11"/>
      <c r="RU478" s="11"/>
      <c r="RV478" s="11"/>
      <c r="RW478" s="11"/>
      <c r="RX478" s="11"/>
      <c r="RY478" s="11"/>
      <c r="RZ478" s="11"/>
      <c r="SA478" s="11"/>
      <c r="SB478" s="11"/>
      <c r="SC478" s="11"/>
      <c r="SD478" s="11"/>
      <c r="SE478" s="11"/>
      <c r="SF478" s="11"/>
      <c r="SG478" s="11"/>
      <c r="SH478" s="11"/>
      <c r="SI478" s="11"/>
      <c r="SJ478" s="11"/>
      <c r="SK478" s="11"/>
      <c r="SL478" s="11"/>
      <c r="SM478" s="11"/>
      <c r="SN478" s="11"/>
      <c r="SO478" s="11"/>
      <c r="SP478" s="11"/>
      <c r="SQ478" s="11"/>
      <c r="SR478" s="11"/>
      <c r="SS478" s="11"/>
      <c r="ST478" s="11"/>
      <c r="SU478" s="11"/>
      <c r="SV478" s="11"/>
      <c r="SW478" s="11"/>
      <c r="SX478" s="11"/>
      <c r="SY478" s="11"/>
      <c r="SZ478" s="11"/>
      <c r="TA478" s="11"/>
      <c r="TB478" s="11"/>
      <c r="TC478" s="11"/>
      <c r="TD478" s="11"/>
      <c r="TE478" s="11"/>
      <c r="TF478" s="11"/>
      <c r="TG478" s="11"/>
      <c r="TH478" s="11"/>
      <c r="TI478" s="11"/>
      <c r="TJ478" s="11"/>
      <c r="TK478" s="11"/>
      <c r="TL478" s="11"/>
      <c r="TM478" s="11"/>
      <c r="TN478" s="11"/>
      <c r="TO478" s="11"/>
      <c r="TP478" s="11"/>
      <c r="TQ478" s="11"/>
      <c r="TR478" s="11"/>
      <c r="TS478" s="11"/>
      <c r="TT478" s="11"/>
      <c r="TU478" s="11"/>
      <c r="TV478" s="11"/>
      <c r="TW478" s="11"/>
      <c r="TX478" s="11"/>
      <c r="TY478" s="11"/>
      <c r="TZ478" s="11"/>
      <c r="UA478" s="11"/>
      <c r="UB478" s="11"/>
      <c r="UC478" s="11"/>
      <c r="UD478" s="11"/>
      <c r="UE478" s="11"/>
      <c r="UF478" s="11"/>
      <c r="UG478" s="11"/>
      <c r="UH478" s="11"/>
      <c r="UI478" s="11"/>
      <c r="UJ478" s="11"/>
      <c r="UK478" s="11"/>
      <c r="UL478" s="11"/>
      <c r="UM478" s="11"/>
      <c r="UN478" s="11"/>
      <c r="UO478" s="11"/>
      <c r="UP478" s="11"/>
      <c r="UQ478" s="11"/>
      <c r="UR478" s="11"/>
      <c r="US478" s="11"/>
      <c r="UT478" s="11"/>
      <c r="UU478" s="11"/>
      <c r="UV478" s="11"/>
      <c r="UW478" s="11"/>
      <c r="UX478" s="11"/>
      <c r="UY478" s="11"/>
      <c r="UZ478" s="11"/>
      <c r="VA478" s="11"/>
      <c r="VB478" s="11"/>
      <c r="VC478" s="11"/>
      <c r="VD478" s="11"/>
      <c r="VE478" s="11"/>
      <c r="VF478" s="11"/>
      <c r="VG478" s="11"/>
      <c r="VH478" s="11"/>
      <c r="VI478" s="11"/>
      <c r="VJ478" s="11"/>
      <c r="VK478" s="11"/>
      <c r="VL478" s="11"/>
      <c r="VM478" s="11"/>
      <c r="VN478" s="11"/>
      <c r="VO478" s="11"/>
      <c r="VP478" s="11"/>
      <c r="VQ478" s="11"/>
      <c r="VR478" s="11"/>
      <c r="VS478" s="11"/>
      <c r="VT478" s="11"/>
      <c r="VU478" s="11"/>
      <c r="VV478" s="11"/>
      <c r="VW478" s="11"/>
      <c r="VX478" s="11"/>
      <c r="VY478" s="11"/>
      <c r="VZ478" s="11"/>
      <c r="WA478" s="11"/>
      <c r="WB478" s="11"/>
      <c r="WC478" s="11"/>
      <c r="WD478" s="11"/>
      <c r="WE478" s="11"/>
      <c r="WF478" s="11"/>
      <c r="WG478" s="11"/>
      <c r="WH478" s="11"/>
      <c r="WI478" s="11"/>
      <c r="WJ478" s="11"/>
      <c r="WK478" s="11"/>
      <c r="WL478" s="11"/>
      <c r="WM478" s="11"/>
      <c r="WN478" s="11"/>
      <c r="WO478" s="11"/>
      <c r="WP478" s="11"/>
      <c r="WQ478" s="11"/>
      <c r="WR478" s="11"/>
      <c r="WS478" s="11"/>
      <c r="WT478" s="11"/>
      <c r="WU478" s="11"/>
      <c r="WV478" s="11"/>
      <c r="WW478" s="11"/>
      <c r="WX478" s="11"/>
      <c r="WY478" s="11"/>
      <c r="WZ478" s="11"/>
      <c r="XA478" s="11"/>
      <c r="XB478" s="11"/>
      <c r="XC478" s="11"/>
      <c r="XD478" s="11"/>
      <c r="XE478" s="11"/>
      <c r="XF478" s="11"/>
      <c r="XG478" s="11"/>
      <c r="XH478" s="11"/>
      <c r="XI478" s="11"/>
      <c r="XJ478" s="11"/>
      <c r="XK478" s="11"/>
      <c r="XL478" s="11"/>
      <c r="XM478" s="11"/>
      <c r="XN478" s="11"/>
      <c r="XO478" s="11"/>
      <c r="XP478" s="11"/>
      <c r="XQ478" s="11"/>
      <c r="XR478" s="11"/>
      <c r="XS478" s="11"/>
      <c r="XT478" s="11"/>
      <c r="XU478" s="11"/>
      <c r="XV478" s="11"/>
      <c r="XW478" s="11"/>
      <c r="XX478" s="11"/>
      <c r="XY478" s="11"/>
      <c r="XZ478" s="11"/>
      <c r="YA478" s="11"/>
      <c r="YB478" s="11"/>
      <c r="YC478" s="11"/>
      <c r="YD478" s="11"/>
      <c r="YE478" s="11"/>
      <c r="YF478" s="11"/>
      <c r="YG478" s="11"/>
      <c r="YH478" s="11"/>
      <c r="YI478" s="11"/>
      <c r="YJ478" s="11"/>
      <c r="YK478" s="11"/>
      <c r="YL478" s="11"/>
      <c r="YM478" s="11"/>
      <c r="YN478" s="11"/>
      <c r="YO478" s="11"/>
      <c r="YP478" s="11"/>
      <c r="YQ478" s="11"/>
      <c r="YR478" s="11"/>
      <c r="YS478" s="11"/>
      <c r="YT478" s="11"/>
      <c r="YU478" s="11"/>
      <c r="YV478" s="11"/>
      <c r="YW478" s="11"/>
      <c r="YX478" s="11"/>
      <c r="YY478" s="11"/>
      <c r="YZ478" s="11"/>
      <c r="ZA478" s="11"/>
      <c r="ZB478" s="11"/>
      <c r="ZC478" s="11"/>
      <c r="ZD478" s="11"/>
      <c r="ZE478" s="11"/>
      <c r="ZF478" s="11"/>
      <c r="ZG478" s="11"/>
      <c r="ZH478" s="11"/>
      <c r="ZI478" s="11"/>
      <c r="ZJ478" s="11"/>
      <c r="ZK478" s="11"/>
      <c r="ZL478" s="11"/>
      <c r="ZM478" s="11"/>
      <c r="ZN478" s="11"/>
      <c r="ZO478" s="11"/>
      <c r="ZP478" s="11"/>
      <c r="ZQ478" s="11"/>
      <c r="ZR478" s="11"/>
      <c r="ZS478" s="11"/>
      <c r="ZT478" s="11"/>
      <c r="ZU478" s="11"/>
      <c r="ZV478" s="11"/>
      <c r="ZW478" s="11"/>
      <c r="ZX478" s="11"/>
      <c r="ZY478" s="11"/>
      <c r="ZZ478" s="11"/>
      <c r="AAA478" s="11"/>
      <c r="AAB478" s="11"/>
      <c r="AAC478" s="11"/>
      <c r="AAD478" s="11"/>
      <c r="AAE478" s="11"/>
      <c r="AAF478" s="11"/>
      <c r="AAG478" s="11"/>
      <c r="AAH478" s="11"/>
      <c r="AAI478" s="11"/>
      <c r="AAJ478" s="11"/>
      <c r="AAK478" s="11"/>
      <c r="AAL478" s="11"/>
      <c r="AAM478" s="11"/>
      <c r="AAN478" s="11"/>
      <c r="AAO478" s="11"/>
      <c r="AAP478" s="11"/>
      <c r="AAQ478" s="11"/>
      <c r="AAR478" s="11"/>
      <c r="AAS478" s="11"/>
      <c r="AAT478" s="11"/>
      <c r="AAU478" s="11"/>
      <c r="AAV478" s="11"/>
      <c r="AAW478" s="11"/>
      <c r="AAX478" s="11"/>
      <c r="AAY478" s="11"/>
      <c r="AAZ478" s="11"/>
      <c r="ABA478" s="11"/>
      <c r="ABB478" s="11"/>
      <c r="ABC478" s="11"/>
      <c r="ABD478" s="11"/>
      <c r="ABE478" s="11"/>
      <c r="ABF478" s="11"/>
      <c r="ABG478" s="11"/>
      <c r="ABH478" s="11"/>
      <c r="ABI478" s="11"/>
      <c r="ABJ478" s="11"/>
      <c r="ABK478" s="11"/>
      <c r="ABL478" s="11"/>
      <c r="ABM478" s="11"/>
      <c r="ABN478" s="11"/>
      <c r="ABO478" s="11"/>
      <c r="ABP478" s="11"/>
      <c r="ABQ478" s="11"/>
      <c r="ABR478" s="11"/>
      <c r="ABS478" s="11"/>
      <c r="ABT478" s="11"/>
      <c r="ABU478" s="11"/>
      <c r="ABV478" s="11"/>
      <c r="ABW478" s="11"/>
      <c r="ABX478" s="11"/>
      <c r="ABY478" s="11"/>
      <c r="ABZ478" s="11"/>
      <c r="ACA478" s="11"/>
      <c r="ACB478" s="11"/>
      <c r="ACC478" s="11"/>
      <c r="ACD478" s="11"/>
      <c r="ACE478" s="11"/>
      <c r="ACF478" s="11"/>
      <c r="ACG478" s="11"/>
      <c r="ACH478" s="11"/>
      <c r="ACI478" s="11"/>
      <c r="ACJ478" s="11"/>
      <c r="ACK478" s="11"/>
      <c r="ACL478" s="11"/>
      <c r="ACM478" s="11"/>
      <c r="ACN478" s="11"/>
      <c r="ACO478" s="11"/>
      <c r="ACP478" s="11"/>
      <c r="ACQ478" s="11"/>
      <c r="ACR478" s="11"/>
      <c r="ACS478" s="11"/>
      <c r="ACT478" s="11"/>
      <c r="ACU478" s="11"/>
      <c r="ACV478" s="11"/>
      <c r="ACW478" s="11"/>
      <c r="ACX478" s="11"/>
      <c r="ACY478" s="11"/>
      <c r="ACZ478" s="11"/>
      <c r="ADA478" s="11"/>
      <c r="ADB478" s="11"/>
      <c r="ADC478" s="11"/>
      <c r="ADD478" s="11"/>
      <c r="ADE478" s="11"/>
      <c r="ADF478" s="11"/>
      <c r="ADG478" s="11"/>
      <c r="ADH478" s="11"/>
      <c r="ADI478" s="11"/>
      <c r="ADJ478" s="11"/>
      <c r="ADK478" s="11"/>
      <c r="ADL478" s="11"/>
      <c r="ADM478" s="11"/>
      <c r="ADN478" s="11"/>
      <c r="ADO478" s="11"/>
      <c r="ADP478" s="11"/>
      <c r="ADQ478" s="11"/>
      <c r="ADR478" s="11"/>
      <c r="ADS478" s="11"/>
      <c r="ADT478" s="11"/>
      <c r="ADU478" s="11"/>
      <c r="ADV478" s="11"/>
      <c r="ADW478" s="11"/>
      <c r="ADX478" s="11"/>
      <c r="ADY478" s="11"/>
      <c r="ADZ478" s="11"/>
      <c r="AEA478" s="11"/>
      <c r="AEB478" s="11"/>
      <c r="AEC478" s="11"/>
      <c r="AED478" s="11"/>
      <c r="AEE478" s="11"/>
      <c r="AEF478" s="11"/>
      <c r="AEG478" s="11"/>
      <c r="AEH478" s="11"/>
      <c r="AEI478" s="11"/>
      <c r="AEJ478" s="11"/>
      <c r="AEK478" s="11"/>
      <c r="AEL478" s="11"/>
      <c r="AEM478" s="11"/>
      <c r="AEN478" s="11"/>
      <c r="AEO478" s="11"/>
      <c r="AEP478" s="11"/>
      <c r="AEQ478" s="11"/>
      <c r="AER478" s="11"/>
      <c r="AES478" s="11"/>
      <c r="AET478" s="11"/>
      <c r="AEU478" s="11"/>
      <c r="AEV478" s="11"/>
      <c r="AEW478" s="11"/>
      <c r="AEX478" s="11"/>
      <c r="AEY478" s="11"/>
      <c r="AEZ478" s="11"/>
      <c r="AFA478" s="11"/>
      <c r="AFB478" s="11"/>
      <c r="AFC478" s="11"/>
      <c r="AFD478" s="11"/>
      <c r="AFE478" s="11"/>
      <c r="AFF478" s="11"/>
      <c r="AFG478" s="11"/>
      <c r="AFH478" s="11"/>
      <c r="AFI478" s="11"/>
      <c r="AFJ478" s="11"/>
      <c r="AFK478" s="11"/>
      <c r="AFL478" s="11"/>
      <c r="AFM478" s="11"/>
      <c r="AFN478" s="11"/>
      <c r="AFO478" s="11"/>
      <c r="AFP478" s="11"/>
      <c r="AFQ478" s="11"/>
      <c r="AFR478" s="11"/>
      <c r="AFS478" s="11"/>
      <c r="AFT478" s="11"/>
      <c r="AFU478" s="11"/>
      <c r="AFV478" s="11"/>
      <c r="AFW478" s="11"/>
      <c r="AFX478" s="11"/>
      <c r="AFY478" s="11"/>
      <c r="AFZ478" s="11"/>
      <c r="AGA478" s="11"/>
      <c r="AGB478" s="11"/>
      <c r="AGC478" s="11"/>
      <c r="AGD478" s="11"/>
      <c r="AGE478" s="11"/>
      <c r="AGF478" s="11"/>
      <c r="AGG478" s="11"/>
      <c r="AGH478" s="11"/>
      <c r="AGI478" s="11"/>
      <c r="AGJ478" s="11"/>
      <c r="AGK478" s="11"/>
      <c r="AGL478" s="11"/>
      <c r="AGM478" s="11"/>
      <c r="AGN478" s="11"/>
      <c r="AGO478" s="11"/>
      <c r="AGP478" s="11"/>
      <c r="AGQ478" s="11"/>
      <c r="AGR478" s="11"/>
      <c r="AGS478" s="11"/>
      <c r="AGT478" s="11"/>
      <c r="AGU478" s="11"/>
      <c r="AGV478" s="11"/>
      <c r="AGW478" s="11"/>
      <c r="AGX478" s="11"/>
      <c r="AGY478" s="11"/>
      <c r="AGZ478" s="11"/>
      <c r="AHA478" s="11"/>
      <c r="AHB478" s="11"/>
      <c r="AHC478" s="11"/>
      <c r="AHD478" s="11"/>
      <c r="AHE478" s="11"/>
      <c r="AHF478" s="11"/>
      <c r="AHG478" s="11"/>
      <c r="AHH478" s="11"/>
      <c r="AHI478" s="11"/>
      <c r="AHJ478" s="11"/>
      <c r="AHK478" s="11"/>
      <c r="AHL478" s="11"/>
      <c r="AHM478" s="11"/>
      <c r="AHN478" s="11"/>
      <c r="AHO478" s="11"/>
      <c r="AHP478" s="11"/>
      <c r="AHQ478" s="11"/>
      <c r="AHR478" s="11"/>
      <c r="AHS478" s="11"/>
      <c r="AHT478" s="11"/>
      <c r="AHU478" s="11"/>
      <c r="AHV478" s="11"/>
      <c r="AHW478" s="11"/>
      <c r="AHX478" s="11"/>
      <c r="AHY478" s="11"/>
      <c r="AHZ478" s="11"/>
      <c r="AIA478" s="11"/>
      <c r="AIB478" s="11"/>
      <c r="AIC478" s="11"/>
      <c r="AID478" s="11"/>
      <c r="AIE478" s="11"/>
      <c r="AIF478" s="11"/>
      <c r="AIG478" s="11"/>
      <c r="AIH478" s="11"/>
      <c r="AII478" s="11"/>
      <c r="AIJ478" s="11"/>
      <c r="AIK478" s="11"/>
      <c r="AIL478" s="11"/>
      <c r="AIM478" s="11"/>
      <c r="AIN478" s="11"/>
      <c r="AIO478" s="11"/>
      <c r="AIP478" s="11"/>
      <c r="AIQ478" s="11"/>
      <c r="AIR478" s="11"/>
      <c r="AIS478" s="11"/>
      <c r="AIT478" s="11"/>
      <c r="AIU478" s="11"/>
      <c r="AIV478" s="11"/>
      <c r="AIW478" s="11"/>
      <c r="AIX478" s="11"/>
      <c r="AIY478" s="11"/>
      <c r="AIZ478" s="11"/>
      <c r="AJA478" s="11"/>
      <c r="AJB478" s="11"/>
      <c r="AJC478" s="11"/>
      <c r="AJD478" s="11"/>
      <c r="AJE478" s="11"/>
      <c r="AJF478" s="11"/>
      <c r="AJG478" s="11"/>
      <c r="AJH478" s="11"/>
      <c r="AJI478" s="11"/>
      <c r="AJJ478" s="11"/>
      <c r="AJK478" s="11"/>
      <c r="AJL478" s="11"/>
      <c r="AJM478" s="11"/>
      <c r="AJN478" s="11"/>
      <c r="AJO478" s="11"/>
      <c r="AJP478" s="11"/>
      <c r="AJQ478" s="11"/>
      <c r="AJR478" s="11"/>
      <c r="AJS478" s="11"/>
      <c r="AJT478" s="11"/>
      <c r="AJU478" s="11"/>
      <c r="AJV478" s="11"/>
      <c r="AJW478" s="11"/>
      <c r="AJX478" s="11"/>
      <c r="AJY478" s="11"/>
      <c r="AJZ478" s="11"/>
      <c r="AKA478" s="11"/>
      <c r="AKB478" s="11"/>
      <c r="AKC478" s="11"/>
      <c r="AKD478" s="11"/>
      <c r="AKE478" s="11"/>
      <c r="AKF478" s="11"/>
      <c r="AKG478" s="11"/>
      <c r="AKH478" s="11"/>
      <c r="AKI478" s="11"/>
      <c r="AKJ478" s="11"/>
      <c r="AKK478" s="11"/>
      <c r="AKL478" s="11"/>
      <c r="AKM478" s="11"/>
      <c r="AKN478" s="11"/>
      <c r="AKO478" s="11"/>
      <c r="AKP478" s="11"/>
      <c r="AKQ478" s="11"/>
      <c r="AKR478" s="11"/>
      <c r="AKS478" s="11"/>
      <c r="AKT478" s="11"/>
      <c r="AKU478" s="11"/>
      <c r="AKV478" s="11"/>
      <c r="AKW478" s="11"/>
      <c r="AKX478" s="11"/>
      <c r="AKY478" s="11"/>
      <c r="AKZ478" s="11"/>
      <c r="ALA478" s="11"/>
      <c r="ALB478" s="11"/>
      <c r="ALC478" s="11"/>
      <c r="ALD478" s="11"/>
      <c r="ALE478" s="11"/>
      <c r="ALF478" s="11"/>
      <c r="ALG478" s="11"/>
      <c r="ALH478" s="11"/>
      <c r="ALI478" s="11"/>
      <c r="ALJ478" s="11"/>
      <c r="ALK478" s="11"/>
      <c r="ALL478" s="11"/>
      <c r="ALM478" s="11"/>
      <c r="ALN478" s="11"/>
      <c r="ALO478" s="11"/>
      <c r="ALP478" s="11"/>
      <c r="ALQ478" s="11"/>
      <c r="ALR478" s="11"/>
      <c r="ALS478" s="11"/>
      <c r="ALT478" s="11"/>
      <c r="ALU478" s="11"/>
      <c r="ALV478" s="11"/>
      <c r="ALW478" s="11"/>
      <c r="ALX478" s="11"/>
      <c r="ALY478" s="11"/>
      <c r="ALZ478" s="11"/>
      <c r="AMA478" s="11"/>
      <c r="AMB478" s="11"/>
      <c r="AMC478" s="11"/>
      <c r="AMD478" s="11"/>
      <c r="AME478" s="11"/>
      <c r="AMF478" s="11"/>
      <c r="AMG478" s="11"/>
      <c r="AMH478" s="11"/>
      <c r="AMI478" s="11"/>
      <c r="AMJ478" s="11"/>
    </row>
    <row r="479" spans="1:1024">
      <c r="A479" t="s">
        <v>483</v>
      </c>
      <c r="B479">
        <v>366237</v>
      </c>
      <c r="D479" s="1">
        <v>6</v>
      </c>
      <c r="E479" s="8">
        <f>VLOOKUP(B479,Gesamtstunden_26!B:I,8,0)</f>
        <v>0</v>
      </c>
      <c r="F479" s="2">
        <f t="shared" si="7"/>
        <v>6</v>
      </c>
    </row>
    <row r="480" spans="1:1024">
      <c r="A480" s="10" t="s">
        <v>484</v>
      </c>
      <c r="B480" s="10">
        <v>934158</v>
      </c>
      <c r="D480" s="1">
        <v>0</v>
      </c>
      <c r="E480" s="8">
        <f>VLOOKUP(B480,Gesamtstunden_26!B:I,8,0)</f>
        <v>2.3333333333333335</v>
      </c>
      <c r="F480" s="2">
        <f t="shared" si="7"/>
        <v>-2.3333333333333335</v>
      </c>
    </row>
    <row r="481" spans="1:6">
      <c r="A481" s="18" t="s">
        <v>485</v>
      </c>
      <c r="B481" s="18">
        <v>789902</v>
      </c>
      <c r="D481" s="1">
        <v>0</v>
      </c>
      <c r="E481" s="8">
        <f>VLOOKUP(B481,Gesamtstunden_26!B:I,8,0)</f>
        <v>4.5</v>
      </c>
      <c r="F481" s="2">
        <f t="shared" si="7"/>
        <v>-4.5</v>
      </c>
    </row>
    <row r="482" spans="1:6">
      <c r="A482" s="8" t="s">
        <v>486</v>
      </c>
      <c r="B482" s="8">
        <v>467700</v>
      </c>
      <c r="D482" s="1">
        <v>7.17</v>
      </c>
      <c r="E482" s="8">
        <f>VLOOKUP(B482,Gesamtstunden_26!B:I,8,0)</f>
        <v>0</v>
      </c>
      <c r="F482" s="2">
        <f t="shared" si="7"/>
        <v>7.17</v>
      </c>
    </row>
    <row r="483" spans="1:6" ht="27.6">
      <c r="A483" s="10" t="s">
        <v>487</v>
      </c>
      <c r="B483" s="10">
        <v>739516</v>
      </c>
      <c r="D483" s="1">
        <v>0</v>
      </c>
      <c r="E483" s="8">
        <f>VLOOKUP(B483,Gesamtstunden_26!B:I,8,0)</f>
        <v>0.66666666666666663</v>
      </c>
      <c r="F483" s="2">
        <f t="shared" si="7"/>
        <v>-0.66666666666666663</v>
      </c>
    </row>
    <row r="484" spans="1:6">
      <c r="A484" s="10" t="s">
        <v>488</v>
      </c>
      <c r="B484" s="10">
        <v>139259</v>
      </c>
      <c r="D484" s="1">
        <v>0</v>
      </c>
      <c r="E484" s="8">
        <f>VLOOKUP(B484,Gesamtstunden_26!B:I,8,0)</f>
        <v>1.3333333333333333</v>
      </c>
      <c r="F484" s="2">
        <f t="shared" si="7"/>
        <v>-1.3333333333333333</v>
      </c>
    </row>
    <row r="485" spans="1:6">
      <c r="A485" s="10" t="s">
        <v>489</v>
      </c>
      <c r="B485" s="10">
        <v>708613</v>
      </c>
      <c r="D485" s="1">
        <v>0</v>
      </c>
      <c r="E485" s="8">
        <f>VLOOKUP(B485,Gesamtstunden_26!B:I,8,0)</f>
        <v>2.1666666666666665</v>
      </c>
      <c r="F485" s="2">
        <f t="shared" si="7"/>
        <v>-2.1666666666666665</v>
      </c>
    </row>
    <row r="486" spans="1:6">
      <c r="A486" t="s">
        <v>490</v>
      </c>
      <c r="B486">
        <v>538904</v>
      </c>
      <c r="D486" s="1">
        <v>5.3333333333333304</v>
      </c>
      <c r="E486" s="8">
        <f>VLOOKUP(B486,Gesamtstunden_26!B:I,8,0)</f>
        <v>2.3333333333333335</v>
      </c>
      <c r="F486" s="2">
        <f t="shared" si="7"/>
        <v>2.9999999999999969</v>
      </c>
    </row>
    <row r="487" spans="1:6" ht="27.6">
      <c r="A487" s="10" t="s">
        <v>491</v>
      </c>
      <c r="B487" s="10">
        <v>565875</v>
      </c>
      <c r="D487" s="1">
        <v>0</v>
      </c>
      <c r="E487" s="8">
        <f>VLOOKUP(B487,Gesamtstunden_26!B:I,8,0)</f>
        <v>0</v>
      </c>
      <c r="F487" s="2">
        <f t="shared" si="7"/>
        <v>0</v>
      </c>
    </row>
    <row r="488" spans="1:6">
      <c r="A488" s="7" t="s">
        <v>492</v>
      </c>
      <c r="B488" s="7">
        <v>700972</v>
      </c>
      <c r="D488" s="1">
        <v>0</v>
      </c>
      <c r="E488" s="8">
        <f>VLOOKUP(B488,Gesamtstunden_26!B:I,8,0)</f>
        <v>6</v>
      </c>
      <c r="F488" s="2">
        <f t="shared" si="7"/>
        <v>-6</v>
      </c>
    </row>
    <row r="489" spans="1:6">
      <c r="A489" s="7" t="s">
        <v>493</v>
      </c>
      <c r="B489" s="7">
        <v>476617</v>
      </c>
      <c r="D489" s="1">
        <v>0</v>
      </c>
      <c r="E489" s="8">
        <f>VLOOKUP(B489,Gesamtstunden_26!B:I,8,0)</f>
        <v>3.6666666666666665</v>
      </c>
      <c r="F489" s="2">
        <f t="shared" si="7"/>
        <v>-3.6666666666666665</v>
      </c>
    </row>
    <row r="490" spans="1:6">
      <c r="A490" s="8" t="s">
        <v>494</v>
      </c>
      <c r="B490" s="8">
        <v>624978</v>
      </c>
      <c r="D490" s="1">
        <v>11.3333333333333</v>
      </c>
      <c r="E490" s="8">
        <f>VLOOKUP(B490,Gesamtstunden_26!B:I,8,0)</f>
        <v>0</v>
      </c>
      <c r="F490" s="2">
        <f t="shared" si="7"/>
        <v>11.3333333333333</v>
      </c>
    </row>
    <row r="491" spans="1:6" ht="27.6">
      <c r="A491" s="8" t="s">
        <v>495</v>
      </c>
      <c r="B491" s="8">
        <v>660626</v>
      </c>
      <c r="D491" s="1">
        <v>1.6666666666666701</v>
      </c>
      <c r="E491" s="8">
        <f>VLOOKUP(B491,Gesamtstunden_26!B:I,8,0)</f>
        <v>1</v>
      </c>
      <c r="F491" s="2">
        <f t="shared" si="7"/>
        <v>0.66666666666667007</v>
      </c>
    </row>
    <row r="492" spans="1:6">
      <c r="A492" s="7" t="s">
        <v>496</v>
      </c>
      <c r="B492" s="7">
        <v>441735</v>
      </c>
      <c r="D492" s="1">
        <v>0</v>
      </c>
      <c r="E492" s="8">
        <f>VLOOKUP(B492,Gesamtstunden_26!B:I,8,0)</f>
        <v>3.6666666666666665</v>
      </c>
      <c r="F492" s="2">
        <f t="shared" si="7"/>
        <v>-3.6666666666666665</v>
      </c>
    </row>
    <row r="493" spans="1:6" ht="27.6">
      <c r="A493" s="8" t="s">
        <v>497</v>
      </c>
      <c r="B493" s="8">
        <v>149072</v>
      </c>
      <c r="D493" s="1">
        <v>14.67</v>
      </c>
      <c r="E493" s="8">
        <f>VLOOKUP(B493,Gesamtstunden_26!B:I,8,0)</f>
        <v>0</v>
      </c>
      <c r="F493" s="2">
        <f t="shared" si="7"/>
        <v>14.67</v>
      </c>
    </row>
    <row r="494" spans="1:6">
      <c r="A494" s="8" t="s">
        <v>498</v>
      </c>
      <c r="B494" s="8">
        <v>438280</v>
      </c>
      <c r="D494" s="1">
        <v>12.6733333333333</v>
      </c>
      <c r="E494" s="8">
        <f>VLOOKUP(B494,Gesamtstunden_26!B:I,8,0)</f>
        <v>0</v>
      </c>
      <c r="F494" s="2">
        <f t="shared" si="7"/>
        <v>12.6733333333333</v>
      </c>
    </row>
    <row r="495" spans="1:6">
      <c r="A495" s="17" t="s">
        <v>499</v>
      </c>
      <c r="B495" s="17">
        <v>967920</v>
      </c>
      <c r="D495" s="1">
        <v>0</v>
      </c>
      <c r="E495" s="8">
        <f>VLOOKUP(B495,Gesamtstunden_26!B:I,8,0)</f>
        <v>11.166666666666666</v>
      </c>
      <c r="F495" s="2">
        <f t="shared" si="7"/>
        <v>-11.166666666666666</v>
      </c>
    </row>
    <row r="496" spans="1:6">
      <c r="A496" s="16" t="s">
        <v>500</v>
      </c>
      <c r="B496" s="16">
        <v>590233</v>
      </c>
      <c r="D496" s="1">
        <v>0</v>
      </c>
      <c r="E496" s="8">
        <f>VLOOKUP(B496,Gesamtstunden_26!B:I,8,0)</f>
        <v>0.66666666666666663</v>
      </c>
      <c r="F496" s="2">
        <f t="shared" si="7"/>
        <v>-0.66666666666666663</v>
      </c>
    </row>
    <row r="497" spans="1:1024">
      <c r="A497" s="14" t="s">
        <v>501</v>
      </c>
      <c r="B497" s="14">
        <v>599016</v>
      </c>
      <c r="D497" s="1">
        <v>0</v>
      </c>
      <c r="E497" s="8">
        <f>VLOOKUP(B497,Gesamtstunden_26!B:I,8,0)</f>
        <v>0</v>
      </c>
      <c r="F497" s="2">
        <f t="shared" si="7"/>
        <v>0</v>
      </c>
    </row>
    <row r="498" spans="1:1024" ht="41.4">
      <c r="A498" s="7" t="s">
        <v>502</v>
      </c>
      <c r="B498" s="7">
        <v>366558</v>
      </c>
      <c r="D498" s="1">
        <v>0</v>
      </c>
      <c r="E498" s="8">
        <f>VLOOKUP(B498,Gesamtstunden_26!B:I,8,0)</f>
        <v>2.3333333333333335</v>
      </c>
      <c r="F498" s="2">
        <f t="shared" si="7"/>
        <v>-2.3333333333333335</v>
      </c>
    </row>
    <row r="499" spans="1:1024" ht="27.6">
      <c r="A499" s="17" t="s">
        <v>503</v>
      </c>
      <c r="B499" s="17">
        <v>449352</v>
      </c>
      <c r="D499" s="1">
        <v>0</v>
      </c>
      <c r="E499" s="8">
        <f>VLOOKUP(B499,Gesamtstunden_26!B:I,8,0)</f>
        <v>0.66666666666666663</v>
      </c>
      <c r="F499" s="2">
        <f t="shared" si="7"/>
        <v>-0.66666666666666663</v>
      </c>
    </row>
    <row r="500" spans="1:1024">
      <c r="A500" s="7" t="s">
        <v>504</v>
      </c>
      <c r="B500" s="7">
        <v>635305</v>
      </c>
      <c r="D500" s="1">
        <v>0</v>
      </c>
      <c r="E500" s="8">
        <f>VLOOKUP(B500,Gesamtstunden_26!B:I,8,0)</f>
        <v>8.3333333333333339</v>
      </c>
      <c r="F500" s="2">
        <f t="shared" si="7"/>
        <v>-8.3333333333333339</v>
      </c>
    </row>
    <row r="501" spans="1:1024">
      <c r="A501" s="7" t="s">
        <v>505</v>
      </c>
      <c r="B501" s="7">
        <v>726889</v>
      </c>
      <c r="D501" s="1">
        <v>0</v>
      </c>
      <c r="E501" s="8">
        <f>VLOOKUP(B501,Gesamtstunden_26!B:I,8,0)</f>
        <v>7.166666666666667</v>
      </c>
      <c r="F501" s="2">
        <f t="shared" si="7"/>
        <v>-7.166666666666667</v>
      </c>
    </row>
    <row r="502" spans="1:1024">
      <c r="A502" s="10" t="s">
        <v>506</v>
      </c>
      <c r="B502" s="10">
        <v>378310</v>
      </c>
      <c r="D502" s="1">
        <v>0</v>
      </c>
      <c r="E502" s="8">
        <f>VLOOKUP(B502,Gesamtstunden_26!B:I,8,0)</f>
        <v>1.3333333333333333</v>
      </c>
      <c r="F502" s="2">
        <f t="shared" si="7"/>
        <v>-1.3333333333333333</v>
      </c>
    </row>
    <row r="503" spans="1:1024">
      <c r="A503" s="8" t="s">
        <v>507</v>
      </c>
      <c r="B503" s="8">
        <v>206131</v>
      </c>
      <c r="D503" s="1">
        <v>11</v>
      </c>
      <c r="E503" s="8">
        <f>VLOOKUP(B503,Gesamtstunden_26!B:I,8,0)</f>
        <v>0</v>
      </c>
      <c r="F503" s="2">
        <f t="shared" si="7"/>
        <v>11</v>
      </c>
    </row>
    <row r="504" spans="1:1024">
      <c r="A504" s="8" t="s">
        <v>508</v>
      </c>
      <c r="B504" s="8">
        <v>232264</v>
      </c>
      <c r="D504" s="1">
        <v>11.0033333333333</v>
      </c>
      <c r="E504" s="8">
        <f>VLOOKUP(B504,Gesamtstunden_26!B:I,8,0)</f>
        <v>0</v>
      </c>
      <c r="F504" s="2">
        <f t="shared" si="7"/>
        <v>11.0033333333333</v>
      </c>
    </row>
    <row r="505" spans="1:1024">
      <c r="A505" s="7" t="s">
        <v>509</v>
      </c>
      <c r="B505" s="7">
        <v>604888</v>
      </c>
      <c r="D505" s="1">
        <v>0</v>
      </c>
      <c r="E505" s="8">
        <f>VLOOKUP(B505,Gesamtstunden_26!B:I,8,0)</f>
        <v>0.66666666666666663</v>
      </c>
      <c r="F505" s="2">
        <f t="shared" si="7"/>
        <v>-0.66666666666666663</v>
      </c>
    </row>
    <row r="506" spans="1:1024" ht="27.6">
      <c r="A506" s="8" t="s">
        <v>510</v>
      </c>
      <c r="B506" s="8">
        <v>199321</v>
      </c>
      <c r="D506" s="1">
        <v>15.67</v>
      </c>
      <c r="E506" s="8">
        <f>VLOOKUP(B506,Gesamtstunden_26!B:I,8,0)</f>
        <v>0</v>
      </c>
      <c r="F506" s="2">
        <f t="shared" si="7"/>
        <v>15.67</v>
      </c>
    </row>
    <row r="507" spans="1:1024">
      <c r="A507" s="8" t="s">
        <v>511</v>
      </c>
      <c r="B507" s="8">
        <v>437593</v>
      </c>
      <c r="D507" s="1">
        <v>10.3333333333333</v>
      </c>
      <c r="E507" s="8">
        <f>VLOOKUP(B507,Gesamtstunden_26!B:I,8,0)</f>
        <v>0</v>
      </c>
      <c r="F507" s="2">
        <f t="shared" si="7"/>
        <v>10.3333333333333</v>
      </c>
    </row>
    <row r="508" spans="1:1024">
      <c r="A508" s="17" t="s">
        <v>512</v>
      </c>
      <c r="B508" s="17">
        <v>482778</v>
      </c>
      <c r="D508" s="1">
        <v>0</v>
      </c>
      <c r="E508" s="8">
        <f>VLOOKUP(B508,Gesamtstunden_26!B:I,8,0)</f>
        <v>3</v>
      </c>
      <c r="F508" s="2">
        <f t="shared" si="7"/>
        <v>-3</v>
      </c>
    </row>
    <row r="509" spans="1:1024">
      <c r="A509" s="8" t="s">
        <v>513</v>
      </c>
      <c r="B509" s="8">
        <v>914365</v>
      </c>
      <c r="D509" s="1">
        <v>2.8333333333333299</v>
      </c>
      <c r="E509" s="8">
        <f>VLOOKUP(B509,Gesamtstunden_26!B:I,8,0)</f>
        <v>3</v>
      </c>
      <c r="F509" s="2">
        <f t="shared" si="7"/>
        <v>-0.16666666666667007</v>
      </c>
    </row>
    <row r="510" spans="1:1024">
      <c r="A510" s="7" t="s">
        <v>514</v>
      </c>
      <c r="B510" s="7">
        <v>836658</v>
      </c>
      <c r="D510" s="1">
        <v>0</v>
      </c>
      <c r="E510" s="8">
        <f>VLOOKUP(B510,Gesamtstunden_26!B:I,8,0)</f>
        <v>2.5</v>
      </c>
      <c r="F510" s="2">
        <f t="shared" si="7"/>
        <v>-2.5</v>
      </c>
    </row>
    <row r="511" spans="1:1024" s="11" customFormat="1" ht="27.6">
      <c r="A511" s="7" t="s">
        <v>515</v>
      </c>
      <c r="B511" s="7">
        <v>801788</v>
      </c>
      <c r="C511"/>
      <c r="D511" s="1">
        <v>0</v>
      </c>
      <c r="E511" s="8">
        <f>VLOOKUP(B511,Gesamtstunden_26!B:I,8,0)</f>
        <v>1.6666666666666667</v>
      </c>
      <c r="F511" s="2">
        <f t="shared" si="7"/>
        <v>-1.6666666666666667</v>
      </c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  <c r="BR511"/>
      <c r="BS511"/>
      <c r="BT511"/>
      <c r="BU511"/>
      <c r="BV511"/>
      <c r="BW511"/>
      <c r="BX511"/>
      <c r="BY511"/>
      <c r="BZ511"/>
      <c r="CA511"/>
      <c r="CB511"/>
      <c r="CC511"/>
      <c r="CD511"/>
      <c r="CE511"/>
      <c r="CF511"/>
      <c r="CG511"/>
      <c r="CH511"/>
      <c r="CI511"/>
      <c r="CJ511"/>
      <c r="CK511"/>
      <c r="CL511"/>
      <c r="CM511"/>
      <c r="CN511"/>
      <c r="CO511"/>
      <c r="CP511"/>
      <c r="CQ511"/>
      <c r="CR511"/>
      <c r="CS511"/>
      <c r="CT511"/>
      <c r="CU511"/>
      <c r="CV511"/>
      <c r="CW511"/>
      <c r="CX511"/>
      <c r="CY511"/>
      <c r="CZ511"/>
      <c r="DA511"/>
      <c r="DB511"/>
      <c r="DC511"/>
      <c r="DD511"/>
      <c r="DE511"/>
      <c r="DF511"/>
      <c r="DG511"/>
      <c r="DH511"/>
      <c r="DI511"/>
      <c r="DJ511"/>
      <c r="DK511"/>
      <c r="DL511"/>
      <c r="DM511"/>
      <c r="DN511"/>
      <c r="DO511"/>
      <c r="DP511"/>
      <c r="DQ511"/>
      <c r="DR511"/>
      <c r="DS511"/>
      <c r="DT511"/>
      <c r="DU511"/>
      <c r="DV511"/>
      <c r="DW511"/>
      <c r="DX511"/>
      <c r="DY511"/>
      <c r="DZ511"/>
      <c r="EA511"/>
      <c r="EB511"/>
      <c r="EC511"/>
      <c r="ED511"/>
      <c r="EE511"/>
      <c r="EF511"/>
      <c r="EG511"/>
      <c r="EH511"/>
      <c r="EI511"/>
      <c r="EJ511"/>
      <c r="EK511"/>
      <c r="EL511"/>
      <c r="EM511"/>
      <c r="EN511"/>
      <c r="EO511"/>
      <c r="EP511"/>
      <c r="EQ511"/>
      <c r="ER511"/>
      <c r="ES511"/>
      <c r="ET511"/>
      <c r="EU511"/>
      <c r="EV511"/>
      <c r="EW511"/>
      <c r="EX511"/>
      <c r="EY511"/>
      <c r="EZ511"/>
      <c r="FA511"/>
      <c r="FB511"/>
      <c r="FC511"/>
      <c r="FD511"/>
      <c r="FE511"/>
      <c r="FF511"/>
      <c r="FG511"/>
      <c r="FH511"/>
      <c r="FI511"/>
      <c r="FJ511"/>
      <c r="FK511"/>
      <c r="FL511"/>
      <c r="FM511"/>
      <c r="FN511"/>
      <c r="FO511"/>
      <c r="FP511"/>
      <c r="FQ511"/>
      <c r="FR511"/>
      <c r="FS511"/>
      <c r="FT511"/>
      <c r="FU511"/>
      <c r="FV511"/>
      <c r="FW511"/>
      <c r="FX511"/>
      <c r="FY511"/>
      <c r="FZ511"/>
      <c r="GA511"/>
      <c r="GB511"/>
      <c r="GC511"/>
      <c r="GD511"/>
      <c r="GE511"/>
      <c r="GF511"/>
      <c r="GG511"/>
      <c r="GH511"/>
      <c r="GI511"/>
      <c r="GJ511"/>
      <c r="GK511"/>
      <c r="GL511"/>
      <c r="GM511"/>
      <c r="GN511"/>
      <c r="GO511"/>
      <c r="GP511"/>
      <c r="GQ511"/>
      <c r="GR511"/>
      <c r="GS511"/>
      <c r="GT511"/>
      <c r="GU511"/>
      <c r="GV511"/>
      <c r="GW511"/>
      <c r="GX511"/>
      <c r="GY511"/>
      <c r="GZ511"/>
      <c r="HA511"/>
      <c r="HB511"/>
      <c r="HC511"/>
      <c r="HD511"/>
      <c r="HE511"/>
      <c r="HF511"/>
      <c r="HG511"/>
      <c r="HH511"/>
      <c r="HI511"/>
      <c r="HJ511"/>
      <c r="HK511"/>
      <c r="HL511"/>
      <c r="HM511"/>
      <c r="HN511"/>
      <c r="HO511"/>
      <c r="HP511"/>
      <c r="HQ511"/>
      <c r="HR511"/>
      <c r="HS511"/>
      <c r="HT511"/>
      <c r="HU511"/>
      <c r="HV511"/>
      <c r="HW511"/>
      <c r="HX511"/>
      <c r="HY511"/>
      <c r="HZ511"/>
      <c r="IA511"/>
      <c r="IB511"/>
      <c r="IC511"/>
      <c r="ID511"/>
      <c r="IE511"/>
      <c r="IF511"/>
      <c r="IG511"/>
      <c r="IH511"/>
      <c r="II511"/>
      <c r="IJ511"/>
      <c r="IK511"/>
      <c r="IL511"/>
      <c r="IM511"/>
      <c r="IN511"/>
      <c r="IO511"/>
      <c r="IP511"/>
      <c r="IQ511"/>
      <c r="IR511"/>
      <c r="IS511"/>
      <c r="IT511"/>
      <c r="IU511"/>
      <c r="IV511"/>
      <c r="IW511"/>
      <c r="IX511"/>
      <c r="IY511"/>
      <c r="IZ511"/>
      <c r="JA511"/>
      <c r="JB511"/>
      <c r="JC511"/>
      <c r="JD511"/>
      <c r="JE511"/>
      <c r="JF511"/>
      <c r="JG511"/>
      <c r="JH511"/>
      <c r="JI511"/>
      <c r="JJ511"/>
      <c r="JK511"/>
      <c r="JL511"/>
      <c r="JM511"/>
      <c r="JN511"/>
      <c r="JO511"/>
      <c r="JP511"/>
      <c r="JQ511"/>
      <c r="JR511"/>
      <c r="JS511"/>
      <c r="JT511"/>
      <c r="JU511"/>
      <c r="JV511"/>
      <c r="JW511"/>
      <c r="JX511"/>
      <c r="JY511"/>
      <c r="JZ511"/>
      <c r="KA511"/>
      <c r="KB511"/>
      <c r="KC511"/>
      <c r="KD511"/>
      <c r="KE511"/>
      <c r="KF511"/>
      <c r="KG511"/>
      <c r="KH511"/>
      <c r="KI511"/>
      <c r="KJ511"/>
      <c r="KK511"/>
      <c r="KL511"/>
      <c r="KM511"/>
      <c r="KN511"/>
      <c r="KO511"/>
      <c r="KP511"/>
      <c r="KQ511"/>
      <c r="KR511"/>
      <c r="KS511"/>
      <c r="KT511"/>
      <c r="KU511"/>
      <c r="KV511"/>
      <c r="KW511"/>
      <c r="KX511"/>
      <c r="KY511"/>
      <c r="KZ511"/>
      <c r="LA511"/>
      <c r="LB511"/>
      <c r="LC511"/>
      <c r="LD511"/>
      <c r="LE511"/>
      <c r="LF511"/>
      <c r="LG511"/>
      <c r="LH511"/>
      <c r="LI511"/>
      <c r="LJ511"/>
      <c r="LK511"/>
      <c r="LL511"/>
      <c r="LM511"/>
      <c r="LN511"/>
      <c r="LO511"/>
      <c r="LP511"/>
      <c r="LQ511"/>
      <c r="LR511"/>
      <c r="LS511"/>
      <c r="LT511"/>
      <c r="LU511"/>
      <c r="LV511"/>
      <c r="LW511"/>
      <c r="LX511"/>
      <c r="LY511"/>
      <c r="LZ511"/>
      <c r="MA511"/>
      <c r="MB511"/>
      <c r="MC511"/>
      <c r="MD511"/>
      <c r="ME511"/>
      <c r="MF511"/>
      <c r="MG511"/>
      <c r="MH511"/>
      <c r="MI511"/>
      <c r="MJ511"/>
      <c r="MK511"/>
      <c r="ML511"/>
      <c r="MM511"/>
      <c r="MN511"/>
      <c r="MO511"/>
      <c r="MP511"/>
      <c r="MQ511"/>
      <c r="MR511"/>
      <c r="MS511"/>
      <c r="MT511"/>
      <c r="MU511"/>
      <c r="MV511"/>
      <c r="MW511"/>
      <c r="MX511"/>
      <c r="MY511"/>
      <c r="MZ511"/>
      <c r="NA511"/>
      <c r="NB511"/>
      <c r="NC511"/>
      <c r="ND511"/>
      <c r="NE511"/>
      <c r="NF511"/>
      <c r="NG511"/>
      <c r="NH511"/>
      <c r="NI511"/>
      <c r="NJ511"/>
      <c r="NK511"/>
      <c r="NL511"/>
      <c r="NM511"/>
      <c r="NN511"/>
      <c r="NO511"/>
      <c r="NP511"/>
      <c r="NQ511"/>
      <c r="NR511"/>
      <c r="NS511"/>
      <c r="NT511"/>
      <c r="NU511"/>
      <c r="NV511"/>
      <c r="NW511"/>
      <c r="NX511"/>
      <c r="NY511"/>
      <c r="NZ511"/>
      <c r="OA511"/>
      <c r="OB511"/>
      <c r="OC511"/>
      <c r="OD511"/>
      <c r="OE511"/>
      <c r="OF511"/>
      <c r="OG511"/>
      <c r="OH511"/>
      <c r="OI511"/>
      <c r="OJ511"/>
      <c r="OK511"/>
      <c r="OL511"/>
      <c r="OM511"/>
      <c r="ON511"/>
      <c r="OO511"/>
      <c r="OP511"/>
      <c r="OQ511"/>
      <c r="OR511"/>
      <c r="OS511"/>
      <c r="OT511"/>
      <c r="OU511"/>
      <c r="OV511"/>
      <c r="OW511"/>
      <c r="OX511"/>
      <c r="OY511"/>
      <c r="OZ511"/>
      <c r="PA511"/>
      <c r="PB511"/>
      <c r="PC511"/>
      <c r="PD511"/>
      <c r="PE511"/>
      <c r="PF511"/>
      <c r="PG511"/>
      <c r="PH511"/>
      <c r="PI511"/>
      <c r="PJ511"/>
      <c r="PK511"/>
      <c r="PL511"/>
      <c r="PM511"/>
      <c r="PN511"/>
      <c r="PO511"/>
      <c r="PP511"/>
      <c r="PQ511"/>
      <c r="PR511"/>
      <c r="PS511"/>
      <c r="PT511"/>
      <c r="PU511"/>
      <c r="PV511"/>
      <c r="PW511"/>
      <c r="PX511"/>
      <c r="PY511"/>
      <c r="PZ511"/>
      <c r="QA511"/>
      <c r="QB511"/>
      <c r="QC511"/>
      <c r="QD511"/>
      <c r="QE511"/>
      <c r="QF511"/>
      <c r="QG511"/>
      <c r="QH511"/>
      <c r="QI511"/>
      <c r="QJ511"/>
      <c r="QK511"/>
      <c r="QL511"/>
      <c r="QM511"/>
      <c r="QN511"/>
      <c r="QO511"/>
      <c r="QP511"/>
      <c r="QQ511"/>
      <c r="QR511"/>
      <c r="QS511"/>
      <c r="QT511"/>
      <c r="QU511"/>
      <c r="QV511"/>
      <c r="QW511"/>
      <c r="QX511"/>
      <c r="QY511"/>
      <c r="QZ511"/>
      <c r="RA511"/>
      <c r="RB511"/>
      <c r="RC511"/>
      <c r="RD511"/>
      <c r="RE511"/>
      <c r="RF511"/>
      <c r="RG511"/>
      <c r="RH511"/>
      <c r="RI511"/>
      <c r="RJ511"/>
      <c r="RK511"/>
      <c r="RL511"/>
      <c r="RM511"/>
      <c r="RN511"/>
      <c r="RO511"/>
      <c r="RP511"/>
      <c r="RQ511"/>
      <c r="RR511"/>
      <c r="RS511"/>
      <c r="RT511"/>
      <c r="RU511"/>
      <c r="RV511"/>
      <c r="RW511"/>
      <c r="RX511"/>
      <c r="RY511"/>
      <c r="RZ511"/>
      <c r="SA511"/>
      <c r="SB511"/>
      <c r="SC511"/>
      <c r="SD511"/>
      <c r="SE511"/>
      <c r="SF511"/>
      <c r="SG511"/>
      <c r="SH511"/>
      <c r="SI511"/>
      <c r="SJ511"/>
      <c r="SK511"/>
      <c r="SL511"/>
      <c r="SM511"/>
      <c r="SN511"/>
      <c r="SO511"/>
      <c r="SP511"/>
      <c r="SQ511"/>
      <c r="SR511"/>
      <c r="SS511"/>
      <c r="ST511"/>
      <c r="SU511"/>
      <c r="SV511"/>
      <c r="SW511"/>
      <c r="SX511"/>
      <c r="SY511"/>
      <c r="SZ511"/>
      <c r="TA511"/>
      <c r="TB511"/>
      <c r="TC511"/>
      <c r="TD511"/>
      <c r="TE511"/>
      <c r="TF511"/>
      <c r="TG511"/>
      <c r="TH511"/>
      <c r="TI511"/>
      <c r="TJ511"/>
      <c r="TK511"/>
      <c r="TL511"/>
      <c r="TM511"/>
      <c r="TN511"/>
      <c r="TO511"/>
      <c r="TP511"/>
      <c r="TQ511"/>
      <c r="TR511"/>
      <c r="TS511"/>
      <c r="TT511"/>
      <c r="TU511"/>
      <c r="TV511"/>
      <c r="TW511"/>
      <c r="TX511"/>
      <c r="TY511"/>
      <c r="TZ511"/>
      <c r="UA511"/>
      <c r="UB511"/>
      <c r="UC511"/>
      <c r="UD511"/>
      <c r="UE511"/>
      <c r="UF511"/>
      <c r="UG511"/>
      <c r="UH511"/>
      <c r="UI511"/>
      <c r="UJ511"/>
      <c r="UK511"/>
      <c r="UL511"/>
      <c r="UM511"/>
      <c r="UN511"/>
      <c r="UO511"/>
      <c r="UP511"/>
      <c r="UQ511"/>
      <c r="UR511"/>
      <c r="US511"/>
      <c r="UT511"/>
      <c r="UU511"/>
      <c r="UV511"/>
      <c r="UW511"/>
      <c r="UX511"/>
      <c r="UY511"/>
      <c r="UZ511"/>
      <c r="VA511"/>
      <c r="VB511"/>
      <c r="VC511"/>
      <c r="VD511"/>
      <c r="VE511"/>
      <c r="VF511"/>
      <c r="VG511"/>
      <c r="VH511"/>
      <c r="VI511"/>
      <c r="VJ511"/>
      <c r="VK511"/>
      <c r="VL511"/>
      <c r="VM511"/>
      <c r="VN511"/>
      <c r="VO511"/>
      <c r="VP511"/>
      <c r="VQ511"/>
      <c r="VR511"/>
      <c r="VS511"/>
      <c r="VT511"/>
      <c r="VU511"/>
      <c r="VV511"/>
      <c r="VW511"/>
      <c r="VX511"/>
      <c r="VY511"/>
      <c r="VZ511"/>
      <c r="WA511"/>
      <c r="WB511"/>
      <c r="WC511"/>
      <c r="WD511"/>
      <c r="WE511"/>
      <c r="WF511"/>
      <c r="WG511"/>
      <c r="WH511"/>
      <c r="WI511"/>
      <c r="WJ511"/>
      <c r="WK511"/>
      <c r="WL511"/>
      <c r="WM511"/>
      <c r="WN511"/>
      <c r="WO511"/>
      <c r="WP511"/>
      <c r="WQ511"/>
      <c r="WR511"/>
      <c r="WS511"/>
      <c r="WT511"/>
      <c r="WU511"/>
      <c r="WV511"/>
      <c r="WW511"/>
      <c r="WX511"/>
      <c r="WY511"/>
      <c r="WZ511"/>
      <c r="XA511"/>
      <c r="XB511"/>
      <c r="XC511"/>
      <c r="XD511"/>
      <c r="XE511"/>
      <c r="XF511"/>
      <c r="XG511"/>
      <c r="XH511"/>
      <c r="XI511"/>
      <c r="XJ511"/>
      <c r="XK511"/>
      <c r="XL511"/>
      <c r="XM511"/>
      <c r="XN511"/>
      <c r="XO511"/>
      <c r="XP511"/>
      <c r="XQ511"/>
      <c r="XR511"/>
      <c r="XS511"/>
      <c r="XT511"/>
      <c r="XU511"/>
      <c r="XV511"/>
      <c r="XW511"/>
      <c r="XX511"/>
      <c r="XY511"/>
      <c r="XZ511"/>
      <c r="YA511"/>
      <c r="YB511"/>
      <c r="YC511"/>
      <c r="YD511"/>
      <c r="YE511"/>
      <c r="YF511"/>
      <c r="YG511"/>
      <c r="YH511"/>
      <c r="YI511"/>
      <c r="YJ511"/>
      <c r="YK511"/>
      <c r="YL511"/>
      <c r="YM511"/>
      <c r="YN511"/>
      <c r="YO511"/>
      <c r="YP511"/>
      <c r="YQ511"/>
      <c r="YR511"/>
      <c r="YS511"/>
      <c r="YT511"/>
      <c r="YU511"/>
      <c r="YV511"/>
      <c r="YW511"/>
      <c r="YX511"/>
      <c r="YY511"/>
      <c r="YZ511"/>
      <c r="ZA511"/>
      <c r="ZB511"/>
      <c r="ZC511"/>
      <c r="ZD511"/>
      <c r="ZE511"/>
      <c r="ZF511"/>
      <c r="ZG511"/>
      <c r="ZH511"/>
      <c r="ZI511"/>
      <c r="ZJ511"/>
      <c r="ZK511"/>
      <c r="ZL511"/>
      <c r="ZM511"/>
      <c r="ZN511"/>
      <c r="ZO511"/>
      <c r="ZP511"/>
      <c r="ZQ511"/>
      <c r="ZR511"/>
      <c r="ZS511"/>
      <c r="ZT511"/>
      <c r="ZU511"/>
      <c r="ZV511"/>
      <c r="ZW511"/>
      <c r="ZX511"/>
      <c r="ZY511"/>
      <c r="ZZ511"/>
      <c r="AAA511"/>
      <c r="AAB511"/>
      <c r="AAC511"/>
      <c r="AAD511"/>
      <c r="AAE511"/>
      <c r="AAF511"/>
      <c r="AAG511"/>
      <c r="AAH511"/>
      <c r="AAI511"/>
      <c r="AAJ511"/>
      <c r="AAK511"/>
      <c r="AAL511"/>
      <c r="AAM511"/>
      <c r="AAN511"/>
      <c r="AAO511"/>
      <c r="AAP511"/>
      <c r="AAQ511"/>
      <c r="AAR511"/>
      <c r="AAS511"/>
      <c r="AAT511"/>
      <c r="AAU511"/>
      <c r="AAV511"/>
      <c r="AAW511"/>
      <c r="AAX511"/>
      <c r="AAY511"/>
      <c r="AAZ511"/>
      <c r="ABA511"/>
      <c r="ABB511"/>
      <c r="ABC511"/>
      <c r="ABD511"/>
      <c r="ABE511"/>
      <c r="ABF511"/>
      <c r="ABG511"/>
      <c r="ABH511"/>
      <c r="ABI511"/>
      <c r="ABJ511"/>
      <c r="ABK511"/>
      <c r="ABL511"/>
      <c r="ABM511"/>
      <c r="ABN511"/>
      <c r="ABO511"/>
      <c r="ABP511"/>
      <c r="ABQ511"/>
      <c r="ABR511"/>
      <c r="ABS511"/>
      <c r="ABT511"/>
      <c r="ABU511"/>
      <c r="ABV511"/>
      <c r="ABW511"/>
      <c r="ABX511"/>
      <c r="ABY511"/>
      <c r="ABZ511"/>
      <c r="ACA511"/>
      <c r="ACB511"/>
      <c r="ACC511"/>
      <c r="ACD511"/>
      <c r="ACE511"/>
      <c r="ACF511"/>
      <c r="ACG511"/>
      <c r="ACH511"/>
      <c r="ACI511"/>
      <c r="ACJ511"/>
      <c r="ACK511"/>
      <c r="ACL511"/>
      <c r="ACM511"/>
      <c r="ACN511"/>
      <c r="ACO511"/>
      <c r="ACP511"/>
      <c r="ACQ511"/>
      <c r="ACR511"/>
      <c r="ACS511"/>
      <c r="ACT511"/>
      <c r="ACU511"/>
      <c r="ACV511"/>
      <c r="ACW511"/>
      <c r="ACX511"/>
      <c r="ACY511"/>
      <c r="ACZ511"/>
      <c r="ADA511"/>
      <c r="ADB511"/>
      <c r="ADC511"/>
      <c r="ADD511"/>
      <c r="ADE511"/>
      <c r="ADF511"/>
      <c r="ADG511"/>
      <c r="ADH511"/>
      <c r="ADI511"/>
      <c r="ADJ511"/>
      <c r="ADK511"/>
      <c r="ADL511"/>
      <c r="ADM511"/>
      <c r="ADN511"/>
      <c r="ADO511"/>
      <c r="ADP511"/>
      <c r="ADQ511"/>
      <c r="ADR511"/>
      <c r="ADS511"/>
      <c r="ADT511"/>
      <c r="ADU511"/>
      <c r="ADV511"/>
      <c r="ADW511"/>
      <c r="ADX511"/>
      <c r="ADY511"/>
      <c r="ADZ511"/>
      <c r="AEA511"/>
      <c r="AEB511"/>
      <c r="AEC511"/>
      <c r="AED511"/>
      <c r="AEE511"/>
      <c r="AEF511"/>
      <c r="AEG511"/>
      <c r="AEH511"/>
      <c r="AEI511"/>
      <c r="AEJ511"/>
      <c r="AEK511"/>
      <c r="AEL511"/>
      <c r="AEM511"/>
      <c r="AEN511"/>
      <c r="AEO511"/>
      <c r="AEP511"/>
      <c r="AEQ511"/>
      <c r="AER511"/>
      <c r="AES511"/>
      <c r="AET511"/>
      <c r="AEU511"/>
      <c r="AEV511"/>
      <c r="AEW511"/>
      <c r="AEX511"/>
      <c r="AEY511"/>
      <c r="AEZ511"/>
      <c r="AFA511"/>
      <c r="AFB511"/>
      <c r="AFC511"/>
      <c r="AFD511"/>
      <c r="AFE511"/>
      <c r="AFF511"/>
      <c r="AFG511"/>
      <c r="AFH511"/>
      <c r="AFI511"/>
      <c r="AFJ511"/>
      <c r="AFK511"/>
      <c r="AFL511"/>
      <c r="AFM511"/>
      <c r="AFN511"/>
      <c r="AFO511"/>
      <c r="AFP511"/>
      <c r="AFQ511"/>
      <c r="AFR511"/>
      <c r="AFS511"/>
      <c r="AFT511"/>
      <c r="AFU511"/>
      <c r="AFV511"/>
      <c r="AFW511"/>
      <c r="AFX511"/>
      <c r="AFY511"/>
      <c r="AFZ511"/>
      <c r="AGA511"/>
      <c r="AGB511"/>
      <c r="AGC511"/>
      <c r="AGD511"/>
      <c r="AGE511"/>
      <c r="AGF511"/>
      <c r="AGG511"/>
      <c r="AGH511"/>
      <c r="AGI511"/>
      <c r="AGJ511"/>
      <c r="AGK511"/>
      <c r="AGL511"/>
      <c r="AGM511"/>
      <c r="AGN511"/>
      <c r="AGO511"/>
      <c r="AGP511"/>
      <c r="AGQ511"/>
      <c r="AGR511"/>
      <c r="AGS511"/>
      <c r="AGT511"/>
      <c r="AGU511"/>
      <c r="AGV511"/>
      <c r="AGW511"/>
      <c r="AGX511"/>
      <c r="AGY511"/>
      <c r="AGZ511"/>
      <c r="AHA511"/>
      <c r="AHB511"/>
      <c r="AHC511"/>
      <c r="AHD511"/>
      <c r="AHE511"/>
      <c r="AHF511"/>
      <c r="AHG511"/>
      <c r="AHH511"/>
      <c r="AHI511"/>
      <c r="AHJ511"/>
      <c r="AHK511"/>
      <c r="AHL511"/>
      <c r="AHM511"/>
      <c r="AHN511"/>
      <c r="AHO511"/>
      <c r="AHP511"/>
      <c r="AHQ511"/>
      <c r="AHR511"/>
      <c r="AHS511"/>
      <c r="AHT511"/>
      <c r="AHU511"/>
      <c r="AHV511"/>
      <c r="AHW511"/>
      <c r="AHX511"/>
      <c r="AHY511"/>
      <c r="AHZ511"/>
      <c r="AIA511"/>
      <c r="AIB511"/>
      <c r="AIC511"/>
      <c r="AID511"/>
      <c r="AIE511"/>
      <c r="AIF511"/>
      <c r="AIG511"/>
      <c r="AIH511"/>
      <c r="AII511"/>
      <c r="AIJ511"/>
      <c r="AIK511"/>
      <c r="AIL511"/>
      <c r="AIM511"/>
      <c r="AIN511"/>
      <c r="AIO511"/>
      <c r="AIP511"/>
      <c r="AIQ511"/>
      <c r="AIR511"/>
      <c r="AIS511"/>
      <c r="AIT511"/>
      <c r="AIU511"/>
      <c r="AIV511"/>
      <c r="AIW511"/>
      <c r="AIX511"/>
      <c r="AIY511"/>
      <c r="AIZ511"/>
      <c r="AJA511"/>
      <c r="AJB511"/>
      <c r="AJC511"/>
      <c r="AJD511"/>
      <c r="AJE511"/>
      <c r="AJF511"/>
      <c r="AJG511"/>
      <c r="AJH511"/>
      <c r="AJI511"/>
      <c r="AJJ511"/>
      <c r="AJK511"/>
      <c r="AJL511"/>
      <c r="AJM511"/>
      <c r="AJN511"/>
      <c r="AJO511"/>
      <c r="AJP511"/>
      <c r="AJQ511"/>
      <c r="AJR511"/>
      <c r="AJS511"/>
      <c r="AJT511"/>
      <c r="AJU511"/>
      <c r="AJV511"/>
      <c r="AJW511"/>
      <c r="AJX511"/>
      <c r="AJY511"/>
      <c r="AJZ511"/>
      <c r="AKA511"/>
      <c r="AKB511"/>
      <c r="AKC511"/>
      <c r="AKD511"/>
      <c r="AKE511"/>
      <c r="AKF511"/>
      <c r="AKG511"/>
      <c r="AKH511"/>
      <c r="AKI511"/>
      <c r="AKJ511"/>
      <c r="AKK511"/>
      <c r="AKL511"/>
      <c r="AKM511"/>
      <c r="AKN511"/>
      <c r="AKO511"/>
      <c r="AKP511"/>
      <c r="AKQ511"/>
      <c r="AKR511"/>
      <c r="AKS511"/>
      <c r="AKT511"/>
      <c r="AKU511"/>
      <c r="AKV511"/>
      <c r="AKW511"/>
      <c r="AKX511"/>
      <c r="AKY511"/>
      <c r="AKZ511"/>
      <c r="ALA511"/>
      <c r="ALB511"/>
      <c r="ALC511"/>
      <c r="ALD511"/>
      <c r="ALE511"/>
      <c r="ALF511"/>
      <c r="ALG511"/>
      <c r="ALH511"/>
      <c r="ALI511"/>
      <c r="ALJ511"/>
      <c r="ALK511"/>
      <c r="ALL511"/>
      <c r="ALM511"/>
      <c r="ALN511"/>
      <c r="ALO511"/>
      <c r="ALP511"/>
      <c r="ALQ511"/>
      <c r="ALR511"/>
      <c r="ALS511"/>
      <c r="ALT511"/>
      <c r="ALU511"/>
      <c r="ALV511"/>
      <c r="ALW511"/>
      <c r="ALX511"/>
      <c r="ALY511"/>
      <c r="ALZ511"/>
      <c r="AMA511"/>
      <c r="AMB511"/>
      <c r="AMC511"/>
      <c r="AMD511"/>
      <c r="AME511"/>
      <c r="AMF511"/>
      <c r="AMG511"/>
      <c r="AMH511"/>
      <c r="AMI511"/>
      <c r="AMJ511"/>
    </row>
    <row r="512" spans="1:1024">
      <c r="A512" s="7" t="s">
        <v>516</v>
      </c>
      <c r="B512" s="7">
        <v>314692</v>
      </c>
      <c r="C512" s="11"/>
      <c r="D512" s="12">
        <v>11</v>
      </c>
      <c r="E512" s="7">
        <f>VLOOKUP(B512,Gesamtstunden_26!B:I,8,0)</f>
        <v>14</v>
      </c>
      <c r="F512" s="13">
        <f t="shared" si="7"/>
        <v>-3</v>
      </c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  <c r="AV512" s="11"/>
      <c r="AW512" s="11"/>
      <c r="AX512" s="11"/>
      <c r="AY512" s="11"/>
      <c r="AZ512" s="11"/>
      <c r="BA512" s="11"/>
      <c r="BB512" s="11"/>
      <c r="BC512" s="11"/>
      <c r="BD512" s="11"/>
      <c r="BE512" s="11"/>
      <c r="BF512" s="11"/>
      <c r="BG512" s="11"/>
      <c r="BH512" s="11"/>
      <c r="BI512" s="11"/>
      <c r="BJ512" s="11"/>
      <c r="BK512" s="11"/>
      <c r="BL512" s="11"/>
      <c r="BM512" s="11"/>
      <c r="BN512" s="11"/>
      <c r="BO512" s="11"/>
      <c r="BP512" s="11"/>
      <c r="BQ512" s="11"/>
      <c r="BR512" s="11"/>
      <c r="BS512" s="11"/>
      <c r="BT512" s="11"/>
      <c r="BU512" s="11"/>
      <c r="BV512" s="11"/>
      <c r="BW512" s="11"/>
      <c r="BX512" s="11"/>
      <c r="BY512" s="11"/>
      <c r="BZ512" s="11"/>
      <c r="CA512" s="11"/>
      <c r="CB512" s="11"/>
      <c r="CC512" s="11"/>
      <c r="CD512" s="11"/>
      <c r="CE512" s="11"/>
      <c r="CF512" s="11"/>
      <c r="CG512" s="11"/>
      <c r="CH512" s="11"/>
      <c r="CI512" s="11"/>
      <c r="CJ512" s="11"/>
      <c r="CK512" s="11"/>
      <c r="CL512" s="11"/>
      <c r="CM512" s="11"/>
      <c r="CN512" s="11"/>
      <c r="CO512" s="11"/>
      <c r="CP512" s="11"/>
      <c r="CQ512" s="11"/>
      <c r="CR512" s="11"/>
      <c r="CS512" s="11"/>
      <c r="CT512" s="11"/>
      <c r="CU512" s="11"/>
      <c r="CV512" s="11"/>
      <c r="CW512" s="11"/>
      <c r="CX512" s="11"/>
      <c r="CY512" s="11"/>
      <c r="CZ512" s="11"/>
      <c r="DA512" s="11"/>
      <c r="DB512" s="11"/>
      <c r="DC512" s="11"/>
      <c r="DD512" s="11"/>
      <c r="DE512" s="11"/>
      <c r="DF512" s="11"/>
      <c r="DG512" s="11"/>
      <c r="DH512" s="11"/>
      <c r="DI512" s="11"/>
      <c r="DJ512" s="11"/>
      <c r="DK512" s="11"/>
      <c r="DL512" s="11"/>
      <c r="DM512" s="11"/>
      <c r="DN512" s="11"/>
      <c r="DO512" s="11"/>
      <c r="DP512" s="11"/>
      <c r="DQ512" s="11"/>
      <c r="DR512" s="11"/>
      <c r="DS512" s="11"/>
      <c r="DT512" s="11"/>
      <c r="DU512" s="11"/>
      <c r="DV512" s="11"/>
      <c r="DW512" s="11"/>
      <c r="DX512" s="11"/>
      <c r="DY512" s="11"/>
      <c r="DZ512" s="11"/>
      <c r="EA512" s="11"/>
      <c r="EB512" s="11"/>
      <c r="EC512" s="11"/>
      <c r="ED512" s="11"/>
      <c r="EE512" s="11"/>
      <c r="EF512" s="11"/>
      <c r="EG512" s="11"/>
      <c r="EH512" s="11"/>
      <c r="EI512" s="11"/>
      <c r="EJ512" s="11"/>
      <c r="EK512" s="11"/>
      <c r="EL512" s="11"/>
      <c r="EM512" s="11"/>
      <c r="EN512" s="11"/>
      <c r="EO512" s="11"/>
      <c r="EP512" s="11"/>
      <c r="EQ512" s="11"/>
      <c r="ER512" s="11"/>
      <c r="ES512" s="11"/>
      <c r="ET512" s="11"/>
      <c r="EU512" s="11"/>
      <c r="EV512" s="11"/>
      <c r="EW512" s="11"/>
      <c r="EX512" s="11"/>
      <c r="EY512" s="11"/>
      <c r="EZ512" s="11"/>
      <c r="FA512" s="11"/>
      <c r="FB512" s="11"/>
      <c r="FC512" s="11"/>
      <c r="FD512" s="11"/>
      <c r="FE512" s="11"/>
      <c r="FF512" s="11"/>
      <c r="FG512" s="11"/>
      <c r="FH512" s="11"/>
      <c r="FI512" s="11"/>
      <c r="FJ512" s="11"/>
      <c r="FK512" s="11"/>
      <c r="FL512" s="11"/>
      <c r="FM512" s="11"/>
      <c r="FN512" s="11"/>
      <c r="FO512" s="11"/>
      <c r="FP512" s="11"/>
      <c r="FQ512" s="11"/>
      <c r="FR512" s="11"/>
      <c r="FS512" s="11"/>
      <c r="FT512" s="11"/>
      <c r="FU512" s="11"/>
      <c r="FV512" s="11"/>
      <c r="FW512" s="11"/>
      <c r="FX512" s="11"/>
      <c r="FY512" s="11"/>
      <c r="FZ512" s="11"/>
      <c r="GA512" s="11"/>
      <c r="GB512" s="11"/>
      <c r="GC512" s="11"/>
      <c r="GD512" s="11"/>
      <c r="GE512" s="11"/>
      <c r="GF512" s="11"/>
      <c r="GG512" s="11"/>
      <c r="GH512" s="11"/>
      <c r="GI512" s="11"/>
      <c r="GJ512" s="11"/>
      <c r="GK512" s="11"/>
      <c r="GL512" s="11"/>
      <c r="GM512" s="11"/>
      <c r="GN512" s="11"/>
      <c r="GO512" s="11"/>
      <c r="GP512" s="11"/>
      <c r="GQ512" s="11"/>
      <c r="GR512" s="11"/>
      <c r="GS512" s="11"/>
      <c r="GT512" s="11"/>
      <c r="GU512" s="11"/>
      <c r="GV512" s="11"/>
      <c r="GW512" s="11"/>
      <c r="GX512" s="11"/>
      <c r="GY512" s="11"/>
      <c r="GZ512" s="11"/>
      <c r="HA512" s="11"/>
      <c r="HB512" s="11"/>
      <c r="HC512" s="11"/>
      <c r="HD512" s="11"/>
      <c r="HE512" s="11"/>
      <c r="HF512" s="11"/>
      <c r="HG512" s="11"/>
      <c r="HH512" s="11"/>
      <c r="HI512" s="11"/>
      <c r="HJ512" s="11"/>
      <c r="HK512" s="11"/>
      <c r="HL512" s="11"/>
      <c r="HM512" s="11"/>
      <c r="HN512" s="11"/>
      <c r="HO512" s="11"/>
      <c r="HP512" s="11"/>
      <c r="HQ512" s="11"/>
      <c r="HR512" s="11"/>
      <c r="HS512" s="11"/>
      <c r="HT512" s="11"/>
      <c r="HU512" s="11"/>
      <c r="HV512" s="11"/>
      <c r="HW512" s="11"/>
      <c r="HX512" s="11"/>
      <c r="HY512" s="11"/>
      <c r="HZ512" s="11"/>
      <c r="IA512" s="11"/>
      <c r="IB512" s="11"/>
      <c r="IC512" s="11"/>
      <c r="ID512" s="11"/>
      <c r="IE512" s="11"/>
      <c r="IF512" s="11"/>
      <c r="IG512" s="11"/>
      <c r="IH512" s="11"/>
      <c r="II512" s="11"/>
      <c r="IJ512" s="11"/>
      <c r="IK512" s="11"/>
      <c r="IL512" s="11"/>
      <c r="IM512" s="11"/>
      <c r="IN512" s="11"/>
      <c r="IO512" s="11"/>
      <c r="IP512" s="11"/>
      <c r="IQ512" s="11"/>
      <c r="IR512" s="11"/>
      <c r="IS512" s="11"/>
      <c r="IT512" s="11"/>
      <c r="IU512" s="11"/>
      <c r="IV512" s="11"/>
      <c r="IW512" s="11"/>
      <c r="IX512" s="11"/>
      <c r="IY512" s="11"/>
      <c r="IZ512" s="11"/>
      <c r="JA512" s="11"/>
      <c r="JB512" s="11"/>
      <c r="JC512" s="11"/>
      <c r="JD512" s="11"/>
      <c r="JE512" s="11"/>
      <c r="JF512" s="11"/>
      <c r="JG512" s="11"/>
      <c r="JH512" s="11"/>
      <c r="JI512" s="11"/>
      <c r="JJ512" s="11"/>
      <c r="JK512" s="11"/>
      <c r="JL512" s="11"/>
      <c r="JM512" s="11"/>
      <c r="JN512" s="11"/>
      <c r="JO512" s="11"/>
      <c r="JP512" s="11"/>
      <c r="JQ512" s="11"/>
      <c r="JR512" s="11"/>
      <c r="JS512" s="11"/>
      <c r="JT512" s="11"/>
      <c r="JU512" s="11"/>
      <c r="JV512" s="11"/>
      <c r="JW512" s="11"/>
      <c r="JX512" s="11"/>
      <c r="JY512" s="11"/>
      <c r="JZ512" s="11"/>
      <c r="KA512" s="11"/>
      <c r="KB512" s="11"/>
      <c r="KC512" s="11"/>
      <c r="KD512" s="11"/>
      <c r="KE512" s="11"/>
      <c r="KF512" s="11"/>
      <c r="KG512" s="11"/>
      <c r="KH512" s="11"/>
      <c r="KI512" s="11"/>
      <c r="KJ512" s="11"/>
      <c r="KK512" s="11"/>
      <c r="KL512" s="11"/>
      <c r="KM512" s="11"/>
      <c r="KN512" s="11"/>
      <c r="KO512" s="11"/>
      <c r="KP512" s="11"/>
      <c r="KQ512" s="11"/>
      <c r="KR512" s="11"/>
      <c r="KS512" s="11"/>
      <c r="KT512" s="11"/>
      <c r="KU512" s="11"/>
      <c r="KV512" s="11"/>
      <c r="KW512" s="11"/>
      <c r="KX512" s="11"/>
      <c r="KY512" s="11"/>
      <c r="KZ512" s="11"/>
      <c r="LA512" s="11"/>
      <c r="LB512" s="11"/>
      <c r="LC512" s="11"/>
      <c r="LD512" s="11"/>
      <c r="LE512" s="11"/>
      <c r="LF512" s="11"/>
      <c r="LG512" s="11"/>
      <c r="LH512" s="11"/>
      <c r="LI512" s="11"/>
      <c r="LJ512" s="11"/>
      <c r="LK512" s="11"/>
      <c r="LL512" s="11"/>
      <c r="LM512" s="11"/>
      <c r="LN512" s="11"/>
      <c r="LO512" s="11"/>
      <c r="LP512" s="11"/>
      <c r="LQ512" s="11"/>
      <c r="LR512" s="11"/>
      <c r="LS512" s="11"/>
      <c r="LT512" s="11"/>
      <c r="LU512" s="11"/>
      <c r="LV512" s="11"/>
      <c r="LW512" s="11"/>
      <c r="LX512" s="11"/>
      <c r="LY512" s="11"/>
      <c r="LZ512" s="11"/>
      <c r="MA512" s="11"/>
      <c r="MB512" s="11"/>
      <c r="MC512" s="11"/>
      <c r="MD512" s="11"/>
      <c r="ME512" s="11"/>
      <c r="MF512" s="11"/>
      <c r="MG512" s="11"/>
      <c r="MH512" s="11"/>
      <c r="MI512" s="11"/>
      <c r="MJ512" s="11"/>
      <c r="MK512" s="11"/>
      <c r="ML512" s="11"/>
      <c r="MM512" s="11"/>
      <c r="MN512" s="11"/>
      <c r="MO512" s="11"/>
      <c r="MP512" s="11"/>
      <c r="MQ512" s="11"/>
      <c r="MR512" s="11"/>
      <c r="MS512" s="11"/>
      <c r="MT512" s="11"/>
      <c r="MU512" s="11"/>
      <c r="MV512" s="11"/>
      <c r="MW512" s="11"/>
      <c r="MX512" s="11"/>
      <c r="MY512" s="11"/>
      <c r="MZ512" s="11"/>
      <c r="NA512" s="11"/>
      <c r="NB512" s="11"/>
      <c r="NC512" s="11"/>
      <c r="ND512" s="11"/>
      <c r="NE512" s="11"/>
      <c r="NF512" s="11"/>
      <c r="NG512" s="11"/>
      <c r="NH512" s="11"/>
      <c r="NI512" s="11"/>
      <c r="NJ512" s="11"/>
      <c r="NK512" s="11"/>
      <c r="NL512" s="11"/>
      <c r="NM512" s="11"/>
      <c r="NN512" s="11"/>
      <c r="NO512" s="11"/>
      <c r="NP512" s="11"/>
      <c r="NQ512" s="11"/>
      <c r="NR512" s="11"/>
      <c r="NS512" s="11"/>
      <c r="NT512" s="11"/>
      <c r="NU512" s="11"/>
      <c r="NV512" s="11"/>
      <c r="NW512" s="11"/>
      <c r="NX512" s="11"/>
      <c r="NY512" s="11"/>
      <c r="NZ512" s="11"/>
      <c r="OA512" s="11"/>
      <c r="OB512" s="11"/>
      <c r="OC512" s="11"/>
      <c r="OD512" s="11"/>
      <c r="OE512" s="11"/>
      <c r="OF512" s="11"/>
      <c r="OG512" s="11"/>
      <c r="OH512" s="11"/>
      <c r="OI512" s="11"/>
      <c r="OJ512" s="11"/>
      <c r="OK512" s="11"/>
      <c r="OL512" s="11"/>
      <c r="OM512" s="11"/>
      <c r="ON512" s="11"/>
      <c r="OO512" s="11"/>
      <c r="OP512" s="11"/>
      <c r="OQ512" s="11"/>
      <c r="OR512" s="11"/>
      <c r="OS512" s="11"/>
      <c r="OT512" s="11"/>
      <c r="OU512" s="11"/>
      <c r="OV512" s="11"/>
      <c r="OW512" s="11"/>
      <c r="OX512" s="11"/>
      <c r="OY512" s="11"/>
      <c r="OZ512" s="11"/>
      <c r="PA512" s="11"/>
      <c r="PB512" s="11"/>
      <c r="PC512" s="11"/>
      <c r="PD512" s="11"/>
      <c r="PE512" s="11"/>
      <c r="PF512" s="11"/>
      <c r="PG512" s="11"/>
      <c r="PH512" s="11"/>
      <c r="PI512" s="11"/>
      <c r="PJ512" s="11"/>
      <c r="PK512" s="11"/>
      <c r="PL512" s="11"/>
      <c r="PM512" s="11"/>
      <c r="PN512" s="11"/>
      <c r="PO512" s="11"/>
      <c r="PP512" s="11"/>
      <c r="PQ512" s="11"/>
      <c r="PR512" s="11"/>
      <c r="PS512" s="11"/>
      <c r="PT512" s="11"/>
      <c r="PU512" s="11"/>
      <c r="PV512" s="11"/>
      <c r="PW512" s="11"/>
      <c r="PX512" s="11"/>
      <c r="PY512" s="11"/>
      <c r="PZ512" s="11"/>
      <c r="QA512" s="11"/>
      <c r="QB512" s="11"/>
      <c r="QC512" s="11"/>
      <c r="QD512" s="11"/>
      <c r="QE512" s="11"/>
      <c r="QF512" s="11"/>
      <c r="QG512" s="11"/>
      <c r="QH512" s="11"/>
      <c r="QI512" s="11"/>
      <c r="QJ512" s="11"/>
      <c r="QK512" s="11"/>
      <c r="QL512" s="11"/>
      <c r="QM512" s="11"/>
      <c r="QN512" s="11"/>
      <c r="QO512" s="11"/>
      <c r="QP512" s="11"/>
      <c r="QQ512" s="11"/>
      <c r="QR512" s="11"/>
      <c r="QS512" s="11"/>
      <c r="QT512" s="11"/>
      <c r="QU512" s="11"/>
      <c r="QV512" s="11"/>
      <c r="QW512" s="11"/>
      <c r="QX512" s="11"/>
      <c r="QY512" s="11"/>
      <c r="QZ512" s="11"/>
      <c r="RA512" s="11"/>
      <c r="RB512" s="11"/>
      <c r="RC512" s="11"/>
      <c r="RD512" s="11"/>
      <c r="RE512" s="11"/>
      <c r="RF512" s="11"/>
      <c r="RG512" s="11"/>
      <c r="RH512" s="11"/>
      <c r="RI512" s="11"/>
      <c r="RJ512" s="11"/>
      <c r="RK512" s="11"/>
      <c r="RL512" s="11"/>
      <c r="RM512" s="11"/>
      <c r="RN512" s="11"/>
      <c r="RO512" s="11"/>
      <c r="RP512" s="11"/>
      <c r="RQ512" s="11"/>
      <c r="RR512" s="11"/>
      <c r="RS512" s="11"/>
      <c r="RT512" s="11"/>
      <c r="RU512" s="11"/>
      <c r="RV512" s="11"/>
      <c r="RW512" s="11"/>
      <c r="RX512" s="11"/>
      <c r="RY512" s="11"/>
      <c r="RZ512" s="11"/>
      <c r="SA512" s="11"/>
      <c r="SB512" s="11"/>
      <c r="SC512" s="11"/>
      <c r="SD512" s="11"/>
      <c r="SE512" s="11"/>
      <c r="SF512" s="11"/>
      <c r="SG512" s="11"/>
      <c r="SH512" s="11"/>
      <c r="SI512" s="11"/>
      <c r="SJ512" s="11"/>
      <c r="SK512" s="11"/>
      <c r="SL512" s="11"/>
      <c r="SM512" s="11"/>
      <c r="SN512" s="11"/>
      <c r="SO512" s="11"/>
      <c r="SP512" s="11"/>
      <c r="SQ512" s="11"/>
      <c r="SR512" s="11"/>
      <c r="SS512" s="11"/>
      <c r="ST512" s="11"/>
      <c r="SU512" s="11"/>
      <c r="SV512" s="11"/>
      <c r="SW512" s="11"/>
      <c r="SX512" s="11"/>
      <c r="SY512" s="11"/>
      <c r="SZ512" s="11"/>
      <c r="TA512" s="11"/>
      <c r="TB512" s="11"/>
      <c r="TC512" s="11"/>
      <c r="TD512" s="11"/>
      <c r="TE512" s="11"/>
      <c r="TF512" s="11"/>
      <c r="TG512" s="11"/>
      <c r="TH512" s="11"/>
      <c r="TI512" s="11"/>
      <c r="TJ512" s="11"/>
      <c r="TK512" s="11"/>
      <c r="TL512" s="11"/>
      <c r="TM512" s="11"/>
      <c r="TN512" s="11"/>
      <c r="TO512" s="11"/>
      <c r="TP512" s="11"/>
      <c r="TQ512" s="11"/>
      <c r="TR512" s="11"/>
      <c r="TS512" s="11"/>
      <c r="TT512" s="11"/>
      <c r="TU512" s="11"/>
      <c r="TV512" s="11"/>
      <c r="TW512" s="11"/>
      <c r="TX512" s="11"/>
      <c r="TY512" s="11"/>
      <c r="TZ512" s="11"/>
      <c r="UA512" s="11"/>
      <c r="UB512" s="11"/>
      <c r="UC512" s="11"/>
      <c r="UD512" s="11"/>
      <c r="UE512" s="11"/>
      <c r="UF512" s="11"/>
      <c r="UG512" s="11"/>
      <c r="UH512" s="11"/>
      <c r="UI512" s="11"/>
      <c r="UJ512" s="11"/>
      <c r="UK512" s="11"/>
      <c r="UL512" s="11"/>
      <c r="UM512" s="11"/>
      <c r="UN512" s="11"/>
      <c r="UO512" s="11"/>
      <c r="UP512" s="11"/>
      <c r="UQ512" s="11"/>
      <c r="UR512" s="11"/>
      <c r="US512" s="11"/>
      <c r="UT512" s="11"/>
      <c r="UU512" s="11"/>
      <c r="UV512" s="11"/>
      <c r="UW512" s="11"/>
      <c r="UX512" s="11"/>
      <c r="UY512" s="11"/>
      <c r="UZ512" s="11"/>
      <c r="VA512" s="11"/>
      <c r="VB512" s="11"/>
      <c r="VC512" s="11"/>
      <c r="VD512" s="11"/>
      <c r="VE512" s="11"/>
      <c r="VF512" s="11"/>
      <c r="VG512" s="11"/>
      <c r="VH512" s="11"/>
      <c r="VI512" s="11"/>
      <c r="VJ512" s="11"/>
      <c r="VK512" s="11"/>
      <c r="VL512" s="11"/>
      <c r="VM512" s="11"/>
      <c r="VN512" s="11"/>
      <c r="VO512" s="11"/>
      <c r="VP512" s="11"/>
      <c r="VQ512" s="11"/>
      <c r="VR512" s="11"/>
      <c r="VS512" s="11"/>
      <c r="VT512" s="11"/>
      <c r="VU512" s="11"/>
      <c r="VV512" s="11"/>
      <c r="VW512" s="11"/>
      <c r="VX512" s="11"/>
      <c r="VY512" s="11"/>
      <c r="VZ512" s="11"/>
      <c r="WA512" s="11"/>
      <c r="WB512" s="11"/>
      <c r="WC512" s="11"/>
      <c r="WD512" s="11"/>
      <c r="WE512" s="11"/>
      <c r="WF512" s="11"/>
      <c r="WG512" s="11"/>
      <c r="WH512" s="11"/>
      <c r="WI512" s="11"/>
      <c r="WJ512" s="11"/>
      <c r="WK512" s="11"/>
      <c r="WL512" s="11"/>
      <c r="WM512" s="11"/>
      <c r="WN512" s="11"/>
      <c r="WO512" s="11"/>
      <c r="WP512" s="11"/>
      <c r="WQ512" s="11"/>
      <c r="WR512" s="11"/>
      <c r="WS512" s="11"/>
      <c r="WT512" s="11"/>
      <c r="WU512" s="11"/>
      <c r="WV512" s="11"/>
      <c r="WW512" s="11"/>
      <c r="WX512" s="11"/>
      <c r="WY512" s="11"/>
      <c r="WZ512" s="11"/>
      <c r="XA512" s="11"/>
      <c r="XB512" s="11"/>
      <c r="XC512" s="11"/>
      <c r="XD512" s="11"/>
      <c r="XE512" s="11"/>
      <c r="XF512" s="11"/>
      <c r="XG512" s="11"/>
      <c r="XH512" s="11"/>
      <c r="XI512" s="11"/>
      <c r="XJ512" s="11"/>
      <c r="XK512" s="11"/>
      <c r="XL512" s="11"/>
      <c r="XM512" s="11"/>
      <c r="XN512" s="11"/>
      <c r="XO512" s="11"/>
      <c r="XP512" s="11"/>
      <c r="XQ512" s="11"/>
      <c r="XR512" s="11"/>
      <c r="XS512" s="11"/>
      <c r="XT512" s="11"/>
      <c r="XU512" s="11"/>
      <c r="XV512" s="11"/>
      <c r="XW512" s="11"/>
      <c r="XX512" s="11"/>
      <c r="XY512" s="11"/>
      <c r="XZ512" s="11"/>
      <c r="YA512" s="11"/>
      <c r="YB512" s="11"/>
      <c r="YC512" s="11"/>
      <c r="YD512" s="11"/>
      <c r="YE512" s="11"/>
      <c r="YF512" s="11"/>
      <c r="YG512" s="11"/>
      <c r="YH512" s="11"/>
      <c r="YI512" s="11"/>
      <c r="YJ512" s="11"/>
      <c r="YK512" s="11"/>
      <c r="YL512" s="11"/>
      <c r="YM512" s="11"/>
      <c r="YN512" s="11"/>
      <c r="YO512" s="11"/>
      <c r="YP512" s="11"/>
      <c r="YQ512" s="11"/>
      <c r="YR512" s="11"/>
      <c r="YS512" s="11"/>
      <c r="YT512" s="11"/>
      <c r="YU512" s="11"/>
      <c r="YV512" s="11"/>
      <c r="YW512" s="11"/>
      <c r="YX512" s="11"/>
      <c r="YY512" s="11"/>
      <c r="YZ512" s="11"/>
      <c r="ZA512" s="11"/>
      <c r="ZB512" s="11"/>
      <c r="ZC512" s="11"/>
      <c r="ZD512" s="11"/>
      <c r="ZE512" s="11"/>
      <c r="ZF512" s="11"/>
      <c r="ZG512" s="11"/>
      <c r="ZH512" s="11"/>
      <c r="ZI512" s="11"/>
      <c r="ZJ512" s="11"/>
      <c r="ZK512" s="11"/>
      <c r="ZL512" s="11"/>
      <c r="ZM512" s="11"/>
      <c r="ZN512" s="11"/>
      <c r="ZO512" s="11"/>
      <c r="ZP512" s="11"/>
      <c r="ZQ512" s="11"/>
      <c r="ZR512" s="11"/>
      <c r="ZS512" s="11"/>
      <c r="ZT512" s="11"/>
      <c r="ZU512" s="11"/>
      <c r="ZV512" s="11"/>
      <c r="ZW512" s="11"/>
      <c r="ZX512" s="11"/>
      <c r="ZY512" s="11"/>
      <c r="ZZ512" s="11"/>
      <c r="AAA512" s="11"/>
      <c r="AAB512" s="11"/>
      <c r="AAC512" s="11"/>
      <c r="AAD512" s="11"/>
      <c r="AAE512" s="11"/>
      <c r="AAF512" s="11"/>
      <c r="AAG512" s="11"/>
      <c r="AAH512" s="11"/>
      <c r="AAI512" s="11"/>
      <c r="AAJ512" s="11"/>
      <c r="AAK512" s="11"/>
      <c r="AAL512" s="11"/>
      <c r="AAM512" s="11"/>
      <c r="AAN512" s="11"/>
      <c r="AAO512" s="11"/>
      <c r="AAP512" s="11"/>
      <c r="AAQ512" s="11"/>
      <c r="AAR512" s="11"/>
      <c r="AAS512" s="11"/>
      <c r="AAT512" s="11"/>
      <c r="AAU512" s="11"/>
      <c r="AAV512" s="11"/>
      <c r="AAW512" s="11"/>
      <c r="AAX512" s="11"/>
      <c r="AAY512" s="11"/>
      <c r="AAZ512" s="11"/>
      <c r="ABA512" s="11"/>
      <c r="ABB512" s="11"/>
      <c r="ABC512" s="11"/>
      <c r="ABD512" s="11"/>
      <c r="ABE512" s="11"/>
      <c r="ABF512" s="11"/>
      <c r="ABG512" s="11"/>
      <c r="ABH512" s="11"/>
      <c r="ABI512" s="11"/>
      <c r="ABJ512" s="11"/>
      <c r="ABK512" s="11"/>
      <c r="ABL512" s="11"/>
      <c r="ABM512" s="11"/>
      <c r="ABN512" s="11"/>
      <c r="ABO512" s="11"/>
      <c r="ABP512" s="11"/>
      <c r="ABQ512" s="11"/>
      <c r="ABR512" s="11"/>
      <c r="ABS512" s="11"/>
      <c r="ABT512" s="11"/>
      <c r="ABU512" s="11"/>
      <c r="ABV512" s="11"/>
      <c r="ABW512" s="11"/>
      <c r="ABX512" s="11"/>
      <c r="ABY512" s="11"/>
      <c r="ABZ512" s="11"/>
      <c r="ACA512" s="11"/>
      <c r="ACB512" s="11"/>
      <c r="ACC512" s="11"/>
      <c r="ACD512" s="11"/>
      <c r="ACE512" s="11"/>
      <c r="ACF512" s="11"/>
      <c r="ACG512" s="11"/>
      <c r="ACH512" s="11"/>
      <c r="ACI512" s="11"/>
      <c r="ACJ512" s="11"/>
      <c r="ACK512" s="11"/>
      <c r="ACL512" s="11"/>
      <c r="ACM512" s="11"/>
      <c r="ACN512" s="11"/>
      <c r="ACO512" s="11"/>
      <c r="ACP512" s="11"/>
      <c r="ACQ512" s="11"/>
      <c r="ACR512" s="11"/>
      <c r="ACS512" s="11"/>
      <c r="ACT512" s="11"/>
      <c r="ACU512" s="11"/>
      <c r="ACV512" s="11"/>
      <c r="ACW512" s="11"/>
      <c r="ACX512" s="11"/>
      <c r="ACY512" s="11"/>
      <c r="ACZ512" s="11"/>
      <c r="ADA512" s="11"/>
      <c r="ADB512" s="11"/>
      <c r="ADC512" s="11"/>
      <c r="ADD512" s="11"/>
      <c r="ADE512" s="11"/>
      <c r="ADF512" s="11"/>
      <c r="ADG512" s="11"/>
      <c r="ADH512" s="11"/>
      <c r="ADI512" s="11"/>
      <c r="ADJ512" s="11"/>
      <c r="ADK512" s="11"/>
      <c r="ADL512" s="11"/>
      <c r="ADM512" s="11"/>
      <c r="ADN512" s="11"/>
      <c r="ADO512" s="11"/>
      <c r="ADP512" s="11"/>
      <c r="ADQ512" s="11"/>
      <c r="ADR512" s="11"/>
      <c r="ADS512" s="11"/>
      <c r="ADT512" s="11"/>
      <c r="ADU512" s="11"/>
      <c r="ADV512" s="11"/>
      <c r="ADW512" s="11"/>
      <c r="ADX512" s="11"/>
      <c r="ADY512" s="11"/>
      <c r="ADZ512" s="11"/>
      <c r="AEA512" s="11"/>
      <c r="AEB512" s="11"/>
      <c r="AEC512" s="11"/>
      <c r="AED512" s="11"/>
      <c r="AEE512" s="11"/>
      <c r="AEF512" s="11"/>
      <c r="AEG512" s="11"/>
      <c r="AEH512" s="11"/>
      <c r="AEI512" s="11"/>
      <c r="AEJ512" s="11"/>
      <c r="AEK512" s="11"/>
      <c r="AEL512" s="11"/>
      <c r="AEM512" s="11"/>
      <c r="AEN512" s="11"/>
      <c r="AEO512" s="11"/>
      <c r="AEP512" s="11"/>
      <c r="AEQ512" s="11"/>
      <c r="AER512" s="11"/>
      <c r="AES512" s="11"/>
      <c r="AET512" s="11"/>
      <c r="AEU512" s="11"/>
      <c r="AEV512" s="11"/>
      <c r="AEW512" s="11"/>
      <c r="AEX512" s="11"/>
      <c r="AEY512" s="11"/>
      <c r="AEZ512" s="11"/>
      <c r="AFA512" s="11"/>
      <c r="AFB512" s="11"/>
      <c r="AFC512" s="11"/>
      <c r="AFD512" s="11"/>
      <c r="AFE512" s="11"/>
      <c r="AFF512" s="11"/>
      <c r="AFG512" s="11"/>
      <c r="AFH512" s="11"/>
      <c r="AFI512" s="11"/>
      <c r="AFJ512" s="11"/>
      <c r="AFK512" s="11"/>
      <c r="AFL512" s="11"/>
      <c r="AFM512" s="11"/>
      <c r="AFN512" s="11"/>
      <c r="AFO512" s="11"/>
      <c r="AFP512" s="11"/>
      <c r="AFQ512" s="11"/>
      <c r="AFR512" s="11"/>
      <c r="AFS512" s="11"/>
      <c r="AFT512" s="11"/>
      <c r="AFU512" s="11"/>
      <c r="AFV512" s="11"/>
      <c r="AFW512" s="11"/>
      <c r="AFX512" s="11"/>
      <c r="AFY512" s="11"/>
      <c r="AFZ512" s="11"/>
      <c r="AGA512" s="11"/>
      <c r="AGB512" s="11"/>
      <c r="AGC512" s="11"/>
      <c r="AGD512" s="11"/>
      <c r="AGE512" s="11"/>
      <c r="AGF512" s="11"/>
      <c r="AGG512" s="11"/>
      <c r="AGH512" s="11"/>
      <c r="AGI512" s="11"/>
      <c r="AGJ512" s="11"/>
      <c r="AGK512" s="11"/>
      <c r="AGL512" s="11"/>
      <c r="AGM512" s="11"/>
      <c r="AGN512" s="11"/>
      <c r="AGO512" s="11"/>
      <c r="AGP512" s="11"/>
      <c r="AGQ512" s="11"/>
      <c r="AGR512" s="11"/>
      <c r="AGS512" s="11"/>
      <c r="AGT512" s="11"/>
      <c r="AGU512" s="11"/>
      <c r="AGV512" s="11"/>
      <c r="AGW512" s="11"/>
      <c r="AGX512" s="11"/>
      <c r="AGY512" s="11"/>
      <c r="AGZ512" s="11"/>
      <c r="AHA512" s="11"/>
      <c r="AHB512" s="11"/>
      <c r="AHC512" s="11"/>
      <c r="AHD512" s="11"/>
      <c r="AHE512" s="11"/>
      <c r="AHF512" s="11"/>
      <c r="AHG512" s="11"/>
      <c r="AHH512" s="11"/>
      <c r="AHI512" s="11"/>
      <c r="AHJ512" s="11"/>
      <c r="AHK512" s="11"/>
      <c r="AHL512" s="11"/>
      <c r="AHM512" s="11"/>
      <c r="AHN512" s="11"/>
      <c r="AHO512" s="11"/>
      <c r="AHP512" s="11"/>
      <c r="AHQ512" s="11"/>
      <c r="AHR512" s="11"/>
      <c r="AHS512" s="11"/>
      <c r="AHT512" s="11"/>
      <c r="AHU512" s="11"/>
      <c r="AHV512" s="11"/>
      <c r="AHW512" s="11"/>
      <c r="AHX512" s="11"/>
      <c r="AHY512" s="11"/>
      <c r="AHZ512" s="11"/>
      <c r="AIA512" s="11"/>
      <c r="AIB512" s="11"/>
      <c r="AIC512" s="11"/>
      <c r="AID512" s="11"/>
      <c r="AIE512" s="11"/>
      <c r="AIF512" s="11"/>
      <c r="AIG512" s="11"/>
      <c r="AIH512" s="11"/>
      <c r="AII512" s="11"/>
      <c r="AIJ512" s="11"/>
      <c r="AIK512" s="11"/>
      <c r="AIL512" s="11"/>
      <c r="AIM512" s="11"/>
      <c r="AIN512" s="11"/>
      <c r="AIO512" s="11"/>
      <c r="AIP512" s="11"/>
      <c r="AIQ512" s="11"/>
      <c r="AIR512" s="11"/>
      <c r="AIS512" s="11"/>
      <c r="AIT512" s="11"/>
      <c r="AIU512" s="11"/>
      <c r="AIV512" s="11"/>
      <c r="AIW512" s="11"/>
      <c r="AIX512" s="11"/>
      <c r="AIY512" s="11"/>
      <c r="AIZ512" s="11"/>
      <c r="AJA512" s="11"/>
      <c r="AJB512" s="11"/>
      <c r="AJC512" s="11"/>
      <c r="AJD512" s="11"/>
      <c r="AJE512" s="11"/>
      <c r="AJF512" s="11"/>
      <c r="AJG512" s="11"/>
      <c r="AJH512" s="11"/>
      <c r="AJI512" s="11"/>
      <c r="AJJ512" s="11"/>
      <c r="AJK512" s="11"/>
      <c r="AJL512" s="11"/>
      <c r="AJM512" s="11"/>
      <c r="AJN512" s="11"/>
      <c r="AJO512" s="11"/>
      <c r="AJP512" s="11"/>
      <c r="AJQ512" s="11"/>
      <c r="AJR512" s="11"/>
      <c r="AJS512" s="11"/>
      <c r="AJT512" s="11"/>
      <c r="AJU512" s="11"/>
      <c r="AJV512" s="11"/>
      <c r="AJW512" s="11"/>
      <c r="AJX512" s="11"/>
      <c r="AJY512" s="11"/>
      <c r="AJZ512" s="11"/>
      <c r="AKA512" s="11"/>
      <c r="AKB512" s="11"/>
      <c r="AKC512" s="11"/>
      <c r="AKD512" s="11"/>
      <c r="AKE512" s="11"/>
      <c r="AKF512" s="11"/>
      <c r="AKG512" s="11"/>
      <c r="AKH512" s="11"/>
      <c r="AKI512" s="11"/>
      <c r="AKJ512" s="11"/>
      <c r="AKK512" s="11"/>
      <c r="AKL512" s="11"/>
      <c r="AKM512" s="11"/>
      <c r="AKN512" s="11"/>
      <c r="AKO512" s="11"/>
      <c r="AKP512" s="11"/>
      <c r="AKQ512" s="11"/>
      <c r="AKR512" s="11"/>
      <c r="AKS512" s="11"/>
      <c r="AKT512" s="11"/>
      <c r="AKU512" s="11"/>
      <c r="AKV512" s="11"/>
      <c r="AKW512" s="11"/>
      <c r="AKX512" s="11"/>
      <c r="AKY512" s="11"/>
      <c r="AKZ512" s="11"/>
      <c r="ALA512" s="11"/>
      <c r="ALB512" s="11"/>
      <c r="ALC512" s="11"/>
      <c r="ALD512" s="11"/>
      <c r="ALE512" s="11"/>
      <c r="ALF512" s="11"/>
      <c r="ALG512" s="11"/>
      <c r="ALH512" s="11"/>
      <c r="ALI512" s="11"/>
      <c r="ALJ512" s="11"/>
      <c r="ALK512" s="11"/>
      <c r="ALL512" s="11"/>
      <c r="ALM512" s="11"/>
      <c r="ALN512" s="11"/>
      <c r="ALO512" s="11"/>
      <c r="ALP512" s="11"/>
      <c r="ALQ512" s="11"/>
      <c r="ALR512" s="11"/>
      <c r="ALS512" s="11"/>
      <c r="ALT512" s="11"/>
      <c r="ALU512" s="11"/>
      <c r="ALV512" s="11"/>
      <c r="ALW512" s="11"/>
      <c r="ALX512" s="11"/>
      <c r="ALY512" s="11"/>
      <c r="ALZ512" s="11"/>
      <c r="AMA512" s="11"/>
      <c r="AMB512" s="11"/>
      <c r="AMC512" s="11"/>
      <c r="AMD512" s="11"/>
      <c r="AME512" s="11"/>
      <c r="AMF512" s="11"/>
      <c r="AMG512" s="11"/>
      <c r="AMH512" s="11"/>
      <c r="AMI512" s="11"/>
      <c r="AMJ512" s="11"/>
    </row>
    <row r="513" spans="1:1024" ht="27.6">
      <c r="A513" s="7" t="s">
        <v>517</v>
      </c>
      <c r="B513" s="7">
        <v>869668</v>
      </c>
      <c r="D513" s="1">
        <v>0</v>
      </c>
      <c r="E513" s="8">
        <f>VLOOKUP(B513,Gesamtstunden_26!B:I,8,0)</f>
        <v>6.166666666666667</v>
      </c>
      <c r="F513" s="2">
        <f t="shared" si="7"/>
        <v>-6.166666666666667</v>
      </c>
    </row>
    <row r="514" spans="1:1024">
      <c r="A514" s="7" t="s">
        <v>518</v>
      </c>
      <c r="B514" s="7">
        <v>636064</v>
      </c>
      <c r="D514" s="1">
        <v>0</v>
      </c>
      <c r="E514" s="8">
        <f>VLOOKUP(B514,Gesamtstunden_26!B:I,8,0)</f>
        <v>2.1666666666666665</v>
      </c>
      <c r="F514" s="2">
        <f t="shared" ref="F514:F577" si="8">D514-E514</f>
        <v>-2.1666666666666665</v>
      </c>
    </row>
    <row r="515" spans="1:1024">
      <c r="A515" s="8" t="s">
        <v>519</v>
      </c>
      <c r="B515" s="8">
        <v>810133</v>
      </c>
      <c r="D515" s="1">
        <v>3.6666666666666701</v>
      </c>
      <c r="E515" s="8">
        <f>VLOOKUP(B515,Gesamtstunden_26!B:I,8,0)</f>
        <v>0</v>
      </c>
      <c r="F515" s="2">
        <f t="shared" si="8"/>
        <v>3.6666666666666701</v>
      </c>
    </row>
    <row r="516" spans="1:1024">
      <c r="A516" s="8" t="s">
        <v>520</v>
      </c>
      <c r="B516" s="8">
        <v>672078</v>
      </c>
      <c r="D516" s="1">
        <v>7.34</v>
      </c>
      <c r="E516" s="8">
        <f>VLOOKUP(B516,Gesamtstunden_26!B:I,8,0)</f>
        <v>0</v>
      </c>
      <c r="F516" s="2">
        <f t="shared" si="8"/>
        <v>7.34</v>
      </c>
    </row>
    <row r="517" spans="1:1024">
      <c r="A517" s="7" t="s">
        <v>521</v>
      </c>
      <c r="B517" s="7">
        <v>398483</v>
      </c>
      <c r="D517" s="1">
        <v>0</v>
      </c>
      <c r="E517" s="8">
        <f>VLOOKUP(B517,Gesamtstunden_26!B:I,8,0)</f>
        <v>1.5</v>
      </c>
      <c r="F517" s="2">
        <f t="shared" si="8"/>
        <v>-1.5</v>
      </c>
    </row>
    <row r="518" spans="1:1024">
      <c r="A518" s="14" t="s">
        <v>522</v>
      </c>
      <c r="B518" s="14">
        <v>523551</v>
      </c>
      <c r="D518" s="1">
        <v>0</v>
      </c>
      <c r="E518" s="8">
        <f>VLOOKUP(B518,Gesamtstunden_26!B:I,8,0)</f>
        <v>0.33333333333333331</v>
      </c>
      <c r="F518" s="2">
        <f t="shared" si="8"/>
        <v>-0.33333333333333331</v>
      </c>
    </row>
    <row r="519" spans="1:1024">
      <c r="A519" s="7" t="s">
        <v>523</v>
      </c>
      <c r="B519" s="7">
        <v>703541</v>
      </c>
      <c r="D519" s="1">
        <v>0</v>
      </c>
      <c r="E519" s="8">
        <f>VLOOKUP(B519,Gesamtstunden_26!B:I,8,0)</f>
        <v>2.5</v>
      </c>
      <c r="F519" s="2">
        <f t="shared" si="8"/>
        <v>-2.5</v>
      </c>
    </row>
    <row r="520" spans="1:1024">
      <c r="A520" s="14" t="s">
        <v>524</v>
      </c>
      <c r="B520" s="14">
        <v>676235</v>
      </c>
      <c r="D520" s="1">
        <v>0</v>
      </c>
      <c r="E520" s="8">
        <f>VLOOKUP(B520,Gesamtstunden_26!B:I,8,0)</f>
        <v>2.3333333333333335</v>
      </c>
      <c r="F520" s="2">
        <f t="shared" si="8"/>
        <v>-2.3333333333333335</v>
      </c>
    </row>
    <row r="521" spans="1:1024">
      <c r="A521" s="10" t="s">
        <v>525</v>
      </c>
      <c r="B521" s="10">
        <v>470624</v>
      </c>
      <c r="D521" s="1">
        <v>0</v>
      </c>
      <c r="E521" s="8">
        <f>VLOOKUP(B521,Gesamtstunden_26!B:I,8,0)</f>
        <v>3.8333333333333335</v>
      </c>
      <c r="F521" s="2">
        <f t="shared" si="8"/>
        <v>-3.8333333333333335</v>
      </c>
    </row>
    <row r="522" spans="1:1024">
      <c r="A522" s="7" t="s">
        <v>526</v>
      </c>
      <c r="B522" s="7">
        <v>568489</v>
      </c>
      <c r="D522" s="1">
        <v>0</v>
      </c>
      <c r="E522" s="8">
        <f>VLOOKUP(B522,Gesamtstunden_26!B:I,8,0)</f>
        <v>0.66666666666666663</v>
      </c>
      <c r="F522" s="2">
        <f t="shared" si="8"/>
        <v>-0.66666666666666663</v>
      </c>
    </row>
    <row r="523" spans="1:1024">
      <c r="A523" s="17" t="s">
        <v>527</v>
      </c>
      <c r="B523" s="17">
        <v>547872</v>
      </c>
      <c r="D523" s="1">
        <v>0</v>
      </c>
      <c r="E523" s="8">
        <f>VLOOKUP(B523,Gesamtstunden_26!B:I,8,0)</f>
        <v>1.3333333333333333</v>
      </c>
      <c r="F523" s="2">
        <f t="shared" si="8"/>
        <v>-1.3333333333333333</v>
      </c>
    </row>
    <row r="524" spans="1:1024">
      <c r="A524" s="8" t="s">
        <v>528</v>
      </c>
      <c r="B524">
        <v>843420</v>
      </c>
      <c r="D524" s="1">
        <v>8</v>
      </c>
      <c r="E524" s="8">
        <f>VLOOKUP(B524,Gesamtstunden_26!B:I,8,0)</f>
        <v>0</v>
      </c>
      <c r="F524" s="2">
        <f t="shared" si="8"/>
        <v>8</v>
      </c>
    </row>
    <row r="525" spans="1:1024">
      <c r="A525" s="7" t="s">
        <v>529</v>
      </c>
      <c r="B525" s="7">
        <v>215276</v>
      </c>
      <c r="D525" s="1">
        <v>0</v>
      </c>
      <c r="E525" s="8">
        <f>VLOOKUP(B525,Gesamtstunden_26!B:I,8,0)</f>
        <v>1</v>
      </c>
      <c r="F525" s="2">
        <f t="shared" si="8"/>
        <v>-1</v>
      </c>
    </row>
    <row r="526" spans="1:1024">
      <c r="A526" s="8" t="s">
        <v>530</v>
      </c>
      <c r="B526" s="8">
        <v>271227</v>
      </c>
      <c r="D526" s="1">
        <v>12</v>
      </c>
      <c r="E526" s="8">
        <f>VLOOKUP(B526,Gesamtstunden_26!B:I,8,0)</f>
        <v>0</v>
      </c>
      <c r="F526" s="2">
        <f t="shared" si="8"/>
        <v>12</v>
      </c>
    </row>
    <row r="527" spans="1:1024" s="11" customFormat="1">
      <c r="A527" s="18" t="s">
        <v>531</v>
      </c>
      <c r="B527" s="18">
        <v>904226</v>
      </c>
      <c r="C527"/>
      <c r="D527" s="1">
        <v>0</v>
      </c>
      <c r="E527" s="8">
        <f>VLOOKUP(B527,Gesamtstunden_26!B:I,8,0)</f>
        <v>0</v>
      </c>
      <c r="F527" s="2">
        <f t="shared" si="8"/>
        <v>0</v>
      </c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  <c r="BR527"/>
      <c r="BS527"/>
      <c r="BT527"/>
      <c r="BU527"/>
      <c r="BV527"/>
      <c r="BW527"/>
      <c r="BX527"/>
      <c r="BY527"/>
      <c r="BZ527"/>
      <c r="CA527"/>
      <c r="CB527"/>
      <c r="CC527"/>
      <c r="CD527"/>
      <c r="CE527"/>
      <c r="CF527"/>
      <c r="CG527"/>
      <c r="CH527"/>
      <c r="CI527"/>
      <c r="CJ527"/>
      <c r="CK527"/>
      <c r="CL527"/>
      <c r="CM527"/>
      <c r="CN527"/>
      <c r="CO527"/>
      <c r="CP527"/>
      <c r="CQ527"/>
      <c r="CR527"/>
      <c r="CS527"/>
      <c r="CT527"/>
      <c r="CU527"/>
      <c r="CV527"/>
      <c r="CW527"/>
      <c r="CX527"/>
      <c r="CY527"/>
      <c r="CZ527"/>
      <c r="DA527"/>
      <c r="DB527"/>
      <c r="DC527"/>
      <c r="DD527"/>
      <c r="DE527"/>
      <c r="DF527"/>
      <c r="DG527"/>
      <c r="DH527"/>
      <c r="DI527"/>
      <c r="DJ527"/>
      <c r="DK527"/>
      <c r="DL527"/>
      <c r="DM527"/>
      <c r="DN527"/>
      <c r="DO527"/>
      <c r="DP527"/>
      <c r="DQ527"/>
      <c r="DR527"/>
      <c r="DS527"/>
      <c r="DT527"/>
      <c r="DU527"/>
      <c r="DV527"/>
      <c r="DW527"/>
      <c r="DX527"/>
      <c r="DY527"/>
      <c r="DZ527"/>
      <c r="EA527"/>
      <c r="EB527"/>
      <c r="EC527"/>
      <c r="ED527"/>
      <c r="EE527"/>
      <c r="EF527"/>
      <c r="EG527"/>
      <c r="EH527"/>
      <c r="EI527"/>
      <c r="EJ527"/>
      <c r="EK527"/>
      <c r="EL527"/>
      <c r="EM527"/>
      <c r="EN527"/>
      <c r="EO527"/>
      <c r="EP527"/>
      <c r="EQ527"/>
      <c r="ER527"/>
      <c r="ES527"/>
      <c r="ET527"/>
      <c r="EU527"/>
      <c r="EV527"/>
      <c r="EW527"/>
      <c r="EX527"/>
      <c r="EY527"/>
      <c r="EZ527"/>
      <c r="FA527"/>
      <c r="FB527"/>
      <c r="FC527"/>
      <c r="FD527"/>
      <c r="FE527"/>
      <c r="FF527"/>
      <c r="FG527"/>
      <c r="FH527"/>
      <c r="FI527"/>
      <c r="FJ527"/>
      <c r="FK527"/>
      <c r="FL527"/>
      <c r="FM527"/>
      <c r="FN527"/>
      <c r="FO527"/>
      <c r="FP527"/>
      <c r="FQ527"/>
      <c r="FR527"/>
      <c r="FS527"/>
      <c r="FT527"/>
      <c r="FU527"/>
      <c r="FV527"/>
      <c r="FW527"/>
      <c r="FX527"/>
      <c r="FY527"/>
      <c r="FZ527"/>
      <c r="GA527"/>
      <c r="GB527"/>
      <c r="GC527"/>
      <c r="GD527"/>
      <c r="GE527"/>
      <c r="GF527"/>
      <c r="GG527"/>
      <c r="GH527"/>
      <c r="GI527"/>
      <c r="GJ527"/>
      <c r="GK527"/>
      <c r="GL527"/>
      <c r="GM527"/>
      <c r="GN527"/>
      <c r="GO527"/>
      <c r="GP527"/>
      <c r="GQ527"/>
      <c r="GR527"/>
      <c r="GS527"/>
      <c r="GT527"/>
      <c r="GU527"/>
      <c r="GV527"/>
      <c r="GW527"/>
      <c r="GX527"/>
      <c r="GY527"/>
      <c r="GZ527"/>
      <c r="HA527"/>
      <c r="HB527"/>
      <c r="HC527"/>
      <c r="HD527"/>
      <c r="HE527"/>
      <c r="HF527"/>
      <c r="HG527"/>
      <c r="HH527"/>
      <c r="HI527"/>
      <c r="HJ527"/>
      <c r="HK527"/>
      <c r="HL527"/>
      <c r="HM527"/>
      <c r="HN527"/>
      <c r="HO527"/>
      <c r="HP527"/>
      <c r="HQ527"/>
      <c r="HR527"/>
      <c r="HS527"/>
      <c r="HT527"/>
      <c r="HU527"/>
      <c r="HV527"/>
      <c r="HW527"/>
      <c r="HX527"/>
      <c r="HY527"/>
      <c r="HZ527"/>
      <c r="IA527"/>
      <c r="IB527"/>
      <c r="IC527"/>
      <c r="ID527"/>
      <c r="IE527"/>
      <c r="IF527"/>
      <c r="IG527"/>
      <c r="IH527"/>
      <c r="II527"/>
      <c r="IJ527"/>
      <c r="IK527"/>
      <c r="IL527"/>
      <c r="IM527"/>
      <c r="IN527"/>
      <c r="IO527"/>
      <c r="IP527"/>
      <c r="IQ527"/>
      <c r="IR527"/>
      <c r="IS527"/>
      <c r="IT527"/>
      <c r="IU527"/>
      <c r="IV527"/>
      <c r="IW527"/>
      <c r="IX527"/>
      <c r="IY527"/>
      <c r="IZ527"/>
      <c r="JA527"/>
      <c r="JB527"/>
      <c r="JC527"/>
      <c r="JD527"/>
      <c r="JE527"/>
      <c r="JF527"/>
      <c r="JG527"/>
      <c r="JH527"/>
      <c r="JI527"/>
      <c r="JJ527"/>
      <c r="JK527"/>
      <c r="JL527"/>
      <c r="JM527"/>
      <c r="JN527"/>
      <c r="JO527"/>
      <c r="JP527"/>
      <c r="JQ527"/>
      <c r="JR527"/>
      <c r="JS527"/>
      <c r="JT527"/>
      <c r="JU527"/>
      <c r="JV527"/>
      <c r="JW527"/>
      <c r="JX527"/>
      <c r="JY527"/>
      <c r="JZ527"/>
      <c r="KA527"/>
      <c r="KB527"/>
      <c r="KC527"/>
      <c r="KD527"/>
      <c r="KE527"/>
      <c r="KF527"/>
      <c r="KG527"/>
      <c r="KH527"/>
      <c r="KI527"/>
      <c r="KJ527"/>
      <c r="KK527"/>
      <c r="KL527"/>
      <c r="KM527"/>
      <c r="KN527"/>
      <c r="KO527"/>
      <c r="KP527"/>
      <c r="KQ527"/>
      <c r="KR527"/>
      <c r="KS527"/>
      <c r="KT527"/>
      <c r="KU527"/>
      <c r="KV527"/>
      <c r="KW527"/>
      <c r="KX527"/>
      <c r="KY527"/>
      <c r="KZ527"/>
      <c r="LA527"/>
      <c r="LB527"/>
      <c r="LC527"/>
      <c r="LD527"/>
      <c r="LE527"/>
      <c r="LF527"/>
      <c r="LG527"/>
      <c r="LH527"/>
      <c r="LI527"/>
      <c r="LJ527"/>
      <c r="LK527"/>
      <c r="LL527"/>
      <c r="LM527"/>
      <c r="LN527"/>
      <c r="LO527"/>
      <c r="LP527"/>
      <c r="LQ527"/>
      <c r="LR527"/>
      <c r="LS527"/>
      <c r="LT527"/>
      <c r="LU527"/>
      <c r="LV527"/>
      <c r="LW527"/>
      <c r="LX527"/>
      <c r="LY527"/>
      <c r="LZ527"/>
      <c r="MA527"/>
      <c r="MB527"/>
      <c r="MC527"/>
      <c r="MD527"/>
      <c r="ME527"/>
      <c r="MF527"/>
      <c r="MG527"/>
      <c r="MH527"/>
      <c r="MI527"/>
      <c r="MJ527"/>
      <c r="MK527"/>
      <c r="ML527"/>
      <c r="MM527"/>
      <c r="MN527"/>
      <c r="MO527"/>
      <c r="MP527"/>
      <c r="MQ527"/>
      <c r="MR527"/>
      <c r="MS527"/>
      <c r="MT527"/>
      <c r="MU527"/>
      <c r="MV527"/>
      <c r="MW527"/>
      <c r="MX527"/>
      <c r="MY527"/>
      <c r="MZ527"/>
      <c r="NA527"/>
      <c r="NB527"/>
      <c r="NC527"/>
      <c r="ND527"/>
      <c r="NE527"/>
      <c r="NF527"/>
      <c r="NG527"/>
      <c r="NH527"/>
      <c r="NI527"/>
      <c r="NJ527"/>
      <c r="NK527"/>
      <c r="NL527"/>
      <c r="NM527"/>
      <c r="NN527"/>
      <c r="NO527"/>
      <c r="NP527"/>
      <c r="NQ527"/>
      <c r="NR527"/>
      <c r="NS527"/>
      <c r="NT527"/>
      <c r="NU527"/>
      <c r="NV527"/>
      <c r="NW527"/>
      <c r="NX527"/>
      <c r="NY527"/>
      <c r="NZ527"/>
      <c r="OA527"/>
      <c r="OB527"/>
      <c r="OC527"/>
      <c r="OD527"/>
      <c r="OE527"/>
      <c r="OF527"/>
      <c r="OG527"/>
      <c r="OH527"/>
      <c r="OI527"/>
      <c r="OJ527"/>
      <c r="OK527"/>
      <c r="OL527"/>
      <c r="OM527"/>
      <c r="ON527"/>
      <c r="OO527"/>
      <c r="OP527"/>
      <c r="OQ527"/>
      <c r="OR527"/>
      <c r="OS527"/>
      <c r="OT527"/>
      <c r="OU527"/>
      <c r="OV527"/>
      <c r="OW527"/>
      <c r="OX527"/>
      <c r="OY527"/>
      <c r="OZ527"/>
      <c r="PA527"/>
      <c r="PB527"/>
      <c r="PC527"/>
      <c r="PD527"/>
      <c r="PE527"/>
      <c r="PF527"/>
      <c r="PG527"/>
      <c r="PH527"/>
      <c r="PI527"/>
      <c r="PJ527"/>
      <c r="PK527"/>
      <c r="PL527"/>
      <c r="PM527"/>
      <c r="PN527"/>
      <c r="PO527"/>
      <c r="PP527"/>
      <c r="PQ527"/>
      <c r="PR527"/>
      <c r="PS527"/>
      <c r="PT527"/>
      <c r="PU527"/>
      <c r="PV527"/>
      <c r="PW527"/>
      <c r="PX527"/>
      <c r="PY527"/>
      <c r="PZ527"/>
      <c r="QA527"/>
      <c r="QB527"/>
      <c r="QC527"/>
      <c r="QD527"/>
      <c r="QE527"/>
      <c r="QF527"/>
      <c r="QG527"/>
      <c r="QH527"/>
      <c r="QI527"/>
      <c r="QJ527"/>
      <c r="QK527"/>
      <c r="QL527"/>
      <c r="QM527"/>
      <c r="QN527"/>
      <c r="QO527"/>
      <c r="QP527"/>
      <c r="QQ527"/>
      <c r="QR527"/>
      <c r="QS527"/>
      <c r="QT527"/>
      <c r="QU527"/>
      <c r="QV527"/>
      <c r="QW527"/>
      <c r="QX527"/>
      <c r="QY527"/>
      <c r="QZ527"/>
      <c r="RA527"/>
      <c r="RB527"/>
      <c r="RC527"/>
      <c r="RD527"/>
      <c r="RE527"/>
      <c r="RF527"/>
      <c r="RG527"/>
      <c r="RH527"/>
      <c r="RI527"/>
      <c r="RJ527"/>
      <c r="RK527"/>
      <c r="RL527"/>
      <c r="RM527"/>
      <c r="RN527"/>
      <c r="RO527"/>
      <c r="RP527"/>
      <c r="RQ527"/>
      <c r="RR527"/>
      <c r="RS527"/>
      <c r="RT527"/>
      <c r="RU527"/>
      <c r="RV527"/>
      <c r="RW527"/>
      <c r="RX527"/>
      <c r="RY527"/>
      <c r="RZ527"/>
      <c r="SA527"/>
      <c r="SB527"/>
      <c r="SC527"/>
      <c r="SD527"/>
      <c r="SE527"/>
      <c r="SF527"/>
      <c r="SG527"/>
      <c r="SH527"/>
      <c r="SI527"/>
      <c r="SJ527"/>
      <c r="SK527"/>
      <c r="SL527"/>
      <c r="SM527"/>
      <c r="SN527"/>
      <c r="SO527"/>
      <c r="SP527"/>
      <c r="SQ527"/>
      <c r="SR527"/>
      <c r="SS527"/>
      <c r="ST527"/>
      <c r="SU527"/>
      <c r="SV527"/>
      <c r="SW527"/>
      <c r="SX527"/>
      <c r="SY527"/>
      <c r="SZ527"/>
      <c r="TA527"/>
      <c r="TB527"/>
      <c r="TC527"/>
      <c r="TD527"/>
      <c r="TE527"/>
      <c r="TF527"/>
      <c r="TG527"/>
      <c r="TH527"/>
      <c r="TI527"/>
      <c r="TJ527"/>
      <c r="TK527"/>
      <c r="TL527"/>
      <c r="TM527"/>
      <c r="TN527"/>
      <c r="TO527"/>
      <c r="TP527"/>
      <c r="TQ527"/>
      <c r="TR527"/>
      <c r="TS527"/>
      <c r="TT527"/>
      <c r="TU527"/>
      <c r="TV527"/>
      <c r="TW527"/>
      <c r="TX527"/>
      <c r="TY527"/>
      <c r="TZ527"/>
      <c r="UA527"/>
      <c r="UB527"/>
      <c r="UC527"/>
      <c r="UD527"/>
      <c r="UE527"/>
      <c r="UF527"/>
      <c r="UG527"/>
      <c r="UH527"/>
      <c r="UI527"/>
      <c r="UJ527"/>
      <c r="UK527"/>
      <c r="UL527"/>
      <c r="UM527"/>
      <c r="UN527"/>
      <c r="UO527"/>
      <c r="UP527"/>
      <c r="UQ527"/>
      <c r="UR527"/>
      <c r="US527"/>
      <c r="UT527"/>
      <c r="UU527"/>
      <c r="UV527"/>
      <c r="UW527"/>
      <c r="UX527"/>
      <c r="UY527"/>
      <c r="UZ527"/>
      <c r="VA527"/>
      <c r="VB527"/>
      <c r="VC527"/>
      <c r="VD527"/>
      <c r="VE527"/>
      <c r="VF527"/>
      <c r="VG527"/>
      <c r="VH527"/>
      <c r="VI527"/>
      <c r="VJ527"/>
      <c r="VK527"/>
      <c r="VL527"/>
      <c r="VM527"/>
      <c r="VN527"/>
      <c r="VO527"/>
      <c r="VP527"/>
      <c r="VQ527"/>
      <c r="VR527"/>
      <c r="VS527"/>
      <c r="VT527"/>
      <c r="VU527"/>
      <c r="VV527"/>
      <c r="VW527"/>
      <c r="VX527"/>
      <c r="VY527"/>
      <c r="VZ527"/>
      <c r="WA527"/>
      <c r="WB527"/>
      <c r="WC527"/>
      <c r="WD527"/>
      <c r="WE527"/>
      <c r="WF527"/>
      <c r="WG527"/>
      <c r="WH527"/>
      <c r="WI527"/>
      <c r="WJ527"/>
      <c r="WK527"/>
      <c r="WL527"/>
      <c r="WM527"/>
      <c r="WN527"/>
      <c r="WO527"/>
      <c r="WP527"/>
      <c r="WQ527"/>
      <c r="WR527"/>
      <c r="WS527"/>
      <c r="WT527"/>
      <c r="WU527"/>
      <c r="WV527"/>
      <c r="WW527"/>
      <c r="WX527"/>
      <c r="WY527"/>
      <c r="WZ527"/>
      <c r="XA527"/>
      <c r="XB527"/>
      <c r="XC527"/>
      <c r="XD527"/>
      <c r="XE527"/>
      <c r="XF527"/>
      <c r="XG527"/>
      <c r="XH527"/>
      <c r="XI527"/>
      <c r="XJ527"/>
      <c r="XK527"/>
      <c r="XL527"/>
      <c r="XM527"/>
      <c r="XN527"/>
      <c r="XO527"/>
      <c r="XP527"/>
      <c r="XQ527"/>
      <c r="XR527"/>
      <c r="XS527"/>
      <c r="XT527"/>
      <c r="XU527"/>
      <c r="XV527"/>
      <c r="XW527"/>
      <c r="XX527"/>
      <c r="XY527"/>
      <c r="XZ527"/>
      <c r="YA527"/>
      <c r="YB527"/>
      <c r="YC527"/>
      <c r="YD527"/>
      <c r="YE527"/>
      <c r="YF527"/>
      <c r="YG527"/>
      <c r="YH527"/>
      <c r="YI527"/>
      <c r="YJ527"/>
      <c r="YK527"/>
      <c r="YL527"/>
      <c r="YM527"/>
      <c r="YN527"/>
      <c r="YO527"/>
      <c r="YP527"/>
      <c r="YQ527"/>
      <c r="YR527"/>
      <c r="YS527"/>
      <c r="YT527"/>
      <c r="YU527"/>
      <c r="YV527"/>
      <c r="YW527"/>
      <c r="YX527"/>
      <c r="YY527"/>
      <c r="YZ527"/>
      <c r="ZA527"/>
      <c r="ZB527"/>
      <c r="ZC527"/>
      <c r="ZD527"/>
      <c r="ZE527"/>
      <c r="ZF527"/>
      <c r="ZG527"/>
      <c r="ZH527"/>
      <c r="ZI527"/>
      <c r="ZJ527"/>
      <c r="ZK527"/>
      <c r="ZL527"/>
      <c r="ZM527"/>
      <c r="ZN527"/>
      <c r="ZO527"/>
      <c r="ZP527"/>
      <c r="ZQ527"/>
      <c r="ZR527"/>
      <c r="ZS527"/>
      <c r="ZT527"/>
      <c r="ZU527"/>
      <c r="ZV527"/>
      <c r="ZW527"/>
      <c r="ZX527"/>
      <c r="ZY527"/>
      <c r="ZZ527"/>
      <c r="AAA527"/>
      <c r="AAB527"/>
      <c r="AAC527"/>
      <c r="AAD527"/>
      <c r="AAE527"/>
      <c r="AAF527"/>
      <c r="AAG527"/>
      <c r="AAH527"/>
      <c r="AAI527"/>
      <c r="AAJ527"/>
      <c r="AAK527"/>
      <c r="AAL527"/>
      <c r="AAM527"/>
      <c r="AAN527"/>
      <c r="AAO527"/>
      <c r="AAP527"/>
      <c r="AAQ527"/>
      <c r="AAR527"/>
      <c r="AAS527"/>
      <c r="AAT527"/>
      <c r="AAU527"/>
      <c r="AAV527"/>
      <c r="AAW527"/>
      <c r="AAX527"/>
      <c r="AAY527"/>
      <c r="AAZ527"/>
      <c r="ABA527"/>
      <c r="ABB527"/>
      <c r="ABC527"/>
      <c r="ABD527"/>
      <c r="ABE527"/>
      <c r="ABF527"/>
      <c r="ABG527"/>
      <c r="ABH527"/>
      <c r="ABI527"/>
      <c r="ABJ527"/>
      <c r="ABK527"/>
      <c r="ABL527"/>
      <c r="ABM527"/>
      <c r="ABN527"/>
      <c r="ABO527"/>
      <c r="ABP527"/>
      <c r="ABQ527"/>
      <c r="ABR527"/>
      <c r="ABS527"/>
      <c r="ABT527"/>
      <c r="ABU527"/>
      <c r="ABV527"/>
      <c r="ABW527"/>
      <c r="ABX527"/>
      <c r="ABY527"/>
      <c r="ABZ527"/>
      <c r="ACA527"/>
      <c r="ACB527"/>
      <c r="ACC527"/>
      <c r="ACD527"/>
      <c r="ACE527"/>
      <c r="ACF527"/>
      <c r="ACG527"/>
      <c r="ACH527"/>
      <c r="ACI527"/>
      <c r="ACJ527"/>
      <c r="ACK527"/>
      <c r="ACL527"/>
      <c r="ACM527"/>
      <c r="ACN527"/>
      <c r="ACO527"/>
      <c r="ACP527"/>
      <c r="ACQ527"/>
      <c r="ACR527"/>
      <c r="ACS527"/>
      <c r="ACT527"/>
      <c r="ACU527"/>
      <c r="ACV527"/>
      <c r="ACW527"/>
      <c r="ACX527"/>
      <c r="ACY527"/>
      <c r="ACZ527"/>
      <c r="ADA527"/>
      <c r="ADB527"/>
      <c r="ADC527"/>
      <c r="ADD527"/>
      <c r="ADE527"/>
      <c r="ADF527"/>
      <c r="ADG527"/>
      <c r="ADH527"/>
      <c r="ADI527"/>
      <c r="ADJ527"/>
      <c r="ADK527"/>
      <c r="ADL527"/>
      <c r="ADM527"/>
      <c r="ADN527"/>
      <c r="ADO527"/>
      <c r="ADP527"/>
      <c r="ADQ527"/>
      <c r="ADR527"/>
      <c r="ADS527"/>
      <c r="ADT527"/>
      <c r="ADU527"/>
      <c r="ADV527"/>
      <c r="ADW527"/>
      <c r="ADX527"/>
      <c r="ADY527"/>
      <c r="ADZ527"/>
      <c r="AEA527"/>
      <c r="AEB527"/>
      <c r="AEC527"/>
      <c r="AED527"/>
      <c r="AEE527"/>
      <c r="AEF527"/>
      <c r="AEG527"/>
      <c r="AEH527"/>
      <c r="AEI527"/>
      <c r="AEJ527"/>
      <c r="AEK527"/>
      <c r="AEL527"/>
      <c r="AEM527"/>
      <c r="AEN527"/>
      <c r="AEO527"/>
      <c r="AEP527"/>
      <c r="AEQ527"/>
      <c r="AER527"/>
      <c r="AES527"/>
      <c r="AET527"/>
      <c r="AEU527"/>
      <c r="AEV527"/>
      <c r="AEW527"/>
      <c r="AEX527"/>
      <c r="AEY527"/>
      <c r="AEZ527"/>
      <c r="AFA527"/>
      <c r="AFB527"/>
      <c r="AFC527"/>
      <c r="AFD527"/>
      <c r="AFE527"/>
      <c r="AFF527"/>
      <c r="AFG527"/>
      <c r="AFH527"/>
      <c r="AFI527"/>
      <c r="AFJ527"/>
      <c r="AFK527"/>
      <c r="AFL527"/>
      <c r="AFM527"/>
      <c r="AFN527"/>
      <c r="AFO527"/>
      <c r="AFP527"/>
      <c r="AFQ527"/>
      <c r="AFR527"/>
      <c r="AFS527"/>
      <c r="AFT527"/>
      <c r="AFU527"/>
      <c r="AFV527"/>
      <c r="AFW527"/>
      <c r="AFX527"/>
      <c r="AFY527"/>
      <c r="AFZ527"/>
      <c r="AGA527"/>
      <c r="AGB527"/>
      <c r="AGC527"/>
      <c r="AGD527"/>
      <c r="AGE527"/>
      <c r="AGF527"/>
      <c r="AGG527"/>
      <c r="AGH527"/>
      <c r="AGI527"/>
      <c r="AGJ527"/>
      <c r="AGK527"/>
      <c r="AGL527"/>
      <c r="AGM527"/>
      <c r="AGN527"/>
      <c r="AGO527"/>
      <c r="AGP527"/>
      <c r="AGQ527"/>
      <c r="AGR527"/>
      <c r="AGS527"/>
      <c r="AGT527"/>
      <c r="AGU527"/>
      <c r="AGV527"/>
      <c r="AGW527"/>
      <c r="AGX527"/>
      <c r="AGY527"/>
      <c r="AGZ527"/>
      <c r="AHA527"/>
      <c r="AHB527"/>
      <c r="AHC527"/>
      <c r="AHD527"/>
      <c r="AHE527"/>
      <c r="AHF527"/>
      <c r="AHG527"/>
      <c r="AHH527"/>
      <c r="AHI527"/>
      <c r="AHJ527"/>
      <c r="AHK527"/>
      <c r="AHL527"/>
      <c r="AHM527"/>
      <c r="AHN527"/>
      <c r="AHO527"/>
      <c r="AHP527"/>
      <c r="AHQ527"/>
      <c r="AHR527"/>
      <c r="AHS527"/>
      <c r="AHT527"/>
      <c r="AHU527"/>
      <c r="AHV527"/>
      <c r="AHW527"/>
      <c r="AHX527"/>
      <c r="AHY527"/>
      <c r="AHZ527"/>
      <c r="AIA527"/>
      <c r="AIB527"/>
      <c r="AIC527"/>
      <c r="AID527"/>
      <c r="AIE527"/>
      <c r="AIF527"/>
      <c r="AIG527"/>
      <c r="AIH527"/>
      <c r="AII527"/>
      <c r="AIJ527"/>
      <c r="AIK527"/>
      <c r="AIL527"/>
      <c r="AIM527"/>
      <c r="AIN527"/>
      <c r="AIO527"/>
      <c r="AIP527"/>
      <c r="AIQ527"/>
      <c r="AIR527"/>
      <c r="AIS527"/>
      <c r="AIT527"/>
      <c r="AIU527"/>
      <c r="AIV527"/>
      <c r="AIW527"/>
      <c r="AIX527"/>
      <c r="AIY527"/>
      <c r="AIZ527"/>
      <c r="AJA527"/>
      <c r="AJB527"/>
      <c r="AJC527"/>
      <c r="AJD527"/>
      <c r="AJE527"/>
      <c r="AJF527"/>
      <c r="AJG527"/>
      <c r="AJH527"/>
      <c r="AJI527"/>
      <c r="AJJ527"/>
      <c r="AJK527"/>
      <c r="AJL527"/>
      <c r="AJM527"/>
      <c r="AJN527"/>
      <c r="AJO527"/>
      <c r="AJP527"/>
      <c r="AJQ527"/>
      <c r="AJR527"/>
      <c r="AJS527"/>
      <c r="AJT527"/>
      <c r="AJU527"/>
      <c r="AJV527"/>
      <c r="AJW527"/>
      <c r="AJX527"/>
      <c r="AJY527"/>
      <c r="AJZ527"/>
      <c r="AKA527"/>
      <c r="AKB527"/>
      <c r="AKC527"/>
      <c r="AKD527"/>
      <c r="AKE527"/>
      <c r="AKF527"/>
      <c r="AKG527"/>
      <c r="AKH527"/>
      <c r="AKI527"/>
      <c r="AKJ527"/>
      <c r="AKK527"/>
      <c r="AKL527"/>
      <c r="AKM527"/>
      <c r="AKN527"/>
      <c r="AKO527"/>
      <c r="AKP527"/>
      <c r="AKQ527"/>
      <c r="AKR527"/>
      <c r="AKS527"/>
      <c r="AKT527"/>
      <c r="AKU527"/>
      <c r="AKV527"/>
      <c r="AKW527"/>
      <c r="AKX527"/>
      <c r="AKY527"/>
      <c r="AKZ527"/>
      <c r="ALA527"/>
      <c r="ALB527"/>
      <c r="ALC527"/>
      <c r="ALD527"/>
      <c r="ALE527"/>
      <c r="ALF527"/>
      <c r="ALG527"/>
      <c r="ALH527"/>
      <c r="ALI527"/>
      <c r="ALJ527"/>
      <c r="ALK527"/>
      <c r="ALL527"/>
      <c r="ALM527"/>
      <c r="ALN527"/>
      <c r="ALO527"/>
      <c r="ALP527"/>
      <c r="ALQ527"/>
      <c r="ALR527"/>
      <c r="ALS527"/>
      <c r="ALT527"/>
      <c r="ALU527"/>
      <c r="ALV527"/>
      <c r="ALW527"/>
      <c r="ALX527"/>
      <c r="ALY527"/>
      <c r="ALZ527"/>
      <c r="AMA527"/>
      <c r="AMB527"/>
      <c r="AMC527"/>
      <c r="AMD527"/>
      <c r="AME527"/>
      <c r="AMF527"/>
      <c r="AMG527"/>
      <c r="AMH527"/>
      <c r="AMI527"/>
      <c r="AMJ527"/>
    </row>
    <row r="528" spans="1:1024">
      <c r="A528" s="7" t="s">
        <v>532</v>
      </c>
      <c r="B528" s="7">
        <v>392247</v>
      </c>
      <c r="C528" s="11"/>
      <c r="D528" s="12">
        <v>0.33333333333333298</v>
      </c>
      <c r="E528" s="7">
        <f>VLOOKUP(B528,Gesamtstunden_26!B:I,8,0)</f>
        <v>1</v>
      </c>
      <c r="F528" s="13">
        <f t="shared" si="8"/>
        <v>-0.66666666666666696</v>
      </c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  <c r="AV528" s="11"/>
      <c r="AW528" s="11"/>
      <c r="AX528" s="11"/>
      <c r="AY528" s="11"/>
      <c r="AZ528" s="11"/>
      <c r="BA528" s="11"/>
      <c r="BB528" s="11"/>
      <c r="BC528" s="11"/>
      <c r="BD528" s="11"/>
      <c r="BE528" s="11"/>
      <c r="BF528" s="11"/>
      <c r="BG528" s="11"/>
      <c r="BH528" s="11"/>
      <c r="BI528" s="11"/>
      <c r="BJ528" s="11"/>
      <c r="BK528" s="11"/>
      <c r="BL528" s="11"/>
      <c r="BM528" s="11"/>
      <c r="BN528" s="11"/>
      <c r="BO528" s="11"/>
      <c r="BP528" s="11"/>
      <c r="BQ528" s="11"/>
      <c r="BR528" s="11"/>
      <c r="BS528" s="11"/>
      <c r="BT528" s="11"/>
      <c r="BU528" s="11"/>
      <c r="BV528" s="11"/>
      <c r="BW528" s="11"/>
      <c r="BX528" s="11"/>
      <c r="BY528" s="11"/>
      <c r="BZ528" s="11"/>
      <c r="CA528" s="11"/>
      <c r="CB528" s="11"/>
      <c r="CC528" s="11"/>
      <c r="CD528" s="11"/>
      <c r="CE528" s="11"/>
      <c r="CF528" s="11"/>
      <c r="CG528" s="11"/>
      <c r="CH528" s="11"/>
      <c r="CI528" s="11"/>
      <c r="CJ528" s="11"/>
      <c r="CK528" s="11"/>
      <c r="CL528" s="11"/>
      <c r="CM528" s="11"/>
      <c r="CN528" s="11"/>
      <c r="CO528" s="11"/>
      <c r="CP528" s="11"/>
      <c r="CQ528" s="11"/>
      <c r="CR528" s="11"/>
      <c r="CS528" s="11"/>
      <c r="CT528" s="11"/>
      <c r="CU528" s="11"/>
      <c r="CV528" s="11"/>
      <c r="CW528" s="11"/>
      <c r="CX528" s="11"/>
      <c r="CY528" s="11"/>
      <c r="CZ528" s="11"/>
      <c r="DA528" s="11"/>
      <c r="DB528" s="11"/>
      <c r="DC528" s="11"/>
      <c r="DD528" s="11"/>
      <c r="DE528" s="11"/>
      <c r="DF528" s="11"/>
      <c r="DG528" s="11"/>
      <c r="DH528" s="11"/>
      <c r="DI528" s="11"/>
      <c r="DJ528" s="11"/>
      <c r="DK528" s="11"/>
      <c r="DL528" s="11"/>
      <c r="DM528" s="11"/>
      <c r="DN528" s="11"/>
      <c r="DO528" s="11"/>
      <c r="DP528" s="11"/>
      <c r="DQ528" s="11"/>
      <c r="DR528" s="11"/>
      <c r="DS528" s="11"/>
      <c r="DT528" s="11"/>
      <c r="DU528" s="11"/>
      <c r="DV528" s="11"/>
      <c r="DW528" s="11"/>
      <c r="DX528" s="11"/>
      <c r="DY528" s="11"/>
      <c r="DZ528" s="11"/>
      <c r="EA528" s="11"/>
      <c r="EB528" s="11"/>
      <c r="EC528" s="11"/>
      <c r="ED528" s="11"/>
      <c r="EE528" s="11"/>
      <c r="EF528" s="11"/>
      <c r="EG528" s="11"/>
      <c r="EH528" s="11"/>
      <c r="EI528" s="11"/>
      <c r="EJ528" s="11"/>
      <c r="EK528" s="11"/>
      <c r="EL528" s="11"/>
      <c r="EM528" s="11"/>
      <c r="EN528" s="11"/>
      <c r="EO528" s="11"/>
      <c r="EP528" s="11"/>
      <c r="EQ528" s="11"/>
      <c r="ER528" s="11"/>
      <c r="ES528" s="11"/>
      <c r="ET528" s="11"/>
      <c r="EU528" s="11"/>
      <c r="EV528" s="11"/>
      <c r="EW528" s="11"/>
      <c r="EX528" s="11"/>
      <c r="EY528" s="11"/>
      <c r="EZ528" s="11"/>
      <c r="FA528" s="11"/>
      <c r="FB528" s="11"/>
      <c r="FC528" s="11"/>
      <c r="FD528" s="11"/>
      <c r="FE528" s="11"/>
      <c r="FF528" s="11"/>
      <c r="FG528" s="11"/>
      <c r="FH528" s="11"/>
      <c r="FI528" s="11"/>
      <c r="FJ528" s="11"/>
      <c r="FK528" s="11"/>
      <c r="FL528" s="11"/>
      <c r="FM528" s="11"/>
      <c r="FN528" s="11"/>
      <c r="FO528" s="11"/>
      <c r="FP528" s="11"/>
      <c r="FQ528" s="11"/>
      <c r="FR528" s="11"/>
      <c r="FS528" s="11"/>
      <c r="FT528" s="11"/>
      <c r="FU528" s="11"/>
      <c r="FV528" s="11"/>
      <c r="FW528" s="11"/>
      <c r="FX528" s="11"/>
      <c r="FY528" s="11"/>
      <c r="FZ528" s="11"/>
      <c r="GA528" s="11"/>
      <c r="GB528" s="11"/>
      <c r="GC528" s="11"/>
      <c r="GD528" s="11"/>
      <c r="GE528" s="11"/>
      <c r="GF528" s="11"/>
      <c r="GG528" s="11"/>
      <c r="GH528" s="11"/>
      <c r="GI528" s="11"/>
      <c r="GJ528" s="11"/>
      <c r="GK528" s="11"/>
      <c r="GL528" s="11"/>
      <c r="GM528" s="11"/>
      <c r="GN528" s="11"/>
      <c r="GO528" s="11"/>
      <c r="GP528" s="11"/>
      <c r="GQ528" s="11"/>
      <c r="GR528" s="11"/>
      <c r="GS528" s="11"/>
      <c r="GT528" s="11"/>
      <c r="GU528" s="11"/>
      <c r="GV528" s="11"/>
      <c r="GW528" s="11"/>
      <c r="GX528" s="11"/>
      <c r="GY528" s="11"/>
      <c r="GZ528" s="11"/>
      <c r="HA528" s="11"/>
      <c r="HB528" s="11"/>
      <c r="HC528" s="11"/>
      <c r="HD528" s="11"/>
      <c r="HE528" s="11"/>
      <c r="HF528" s="11"/>
      <c r="HG528" s="11"/>
      <c r="HH528" s="11"/>
      <c r="HI528" s="11"/>
      <c r="HJ528" s="11"/>
      <c r="HK528" s="11"/>
      <c r="HL528" s="11"/>
      <c r="HM528" s="11"/>
      <c r="HN528" s="11"/>
      <c r="HO528" s="11"/>
      <c r="HP528" s="11"/>
      <c r="HQ528" s="11"/>
      <c r="HR528" s="11"/>
      <c r="HS528" s="11"/>
      <c r="HT528" s="11"/>
      <c r="HU528" s="11"/>
      <c r="HV528" s="11"/>
      <c r="HW528" s="11"/>
      <c r="HX528" s="11"/>
      <c r="HY528" s="11"/>
      <c r="HZ528" s="11"/>
      <c r="IA528" s="11"/>
      <c r="IB528" s="11"/>
      <c r="IC528" s="11"/>
      <c r="ID528" s="11"/>
      <c r="IE528" s="11"/>
      <c r="IF528" s="11"/>
      <c r="IG528" s="11"/>
      <c r="IH528" s="11"/>
      <c r="II528" s="11"/>
      <c r="IJ528" s="11"/>
      <c r="IK528" s="11"/>
      <c r="IL528" s="11"/>
      <c r="IM528" s="11"/>
      <c r="IN528" s="11"/>
      <c r="IO528" s="11"/>
      <c r="IP528" s="11"/>
      <c r="IQ528" s="11"/>
      <c r="IR528" s="11"/>
      <c r="IS528" s="11"/>
      <c r="IT528" s="11"/>
      <c r="IU528" s="11"/>
      <c r="IV528" s="11"/>
      <c r="IW528" s="11"/>
      <c r="IX528" s="11"/>
      <c r="IY528" s="11"/>
      <c r="IZ528" s="11"/>
      <c r="JA528" s="11"/>
      <c r="JB528" s="11"/>
      <c r="JC528" s="11"/>
      <c r="JD528" s="11"/>
      <c r="JE528" s="11"/>
      <c r="JF528" s="11"/>
      <c r="JG528" s="11"/>
      <c r="JH528" s="11"/>
      <c r="JI528" s="11"/>
      <c r="JJ528" s="11"/>
      <c r="JK528" s="11"/>
      <c r="JL528" s="11"/>
      <c r="JM528" s="11"/>
      <c r="JN528" s="11"/>
      <c r="JO528" s="11"/>
      <c r="JP528" s="11"/>
      <c r="JQ528" s="11"/>
      <c r="JR528" s="11"/>
      <c r="JS528" s="11"/>
      <c r="JT528" s="11"/>
      <c r="JU528" s="11"/>
      <c r="JV528" s="11"/>
      <c r="JW528" s="11"/>
      <c r="JX528" s="11"/>
      <c r="JY528" s="11"/>
      <c r="JZ528" s="11"/>
      <c r="KA528" s="11"/>
      <c r="KB528" s="11"/>
      <c r="KC528" s="11"/>
      <c r="KD528" s="11"/>
      <c r="KE528" s="11"/>
      <c r="KF528" s="11"/>
      <c r="KG528" s="11"/>
      <c r="KH528" s="11"/>
      <c r="KI528" s="11"/>
      <c r="KJ528" s="11"/>
      <c r="KK528" s="11"/>
      <c r="KL528" s="11"/>
      <c r="KM528" s="11"/>
      <c r="KN528" s="11"/>
      <c r="KO528" s="11"/>
      <c r="KP528" s="11"/>
      <c r="KQ528" s="11"/>
      <c r="KR528" s="11"/>
      <c r="KS528" s="11"/>
      <c r="KT528" s="11"/>
      <c r="KU528" s="11"/>
      <c r="KV528" s="11"/>
      <c r="KW528" s="11"/>
      <c r="KX528" s="11"/>
      <c r="KY528" s="11"/>
      <c r="KZ528" s="11"/>
      <c r="LA528" s="11"/>
      <c r="LB528" s="11"/>
      <c r="LC528" s="11"/>
      <c r="LD528" s="11"/>
      <c r="LE528" s="11"/>
      <c r="LF528" s="11"/>
      <c r="LG528" s="11"/>
      <c r="LH528" s="11"/>
      <c r="LI528" s="11"/>
      <c r="LJ528" s="11"/>
      <c r="LK528" s="11"/>
      <c r="LL528" s="11"/>
      <c r="LM528" s="11"/>
      <c r="LN528" s="11"/>
      <c r="LO528" s="11"/>
      <c r="LP528" s="11"/>
      <c r="LQ528" s="11"/>
      <c r="LR528" s="11"/>
      <c r="LS528" s="11"/>
      <c r="LT528" s="11"/>
      <c r="LU528" s="11"/>
      <c r="LV528" s="11"/>
      <c r="LW528" s="11"/>
      <c r="LX528" s="11"/>
      <c r="LY528" s="11"/>
      <c r="LZ528" s="11"/>
      <c r="MA528" s="11"/>
      <c r="MB528" s="11"/>
      <c r="MC528" s="11"/>
      <c r="MD528" s="11"/>
      <c r="ME528" s="11"/>
      <c r="MF528" s="11"/>
      <c r="MG528" s="11"/>
      <c r="MH528" s="11"/>
      <c r="MI528" s="11"/>
      <c r="MJ528" s="11"/>
      <c r="MK528" s="11"/>
      <c r="ML528" s="11"/>
      <c r="MM528" s="11"/>
      <c r="MN528" s="11"/>
      <c r="MO528" s="11"/>
      <c r="MP528" s="11"/>
      <c r="MQ528" s="11"/>
      <c r="MR528" s="11"/>
      <c r="MS528" s="11"/>
      <c r="MT528" s="11"/>
      <c r="MU528" s="11"/>
      <c r="MV528" s="11"/>
      <c r="MW528" s="11"/>
      <c r="MX528" s="11"/>
      <c r="MY528" s="11"/>
      <c r="MZ528" s="11"/>
      <c r="NA528" s="11"/>
      <c r="NB528" s="11"/>
      <c r="NC528" s="11"/>
      <c r="ND528" s="11"/>
      <c r="NE528" s="11"/>
      <c r="NF528" s="11"/>
      <c r="NG528" s="11"/>
      <c r="NH528" s="11"/>
      <c r="NI528" s="11"/>
      <c r="NJ528" s="11"/>
      <c r="NK528" s="11"/>
      <c r="NL528" s="11"/>
      <c r="NM528" s="11"/>
      <c r="NN528" s="11"/>
      <c r="NO528" s="11"/>
      <c r="NP528" s="11"/>
      <c r="NQ528" s="11"/>
      <c r="NR528" s="11"/>
      <c r="NS528" s="11"/>
      <c r="NT528" s="11"/>
      <c r="NU528" s="11"/>
      <c r="NV528" s="11"/>
      <c r="NW528" s="11"/>
      <c r="NX528" s="11"/>
      <c r="NY528" s="11"/>
      <c r="NZ528" s="11"/>
      <c r="OA528" s="11"/>
      <c r="OB528" s="11"/>
      <c r="OC528" s="11"/>
      <c r="OD528" s="11"/>
      <c r="OE528" s="11"/>
      <c r="OF528" s="11"/>
      <c r="OG528" s="11"/>
      <c r="OH528" s="11"/>
      <c r="OI528" s="11"/>
      <c r="OJ528" s="11"/>
      <c r="OK528" s="11"/>
      <c r="OL528" s="11"/>
      <c r="OM528" s="11"/>
      <c r="ON528" s="11"/>
      <c r="OO528" s="11"/>
      <c r="OP528" s="11"/>
      <c r="OQ528" s="11"/>
      <c r="OR528" s="11"/>
      <c r="OS528" s="11"/>
      <c r="OT528" s="11"/>
      <c r="OU528" s="11"/>
      <c r="OV528" s="11"/>
      <c r="OW528" s="11"/>
      <c r="OX528" s="11"/>
      <c r="OY528" s="11"/>
      <c r="OZ528" s="11"/>
      <c r="PA528" s="11"/>
      <c r="PB528" s="11"/>
      <c r="PC528" s="11"/>
      <c r="PD528" s="11"/>
      <c r="PE528" s="11"/>
      <c r="PF528" s="11"/>
      <c r="PG528" s="11"/>
      <c r="PH528" s="11"/>
      <c r="PI528" s="11"/>
      <c r="PJ528" s="11"/>
      <c r="PK528" s="11"/>
      <c r="PL528" s="11"/>
      <c r="PM528" s="11"/>
      <c r="PN528" s="11"/>
      <c r="PO528" s="11"/>
      <c r="PP528" s="11"/>
      <c r="PQ528" s="11"/>
      <c r="PR528" s="11"/>
      <c r="PS528" s="11"/>
      <c r="PT528" s="11"/>
      <c r="PU528" s="11"/>
      <c r="PV528" s="11"/>
      <c r="PW528" s="11"/>
      <c r="PX528" s="11"/>
      <c r="PY528" s="11"/>
      <c r="PZ528" s="11"/>
      <c r="QA528" s="11"/>
      <c r="QB528" s="11"/>
      <c r="QC528" s="11"/>
      <c r="QD528" s="11"/>
      <c r="QE528" s="11"/>
      <c r="QF528" s="11"/>
      <c r="QG528" s="11"/>
      <c r="QH528" s="11"/>
      <c r="QI528" s="11"/>
      <c r="QJ528" s="11"/>
      <c r="QK528" s="11"/>
      <c r="QL528" s="11"/>
      <c r="QM528" s="11"/>
      <c r="QN528" s="11"/>
      <c r="QO528" s="11"/>
      <c r="QP528" s="11"/>
      <c r="QQ528" s="11"/>
      <c r="QR528" s="11"/>
      <c r="QS528" s="11"/>
      <c r="QT528" s="11"/>
      <c r="QU528" s="11"/>
      <c r="QV528" s="11"/>
      <c r="QW528" s="11"/>
      <c r="QX528" s="11"/>
      <c r="QY528" s="11"/>
      <c r="QZ528" s="11"/>
      <c r="RA528" s="11"/>
      <c r="RB528" s="11"/>
      <c r="RC528" s="11"/>
      <c r="RD528" s="11"/>
      <c r="RE528" s="11"/>
      <c r="RF528" s="11"/>
      <c r="RG528" s="11"/>
      <c r="RH528" s="11"/>
      <c r="RI528" s="11"/>
      <c r="RJ528" s="11"/>
      <c r="RK528" s="11"/>
      <c r="RL528" s="11"/>
      <c r="RM528" s="11"/>
      <c r="RN528" s="11"/>
      <c r="RO528" s="11"/>
      <c r="RP528" s="11"/>
      <c r="RQ528" s="11"/>
      <c r="RR528" s="11"/>
      <c r="RS528" s="11"/>
      <c r="RT528" s="11"/>
      <c r="RU528" s="11"/>
      <c r="RV528" s="11"/>
      <c r="RW528" s="11"/>
      <c r="RX528" s="11"/>
      <c r="RY528" s="11"/>
      <c r="RZ528" s="11"/>
      <c r="SA528" s="11"/>
      <c r="SB528" s="11"/>
      <c r="SC528" s="11"/>
      <c r="SD528" s="11"/>
      <c r="SE528" s="11"/>
      <c r="SF528" s="11"/>
      <c r="SG528" s="11"/>
      <c r="SH528" s="11"/>
      <c r="SI528" s="11"/>
      <c r="SJ528" s="11"/>
      <c r="SK528" s="11"/>
      <c r="SL528" s="11"/>
      <c r="SM528" s="11"/>
      <c r="SN528" s="11"/>
      <c r="SO528" s="11"/>
      <c r="SP528" s="11"/>
      <c r="SQ528" s="11"/>
      <c r="SR528" s="11"/>
      <c r="SS528" s="11"/>
      <c r="ST528" s="11"/>
      <c r="SU528" s="11"/>
      <c r="SV528" s="11"/>
      <c r="SW528" s="11"/>
      <c r="SX528" s="11"/>
      <c r="SY528" s="11"/>
      <c r="SZ528" s="11"/>
      <c r="TA528" s="11"/>
      <c r="TB528" s="11"/>
      <c r="TC528" s="11"/>
      <c r="TD528" s="11"/>
      <c r="TE528" s="11"/>
      <c r="TF528" s="11"/>
      <c r="TG528" s="11"/>
      <c r="TH528" s="11"/>
      <c r="TI528" s="11"/>
      <c r="TJ528" s="11"/>
      <c r="TK528" s="11"/>
      <c r="TL528" s="11"/>
      <c r="TM528" s="11"/>
      <c r="TN528" s="11"/>
      <c r="TO528" s="11"/>
      <c r="TP528" s="11"/>
      <c r="TQ528" s="11"/>
      <c r="TR528" s="11"/>
      <c r="TS528" s="11"/>
      <c r="TT528" s="11"/>
      <c r="TU528" s="11"/>
      <c r="TV528" s="11"/>
      <c r="TW528" s="11"/>
      <c r="TX528" s="11"/>
      <c r="TY528" s="11"/>
      <c r="TZ528" s="11"/>
      <c r="UA528" s="11"/>
      <c r="UB528" s="11"/>
      <c r="UC528" s="11"/>
      <c r="UD528" s="11"/>
      <c r="UE528" s="11"/>
      <c r="UF528" s="11"/>
      <c r="UG528" s="11"/>
      <c r="UH528" s="11"/>
      <c r="UI528" s="11"/>
      <c r="UJ528" s="11"/>
      <c r="UK528" s="11"/>
      <c r="UL528" s="11"/>
      <c r="UM528" s="11"/>
      <c r="UN528" s="11"/>
      <c r="UO528" s="11"/>
      <c r="UP528" s="11"/>
      <c r="UQ528" s="11"/>
      <c r="UR528" s="11"/>
      <c r="US528" s="11"/>
      <c r="UT528" s="11"/>
      <c r="UU528" s="11"/>
      <c r="UV528" s="11"/>
      <c r="UW528" s="11"/>
      <c r="UX528" s="11"/>
      <c r="UY528" s="11"/>
      <c r="UZ528" s="11"/>
      <c r="VA528" s="11"/>
      <c r="VB528" s="11"/>
      <c r="VC528" s="11"/>
      <c r="VD528" s="11"/>
      <c r="VE528" s="11"/>
      <c r="VF528" s="11"/>
      <c r="VG528" s="11"/>
      <c r="VH528" s="11"/>
      <c r="VI528" s="11"/>
      <c r="VJ528" s="11"/>
      <c r="VK528" s="11"/>
      <c r="VL528" s="11"/>
      <c r="VM528" s="11"/>
      <c r="VN528" s="11"/>
      <c r="VO528" s="11"/>
      <c r="VP528" s="11"/>
      <c r="VQ528" s="11"/>
      <c r="VR528" s="11"/>
      <c r="VS528" s="11"/>
      <c r="VT528" s="11"/>
      <c r="VU528" s="11"/>
      <c r="VV528" s="11"/>
      <c r="VW528" s="11"/>
      <c r="VX528" s="11"/>
      <c r="VY528" s="11"/>
      <c r="VZ528" s="11"/>
      <c r="WA528" s="11"/>
      <c r="WB528" s="11"/>
      <c r="WC528" s="11"/>
      <c r="WD528" s="11"/>
      <c r="WE528" s="11"/>
      <c r="WF528" s="11"/>
      <c r="WG528" s="11"/>
      <c r="WH528" s="11"/>
      <c r="WI528" s="11"/>
      <c r="WJ528" s="11"/>
      <c r="WK528" s="11"/>
      <c r="WL528" s="11"/>
      <c r="WM528" s="11"/>
      <c r="WN528" s="11"/>
      <c r="WO528" s="11"/>
      <c r="WP528" s="11"/>
      <c r="WQ528" s="11"/>
      <c r="WR528" s="11"/>
      <c r="WS528" s="11"/>
      <c r="WT528" s="11"/>
      <c r="WU528" s="11"/>
      <c r="WV528" s="11"/>
      <c r="WW528" s="11"/>
      <c r="WX528" s="11"/>
      <c r="WY528" s="11"/>
      <c r="WZ528" s="11"/>
      <c r="XA528" s="11"/>
      <c r="XB528" s="11"/>
      <c r="XC528" s="11"/>
      <c r="XD528" s="11"/>
      <c r="XE528" s="11"/>
      <c r="XF528" s="11"/>
      <c r="XG528" s="11"/>
      <c r="XH528" s="11"/>
      <c r="XI528" s="11"/>
      <c r="XJ528" s="11"/>
      <c r="XK528" s="11"/>
      <c r="XL528" s="11"/>
      <c r="XM528" s="11"/>
      <c r="XN528" s="11"/>
      <c r="XO528" s="11"/>
      <c r="XP528" s="11"/>
      <c r="XQ528" s="11"/>
      <c r="XR528" s="11"/>
      <c r="XS528" s="11"/>
      <c r="XT528" s="11"/>
      <c r="XU528" s="11"/>
      <c r="XV528" s="11"/>
      <c r="XW528" s="11"/>
      <c r="XX528" s="11"/>
      <c r="XY528" s="11"/>
      <c r="XZ528" s="11"/>
      <c r="YA528" s="11"/>
      <c r="YB528" s="11"/>
      <c r="YC528" s="11"/>
      <c r="YD528" s="11"/>
      <c r="YE528" s="11"/>
      <c r="YF528" s="11"/>
      <c r="YG528" s="11"/>
      <c r="YH528" s="11"/>
      <c r="YI528" s="11"/>
      <c r="YJ528" s="11"/>
      <c r="YK528" s="11"/>
      <c r="YL528" s="11"/>
      <c r="YM528" s="11"/>
      <c r="YN528" s="11"/>
      <c r="YO528" s="11"/>
      <c r="YP528" s="11"/>
      <c r="YQ528" s="11"/>
      <c r="YR528" s="11"/>
      <c r="YS528" s="11"/>
      <c r="YT528" s="11"/>
      <c r="YU528" s="11"/>
      <c r="YV528" s="11"/>
      <c r="YW528" s="11"/>
      <c r="YX528" s="11"/>
      <c r="YY528" s="11"/>
      <c r="YZ528" s="11"/>
      <c r="ZA528" s="11"/>
      <c r="ZB528" s="11"/>
      <c r="ZC528" s="11"/>
      <c r="ZD528" s="11"/>
      <c r="ZE528" s="11"/>
      <c r="ZF528" s="11"/>
      <c r="ZG528" s="11"/>
      <c r="ZH528" s="11"/>
      <c r="ZI528" s="11"/>
      <c r="ZJ528" s="11"/>
      <c r="ZK528" s="11"/>
      <c r="ZL528" s="11"/>
      <c r="ZM528" s="11"/>
      <c r="ZN528" s="11"/>
      <c r="ZO528" s="11"/>
      <c r="ZP528" s="11"/>
      <c r="ZQ528" s="11"/>
      <c r="ZR528" s="11"/>
      <c r="ZS528" s="11"/>
      <c r="ZT528" s="11"/>
      <c r="ZU528" s="11"/>
      <c r="ZV528" s="11"/>
      <c r="ZW528" s="11"/>
      <c r="ZX528" s="11"/>
      <c r="ZY528" s="11"/>
      <c r="ZZ528" s="11"/>
      <c r="AAA528" s="11"/>
      <c r="AAB528" s="11"/>
      <c r="AAC528" s="11"/>
      <c r="AAD528" s="11"/>
      <c r="AAE528" s="11"/>
      <c r="AAF528" s="11"/>
      <c r="AAG528" s="11"/>
      <c r="AAH528" s="11"/>
      <c r="AAI528" s="11"/>
      <c r="AAJ528" s="11"/>
      <c r="AAK528" s="11"/>
      <c r="AAL528" s="11"/>
      <c r="AAM528" s="11"/>
      <c r="AAN528" s="11"/>
      <c r="AAO528" s="11"/>
      <c r="AAP528" s="11"/>
      <c r="AAQ528" s="11"/>
      <c r="AAR528" s="11"/>
      <c r="AAS528" s="11"/>
      <c r="AAT528" s="11"/>
      <c r="AAU528" s="11"/>
      <c r="AAV528" s="11"/>
      <c r="AAW528" s="11"/>
      <c r="AAX528" s="11"/>
      <c r="AAY528" s="11"/>
      <c r="AAZ528" s="11"/>
      <c r="ABA528" s="11"/>
      <c r="ABB528" s="11"/>
      <c r="ABC528" s="11"/>
      <c r="ABD528" s="11"/>
      <c r="ABE528" s="11"/>
      <c r="ABF528" s="11"/>
      <c r="ABG528" s="11"/>
      <c r="ABH528" s="11"/>
      <c r="ABI528" s="11"/>
      <c r="ABJ528" s="11"/>
      <c r="ABK528" s="11"/>
      <c r="ABL528" s="11"/>
      <c r="ABM528" s="11"/>
      <c r="ABN528" s="11"/>
      <c r="ABO528" s="11"/>
      <c r="ABP528" s="11"/>
      <c r="ABQ528" s="11"/>
      <c r="ABR528" s="11"/>
      <c r="ABS528" s="11"/>
      <c r="ABT528" s="11"/>
      <c r="ABU528" s="11"/>
      <c r="ABV528" s="11"/>
      <c r="ABW528" s="11"/>
      <c r="ABX528" s="11"/>
      <c r="ABY528" s="11"/>
      <c r="ABZ528" s="11"/>
      <c r="ACA528" s="11"/>
      <c r="ACB528" s="11"/>
      <c r="ACC528" s="11"/>
      <c r="ACD528" s="11"/>
      <c r="ACE528" s="11"/>
      <c r="ACF528" s="11"/>
      <c r="ACG528" s="11"/>
      <c r="ACH528" s="11"/>
      <c r="ACI528" s="11"/>
      <c r="ACJ528" s="11"/>
      <c r="ACK528" s="11"/>
      <c r="ACL528" s="11"/>
      <c r="ACM528" s="11"/>
      <c r="ACN528" s="11"/>
      <c r="ACO528" s="11"/>
      <c r="ACP528" s="11"/>
      <c r="ACQ528" s="11"/>
      <c r="ACR528" s="11"/>
      <c r="ACS528" s="11"/>
      <c r="ACT528" s="11"/>
      <c r="ACU528" s="11"/>
      <c r="ACV528" s="11"/>
      <c r="ACW528" s="11"/>
      <c r="ACX528" s="11"/>
      <c r="ACY528" s="11"/>
      <c r="ACZ528" s="11"/>
      <c r="ADA528" s="11"/>
      <c r="ADB528" s="11"/>
      <c r="ADC528" s="11"/>
      <c r="ADD528" s="11"/>
      <c r="ADE528" s="11"/>
      <c r="ADF528" s="11"/>
      <c r="ADG528" s="11"/>
      <c r="ADH528" s="11"/>
      <c r="ADI528" s="11"/>
      <c r="ADJ528" s="11"/>
      <c r="ADK528" s="11"/>
      <c r="ADL528" s="11"/>
      <c r="ADM528" s="11"/>
      <c r="ADN528" s="11"/>
      <c r="ADO528" s="11"/>
      <c r="ADP528" s="11"/>
      <c r="ADQ528" s="11"/>
      <c r="ADR528" s="11"/>
      <c r="ADS528" s="11"/>
      <c r="ADT528" s="11"/>
      <c r="ADU528" s="11"/>
      <c r="ADV528" s="11"/>
      <c r="ADW528" s="11"/>
      <c r="ADX528" s="11"/>
      <c r="ADY528" s="11"/>
      <c r="ADZ528" s="11"/>
      <c r="AEA528" s="11"/>
      <c r="AEB528" s="11"/>
      <c r="AEC528" s="11"/>
      <c r="AED528" s="11"/>
      <c r="AEE528" s="11"/>
      <c r="AEF528" s="11"/>
      <c r="AEG528" s="11"/>
      <c r="AEH528" s="11"/>
      <c r="AEI528" s="11"/>
      <c r="AEJ528" s="11"/>
      <c r="AEK528" s="11"/>
      <c r="AEL528" s="11"/>
      <c r="AEM528" s="11"/>
      <c r="AEN528" s="11"/>
      <c r="AEO528" s="11"/>
      <c r="AEP528" s="11"/>
      <c r="AEQ528" s="11"/>
      <c r="AER528" s="11"/>
      <c r="AES528" s="11"/>
      <c r="AET528" s="11"/>
      <c r="AEU528" s="11"/>
      <c r="AEV528" s="11"/>
      <c r="AEW528" s="11"/>
      <c r="AEX528" s="11"/>
      <c r="AEY528" s="11"/>
      <c r="AEZ528" s="11"/>
      <c r="AFA528" s="11"/>
      <c r="AFB528" s="11"/>
      <c r="AFC528" s="11"/>
      <c r="AFD528" s="11"/>
      <c r="AFE528" s="11"/>
      <c r="AFF528" s="11"/>
      <c r="AFG528" s="11"/>
      <c r="AFH528" s="11"/>
      <c r="AFI528" s="11"/>
      <c r="AFJ528" s="11"/>
      <c r="AFK528" s="11"/>
      <c r="AFL528" s="11"/>
      <c r="AFM528" s="11"/>
      <c r="AFN528" s="11"/>
      <c r="AFO528" s="11"/>
      <c r="AFP528" s="11"/>
      <c r="AFQ528" s="11"/>
      <c r="AFR528" s="11"/>
      <c r="AFS528" s="11"/>
      <c r="AFT528" s="11"/>
      <c r="AFU528" s="11"/>
      <c r="AFV528" s="11"/>
      <c r="AFW528" s="11"/>
      <c r="AFX528" s="11"/>
      <c r="AFY528" s="11"/>
      <c r="AFZ528" s="11"/>
      <c r="AGA528" s="11"/>
      <c r="AGB528" s="11"/>
      <c r="AGC528" s="11"/>
      <c r="AGD528" s="11"/>
      <c r="AGE528" s="11"/>
      <c r="AGF528" s="11"/>
      <c r="AGG528" s="11"/>
      <c r="AGH528" s="11"/>
      <c r="AGI528" s="11"/>
      <c r="AGJ528" s="11"/>
      <c r="AGK528" s="11"/>
      <c r="AGL528" s="11"/>
      <c r="AGM528" s="11"/>
      <c r="AGN528" s="11"/>
      <c r="AGO528" s="11"/>
      <c r="AGP528" s="11"/>
      <c r="AGQ528" s="11"/>
      <c r="AGR528" s="11"/>
      <c r="AGS528" s="11"/>
      <c r="AGT528" s="11"/>
      <c r="AGU528" s="11"/>
      <c r="AGV528" s="11"/>
      <c r="AGW528" s="11"/>
      <c r="AGX528" s="11"/>
      <c r="AGY528" s="11"/>
      <c r="AGZ528" s="11"/>
      <c r="AHA528" s="11"/>
      <c r="AHB528" s="11"/>
      <c r="AHC528" s="11"/>
      <c r="AHD528" s="11"/>
      <c r="AHE528" s="11"/>
      <c r="AHF528" s="11"/>
      <c r="AHG528" s="11"/>
      <c r="AHH528" s="11"/>
      <c r="AHI528" s="11"/>
      <c r="AHJ528" s="11"/>
      <c r="AHK528" s="11"/>
      <c r="AHL528" s="11"/>
      <c r="AHM528" s="11"/>
      <c r="AHN528" s="11"/>
      <c r="AHO528" s="11"/>
      <c r="AHP528" s="11"/>
      <c r="AHQ528" s="11"/>
      <c r="AHR528" s="11"/>
      <c r="AHS528" s="11"/>
      <c r="AHT528" s="11"/>
      <c r="AHU528" s="11"/>
      <c r="AHV528" s="11"/>
      <c r="AHW528" s="11"/>
      <c r="AHX528" s="11"/>
      <c r="AHY528" s="11"/>
      <c r="AHZ528" s="11"/>
      <c r="AIA528" s="11"/>
      <c r="AIB528" s="11"/>
      <c r="AIC528" s="11"/>
      <c r="AID528" s="11"/>
      <c r="AIE528" s="11"/>
      <c r="AIF528" s="11"/>
      <c r="AIG528" s="11"/>
      <c r="AIH528" s="11"/>
      <c r="AII528" s="11"/>
      <c r="AIJ528" s="11"/>
      <c r="AIK528" s="11"/>
      <c r="AIL528" s="11"/>
      <c r="AIM528" s="11"/>
      <c r="AIN528" s="11"/>
      <c r="AIO528" s="11"/>
      <c r="AIP528" s="11"/>
      <c r="AIQ528" s="11"/>
      <c r="AIR528" s="11"/>
      <c r="AIS528" s="11"/>
      <c r="AIT528" s="11"/>
      <c r="AIU528" s="11"/>
      <c r="AIV528" s="11"/>
      <c r="AIW528" s="11"/>
      <c r="AIX528" s="11"/>
      <c r="AIY528" s="11"/>
      <c r="AIZ528" s="11"/>
      <c r="AJA528" s="11"/>
      <c r="AJB528" s="11"/>
      <c r="AJC528" s="11"/>
      <c r="AJD528" s="11"/>
      <c r="AJE528" s="11"/>
      <c r="AJF528" s="11"/>
      <c r="AJG528" s="11"/>
      <c r="AJH528" s="11"/>
      <c r="AJI528" s="11"/>
      <c r="AJJ528" s="11"/>
      <c r="AJK528" s="11"/>
      <c r="AJL528" s="11"/>
      <c r="AJM528" s="11"/>
      <c r="AJN528" s="11"/>
      <c r="AJO528" s="11"/>
      <c r="AJP528" s="11"/>
      <c r="AJQ528" s="11"/>
      <c r="AJR528" s="11"/>
      <c r="AJS528" s="11"/>
      <c r="AJT528" s="11"/>
      <c r="AJU528" s="11"/>
      <c r="AJV528" s="11"/>
      <c r="AJW528" s="11"/>
      <c r="AJX528" s="11"/>
      <c r="AJY528" s="11"/>
      <c r="AJZ528" s="11"/>
      <c r="AKA528" s="11"/>
      <c r="AKB528" s="11"/>
      <c r="AKC528" s="11"/>
      <c r="AKD528" s="11"/>
      <c r="AKE528" s="11"/>
      <c r="AKF528" s="11"/>
      <c r="AKG528" s="11"/>
      <c r="AKH528" s="11"/>
      <c r="AKI528" s="11"/>
      <c r="AKJ528" s="11"/>
      <c r="AKK528" s="11"/>
      <c r="AKL528" s="11"/>
      <c r="AKM528" s="11"/>
      <c r="AKN528" s="11"/>
      <c r="AKO528" s="11"/>
      <c r="AKP528" s="11"/>
      <c r="AKQ528" s="11"/>
      <c r="AKR528" s="11"/>
      <c r="AKS528" s="11"/>
      <c r="AKT528" s="11"/>
      <c r="AKU528" s="11"/>
      <c r="AKV528" s="11"/>
      <c r="AKW528" s="11"/>
      <c r="AKX528" s="11"/>
      <c r="AKY528" s="11"/>
      <c r="AKZ528" s="11"/>
      <c r="ALA528" s="11"/>
      <c r="ALB528" s="11"/>
      <c r="ALC528" s="11"/>
      <c r="ALD528" s="11"/>
      <c r="ALE528" s="11"/>
      <c r="ALF528" s="11"/>
      <c r="ALG528" s="11"/>
      <c r="ALH528" s="11"/>
      <c r="ALI528" s="11"/>
      <c r="ALJ528" s="11"/>
      <c r="ALK528" s="11"/>
      <c r="ALL528" s="11"/>
      <c r="ALM528" s="11"/>
      <c r="ALN528" s="11"/>
      <c r="ALO528" s="11"/>
      <c r="ALP528" s="11"/>
      <c r="ALQ528" s="11"/>
      <c r="ALR528" s="11"/>
      <c r="ALS528" s="11"/>
      <c r="ALT528" s="11"/>
      <c r="ALU528" s="11"/>
      <c r="ALV528" s="11"/>
      <c r="ALW528" s="11"/>
      <c r="ALX528" s="11"/>
      <c r="ALY528" s="11"/>
      <c r="ALZ528" s="11"/>
      <c r="AMA528" s="11"/>
      <c r="AMB528" s="11"/>
      <c r="AMC528" s="11"/>
      <c r="AMD528" s="11"/>
      <c r="AME528" s="11"/>
      <c r="AMF528" s="11"/>
      <c r="AMG528" s="11"/>
      <c r="AMH528" s="11"/>
      <c r="AMI528" s="11"/>
      <c r="AMJ528" s="11"/>
    </row>
    <row r="529" spans="1:1024">
      <c r="A529" s="8" t="s">
        <v>533</v>
      </c>
      <c r="B529" s="8">
        <v>101826</v>
      </c>
      <c r="D529" s="1">
        <v>6</v>
      </c>
      <c r="E529" s="8">
        <f>VLOOKUP(B529,Gesamtstunden_26!B:I,8,0)</f>
        <v>0</v>
      </c>
      <c r="F529" s="2">
        <f t="shared" si="8"/>
        <v>6</v>
      </c>
    </row>
    <row r="530" spans="1:1024" s="11" customFormat="1">
      <c r="A530" s="10" t="s">
        <v>534</v>
      </c>
      <c r="B530" s="10">
        <v>348209</v>
      </c>
      <c r="C530"/>
      <c r="D530" s="1">
        <v>0</v>
      </c>
      <c r="E530" s="8">
        <f>VLOOKUP(B530,Gesamtstunden_26!B:I,8,0)</f>
        <v>3.3333333333333335</v>
      </c>
      <c r="F530" s="2">
        <f t="shared" si="8"/>
        <v>-3.3333333333333335</v>
      </c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  <c r="BR530"/>
      <c r="BS530"/>
      <c r="BT530"/>
      <c r="BU530"/>
      <c r="BV530"/>
      <c r="BW530"/>
      <c r="BX530"/>
      <c r="BY530"/>
      <c r="BZ530"/>
      <c r="CA530"/>
      <c r="CB530"/>
      <c r="CC530"/>
      <c r="CD530"/>
      <c r="CE530"/>
      <c r="CF530"/>
      <c r="CG530"/>
      <c r="CH530"/>
      <c r="CI530"/>
      <c r="CJ530"/>
      <c r="CK530"/>
      <c r="CL530"/>
      <c r="CM530"/>
      <c r="CN530"/>
      <c r="CO530"/>
      <c r="CP530"/>
      <c r="CQ530"/>
      <c r="CR530"/>
      <c r="CS530"/>
      <c r="CT530"/>
      <c r="CU530"/>
      <c r="CV530"/>
      <c r="CW530"/>
      <c r="CX530"/>
      <c r="CY530"/>
      <c r="CZ530"/>
      <c r="DA530"/>
      <c r="DB530"/>
      <c r="DC530"/>
      <c r="DD530"/>
      <c r="DE530"/>
      <c r="DF530"/>
      <c r="DG530"/>
      <c r="DH530"/>
      <c r="DI530"/>
      <c r="DJ530"/>
      <c r="DK530"/>
      <c r="DL530"/>
      <c r="DM530"/>
      <c r="DN530"/>
      <c r="DO530"/>
      <c r="DP530"/>
      <c r="DQ530"/>
      <c r="DR530"/>
      <c r="DS530"/>
      <c r="DT530"/>
      <c r="DU530"/>
      <c r="DV530"/>
      <c r="DW530"/>
      <c r="DX530"/>
      <c r="DY530"/>
      <c r="DZ530"/>
      <c r="EA530"/>
      <c r="EB530"/>
      <c r="EC530"/>
      <c r="ED530"/>
      <c r="EE530"/>
      <c r="EF530"/>
      <c r="EG530"/>
      <c r="EH530"/>
      <c r="EI530"/>
      <c r="EJ530"/>
      <c r="EK530"/>
      <c r="EL530"/>
      <c r="EM530"/>
      <c r="EN530"/>
      <c r="EO530"/>
      <c r="EP530"/>
      <c r="EQ530"/>
      <c r="ER530"/>
      <c r="ES530"/>
      <c r="ET530"/>
      <c r="EU530"/>
      <c r="EV530"/>
      <c r="EW530"/>
      <c r="EX530"/>
      <c r="EY530"/>
      <c r="EZ530"/>
      <c r="FA530"/>
      <c r="FB530"/>
      <c r="FC530"/>
      <c r="FD530"/>
      <c r="FE530"/>
      <c r="FF530"/>
      <c r="FG530"/>
      <c r="FH530"/>
      <c r="FI530"/>
      <c r="FJ530"/>
      <c r="FK530"/>
      <c r="FL530"/>
      <c r="FM530"/>
      <c r="FN530"/>
      <c r="FO530"/>
      <c r="FP530"/>
      <c r="FQ530"/>
      <c r="FR530"/>
      <c r="FS530"/>
      <c r="FT530"/>
      <c r="FU530"/>
      <c r="FV530"/>
      <c r="FW530"/>
      <c r="FX530"/>
      <c r="FY530"/>
      <c r="FZ530"/>
      <c r="GA530"/>
      <c r="GB530"/>
      <c r="GC530"/>
      <c r="GD530"/>
      <c r="GE530"/>
      <c r="GF530"/>
      <c r="GG530"/>
      <c r="GH530"/>
      <c r="GI530"/>
      <c r="GJ530"/>
      <c r="GK530"/>
      <c r="GL530"/>
      <c r="GM530"/>
      <c r="GN530"/>
      <c r="GO530"/>
      <c r="GP530"/>
      <c r="GQ530"/>
      <c r="GR530"/>
      <c r="GS530"/>
      <c r="GT530"/>
      <c r="GU530"/>
      <c r="GV530"/>
      <c r="GW530"/>
      <c r="GX530"/>
      <c r="GY530"/>
      <c r="GZ530"/>
      <c r="HA530"/>
      <c r="HB530"/>
      <c r="HC530"/>
      <c r="HD530"/>
      <c r="HE530"/>
      <c r="HF530"/>
      <c r="HG530"/>
      <c r="HH530"/>
      <c r="HI530"/>
      <c r="HJ530"/>
      <c r="HK530"/>
      <c r="HL530"/>
      <c r="HM530"/>
      <c r="HN530"/>
      <c r="HO530"/>
      <c r="HP530"/>
      <c r="HQ530"/>
      <c r="HR530"/>
      <c r="HS530"/>
      <c r="HT530"/>
      <c r="HU530"/>
      <c r="HV530"/>
      <c r="HW530"/>
      <c r="HX530"/>
      <c r="HY530"/>
      <c r="HZ530"/>
      <c r="IA530"/>
      <c r="IB530"/>
      <c r="IC530"/>
      <c r="ID530"/>
      <c r="IE530"/>
      <c r="IF530"/>
      <c r="IG530"/>
      <c r="IH530"/>
      <c r="II530"/>
      <c r="IJ530"/>
      <c r="IK530"/>
      <c r="IL530"/>
      <c r="IM530"/>
      <c r="IN530"/>
      <c r="IO530"/>
      <c r="IP530"/>
      <c r="IQ530"/>
      <c r="IR530"/>
      <c r="IS530"/>
      <c r="IT530"/>
      <c r="IU530"/>
      <c r="IV530"/>
      <c r="IW530"/>
      <c r="IX530"/>
      <c r="IY530"/>
      <c r="IZ530"/>
      <c r="JA530"/>
      <c r="JB530"/>
      <c r="JC530"/>
      <c r="JD530"/>
      <c r="JE530"/>
      <c r="JF530"/>
      <c r="JG530"/>
      <c r="JH530"/>
      <c r="JI530"/>
      <c r="JJ530"/>
      <c r="JK530"/>
      <c r="JL530"/>
      <c r="JM530"/>
      <c r="JN530"/>
      <c r="JO530"/>
      <c r="JP530"/>
      <c r="JQ530"/>
      <c r="JR530"/>
      <c r="JS530"/>
      <c r="JT530"/>
      <c r="JU530"/>
      <c r="JV530"/>
      <c r="JW530"/>
      <c r="JX530"/>
      <c r="JY530"/>
      <c r="JZ530"/>
      <c r="KA530"/>
      <c r="KB530"/>
      <c r="KC530"/>
      <c r="KD530"/>
      <c r="KE530"/>
      <c r="KF530"/>
      <c r="KG530"/>
      <c r="KH530"/>
      <c r="KI530"/>
      <c r="KJ530"/>
      <c r="KK530"/>
      <c r="KL530"/>
      <c r="KM530"/>
      <c r="KN530"/>
      <c r="KO530"/>
      <c r="KP530"/>
      <c r="KQ530"/>
      <c r="KR530"/>
      <c r="KS530"/>
      <c r="KT530"/>
      <c r="KU530"/>
      <c r="KV530"/>
      <c r="KW530"/>
      <c r="KX530"/>
      <c r="KY530"/>
      <c r="KZ530"/>
      <c r="LA530"/>
      <c r="LB530"/>
      <c r="LC530"/>
      <c r="LD530"/>
      <c r="LE530"/>
      <c r="LF530"/>
      <c r="LG530"/>
      <c r="LH530"/>
      <c r="LI530"/>
      <c r="LJ530"/>
      <c r="LK530"/>
      <c r="LL530"/>
      <c r="LM530"/>
      <c r="LN530"/>
      <c r="LO530"/>
      <c r="LP530"/>
      <c r="LQ530"/>
      <c r="LR530"/>
      <c r="LS530"/>
      <c r="LT530"/>
      <c r="LU530"/>
      <c r="LV530"/>
      <c r="LW530"/>
      <c r="LX530"/>
      <c r="LY530"/>
      <c r="LZ530"/>
      <c r="MA530"/>
      <c r="MB530"/>
      <c r="MC530"/>
      <c r="MD530"/>
      <c r="ME530"/>
      <c r="MF530"/>
      <c r="MG530"/>
      <c r="MH530"/>
      <c r="MI530"/>
      <c r="MJ530"/>
      <c r="MK530"/>
      <c r="ML530"/>
      <c r="MM530"/>
      <c r="MN530"/>
      <c r="MO530"/>
      <c r="MP530"/>
      <c r="MQ530"/>
      <c r="MR530"/>
      <c r="MS530"/>
      <c r="MT530"/>
      <c r="MU530"/>
      <c r="MV530"/>
      <c r="MW530"/>
      <c r="MX530"/>
      <c r="MY530"/>
      <c r="MZ530"/>
      <c r="NA530"/>
      <c r="NB530"/>
      <c r="NC530"/>
      <c r="ND530"/>
      <c r="NE530"/>
      <c r="NF530"/>
      <c r="NG530"/>
      <c r="NH530"/>
      <c r="NI530"/>
      <c r="NJ530"/>
      <c r="NK530"/>
      <c r="NL530"/>
      <c r="NM530"/>
      <c r="NN530"/>
      <c r="NO530"/>
      <c r="NP530"/>
      <c r="NQ530"/>
      <c r="NR530"/>
      <c r="NS530"/>
      <c r="NT530"/>
      <c r="NU530"/>
      <c r="NV530"/>
      <c r="NW530"/>
      <c r="NX530"/>
      <c r="NY530"/>
      <c r="NZ530"/>
      <c r="OA530"/>
      <c r="OB530"/>
      <c r="OC530"/>
      <c r="OD530"/>
      <c r="OE530"/>
      <c r="OF530"/>
      <c r="OG530"/>
      <c r="OH530"/>
      <c r="OI530"/>
      <c r="OJ530"/>
      <c r="OK530"/>
      <c r="OL530"/>
      <c r="OM530"/>
      <c r="ON530"/>
      <c r="OO530"/>
      <c r="OP530"/>
      <c r="OQ530"/>
      <c r="OR530"/>
      <c r="OS530"/>
      <c r="OT530"/>
      <c r="OU530"/>
      <c r="OV530"/>
      <c r="OW530"/>
      <c r="OX530"/>
      <c r="OY530"/>
      <c r="OZ530"/>
      <c r="PA530"/>
      <c r="PB530"/>
      <c r="PC530"/>
      <c r="PD530"/>
      <c r="PE530"/>
      <c r="PF530"/>
      <c r="PG530"/>
      <c r="PH530"/>
      <c r="PI530"/>
      <c r="PJ530"/>
      <c r="PK530"/>
      <c r="PL530"/>
      <c r="PM530"/>
      <c r="PN530"/>
      <c r="PO530"/>
      <c r="PP530"/>
      <c r="PQ530"/>
      <c r="PR530"/>
      <c r="PS530"/>
      <c r="PT530"/>
      <c r="PU530"/>
      <c r="PV530"/>
      <c r="PW530"/>
      <c r="PX530"/>
      <c r="PY530"/>
      <c r="PZ530"/>
      <c r="QA530"/>
      <c r="QB530"/>
      <c r="QC530"/>
      <c r="QD530"/>
      <c r="QE530"/>
      <c r="QF530"/>
      <c r="QG530"/>
      <c r="QH530"/>
      <c r="QI530"/>
      <c r="QJ530"/>
      <c r="QK530"/>
      <c r="QL530"/>
      <c r="QM530"/>
      <c r="QN530"/>
      <c r="QO530"/>
      <c r="QP530"/>
      <c r="QQ530"/>
      <c r="QR530"/>
      <c r="QS530"/>
      <c r="QT530"/>
      <c r="QU530"/>
      <c r="QV530"/>
      <c r="QW530"/>
      <c r="QX530"/>
      <c r="QY530"/>
      <c r="QZ530"/>
      <c r="RA530"/>
      <c r="RB530"/>
      <c r="RC530"/>
      <c r="RD530"/>
      <c r="RE530"/>
      <c r="RF530"/>
      <c r="RG530"/>
      <c r="RH530"/>
      <c r="RI530"/>
      <c r="RJ530"/>
      <c r="RK530"/>
      <c r="RL530"/>
      <c r="RM530"/>
      <c r="RN530"/>
      <c r="RO530"/>
      <c r="RP530"/>
      <c r="RQ530"/>
      <c r="RR530"/>
      <c r="RS530"/>
      <c r="RT530"/>
      <c r="RU530"/>
      <c r="RV530"/>
      <c r="RW530"/>
      <c r="RX530"/>
      <c r="RY530"/>
      <c r="RZ530"/>
      <c r="SA530"/>
      <c r="SB530"/>
      <c r="SC530"/>
      <c r="SD530"/>
      <c r="SE530"/>
      <c r="SF530"/>
      <c r="SG530"/>
      <c r="SH530"/>
      <c r="SI530"/>
      <c r="SJ530"/>
      <c r="SK530"/>
      <c r="SL530"/>
      <c r="SM530"/>
      <c r="SN530"/>
      <c r="SO530"/>
      <c r="SP530"/>
      <c r="SQ530"/>
      <c r="SR530"/>
      <c r="SS530"/>
      <c r="ST530"/>
      <c r="SU530"/>
      <c r="SV530"/>
      <c r="SW530"/>
      <c r="SX530"/>
      <c r="SY530"/>
      <c r="SZ530"/>
      <c r="TA530"/>
      <c r="TB530"/>
      <c r="TC530"/>
      <c r="TD530"/>
      <c r="TE530"/>
      <c r="TF530"/>
      <c r="TG530"/>
      <c r="TH530"/>
      <c r="TI530"/>
      <c r="TJ530"/>
      <c r="TK530"/>
      <c r="TL530"/>
      <c r="TM530"/>
      <c r="TN530"/>
      <c r="TO530"/>
      <c r="TP530"/>
      <c r="TQ530"/>
      <c r="TR530"/>
      <c r="TS530"/>
      <c r="TT530"/>
      <c r="TU530"/>
      <c r="TV530"/>
      <c r="TW530"/>
      <c r="TX530"/>
      <c r="TY530"/>
      <c r="TZ530"/>
      <c r="UA530"/>
      <c r="UB530"/>
      <c r="UC530"/>
      <c r="UD530"/>
      <c r="UE530"/>
      <c r="UF530"/>
      <c r="UG530"/>
      <c r="UH530"/>
      <c r="UI530"/>
      <c r="UJ530"/>
      <c r="UK530"/>
      <c r="UL530"/>
      <c r="UM530"/>
      <c r="UN530"/>
      <c r="UO530"/>
      <c r="UP530"/>
      <c r="UQ530"/>
      <c r="UR530"/>
      <c r="US530"/>
      <c r="UT530"/>
      <c r="UU530"/>
      <c r="UV530"/>
      <c r="UW530"/>
      <c r="UX530"/>
      <c r="UY530"/>
      <c r="UZ530"/>
      <c r="VA530"/>
      <c r="VB530"/>
      <c r="VC530"/>
      <c r="VD530"/>
      <c r="VE530"/>
      <c r="VF530"/>
      <c r="VG530"/>
      <c r="VH530"/>
      <c r="VI530"/>
      <c r="VJ530"/>
      <c r="VK530"/>
      <c r="VL530"/>
      <c r="VM530"/>
      <c r="VN530"/>
      <c r="VO530"/>
      <c r="VP530"/>
      <c r="VQ530"/>
      <c r="VR530"/>
      <c r="VS530"/>
      <c r="VT530"/>
      <c r="VU530"/>
      <c r="VV530"/>
      <c r="VW530"/>
      <c r="VX530"/>
      <c r="VY530"/>
      <c r="VZ530"/>
      <c r="WA530"/>
      <c r="WB530"/>
      <c r="WC530"/>
      <c r="WD530"/>
      <c r="WE530"/>
      <c r="WF530"/>
      <c r="WG530"/>
      <c r="WH530"/>
      <c r="WI530"/>
      <c r="WJ530"/>
      <c r="WK530"/>
      <c r="WL530"/>
      <c r="WM530"/>
      <c r="WN530"/>
      <c r="WO530"/>
      <c r="WP530"/>
      <c r="WQ530"/>
      <c r="WR530"/>
      <c r="WS530"/>
      <c r="WT530"/>
      <c r="WU530"/>
      <c r="WV530"/>
      <c r="WW530"/>
      <c r="WX530"/>
      <c r="WY530"/>
      <c r="WZ530"/>
      <c r="XA530"/>
      <c r="XB530"/>
      <c r="XC530"/>
      <c r="XD530"/>
      <c r="XE530"/>
      <c r="XF530"/>
      <c r="XG530"/>
      <c r="XH530"/>
      <c r="XI530"/>
      <c r="XJ530"/>
      <c r="XK530"/>
      <c r="XL530"/>
      <c r="XM530"/>
      <c r="XN530"/>
      <c r="XO530"/>
      <c r="XP530"/>
      <c r="XQ530"/>
      <c r="XR530"/>
      <c r="XS530"/>
      <c r="XT530"/>
      <c r="XU530"/>
      <c r="XV530"/>
      <c r="XW530"/>
      <c r="XX530"/>
      <c r="XY530"/>
      <c r="XZ530"/>
      <c r="YA530"/>
      <c r="YB530"/>
      <c r="YC530"/>
      <c r="YD530"/>
      <c r="YE530"/>
      <c r="YF530"/>
      <c r="YG530"/>
      <c r="YH530"/>
      <c r="YI530"/>
      <c r="YJ530"/>
      <c r="YK530"/>
      <c r="YL530"/>
      <c r="YM530"/>
      <c r="YN530"/>
      <c r="YO530"/>
      <c r="YP530"/>
      <c r="YQ530"/>
      <c r="YR530"/>
      <c r="YS530"/>
      <c r="YT530"/>
      <c r="YU530"/>
      <c r="YV530"/>
      <c r="YW530"/>
      <c r="YX530"/>
      <c r="YY530"/>
      <c r="YZ530"/>
      <c r="ZA530"/>
      <c r="ZB530"/>
      <c r="ZC530"/>
      <c r="ZD530"/>
      <c r="ZE530"/>
      <c r="ZF530"/>
      <c r="ZG530"/>
      <c r="ZH530"/>
      <c r="ZI530"/>
      <c r="ZJ530"/>
      <c r="ZK530"/>
      <c r="ZL530"/>
      <c r="ZM530"/>
      <c r="ZN530"/>
      <c r="ZO530"/>
      <c r="ZP530"/>
      <c r="ZQ530"/>
      <c r="ZR530"/>
      <c r="ZS530"/>
      <c r="ZT530"/>
      <c r="ZU530"/>
      <c r="ZV530"/>
      <c r="ZW530"/>
      <c r="ZX530"/>
      <c r="ZY530"/>
      <c r="ZZ530"/>
      <c r="AAA530"/>
      <c r="AAB530"/>
      <c r="AAC530"/>
      <c r="AAD530"/>
      <c r="AAE530"/>
      <c r="AAF530"/>
      <c r="AAG530"/>
      <c r="AAH530"/>
      <c r="AAI530"/>
      <c r="AAJ530"/>
      <c r="AAK530"/>
      <c r="AAL530"/>
      <c r="AAM530"/>
      <c r="AAN530"/>
      <c r="AAO530"/>
      <c r="AAP530"/>
      <c r="AAQ530"/>
      <c r="AAR530"/>
      <c r="AAS530"/>
      <c r="AAT530"/>
      <c r="AAU530"/>
      <c r="AAV530"/>
      <c r="AAW530"/>
      <c r="AAX530"/>
      <c r="AAY530"/>
      <c r="AAZ530"/>
      <c r="ABA530"/>
      <c r="ABB530"/>
      <c r="ABC530"/>
      <c r="ABD530"/>
      <c r="ABE530"/>
      <c r="ABF530"/>
      <c r="ABG530"/>
      <c r="ABH530"/>
      <c r="ABI530"/>
      <c r="ABJ530"/>
      <c r="ABK530"/>
      <c r="ABL530"/>
      <c r="ABM530"/>
      <c r="ABN530"/>
      <c r="ABO530"/>
      <c r="ABP530"/>
      <c r="ABQ530"/>
      <c r="ABR530"/>
      <c r="ABS530"/>
      <c r="ABT530"/>
      <c r="ABU530"/>
      <c r="ABV530"/>
      <c r="ABW530"/>
      <c r="ABX530"/>
      <c r="ABY530"/>
      <c r="ABZ530"/>
      <c r="ACA530"/>
      <c r="ACB530"/>
      <c r="ACC530"/>
      <c r="ACD530"/>
      <c r="ACE530"/>
      <c r="ACF530"/>
      <c r="ACG530"/>
      <c r="ACH530"/>
      <c r="ACI530"/>
      <c r="ACJ530"/>
      <c r="ACK530"/>
      <c r="ACL530"/>
      <c r="ACM530"/>
      <c r="ACN530"/>
      <c r="ACO530"/>
      <c r="ACP530"/>
      <c r="ACQ530"/>
      <c r="ACR530"/>
      <c r="ACS530"/>
      <c r="ACT530"/>
      <c r="ACU530"/>
      <c r="ACV530"/>
      <c r="ACW530"/>
      <c r="ACX530"/>
      <c r="ACY530"/>
      <c r="ACZ530"/>
      <c r="ADA530"/>
      <c r="ADB530"/>
      <c r="ADC530"/>
      <c r="ADD530"/>
      <c r="ADE530"/>
      <c r="ADF530"/>
      <c r="ADG530"/>
      <c r="ADH530"/>
      <c r="ADI530"/>
      <c r="ADJ530"/>
      <c r="ADK530"/>
      <c r="ADL530"/>
      <c r="ADM530"/>
      <c r="ADN530"/>
      <c r="ADO530"/>
      <c r="ADP530"/>
      <c r="ADQ530"/>
      <c r="ADR530"/>
      <c r="ADS530"/>
      <c r="ADT530"/>
      <c r="ADU530"/>
      <c r="ADV530"/>
      <c r="ADW530"/>
      <c r="ADX530"/>
      <c r="ADY530"/>
      <c r="ADZ530"/>
      <c r="AEA530"/>
      <c r="AEB530"/>
      <c r="AEC530"/>
      <c r="AED530"/>
      <c r="AEE530"/>
      <c r="AEF530"/>
      <c r="AEG530"/>
      <c r="AEH530"/>
      <c r="AEI530"/>
      <c r="AEJ530"/>
      <c r="AEK530"/>
      <c r="AEL530"/>
      <c r="AEM530"/>
      <c r="AEN530"/>
      <c r="AEO530"/>
      <c r="AEP530"/>
      <c r="AEQ530"/>
      <c r="AER530"/>
      <c r="AES530"/>
      <c r="AET530"/>
      <c r="AEU530"/>
      <c r="AEV530"/>
      <c r="AEW530"/>
      <c r="AEX530"/>
      <c r="AEY530"/>
      <c r="AEZ530"/>
      <c r="AFA530"/>
      <c r="AFB530"/>
      <c r="AFC530"/>
      <c r="AFD530"/>
      <c r="AFE530"/>
      <c r="AFF530"/>
      <c r="AFG530"/>
      <c r="AFH530"/>
      <c r="AFI530"/>
      <c r="AFJ530"/>
      <c r="AFK530"/>
      <c r="AFL530"/>
      <c r="AFM530"/>
      <c r="AFN530"/>
      <c r="AFO530"/>
      <c r="AFP530"/>
      <c r="AFQ530"/>
      <c r="AFR530"/>
      <c r="AFS530"/>
      <c r="AFT530"/>
      <c r="AFU530"/>
      <c r="AFV530"/>
      <c r="AFW530"/>
      <c r="AFX530"/>
      <c r="AFY530"/>
      <c r="AFZ530"/>
      <c r="AGA530"/>
      <c r="AGB530"/>
      <c r="AGC530"/>
      <c r="AGD530"/>
      <c r="AGE530"/>
      <c r="AGF530"/>
      <c r="AGG530"/>
      <c r="AGH530"/>
      <c r="AGI530"/>
      <c r="AGJ530"/>
      <c r="AGK530"/>
      <c r="AGL530"/>
      <c r="AGM530"/>
      <c r="AGN530"/>
      <c r="AGO530"/>
      <c r="AGP530"/>
      <c r="AGQ530"/>
      <c r="AGR530"/>
      <c r="AGS530"/>
      <c r="AGT530"/>
      <c r="AGU530"/>
      <c r="AGV530"/>
      <c r="AGW530"/>
      <c r="AGX530"/>
      <c r="AGY530"/>
      <c r="AGZ530"/>
      <c r="AHA530"/>
      <c r="AHB530"/>
      <c r="AHC530"/>
      <c r="AHD530"/>
      <c r="AHE530"/>
      <c r="AHF530"/>
      <c r="AHG530"/>
      <c r="AHH530"/>
      <c r="AHI530"/>
      <c r="AHJ530"/>
      <c r="AHK530"/>
      <c r="AHL530"/>
      <c r="AHM530"/>
      <c r="AHN530"/>
      <c r="AHO530"/>
      <c r="AHP530"/>
      <c r="AHQ530"/>
      <c r="AHR530"/>
      <c r="AHS530"/>
      <c r="AHT530"/>
      <c r="AHU530"/>
      <c r="AHV530"/>
      <c r="AHW530"/>
      <c r="AHX530"/>
      <c r="AHY530"/>
      <c r="AHZ530"/>
      <c r="AIA530"/>
      <c r="AIB530"/>
      <c r="AIC530"/>
      <c r="AID530"/>
      <c r="AIE530"/>
      <c r="AIF530"/>
      <c r="AIG530"/>
      <c r="AIH530"/>
      <c r="AII530"/>
      <c r="AIJ530"/>
      <c r="AIK530"/>
      <c r="AIL530"/>
      <c r="AIM530"/>
      <c r="AIN530"/>
      <c r="AIO530"/>
      <c r="AIP530"/>
      <c r="AIQ530"/>
      <c r="AIR530"/>
      <c r="AIS530"/>
      <c r="AIT530"/>
      <c r="AIU530"/>
      <c r="AIV530"/>
      <c r="AIW530"/>
      <c r="AIX530"/>
      <c r="AIY530"/>
      <c r="AIZ530"/>
      <c r="AJA530"/>
      <c r="AJB530"/>
      <c r="AJC530"/>
      <c r="AJD530"/>
      <c r="AJE530"/>
      <c r="AJF530"/>
      <c r="AJG530"/>
      <c r="AJH530"/>
      <c r="AJI530"/>
      <c r="AJJ530"/>
      <c r="AJK530"/>
      <c r="AJL530"/>
      <c r="AJM530"/>
      <c r="AJN530"/>
      <c r="AJO530"/>
      <c r="AJP530"/>
      <c r="AJQ530"/>
      <c r="AJR530"/>
      <c r="AJS530"/>
      <c r="AJT530"/>
      <c r="AJU530"/>
      <c r="AJV530"/>
      <c r="AJW530"/>
      <c r="AJX530"/>
      <c r="AJY530"/>
      <c r="AJZ530"/>
      <c r="AKA530"/>
      <c r="AKB530"/>
      <c r="AKC530"/>
      <c r="AKD530"/>
      <c r="AKE530"/>
      <c r="AKF530"/>
      <c r="AKG530"/>
      <c r="AKH530"/>
      <c r="AKI530"/>
      <c r="AKJ530"/>
      <c r="AKK530"/>
      <c r="AKL530"/>
      <c r="AKM530"/>
      <c r="AKN530"/>
      <c r="AKO530"/>
      <c r="AKP530"/>
      <c r="AKQ530"/>
      <c r="AKR530"/>
      <c r="AKS530"/>
      <c r="AKT530"/>
      <c r="AKU530"/>
      <c r="AKV530"/>
      <c r="AKW530"/>
      <c r="AKX530"/>
      <c r="AKY530"/>
      <c r="AKZ530"/>
      <c r="ALA530"/>
      <c r="ALB530"/>
      <c r="ALC530"/>
      <c r="ALD530"/>
      <c r="ALE530"/>
      <c r="ALF530"/>
      <c r="ALG530"/>
      <c r="ALH530"/>
      <c r="ALI530"/>
      <c r="ALJ530"/>
      <c r="ALK530"/>
      <c r="ALL530"/>
      <c r="ALM530"/>
      <c r="ALN530"/>
      <c r="ALO530"/>
      <c r="ALP530"/>
      <c r="ALQ530"/>
      <c r="ALR530"/>
      <c r="ALS530"/>
      <c r="ALT530"/>
      <c r="ALU530"/>
      <c r="ALV530"/>
      <c r="ALW530"/>
      <c r="ALX530"/>
      <c r="ALY530"/>
      <c r="ALZ530"/>
      <c r="AMA530"/>
      <c r="AMB530"/>
      <c r="AMC530"/>
      <c r="AMD530"/>
      <c r="AME530"/>
      <c r="AMF530"/>
      <c r="AMG530"/>
      <c r="AMH530"/>
      <c r="AMI530"/>
      <c r="AMJ530"/>
    </row>
    <row r="531" spans="1:1024">
      <c r="A531" s="7" t="s">
        <v>535</v>
      </c>
      <c r="B531" s="7">
        <v>681494</v>
      </c>
      <c r="C531" s="11"/>
      <c r="D531" s="12">
        <v>0.5</v>
      </c>
      <c r="E531" s="7">
        <f>VLOOKUP(B531,Gesamtstunden_26!B:I,8,0)</f>
        <v>3.8333333333333335</v>
      </c>
      <c r="F531" s="13">
        <f t="shared" si="8"/>
        <v>-3.3333333333333335</v>
      </c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  <c r="AW531" s="11"/>
      <c r="AX531" s="11"/>
      <c r="AY531" s="11"/>
      <c r="AZ531" s="11"/>
      <c r="BA531" s="11"/>
      <c r="BB531" s="11"/>
      <c r="BC531" s="11"/>
      <c r="BD531" s="11"/>
      <c r="BE531" s="11"/>
      <c r="BF531" s="11"/>
      <c r="BG531" s="11"/>
      <c r="BH531" s="11"/>
      <c r="BI531" s="11"/>
      <c r="BJ531" s="11"/>
      <c r="BK531" s="11"/>
      <c r="BL531" s="11"/>
      <c r="BM531" s="11"/>
      <c r="BN531" s="11"/>
      <c r="BO531" s="11"/>
      <c r="BP531" s="11"/>
      <c r="BQ531" s="11"/>
      <c r="BR531" s="11"/>
      <c r="BS531" s="11"/>
      <c r="BT531" s="11"/>
      <c r="BU531" s="11"/>
      <c r="BV531" s="11"/>
      <c r="BW531" s="11"/>
      <c r="BX531" s="11"/>
      <c r="BY531" s="11"/>
      <c r="BZ531" s="11"/>
      <c r="CA531" s="11"/>
      <c r="CB531" s="11"/>
      <c r="CC531" s="11"/>
      <c r="CD531" s="11"/>
      <c r="CE531" s="11"/>
      <c r="CF531" s="11"/>
      <c r="CG531" s="11"/>
      <c r="CH531" s="11"/>
      <c r="CI531" s="11"/>
      <c r="CJ531" s="11"/>
      <c r="CK531" s="11"/>
      <c r="CL531" s="11"/>
      <c r="CM531" s="11"/>
      <c r="CN531" s="11"/>
      <c r="CO531" s="11"/>
      <c r="CP531" s="11"/>
      <c r="CQ531" s="11"/>
      <c r="CR531" s="11"/>
      <c r="CS531" s="11"/>
      <c r="CT531" s="11"/>
      <c r="CU531" s="11"/>
      <c r="CV531" s="11"/>
      <c r="CW531" s="11"/>
      <c r="CX531" s="11"/>
      <c r="CY531" s="11"/>
      <c r="CZ531" s="11"/>
      <c r="DA531" s="11"/>
      <c r="DB531" s="11"/>
      <c r="DC531" s="11"/>
      <c r="DD531" s="11"/>
      <c r="DE531" s="11"/>
      <c r="DF531" s="11"/>
      <c r="DG531" s="11"/>
      <c r="DH531" s="11"/>
      <c r="DI531" s="11"/>
      <c r="DJ531" s="11"/>
      <c r="DK531" s="11"/>
      <c r="DL531" s="11"/>
      <c r="DM531" s="11"/>
      <c r="DN531" s="11"/>
      <c r="DO531" s="11"/>
      <c r="DP531" s="11"/>
      <c r="DQ531" s="11"/>
      <c r="DR531" s="11"/>
      <c r="DS531" s="11"/>
      <c r="DT531" s="11"/>
      <c r="DU531" s="11"/>
      <c r="DV531" s="11"/>
      <c r="DW531" s="11"/>
      <c r="DX531" s="11"/>
      <c r="DY531" s="11"/>
      <c r="DZ531" s="11"/>
      <c r="EA531" s="11"/>
      <c r="EB531" s="11"/>
      <c r="EC531" s="11"/>
      <c r="ED531" s="11"/>
      <c r="EE531" s="11"/>
      <c r="EF531" s="11"/>
      <c r="EG531" s="11"/>
      <c r="EH531" s="11"/>
      <c r="EI531" s="11"/>
      <c r="EJ531" s="11"/>
      <c r="EK531" s="11"/>
      <c r="EL531" s="11"/>
      <c r="EM531" s="11"/>
      <c r="EN531" s="11"/>
      <c r="EO531" s="11"/>
      <c r="EP531" s="11"/>
      <c r="EQ531" s="11"/>
      <c r="ER531" s="11"/>
      <c r="ES531" s="11"/>
      <c r="ET531" s="11"/>
      <c r="EU531" s="11"/>
      <c r="EV531" s="11"/>
      <c r="EW531" s="11"/>
      <c r="EX531" s="11"/>
      <c r="EY531" s="11"/>
      <c r="EZ531" s="11"/>
      <c r="FA531" s="11"/>
      <c r="FB531" s="11"/>
      <c r="FC531" s="11"/>
      <c r="FD531" s="11"/>
      <c r="FE531" s="11"/>
      <c r="FF531" s="11"/>
      <c r="FG531" s="11"/>
      <c r="FH531" s="11"/>
      <c r="FI531" s="11"/>
      <c r="FJ531" s="11"/>
      <c r="FK531" s="11"/>
      <c r="FL531" s="11"/>
      <c r="FM531" s="11"/>
      <c r="FN531" s="11"/>
      <c r="FO531" s="11"/>
      <c r="FP531" s="11"/>
      <c r="FQ531" s="11"/>
      <c r="FR531" s="11"/>
      <c r="FS531" s="11"/>
      <c r="FT531" s="11"/>
      <c r="FU531" s="11"/>
      <c r="FV531" s="11"/>
      <c r="FW531" s="11"/>
      <c r="FX531" s="11"/>
      <c r="FY531" s="11"/>
      <c r="FZ531" s="11"/>
      <c r="GA531" s="11"/>
      <c r="GB531" s="11"/>
      <c r="GC531" s="11"/>
      <c r="GD531" s="11"/>
      <c r="GE531" s="11"/>
      <c r="GF531" s="11"/>
      <c r="GG531" s="11"/>
      <c r="GH531" s="11"/>
      <c r="GI531" s="11"/>
      <c r="GJ531" s="11"/>
      <c r="GK531" s="11"/>
      <c r="GL531" s="11"/>
      <c r="GM531" s="11"/>
      <c r="GN531" s="11"/>
      <c r="GO531" s="11"/>
      <c r="GP531" s="11"/>
      <c r="GQ531" s="11"/>
      <c r="GR531" s="11"/>
      <c r="GS531" s="11"/>
      <c r="GT531" s="11"/>
      <c r="GU531" s="11"/>
      <c r="GV531" s="11"/>
      <c r="GW531" s="11"/>
      <c r="GX531" s="11"/>
      <c r="GY531" s="11"/>
      <c r="GZ531" s="11"/>
      <c r="HA531" s="11"/>
      <c r="HB531" s="11"/>
      <c r="HC531" s="11"/>
      <c r="HD531" s="11"/>
      <c r="HE531" s="11"/>
      <c r="HF531" s="11"/>
      <c r="HG531" s="11"/>
      <c r="HH531" s="11"/>
      <c r="HI531" s="11"/>
      <c r="HJ531" s="11"/>
      <c r="HK531" s="11"/>
      <c r="HL531" s="11"/>
      <c r="HM531" s="11"/>
      <c r="HN531" s="11"/>
      <c r="HO531" s="11"/>
      <c r="HP531" s="11"/>
      <c r="HQ531" s="11"/>
      <c r="HR531" s="11"/>
      <c r="HS531" s="11"/>
      <c r="HT531" s="11"/>
      <c r="HU531" s="11"/>
      <c r="HV531" s="11"/>
      <c r="HW531" s="11"/>
      <c r="HX531" s="11"/>
      <c r="HY531" s="11"/>
      <c r="HZ531" s="11"/>
      <c r="IA531" s="11"/>
      <c r="IB531" s="11"/>
      <c r="IC531" s="11"/>
      <c r="ID531" s="11"/>
      <c r="IE531" s="11"/>
      <c r="IF531" s="11"/>
      <c r="IG531" s="11"/>
      <c r="IH531" s="11"/>
      <c r="II531" s="11"/>
      <c r="IJ531" s="11"/>
      <c r="IK531" s="11"/>
      <c r="IL531" s="11"/>
      <c r="IM531" s="11"/>
      <c r="IN531" s="11"/>
      <c r="IO531" s="11"/>
      <c r="IP531" s="11"/>
      <c r="IQ531" s="11"/>
      <c r="IR531" s="11"/>
      <c r="IS531" s="11"/>
      <c r="IT531" s="11"/>
      <c r="IU531" s="11"/>
      <c r="IV531" s="11"/>
      <c r="IW531" s="11"/>
      <c r="IX531" s="11"/>
      <c r="IY531" s="11"/>
      <c r="IZ531" s="11"/>
      <c r="JA531" s="11"/>
      <c r="JB531" s="11"/>
      <c r="JC531" s="11"/>
      <c r="JD531" s="11"/>
      <c r="JE531" s="11"/>
      <c r="JF531" s="11"/>
      <c r="JG531" s="11"/>
      <c r="JH531" s="11"/>
      <c r="JI531" s="11"/>
      <c r="JJ531" s="11"/>
      <c r="JK531" s="11"/>
      <c r="JL531" s="11"/>
      <c r="JM531" s="11"/>
      <c r="JN531" s="11"/>
      <c r="JO531" s="11"/>
      <c r="JP531" s="11"/>
      <c r="JQ531" s="11"/>
      <c r="JR531" s="11"/>
      <c r="JS531" s="11"/>
      <c r="JT531" s="11"/>
      <c r="JU531" s="11"/>
      <c r="JV531" s="11"/>
      <c r="JW531" s="11"/>
      <c r="JX531" s="11"/>
      <c r="JY531" s="11"/>
      <c r="JZ531" s="11"/>
      <c r="KA531" s="11"/>
      <c r="KB531" s="11"/>
      <c r="KC531" s="11"/>
      <c r="KD531" s="11"/>
      <c r="KE531" s="11"/>
      <c r="KF531" s="11"/>
      <c r="KG531" s="11"/>
      <c r="KH531" s="11"/>
      <c r="KI531" s="11"/>
      <c r="KJ531" s="11"/>
      <c r="KK531" s="11"/>
      <c r="KL531" s="11"/>
      <c r="KM531" s="11"/>
      <c r="KN531" s="11"/>
      <c r="KO531" s="11"/>
      <c r="KP531" s="11"/>
      <c r="KQ531" s="11"/>
      <c r="KR531" s="11"/>
      <c r="KS531" s="11"/>
      <c r="KT531" s="11"/>
      <c r="KU531" s="11"/>
      <c r="KV531" s="11"/>
      <c r="KW531" s="11"/>
      <c r="KX531" s="11"/>
      <c r="KY531" s="11"/>
      <c r="KZ531" s="11"/>
      <c r="LA531" s="11"/>
      <c r="LB531" s="11"/>
      <c r="LC531" s="11"/>
      <c r="LD531" s="11"/>
      <c r="LE531" s="11"/>
      <c r="LF531" s="11"/>
      <c r="LG531" s="11"/>
      <c r="LH531" s="11"/>
      <c r="LI531" s="11"/>
      <c r="LJ531" s="11"/>
      <c r="LK531" s="11"/>
      <c r="LL531" s="11"/>
      <c r="LM531" s="11"/>
      <c r="LN531" s="11"/>
      <c r="LO531" s="11"/>
      <c r="LP531" s="11"/>
      <c r="LQ531" s="11"/>
      <c r="LR531" s="11"/>
      <c r="LS531" s="11"/>
      <c r="LT531" s="11"/>
      <c r="LU531" s="11"/>
      <c r="LV531" s="11"/>
      <c r="LW531" s="11"/>
      <c r="LX531" s="11"/>
      <c r="LY531" s="11"/>
      <c r="LZ531" s="11"/>
      <c r="MA531" s="11"/>
      <c r="MB531" s="11"/>
      <c r="MC531" s="11"/>
      <c r="MD531" s="11"/>
      <c r="ME531" s="11"/>
      <c r="MF531" s="11"/>
      <c r="MG531" s="11"/>
      <c r="MH531" s="11"/>
      <c r="MI531" s="11"/>
      <c r="MJ531" s="11"/>
      <c r="MK531" s="11"/>
      <c r="ML531" s="11"/>
      <c r="MM531" s="11"/>
      <c r="MN531" s="11"/>
      <c r="MO531" s="11"/>
      <c r="MP531" s="11"/>
      <c r="MQ531" s="11"/>
      <c r="MR531" s="11"/>
      <c r="MS531" s="11"/>
      <c r="MT531" s="11"/>
      <c r="MU531" s="11"/>
      <c r="MV531" s="11"/>
      <c r="MW531" s="11"/>
      <c r="MX531" s="11"/>
      <c r="MY531" s="11"/>
      <c r="MZ531" s="11"/>
      <c r="NA531" s="11"/>
      <c r="NB531" s="11"/>
      <c r="NC531" s="11"/>
      <c r="ND531" s="11"/>
      <c r="NE531" s="11"/>
      <c r="NF531" s="11"/>
      <c r="NG531" s="11"/>
      <c r="NH531" s="11"/>
      <c r="NI531" s="11"/>
      <c r="NJ531" s="11"/>
      <c r="NK531" s="11"/>
      <c r="NL531" s="11"/>
      <c r="NM531" s="11"/>
      <c r="NN531" s="11"/>
      <c r="NO531" s="11"/>
      <c r="NP531" s="11"/>
      <c r="NQ531" s="11"/>
      <c r="NR531" s="11"/>
      <c r="NS531" s="11"/>
      <c r="NT531" s="11"/>
      <c r="NU531" s="11"/>
      <c r="NV531" s="11"/>
      <c r="NW531" s="11"/>
      <c r="NX531" s="11"/>
      <c r="NY531" s="11"/>
      <c r="NZ531" s="11"/>
      <c r="OA531" s="11"/>
      <c r="OB531" s="11"/>
      <c r="OC531" s="11"/>
      <c r="OD531" s="11"/>
      <c r="OE531" s="11"/>
      <c r="OF531" s="11"/>
      <c r="OG531" s="11"/>
      <c r="OH531" s="11"/>
      <c r="OI531" s="11"/>
      <c r="OJ531" s="11"/>
      <c r="OK531" s="11"/>
      <c r="OL531" s="11"/>
      <c r="OM531" s="11"/>
      <c r="ON531" s="11"/>
      <c r="OO531" s="11"/>
      <c r="OP531" s="11"/>
      <c r="OQ531" s="11"/>
      <c r="OR531" s="11"/>
      <c r="OS531" s="11"/>
      <c r="OT531" s="11"/>
      <c r="OU531" s="11"/>
      <c r="OV531" s="11"/>
      <c r="OW531" s="11"/>
      <c r="OX531" s="11"/>
      <c r="OY531" s="11"/>
      <c r="OZ531" s="11"/>
      <c r="PA531" s="11"/>
      <c r="PB531" s="11"/>
      <c r="PC531" s="11"/>
      <c r="PD531" s="11"/>
      <c r="PE531" s="11"/>
      <c r="PF531" s="11"/>
      <c r="PG531" s="11"/>
      <c r="PH531" s="11"/>
      <c r="PI531" s="11"/>
      <c r="PJ531" s="11"/>
      <c r="PK531" s="11"/>
      <c r="PL531" s="11"/>
      <c r="PM531" s="11"/>
      <c r="PN531" s="11"/>
      <c r="PO531" s="11"/>
      <c r="PP531" s="11"/>
      <c r="PQ531" s="11"/>
      <c r="PR531" s="11"/>
      <c r="PS531" s="11"/>
      <c r="PT531" s="11"/>
      <c r="PU531" s="11"/>
      <c r="PV531" s="11"/>
      <c r="PW531" s="11"/>
      <c r="PX531" s="11"/>
      <c r="PY531" s="11"/>
      <c r="PZ531" s="11"/>
      <c r="QA531" s="11"/>
      <c r="QB531" s="11"/>
      <c r="QC531" s="11"/>
      <c r="QD531" s="11"/>
      <c r="QE531" s="11"/>
      <c r="QF531" s="11"/>
      <c r="QG531" s="11"/>
      <c r="QH531" s="11"/>
      <c r="QI531" s="11"/>
      <c r="QJ531" s="11"/>
      <c r="QK531" s="11"/>
      <c r="QL531" s="11"/>
      <c r="QM531" s="11"/>
      <c r="QN531" s="11"/>
      <c r="QO531" s="11"/>
      <c r="QP531" s="11"/>
      <c r="QQ531" s="11"/>
      <c r="QR531" s="11"/>
      <c r="QS531" s="11"/>
      <c r="QT531" s="11"/>
      <c r="QU531" s="11"/>
      <c r="QV531" s="11"/>
      <c r="QW531" s="11"/>
      <c r="QX531" s="11"/>
      <c r="QY531" s="11"/>
      <c r="QZ531" s="11"/>
      <c r="RA531" s="11"/>
      <c r="RB531" s="11"/>
      <c r="RC531" s="11"/>
      <c r="RD531" s="11"/>
      <c r="RE531" s="11"/>
      <c r="RF531" s="11"/>
      <c r="RG531" s="11"/>
      <c r="RH531" s="11"/>
      <c r="RI531" s="11"/>
      <c r="RJ531" s="11"/>
      <c r="RK531" s="11"/>
      <c r="RL531" s="11"/>
      <c r="RM531" s="11"/>
      <c r="RN531" s="11"/>
      <c r="RO531" s="11"/>
      <c r="RP531" s="11"/>
      <c r="RQ531" s="11"/>
      <c r="RR531" s="11"/>
      <c r="RS531" s="11"/>
      <c r="RT531" s="11"/>
      <c r="RU531" s="11"/>
      <c r="RV531" s="11"/>
      <c r="RW531" s="11"/>
      <c r="RX531" s="11"/>
      <c r="RY531" s="11"/>
      <c r="RZ531" s="11"/>
      <c r="SA531" s="11"/>
      <c r="SB531" s="11"/>
      <c r="SC531" s="11"/>
      <c r="SD531" s="11"/>
      <c r="SE531" s="11"/>
      <c r="SF531" s="11"/>
      <c r="SG531" s="11"/>
      <c r="SH531" s="11"/>
      <c r="SI531" s="11"/>
      <c r="SJ531" s="11"/>
      <c r="SK531" s="11"/>
      <c r="SL531" s="11"/>
      <c r="SM531" s="11"/>
      <c r="SN531" s="11"/>
      <c r="SO531" s="11"/>
      <c r="SP531" s="11"/>
      <c r="SQ531" s="11"/>
      <c r="SR531" s="11"/>
      <c r="SS531" s="11"/>
      <c r="ST531" s="11"/>
      <c r="SU531" s="11"/>
      <c r="SV531" s="11"/>
      <c r="SW531" s="11"/>
      <c r="SX531" s="11"/>
      <c r="SY531" s="11"/>
      <c r="SZ531" s="11"/>
      <c r="TA531" s="11"/>
      <c r="TB531" s="11"/>
      <c r="TC531" s="11"/>
      <c r="TD531" s="11"/>
      <c r="TE531" s="11"/>
      <c r="TF531" s="11"/>
      <c r="TG531" s="11"/>
      <c r="TH531" s="11"/>
      <c r="TI531" s="11"/>
      <c r="TJ531" s="11"/>
      <c r="TK531" s="11"/>
      <c r="TL531" s="11"/>
      <c r="TM531" s="11"/>
      <c r="TN531" s="11"/>
      <c r="TO531" s="11"/>
      <c r="TP531" s="11"/>
      <c r="TQ531" s="11"/>
      <c r="TR531" s="11"/>
      <c r="TS531" s="11"/>
      <c r="TT531" s="11"/>
      <c r="TU531" s="11"/>
      <c r="TV531" s="11"/>
      <c r="TW531" s="11"/>
      <c r="TX531" s="11"/>
      <c r="TY531" s="11"/>
      <c r="TZ531" s="11"/>
      <c r="UA531" s="11"/>
      <c r="UB531" s="11"/>
      <c r="UC531" s="11"/>
      <c r="UD531" s="11"/>
      <c r="UE531" s="11"/>
      <c r="UF531" s="11"/>
      <c r="UG531" s="11"/>
      <c r="UH531" s="11"/>
      <c r="UI531" s="11"/>
      <c r="UJ531" s="11"/>
      <c r="UK531" s="11"/>
      <c r="UL531" s="11"/>
      <c r="UM531" s="11"/>
      <c r="UN531" s="11"/>
      <c r="UO531" s="11"/>
      <c r="UP531" s="11"/>
      <c r="UQ531" s="11"/>
      <c r="UR531" s="11"/>
      <c r="US531" s="11"/>
      <c r="UT531" s="11"/>
      <c r="UU531" s="11"/>
      <c r="UV531" s="11"/>
      <c r="UW531" s="11"/>
      <c r="UX531" s="11"/>
      <c r="UY531" s="11"/>
      <c r="UZ531" s="11"/>
      <c r="VA531" s="11"/>
      <c r="VB531" s="11"/>
      <c r="VC531" s="11"/>
      <c r="VD531" s="11"/>
      <c r="VE531" s="11"/>
      <c r="VF531" s="11"/>
      <c r="VG531" s="11"/>
      <c r="VH531" s="11"/>
      <c r="VI531" s="11"/>
      <c r="VJ531" s="11"/>
      <c r="VK531" s="11"/>
      <c r="VL531" s="11"/>
      <c r="VM531" s="11"/>
      <c r="VN531" s="11"/>
      <c r="VO531" s="11"/>
      <c r="VP531" s="11"/>
      <c r="VQ531" s="11"/>
      <c r="VR531" s="11"/>
      <c r="VS531" s="11"/>
      <c r="VT531" s="11"/>
      <c r="VU531" s="11"/>
      <c r="VV531" s="11"/>
      <c r="VW531" s="11"/>
      <c r="VX531" s="11"/>
      <c r="VY531" s="11"/>
      <c r="VZ531" s="11"/>
      <c r="WA531" s="11"/>
      <c r="WB531" s="11"/>
      <c r="WC531" s="11"/>
      <c r="WD531" s="11"/>
      <c r="WE531" s="11"/>
      <c r="WF531" s="11"/>
      <c r="WG531" s="11"/>
      <c r="WH531" s="11"/>
      <c r="WI531" s="11"/>
      <c r="WJ531" s="11"/>
      <c r="WK531" s="11"/>
      <c r="WL531" s="11"/>
      <c r="WM531" s="11"/>
      <c r="WN531" s="11"/>
      <c r="WO531" s="11"/>
      <c r="WP531" s="11"/>
      <c r="WQ531" s="11"/>
      <c r="WR531" s="11"/>
      <c r="WS531" s="11"/>
      <c r="WT531" s="11"/>
      <c r="WU531" s="11"/>
      <c r="WV531" s="11"/>
      <c r="WW531" s="11"/>
      <c r="WX531" s="11"/>
      <c r="WY531" s="11"/>
      <c r="WZ531" s="11"/>
      <c r="XA531" s="11"/>
      <c r="XB531" s="11"/>
      <c r="XC531" s="11"/>
      <c r="XD531" s="11"/>
      <c r="XE531" s="11"/>
      <c r="XF531" s="11"/>
      <c r="XG531" s="11"/>
      <c r="XH531" s="11"/>
      <c r="XI531" s="11"/>
      <c r="XJ531" s="11"/>
      <c r="XK531" s="11"/>
      <c r="XL531" s="11"/>
      <c r="XM531" s="11"/>
      <c r="XN531" s="11"/>
      <c r="XO531" s="11"/>
      <c r="XP531" s="11"/>
      <c r="XQ531" s="11"/>
      <c r="XR531" s="11"/>
      <c r="XS531" s="11"/>
      <c r="XT531" s="11"/>
      <c r="XU531" s="11"/>
      <c r="XV531" s="11"/>
      <c r="XW531" s="11"/>
      <c r="XX531" s="11"/>
      <c r="XY531" s="11"/>
      <c r="XZ531" s="11"/>
      <c r="YA531" s="11"/>
      <c r="YB531" s="11"/>
      <c r="YC531" s="11"/>
      <c r="YD531" s="11"/>
      <c r="YE531" s="11"/>
      <c r="YF531" s="11"/>
      <c r="YG531" s="11"/>
      <c r="YH531" s="11"/>
      <c r="YI531" s="11"/>
      <c r="YJ531" s="11"/>
      <c r="YK531" s="11"/>
      <c r="YL531" s="11"/>
      <c r="YM531" s="11"/>
      <c r="YN531" s="11"/>
      <c r="YO531" s="11"/>
      <c r="YP531" s="11"/>
      <c r="YQ531" s="11"/>
      <c r="YR531" s="11"/>
      <c r="YS531" s="11"/>
      <c r="YT531" s="11"/>
      <c r="YU531" s="11"/>
      <c r="YV531" s="11"/>
      <c r="YW531" s="11"/>
      <c r="YX531" s="11"/>
      <c r="YY531" s="11"/>
      <c r="YZ531" s="11"/>
      <c r="ZA531" s="11"/>
      <c r="ZB531" s="11"/>
      <c r="ZC531" s="11"/>
      <c r="ZD531" s="11"/>
      <c r="ZE531" s="11"/>
      <c r="ZF531" s="11"/>
      <c r="ZG531" s="11"/>
      <c r="ZH531" s="11"/>
      <c r="ZI531" s="11"/>
      <c r="ZJ531" s="11"/>
      <c r="ZK531" s="11"/>
      <c r="ZL531" s="11"/>
      <c r="ZM531" s="11"/>
      <c r="ZN531" s="11"/>
      <c r="ZO531" s="11"/>
      <c r="ZP531" s="11"/>
      <c r="ZQ531" s="11"/>
      <c r="ZR531" s="11"/>
      <c r="ZS531" s="11"/>
      <c r="ZT531" s="11"/>
      <c r="ZU531" s="11"/>
      <c r="ZV531" s="11"/>
      <c r="ZW531" s="11"/>
      <c r="ZX531" s="11"/>
      <c r="ZY531" s="11"/>
      <c r="ZZ531" s="11"/>
      <c r="AAA531" s="11"/>
      <c r="AAB531" s="11"/>
      <c r="AAC531" s="11"/>
      <c r="AAD531" s="11"/>
      <c r="AAE531" s="11"/>
      <c r="AAF531" s="11"/>
      <c r="AAG531" s="11"/>
      <c r="AAH531" s="11"/>
      <c r="AAI531" s="11"/>
      <c r="AAJ531" s="11"/>
      <c r="AAK531" s="11"/>
      <c r="AAL531" s="11"/>
      <c r="AAM531" s="11"/>
      <c r="AAN531" s="11"/>
      <c r="AAO531" s="11"/>
      <c r="AAP531" s="11"/>
      <c r="AAQ531" s="11"/>
      <c r="AAR531" s="11"/>
      <c r="AAS531" s="11"/>
      <c r="AAT531" s="11"/>
      <c r="AAU531" s="11"/>
      <c r="AAV531" s="11"/>
      <c r="AAW531" s="11"/>
      <c r="AAX531" s="11"/>
      <c r="AAY531" s="11"/>
      <c r="AAZ531" s="11"/>
      <c r="ABA531" s="11"/>
      <c r="ABB531" s="11"/>
      <c r="ABC531" s="11"/>
      <c r="ABD531" s="11"/>
      <c r="ABE531" s="11"/>
      <c r="ABF531" s="11"/>
      <c r="ABG531" s="11"/>
      <c r="ABH531" s="11"/>
      <c r="ABI531" s="11"/>
      <c r="ABJ531" s="11"/>
      <c r="ABK531" s="11"/>
      <c r="ABL531" s="11"/>
      <c r="ABM531" s="11"/>
      <c r="ABN531" s="11"/>
      <c r="ABO531" s="11"/>
      <c r="ABP531" s="11"/>
      <c r="ABQ531" s="11"/>
      <c r="ABR531" s="11"/>
      <c r="ABS531" s="11"/>
      <c r="ABT531" s="11"/>
      <c r="ABU531" s="11"/>
      <c r="ABV531" s="11"/>
      <c r="ABW531" s="11"/>
      <c r="ABX531" s="11"/>
      <c r="ABY531" s="11"/>
      <c r="ABZ531" s="11"/>
      <c r="ACA531" s="11"/>
      <c r="ACB531" s="11"/>
      <c r="ACC531" s="11"/>
      <c r="ACD531" s="11"/>
      <c r="ACE531" s="11"/>
      <c r="ACF531" s="11"/>
      <c r="ACG531" s="11"/>
      <c r="ACH531" s="11"/>
      <c r="ACI531" s="11"/>
      <c r="ACJ531" s="11"/>
      <c r="ACK531" s="11"/>
      <c r="ACL531" s="11"/>
      <c r="ACM531" s="11"/>
      <c r="ACN531" s="11"/>
      <c r="ACO531" s="11"/>
      <c r="ACP531" s="11"/>
      <c r="ACQ531" s="11"/>
      <c r="ACR531" s="11"/>
      <c r="ACS531" s="11"/>
      <c r="ACT531" s="11"/>
      <c r="ACU531" s="11"/>
      <c r="ACV531" s="11"/>
      <c r="ACW531" s="11"/>
      <c r="ACX531" s="11"/>
      <c r="ACY531" s="11"/>
      <c r="ACZ531" s="11"/>
      <c r="ADA531" s="11"/>
      <c r="ADB531" s="11"/>
      <c r="ADC531" s="11"/>
      <c r="ADD531" s="11"/>
      <c r="ADE531" s="11"/>
      <c r="ADF531" s="11"/>
      <c r="ADG531" s="11"/>
      <c r="ADH531" s="11"/>
      <c r="ADI531" s="11"/>
      <c r="ADJ531" s="11"/>
      <c r="ADK531" s="11"/>
      <c r="ADL531" s="11"/>
      <c r="ADM531" s="11"/>
      <c r="ADN531" s="11"/>
      <c r="ADO531" s="11"/>
      <c r="ADP531" s="11"/>
      <c r="ADQ531" s="11"/>
      <c r="ADR531" s="11"/>
      <c r="ADS531" s="11"/>
      <c r="ADT531" s="11"/>
      <c r="ADU531" s="11"/>
      <c r="ADV531" s="11"/>
      <c r="ADW531" s="11"/>
      <c r="ADX531" s="11"/>
      <c r="ADY531" s="11"/>
      <c r="ADZ531" s="11"/>
      <c r="AEA531" s="11"/>
      <c r="AEB531" s="11"/>
      <c r="AEC531" s="11"/>
      <c r="AED531" s="11"/>
      <c r="AEE531" s="11"/>
      <c r="AEF531" s="11"/>
      <c r="AEG531" s="11"/>
      <c r="AEH531" s="11"/>
      <c r="AEI531" s="11"/>
      <c r="AEJ531" s="11"/>
      <c r="AEK531" s="11"/>
      <c r="AEL531" s="11"/>
      <c r="AEM531" s="11"/>
      <c r="AEN531" s="11"/>
      <c r="AEO531" s="11"/>
      <c r="AEP531" s="11"/>
      <c r="AEQ531" s="11"/>
      <c r="AER531" s="11"/>
      <c r="AES531" s="11"/>
      <c r="AET531" s="11"/>
      <c r="AEU531" s="11"/>
      <c r="AEV531" s="11"/>
      <c r="AEW531" s="11"/>
      <c r="AEX531" s="11"/>
      <c r="AEY531" s="11"/>
      <c r="AEZ531" s="11"/>
      <c r="AFA531" s="11"/>
      <c r="AFB531" s="11"/>
      <c r="AFC531" s="11"/>
      <c r="AFD531" s="11"/>
      <c r="AFE531" s="11"/>
      <c r="AFF531" s="11"/>
      <c r="AFG531" s="11"/>
      <c r="AFH531" s="11"/>
      <c r="AFI531" s="11"/>
      <c r="AFJ531" s="11"/>
      <c r="AFK531" s="11"/>
      <c r="AFL531" s="11"/>
      <c r="AFM531" s="11"/>
      <c r="AFN531" s="11"/>
      <c r="AFO531" s="11"/>
      <c r="AFP531" s="11"/>
      <c r="AFQ531" s="11"/>
      <c r="AFR531" s="11"/>
      <c r="AFS531" s="11"/>
      <c r="AFT531" s="11"/>
      <c r="AFU531" s="11"/>
      <c r="AFV531" s="11"/>
      <c r="AFW531" s="11"/>
      <c r="AFX531" s="11"/>
      <c r="AFY531" s="11"/>
      <c r="AFZ531" s="11"/>
      <c r="AGA531" s="11"/>
      <c r="AGB531" s="11"/>
      <c r="AGC531" s="11"/>
      <c r="AGD531" s="11"/>
      <c r="AGE531" s="11"/>
      <c r="AGF531" s="11"/>
      <c r="AGG531" s="11"/>
      <c r="AGH531" s="11"/>
      <c r="AGI531" s="11"/>
      <c r="AGJ531" s="11"/>
      <c r="AGK531" s="11"/>
      <c r="AGL531" s="11"/>
      <c r="AGM531" s="11"/>
      <c r="AGN531" s="11"/>
      <c r="AGO531" s="11"/>
      <c r="AGP531" s="11"/>
      <c r="AGQ531" s="11"/>
      <c r="AGR531" s="11"/>
      <c r="AGS531" s="11"/>
      <c r="AGT531" s="11"/>
      <c r="AGU531" s="11"/>
      <c r="AGV531" s="11"/>
      <c r="AGW531" s="11"/>
      <c r="AGX531" s="11"/>
      <c r="AGY531" s="11"/>
      <c r="AGZ531" s="11"/>
      <c r="AHA531" s="11"/>
      <c r="AHB531" s="11"/>
      <c r="AHC531" s="11"/>
      <c r="AHD531" s="11"/>
      <c r="AHE531" s="11"/>
      <c r="AHF531" s="11"/>
      <c r="AHG531" s="11"/>
      <c r="AHH531" s="11"/>
      <c r="AHI531" s="11"/>
      <c r="AHJ531" s="11"/>
      <c r="AHK531" s="11"/>
      <c r="AHL531" s="11"/>
      <c r="AHM531" s="11"/>
      <c r="AHN531" s="11"/>
      <c r="AHO531" s="11"/>
      <c r="AHP531" s="11"/>
      <c r="AHQ531" s="11"/>
      <c r="AHR531" s="11"/>
      <c r="AHS531" s="11"/>
      <c r="AHT531" s="11"/>
      <c r="AHU531" s="11"/>
      <c r="AHV531" s="11"/>
      <c r="AHW531" s="11"/>
      <c r="AHX531" s="11"/>
      <c r="AHY531" s="11"/>
      <c r="AHZ531" s="11"/>
      <c r="AIA531" s="11"/>
      <c r="AIB531" s="11"/>
      <c r="AIC531" s="11"/>
      <c r="AID531" s="11"/>
      <c r="AIE531" s="11"/>
      <c r="AIF531" s="11"/>
      <c r="AIG531" s="11"/>
      <c r="AIH531" s="11"/>
      <c r="AII531" s="11"/>
      <c r="AIJ531" s="11"/>
      <c r="AIK531" s="11"/>
      <c r="AIL531" s="11"/>
      <c r="AIM531" s="11"/>
      <c r="AIN531" s="11"/>
      <c r="AIO531" s="11"/>
      <c r="AIP531" s="11"/>
      <c r="AIQ531" s="11"/>
      <c r="AIR531" s="11"/>
      <c r="AIS531" s="11"/>
      <c r="AIT531" s="11"/>
      <c r="AIU531" s="11"/>
      <c r="AIV531" s="11"/>
      <c r="AIW531" s="11"/>
      <c r="AIX531" s="11"/>
      <c r="AIY531" s="11"/>
      <c r="AIZ531" s="11"/>
      <c r="AJA531" s="11"/>
      <c r="AJB531" s="11"/>
      <c r="AJC531" s="11"/>
      <c r="AJD531" s="11"/>
      <c r="AJE531" s="11"/>
      <c r="AJF531" s="11"/>
      <c r="AJG531" s="11"/>
      <c r="AJH531" s="11"/>
      <c r="AJI531" s="11"/>
      <c r="AJJ531" s="11"/>
      <c r="AJK531" s="11"/>
      <c r="AJL531" s="11"/>
      <c r="AJM531" s="11"/>
      <c r="AJN531" s="11"/>
      <c r="AJO531" s="11"/>
      <c r="AJP531" s="11"/>
      <c r="AJQ531" s="11"/>
      <c r="AJR531" s="11"/>
      <c r="AJS531" s="11"/>
      <c r="AJT531" s="11"/>
      <c r="AJU531" s="11"/>
      <c r="AJV531" s="11"/>
      <c r="AJW531" s="11"/>
      <c r="AJX531" s="11"/>
      <c r="AJY531" s="11"/>
      <c r="AJZ531" s="11"/>
      <c r="AKA531" s="11"/>
      <c r="AKB531" s="11"/>
      <c r="AKC531" s="11"/>
      <c r="AKD531" s="11"/>
      <c r="AKE531" s="11"/>
      <c r="AKF531" s="11"/>
      <c r="AKG531" s="11"/>
      <c r="AKH531" s="11"/>
      <c r="AKI531" s="11"/>
      <c r="AKJ531" s="11"/>
      <c r="AKK531" s="11"/>
      <c r="AKL531" s="11"/>
      <c r="AKM531" s="11"/>
      <c r="AKN531" s="11"/>
      <c r="AKO531" s="11"/>
      <c r="AKP531" s="11"/>
      <c r="AKQ531" s="11"/>
      <c r="AKR531" s="11"/>
      <c r="AKS531" s="11"/>
      <c r="AKT531" s="11"/>
      <c r="AKU531" s="11"/>
      <c r="AKV531" s="11"/>
      <c r="AKW531" s="11"/>
      <c r="AKX531" s="11"/>
      <c r="AKY531" s="11"/>
      <c r="AKZ531" s="11"/>
      <c r="ALA531" s="11"/>
      <c r="ALB531" s="11"/>
      <c r="ALC531" s="11"/>
      <c r="ALD531" s="11"/>
      <c r="ALE531" s="11"/>
      <c r="ALF531" s="11"/>
      <c r="ALG531" s="11"/>
      <c r="ALH531" s="11"/>
      <c r="ALI531" s="11"/>
      <c r="ALJ531" s="11"/>
      <c r="ALK531" s="11"/>
      <c r="ALL531" s="11"/>
      <c r="ALM531" s="11"/>
      <c r="ALN531" s="11"/>
      <c r="ALO531" s="11"/>
      <c r="ALP531" s="11"/>
      <c r="ALQ531" s="11"/>
      <c r="ALR531" s="11"/>
      <c r="ALS531" s="11"/>
      <c r="ALT531" s="11"/>
      <c r="ALU531" s="11"/>
      <c r="ALV531" s="11"/>
      <c r="ALW531" s="11"/>
      <c r="ALX531" s="11"/>
      <c r="ALY531" s="11"/>
      <c r="ALZ531" s="11"/>
      <c r="AMA531" s="11"/>
      <c r="AMB531" s="11"/>
      <c r="AMC531" s="11"/>
      <c r="AMD531" s="11"/>
      <c r="AME531" s="11"/>
      <c r="AMF531" s="11"/>
      <c r="AMG531" s="11"/>
      <c r="AMH531" s="11"/>
      <c r="AMI531" s="11"/>
      <c r="AMJ531" s="11"/>
    </row>
    <row r="532" spans="1:1024">
      <c r="A532" s="7" t="s">
        <v>536</v>
      </c>
      <c r="B532" s="7">
        <v>575012</v>
      </c>
      <c r="D532" s="1">
        <v>0</v>
      </c>
      <c r="E532" s="8">
        <f>VLOOKUP(B532,Gesamtstunden_26!B:I,8,0)</f>
        <v>0</v>
      </c>
      <c r="F532" s="2">
        <f t="shared" si="8"/>
        <v>0</v>
      </c>
    </row>
    <row r="533" spans="1:1024">
      <c r="A533" s="8" t="s">
        <v>537</v>
      </c>
      <c r="B533" s="8">
        <v>325702</v>
      </c>
      <c r="D533" s="1">
        <v>12</v>
      </c>
      <c r="E533" s="8">
        <f>VLOOKUP(B533,Gesamtstunden_26!B:I,8,0)</f>
        <v>0</v>
      </c>
      <c r="F533" s="2">
        <f t="shared" si="8"/>
        <v>12</v>
      </c>
    </row>
    <row r="534" spans="1:1024">
      <c r="A534" s="7" t="s">
        <v>538</v>
      </c>
      <c r="B534" s="7">
        <v>788129</v>
      </c>
      <c r="D534" s="1">
        <v>0</v>
      </c>
      <c r="E534" s="8">
        <f>VLOOKUP(B534,Gesamtstunden_26!B:I,8,0)</f>
        <v>0.66666666666666663</v>
      </c>
      <c r="F534" s="2">
        <f t="shared" si="8"/>
        <v>-0.66666666666666663</v>
      </c>
    </row>
    <row r="535" spans="1:1024">
      <c r="A535" s="8" t="s">
        <v>539</v>
      </c>
      <c r="B535" s="8">
        <v>140992</v>
      </c>
      <c r="D535" s="1">
        <v>11.6666666666667</v>
      </c>
      <c r="E535" s="8">
        <f>VLOOKUP(B535,Gesamtstunden_26!B:I,8,0)</f>
        <v>0</v>
      </c>
      <c r="F535" s="2">
        <f t="shared" si="8"/>
        <v>11.6666666666667</v>
      </c>
    </row>
    <row r="536" spans="1:1024">
      <c r="A536" s="8" t="s">
        <v>540</v>
      </c>
      <c r="B536" s="8">
        <v>664390</v>
      </c>
      <c r="D536" s="1">
        <v>13.3366666666667</v>
      </c>
      <c r="E536" s="8">
        <f>VLOOKUP(B536,Gesamtstunden_26!B:I,8,0)</f>
        <v>0</v>
      </c>
      <c r="F536" s="2">
        <f t="shared" si="8"/>
        <v>13.3366666666667</v>
      </c>
    </row>
    <row r="537" spans="1:1024">
      <c r="A537" s="10" t="s">
        <v>541</v>
      </c>
      <c r="B537" s="10">
        <v>801694</v>
      </c>
      <c r="D537" s="1">
        <v>0</v>
      </c>
      <c r="E537" s="8">
        <f>VLOOKUP(B537,Gesamtstunden_26!B:I,8,0)</f>
        <v>1.3333333333333333</v>
      </c>
      <c r="F537" s="2">
        <f t="shared" si="8"/>
        <v>-1.3333333333333333</v>
      </c>
    </row>
    <row r="538" spans="1:1024" ht="27.6">
      <c r="A538" s="8" t="s">
        <v>542</v>
      </c>
      <c r="B538" s="8">
        <v>665034</v>
      </c>
      <c r="D538" s="1">
        <v>5.6666666666666696</v>
      </c>
      <c r="E538" s="8">
        <f>VLOOKUP(B538,Gesamtstunden_26!B:I,8,0)</f>
        <v>0</v>
      </c>
      <c r="F538" s="2">
        <f t="shared" si="8"/>
        <v>5.6666666666666696</v>
      </c>
    </row>
    <row r="539" spans="1:1024" ht="27.6">
      <c r="A539" s="14" t="s">
        <v>543</v>
      </c>
      <c r="B539" s="14">
        <v>391348</v>
      </c>
      <c r="D539" s="1">
        <v>0</v>
      </c>
      <c r="E539" s="8">
        <f>VLOOKUP(B539,Gesamtstunden_26!B:I,8,0)</f>
        <v>1.6666666666666667</v>
      </c>
      <c r="F539" s="2">
        <f t="shared" si="8"/>
        <v>-1.6666666666666667</v>
      </c>
    </row>
    <row r="540" spans="1:1024">
      <c r="A540" s="7" t="s">
        <v>544</v>
      </c>
      <c r="B540" s="7">
        <v>420519</v>
      </c>
      <c r="D540" s="1">
        <v>0</v>
      </c>
      <c r="E540" s="8">
        <f>VLOOKUP(B540,Gesamtstunden_26!B:I,8,0)</f>
        <v>3.3333333333333335</v>
      </c>
      <c r="F540" s="2">
        <f t="shared" si="8"/>
        <v>-3.3333333333333335</v>
      </c>
    </row>
    <row r="541" spans="1:1024">
      <c r="A541" s="16" t="s">
        <v>545</v>
      </c>
      <c r="B541" s="16">
        <v>9212</v>
      </c>
      <c r="D541" s="1">
        <v>0</v>
      </c>
      <c r="E541" s="8">
        <f>VLOOKUP(B541,Gesamtstunden_26!B:I,8,0)</f>
        <v>0</v>
      </c>
      <c r="F541" s="2">
        <f t="shared" si="8"/>
        <v>0</v>
      </c>
    </row>
    <row r="542" spans="1:1024">
      <c r="A542" s="8" t="s">
        <v>546</v>
      </c>
      <c r="B542" s="8">
        <v>567515</v>
      </c>
      <c r="D542" s="1">
        <v>6.5833333333333304</v>
      </c>
      <c r="E542" s="8">
        <f>VLOOKUP(B542,Gesamtstunden_26!B:I,8,0)</f>
        <v>0</v>
      </c>
      <c r="F542" s="2">
        <f t="shared" si="8"/>
        <v>6.5833333333333304</v>
      </c>
    </row>
    <row r="543" spans="1:1024">
      <c r="A543" s="7" t="s">
        <v>547</v>
      </c>
      <c r="B543" s="7">
        <v>611676</v>
      </c>
      <c r="D543" s="1">
        <v>0</v>
      </c>
      <c r="E543" s="8">
        <f>VLOOKUP(B543,Gesamtstunden_26!B:I,8,0)</f>
        <v>0</v>
      </c>
      <c r="F543" s="2">
        <f t="shared" si="8"/>
        <v>0</v>
      </c>
    </row>
    <row r="544" spans="1:1024">
      <c r="A544" s="8" t="s">
        <v>548</v>
      </c>
      <c r="B544" s="8">
        <v>136399</v>
      </c>
      <c r="D544" s="1">
        <v>14.5</v>
      </c>
      <c r="E544" s="8">
        <f>VLOOKUP(B544,Gesamtstunden_26!B:I,8,0)</f>
        <v>0</v>
      </c>
      <c r="F544" s="2">
        <f t="shared" si="8"/>
        <v>14.5</v>
      </c>
    </row>
    <row r="545" spans="1:1024">
      <c r="A545" s="7" t="s">
        <v>549</v>
      </c>
      <c r="B545" s="7">
        <v>789862</v>
      </c>
      <c r="D545" s="1">
        <v>0</v>
      </c>
      <c r="E545" s="8">
        <f>VLOOKUP(B545,Gesamtstunden_26!B:I,8,0)</f>
        <v>0</v>
      </c>
      <c r="F545" s="2">
        <f t="shared" si="8"/>
        <v>0</v>
      </c>
    </row>
    <row r="546" spans="1:1024" s="11" customFormat="1">
      <c r="A546" s="16" t="s">
        <v>550</v>
      </c>
      <c r="B546" s="16">
        <v>230752</v>
      </c>
      <c r="C546"/>
      <c r="D546" s="1">
        <v>0</v>
      </c>
      <c r="E546" s="8">
        <f>VLOOKUP(B546,Gesamtstunden_26!B:I,8,0)</f>
        <v>0.33333333333333331</v>
      </c>
      <c r="F546" s="2">
        <f t="shared" si="8"/>
        <v>-0.33333333333333331</v>
      </c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  <c r="BR546"/>
      <c r="BS546"/>
      <c r="BT546"/>
      <c r="BU546"/>
      <c r="BV546"/>
      <c r="BW546"/>
      <c r="BX546"/>
      <c r="BY546"/>
      <c r="BZ546"/>
      <c r="CA546"/>
      <c r="CB546"/>
      <c r="CC546"/>
      <c r="CD546"/>
      <c r="CE546"/>
      <c r="CF546"/>
      <c r="CG546"/>
      <c r="CH546"/>
      <c r="CI546"/>
      <c r="CJ546"/>
      <c r="CK546"/>
      <c r="CL546"/>
      <c r="CM546"/>
      <c r="CN546"/>
      <c r="CO546"/>
      <c r="CP546"/>
      <c r="CQ546"/>
      <c r="CR546"/>
      <c r="CS546"/>
      <c r="CT546"/>
      <c r="CU546"/>
      <c r="CV546"/>
      <c r="CW546"/>
      <c r="CX546"/>
      <c r="CY546"/>
      <c r="CZ546"/>
      <c r="DA546"/>
      <c r="DB546"/>
      <c r="DC546"/>
      <c r="DD546"/>
      <c r="DE546"/>
      <c r="DF546"/>
      <c r="DG546"/>
      <c r="DH546"/>
      <c r="DI546"/>
      <c r="DJ546"/>
      <c r="DK546"/>
      <c r="DL546"/>
      <c r="DM546"/>
      <c r="DN546"/>
      <c r="DO546"/>
      <c r="DP546"/>
      <c r="DQ546"/>
      <c r="DR546"/>
      <c r="DS546"/>
      <c r="DT546"/>
      <c r="DU546"/>
      <c r="DV546"/>
      <c r="DW546"/>
      <c r="DX546"/>
      <c r="DY546"/>
      <c r="DZ546"/>
      <c r="EA546"/>
      <c r="EB546"/>
      <c r="EC546"/>
      <c r="ED546"/>
      <c r="EE546"/>
      <c r="EF546"/>
      <c r="EG546"/>
      <c r="EH546"/>
      <c r="EI546"/>
      <c r="EJ546"/>
      <c r="EK546"/>
      <c r="EL546"/>
      <c r="EM546"/>
      <c r="EN546"/>
      <c r="EO546"/>
      <c r="EP546"/>
      <c r="EQ546"/>
      <c r="ER546"/>
      <c r="ES546"/>
      <c r="ET546"/>
      <c r="EU546"/>
      <c r="EV546"/>
      <c r="EW546"/>
      <c r="EX546"/>
      <c r="EY546"/>
      <c r="EZ546"/>
      <c r="FA546"/>
      <c r="FB546"/>
      <c r="FC546"/>
      <c r="FD546"/>
      <c r="FE546"/>
      <c r="FF546"/>
      <c r="FG546"/>
      <c r="FH546"/>
      <c r="FI546"/>
      <c r="FJ546"/>
      <c r="FK546"/>
      <c r="FL546"/>
      <c r="FM546"/>
      <c r="FN546"/>
      <c r="FO546"/>
      <c r="FP546"/>
      <c r="FQ546"/>
      <c r="FR546"/>
      <c r="FS546"/>
      <c r="FT546"/>
      <c r="FU546"/>
      <c r="FV546"/>
      <c r="FW546"/>
      <c r="FX546"/>
      <c r="FY546"/>
      <c r="FZ546"/>
      <c r="GA546"/>
      <c r="GB546"/>
      <c r="GC546"/>
      <c r="GD546"/>
      <c r="GE546"/>
      <c r="GF546"/>
      <c r="GG546"/>
      <c r="GH546"/>
      <c r="GI546"/>
      <c r="GJ546"/>
      <c r="GK546"/>
      <c r="GL546"/>
      <c r="GM546"/>
      <c r="GN546"/>
      <c r="GO546"/>
      <c r="GP546"/>
      <c r="GQ546"/>
      <c r="GR546"/>
      <c r="GS546"/>
      <c r="GT546"/>
      <c r="GU546"/>
      <c r="GV546"/>
      <c r="GW546"/>
      <c r="GX546"/>
      <c r="GY546"/>
      <c r="GZ546"/>
      <c r="HA546"/>
      <c r="HB546"/>
      <c r="HC546"/>
      <c r="HD546"/>
      <c r="HE546"/>
      <c r="HF546"/>
      <c r="HG546"/>
      <c r="HH546"/>
      <c r="HI546"/>
      <c r="HJ546"/>
      <c r="HK546"/>
      <c r="HL546"/>
      <c r="HM546"/>
      <c r="HN546"/>
      <c r="HO546"/>
      <c r="HP546"/>
      <c r="HQ546"/>
      <c r="HR546"/>
      <c r="HS546"/>
      <c r="HT546"/>
      <c r="HU546"/>
      <c r="HV546"/>
      <c r="HW546"/>
      <c r="HX546"/>
      <c r="HY546"/>
      <c r="HZ546"/>
      <c r="IA546"/>
      <c r="IB546"/>
      <c r="IC546"/>
      <c r="ID546"/>
      <c r="IE546"/>
      <c r="IF546"/>
      <c r="IG546"/>
      <c r="IH546"/>
      <c r="II546"/>
      <c r="IJ546"/>
      <c r="IK546"/>
      <c r="IL546"/>
      <c r="IM546"/>
      <c r="IN546"/>
      <c r="IO546"/>
      <c r="IP546"/>
      <c r="IQ546"/>
      <c r="IR546"/>
      <c r="IS546"/>
      <c r="IT546"/>
      <c r="IU546"/>
      <c r="IV546"/>
      <c r="IW546"/>
      <c r="IX546"/>
      <c r="IY546"/>
      <c r="IZ546"/>
      <c r="JA546"/>
      <c r="JB546"/>
      <c r="JC546"/>
      <c r="JD546"/>
      <c r="JE546"/>
      <c r="JF546"/>
      <c r="JG546"/>
      <c r="JH546"/>
      <c r="JI546"/>
      <c r="JJ546"/>
      <c r="JK546"/>
      <c r="JL546"/>
      <c r="JM546"/>
      <c r="JN546"/>
      <c r="JO546"/>
      <c r="JP546"/>
      <c r="JQ546"/>
      <c r="JR546"/>
      <c r="JS546"/>
      <c r="JT546"/>
      <c r="JU546"/>
      <c r="JV546"/>
      <c r="JW546"/>
      <c r="JX546"/>
      <c r="JY546"/>
      <c r="JZ546"/>
      <c r="KA546"/>
      <c r="KB546"/>
      <c r="KC546"/>
      <c r="KD546"/>
      <c r="KE546"/>
      <c r="KF546"/>
      <c r="KG546"/>
      <c r="KH546"/>
      <c r="KI546"/>
      <c r="KJ546"/>
      <c r="KK546"/>
      <c r="KL546"/>
      <c r="KM546"/>
      <c r="KN546"/>
      <c r="KO546"/>
      <c r="KP546"/>
      <c r="KQ546"/>
      <c r="KR546"/>
      <c r="KS546"/>
      <c r="KT546"/>
      <c r="KU546"/>
      <c r="KV546"/>
      <c r="KW546"/>
      <c r="KX546"/>
      <c r="KY546"/>
      <c r="KZ546"/>
      <c r="LA546"/>
      <c r="LB546"/>
      <c r="LC546"/>
      <c r="LD546"/>
      <c r="LE546"/>
      <c r="LF546"/>
      <c r="LG546"/>
      <c r="LH546"/>
      <c r="LI546"/>
      <c r="LJ546"/>
      <c r="LK546"/>
      <c r="LL546"/>
      <c r="LM546"/>
      <c r="LN546"/>
      <c r="LO546"/>
      <c r="LP546"/>
      <c r="LQ546"/>
      <c r="LR546"/>
      <c r="LS546"/>
      <c r="LT546"/>
      <c r="LU546"/>
      <c r="LV546"/>
      <c r="LW546"/>
      <c r="LX546"/>
      <c r="LY546"/>
      <c r="LZ546"/>
      <c r="MA546"/>
      <c r="MB546"/>
      <c r="MC546"/>
      <c r="MD546"/>
      <c r="ME546"/>
      <c r="MF546"/>
      <c r="MG546"/>
      <c r="MH546"/>
      <c r="MI546"/>
      <c r="MJ546"/>
      <c r="MK546"/>
      <c r="ML546"/>
      <c r="MM546"/>
      <c r="MN546"/>
      <c r="MO546"/>
      <c r="MP546"/>
      <c r="MQ546"/>
      <c r="MR546"/>
      <c r="MS546"/>
      <c r="MT546"/>
      <c r="MU546"/>
      <c r="MV546"/>
      <c r="MW546"/>
      <c r="MX546"/>
      <c r="MY546"/>
      <c r="MZ546"/>
      <c r="NA546"/>
      <c r="NB546"/>
      <c r="NC546"/>
      <c r="ND546"/>
      <c r="NE546"/>
      <c r="NF546"/>
      <c r="NG546"/>
      <c r="NH546"/>
      <c r="NI546"/>
      <c r="NJ546"/>
      <c r="NK546"/>
      <c r="NL546"/>
      <c r="NM546"/>
      <c r="NN546"/>
      <c r="NO546"/>
      <c r="NP546"/>
      <c r="NQ546"/>
      <c r="NR546"/>
      <c r="NS546"/>
      <c r="NT546"/>
      <c r="NU546"/>
      <c r="NV546"/>
      <c r="NW546"/>
      <c r="NX546"/>
      <c r="NY546"/>
      <c r="NZ546"/>
      <c r="OA546"/>
      <c r="OB546"/>
      <c r="OC546"/>
      <c r="OD546"/>
      <c r="OE546"/>
      <c r="OF546"/>
      <c r="OG546"/>
      <c r="OH546"/>
      <c r="OI546"/>
      <c r="OJ546"/>
      <c r="OK546"/>
      <c r="OL546"/>
      <c r="OM546"/>
      <c r="ON546"/>
      <c r="OO546"/>
      <c r="OP546"/>
      <c r="OQ546"/>
      <c r="OR546"/>
      <c r="OS546"/>
      <c r="OT546"/>
      <c r="OU546"/>
      <c r="OV546"/>
      <c r="OW546"/>
      <c r="OX546"/>
      <c r="OY546"/>
      <c r="OZ546"/>
      <c r="PA546"/>
      <c r="PB546"/>
      <c r="PC546"/>
      <c r="PD546"/>
      <c r="PE546"/>
      <c r="PF546"/>
      <c r="PG546"/>
      <c r="PH546"/>
      <c r="PI546"/>
      <c r="PJ546"/>
      <c r="PK546"/>
      <c r="PL546"/>
      <c r="PM546"/>
      <c r="PN546"/>
      <c r="PO546"/>
      <c r="PP546"/>
      <c r="PQ546"/>
      <c r="PR546"/>
      <c r="PS546"/>
      <c r="PT546"/>
      <c r="PU546"/>
      <c r="PV546"/>
      <c r="PW546"/>
      <c r="PX546"/>
      <c r="PY546"/>
      <c r="PZ546"/>
      <c r="QA546"/>
      <c r="QB546"/>
      <c r="QC546"/>
      <c r="QD546"/>
      <c r="QE546"/>
      <c r="QF546"/>
      <c r="QG546"/>
      <c r="QH546"/>
      <c r="QI546"/>
      <c r="QJ546"/>
      <c r="QK546"/>
      <c r="QL546"/>
      <c r="QM546"/>
      <c r="QN546"/>
      <c r="QO546"/>
      <c r="QP546"/>
      <c r="QQ546"/>
      <c r="QR546"/>
      <c r="QS546"/>
      <c r="QT546"/>
      <c r="QU546"/>
      <c r="QV546"/>
      <c r="QW546"/>
      <c r="QX546"/>
      <c r="QY546"/>
      <c r="QZ546"/>
      <c r="RA546"/>
      <c r="RB546"/>
      <c r="RC546"/>
      <c r="RD546"/>
      <c r="RE546"/>
      <c r="RF546"/>
      <c r="RG546"/>
      <c r="RH546"/>
      <c r="RI546"/>
      <c r="RJ546"/>
      <c r="RK546"/>
      <c r="RL546"/>
      <c r="RM546"/>
      <c r="RN546"/>
      <c r="RO546"/>
      <c r="RP546"/>
      <c r="RQ546"/>
      <c r="RR546"/>
      <c r="RS546"/>
      <c r="RT546"/>
      <c r="RU546"/>
      <c r="RV546"/>
      <c r="RW546"/>
      <c r="RX546"/>
      <c r="RY546"/>
      <c r="RZ546"/>
      <c r="SA546"/>
      <c r="SB546"/>
      <c r="SC546"/>
      <c r="SD546"/>
      <c r="SE546"/>
      <c r="SF546"/>
      <c r="SG546"/>
      <c r="SH546"/>
      <c r="SI546"/>
      <c r="SJ546"/>
      <c r="SK546"/>
      <c r="SL546"/>
      <c r="SM546"/>
      <c r="SN546"/>
      <c r="SO546"/>
      <c r="SP546"/>
      <c r="SQ546"/>
      <c r="SR546"/>
      <c r="SS546"/>
      <c r="ST546"/>
      <c r="SU546"/>
      <c r="SV546"/>
      <c r="SW546"/>
      <c r="SX546"/>
      <c r="SY546"/>
      <c r="SZ546"/>
      <c r="TA546"/>
      <c r="TB546"/>
      <c r="TC546"/>
      <c r="TD546"/>
      <c r="TE546"/>
      <c r="TF546"/>
      <c r="TG546"/>
      <c r="TH546"/>
      <c r="TI546"/>
      <c r="TJ546"/>
      <c r="TK546"/>
      <c r="TL546"/>
      <c r="TM546"/>
      <c r="TN546"/>
      <c r="TO546"/>
      <c r="TP546"/>
      <c r="TQ546"/>
      <c r="TR546"/>
      <c r="TS546"/>
      <c r="TT546"/>
      <c r="TU546"/>
      <c r="TV546"/>
      <c r="TW546"/>
      <c r="TX546"/>
      <c r="TY546"/>
      <c r="TZ546"/>
      <c r="UA546"/>
      <c r="UB546"/>
      <c r="UC546"/>
      <c r="UD546"/>
      <c r="UE546"/>
      <c r="UF546"/>
      <c r="UG546"/>
      <c r="UH546"/>
      <c r="UI546"/>
      <c r="UJ546"/>
      <c r="UK546"/>
      <c r="UL546"/>
      <c r="UM546"/>
      <c r="UN546"/>
      <c r="UO546"/>
      <c r="UP546"/>
      <c r="UQ546"/>
      <c r="UR546"/>
      <c r="US546"/>
      <c r="UT546"/>
      <c r="UU546"/>
      <c r="UV546"/>
      <c r="UW546"/>
      <c r="UX546"/>
      <c r="UY546"/>
      <c r="UZ546"/>
      <c r="VA546"/>
      <c r="VB546"/>
      <c r="VC546"/>
      <c r="VD546"/>
      <c r="VE546"/>
      <c r="VF546"/>
      <c r="VG546"/>
      <c r="VH546"/>
      <c r="VI546"/>
      <c r="VJ546"/>
      <c r="VK546"/>
      <c r="VL546"/>
      <c r="VM546"/>
      <c r="VN546"/>
      <c r="VO546"/>
      <c r="VP546"/>
      <c r="VQ546"/>
      <c r="VR546"/>
      <c r="VS546"/>
      <c r="VT546"/>
      <c r="VU546"/>
      <c r="VV546"/>
      <c r="VW546"/>
      <c r="VX546"/>
      <c r="VY546"/>
      <c r="VZ546"/>
      <c r="WA546"/>
      <c r="WB546"/>
      <c r="WC546"/>
      <c r="WD546"/>
      <c r="WE546"/>
      <c r="WF546"/>
      <c r="WG546"/>
      <c r="WH546"/>
      <c r="WI546"/>
      <c r="WJ546"/>
      <c r="WK546"/>
      <c r="WL546"/>
      <c r="WM546"/>
      <c r="WN546"/>
      <c r="WO546"/>
      <c r="WP546"/>
      <c r="WQ546"/>
      <c r="WR546"/>
      <c r="WS546"/>
      <c r="WT546"/>
      <c r="WU546"/>
      <c r="WV546"/>
      <c r="WW546"/>
      <c r="WX546"/>
      <c r="WY546"/>
      <c r="WZ546"/>
      <c r="XA546"/>
      <c r="XB546"/>
      <c r="XC546"/>
      <c r="XD546"/>
      <c r="XE546"/>
      <c r="XF546"/>
      <c r="XG546"/>
      <c r="XH546"/>
      <c r="XI546"/>
      <c r="XJ546"/>
      <c r="XK546"/>
      <c r="XL546"/>
      <c r="XM546"/>
      <c r="XN546"/>
      <c r="XO546"/>
      <c r="XP546"/>
      <c r="XQ546"/>
      <c r="XR546"/>
      <c r="XS546"/>
      <c r="XT546"/>
      <c r="XU546"/>
      <c r="XV546"/>
      <c r="XW546"/>
      <c r="XX546"/>
      <c r="XY546"/>
      <c r="XZ546"/>
      <c r="YA546"/>
      <c r="YB546"/>
      <c r="YC546"/>
      <c r="YD546"/>
      <c r="YE546"/>
      <c r="YF546"/>
      <c r="YG546"/>
      <c r="YH546"/>
      <c r="YI546"/>
      <c r="YJ546"/>
      <c r="YK546"/>
      <c r="YL546"/>
      <c r="YM546"/>
      <c r="YN546"/>
      <c r="YO546"/>
      <c r="YP546"/>
      <c r="YQ546"/>
      <c r="YR546"/>
      <c r="YS546"/>
      <c r="YT546"/>
      <c r="YU546"/>
      <c r="YV546"/>
      <c r="YW546"/>
      <c r="YX546"/>
      <c r="YY546"/>
      <c r="YZ546"/>
      <c r="ZA546"/>
      <c r="ZB546"/>
      <c r="ZC546"/>
      <c r="ZD546"/>
      <c r="ZE546"/>
      <c r="ZF546"/>
      <c r="ZG546"/>
      <c r="ZH546"/>
      <c r="ZI546"/>
      <c r="ZJ546"/>
      <c r="ZK546"/>
      <c r="ZL546"/>
      <c r="ZM546"/>
      <c r="ZN546"/>
      <c r="ZO546"/>
      <c r="ZP546"/>
      <c r="ZQ546"/>
      <c r="ZR546"/>
      <c r="ZS546"/>
      <c r="ZT546"/>
      <c r="ZU546"/>
      <c r="ZV546"/>
      <c r="ZW546"/>
      <c r="ZX546"/>
      <c r="ZY546"/>
      <c r="ZZ546"/>
      <c r="AAA546"/>
      <c r="AAB546"/>
      <c r="AAC546"/>
      <c r="AAD546"/>
      <c r="AAE546"/>
      <c r="AAF546"/>
      <c r="AAG546"/>
      <c r="AAH546"/>
      <c r="AAI546"/>
      <c r="AAJ546"/>
      <c r="AAK546"/>
      <c r="AAL546"/>
      <c r="AAM546"/>
      <c r="AAN546"/>
      <c r="AAO546"/>
      <c r="AAP546"/>
      <c r="AAQ546"/>
      <c r="AAR546"/>
      <c r="AAS546"/>
      <c r="AAT546"/>
      <c r="AAU546"/>
      <c r="AAV546"/>
      <c r="AAW546"/>
      <c r="AAX546"/>
      <c r="AAY546"/>
      <c r="AAZ546"/>
      <c r="ABA546"/>
      <c r="ABB546"/>
      <c r="ABC546"/>
      <c r="ABD546"/>
      <c r="ABE546"/>
      <c r="ABF546"/>
      <c r="ABG546"/>
      <c r="ABH546"/>
      <c r="ABI546"/>
      <c r="ABJ546"/>
      <c r="ABK546"/>
      <c r="ABL546"/>
      <c r="ABM546"/>
      <c r="ABN546"/>
      <c r="ABO546"/>
      <c r="ABP546"/>
      <c r="ABQ546"/>
      <c r="ABR546"/>
      <c r="ABS546"/>
      <c r="ABT546"/>
      <c r="ABU546"/>
      <c r="ABV546"/>
      <c r="ABW546"/>
      <c r="ABX546"/>
      <c r="ABY546"/>
      <c r="ABZ546"/>
      <c r="ACA546"/>
      <c r="ACB546"/>
      <c r="ACC546"/>
      <c r="ACD546"/>
      <c r="ACE546"/>
      <c r="ACF546"/>
      <c r="ACG546"/>
      <c r="ACH546"/>
      <c r="ACI546"/>
      <c r="ACJ546"/>
      <c r="ACK546"/>
      <c r="ACL546"/>
      <c r="ACM546"/>
      <c r="ACN546"/>
      <c r="ACO546"/>
      <c r="ACP546"/>
      <c r="ACQ546"/>
      <c r="ACR546"/>
      <c r="ACS546"/>
      <c r="ACT546"/>
      <c r="ACU546"/>
      <c r="ACV546"/>
      <c r="ACW546"/>
      <c r="ACX546"/>
      <c r="ACY546"/>
      <c r="ACZ546"/>
      <c r="ADA546"/>
      <c r="ADB546"/>
      <c r="ADC546"/>
      <c r="ADD546"/>
      <c r="ADE546"/>
      <c r="ADF546"/>
      <c r="ADG546"/>
      <c r="ADH546"/>
      <c r="ADI546"/>
      <c r="ADJ546"/>
      <c r="ADK546"/>
      <c r="ADL546"/>
      <c r="ADM546"/>
      <c r="ADN546"/>
      <c r="ADO546"/>
      <c r="ADP546"/>
      <c r="ADQ546"/>
      <c r="ADR546"/>
      <c r="ADS546"/>
      <c r="ADT546"/>
      <c r="ADU546"/>
      <c r="ADV546"/>
      <c r="ADW546"/>
      <c r="ADX546"/>
      <c r="ADY546"/>
      <c r="ADZ546"/>
      <c r="AEA546"/>
      <c r="AEB546"/>
      <c r="AEC546"/>
      <c r="AED546"/>
      <c r="AEE546"/>
      <c r="AEF546"/>
      <c r="AEG546"/>
      <c r="AEH546"/>
      <c r="AEI546"/>
      <c r="AEJ546"/>
      <c r="AEK546"/>
      <c r="AEL546"/>
      <c r="AEM546"/>
      <c r="AEN546"/>
      <c r="AEO546"/>
      <c r="AEP546"/>
      <c r="AEQ546"/>
      <c r="AER546"/>
      <c r="AES546"/>
      <c r="AET546"/>
      <c r="AEU546"/>
      <c r="AEV546"/>
      <c r="AEW546"/>
      <c r="AEX546"/>
      <c r="AEY546"/>
      <c r="AEZ546"/>
      <c r="AFA546"/>
      <c r="AFB546"/>
      <c r="AFC546"/>
      <c r="AFD546"/>
      <c r="AFE546"/>
      <c r="AFF546"/>
      <c r="AFG546"/>
      <c r="AFH546"/>
      <c r="AFI546"/>
      <c r="AFJ546"/>
      <c r="AFK546"/>
      <c r="AFL546"/>
      <c r="AFM546"/>
      <c r="AFN546"/>
      <c r="AFO546"/>
      <c r="AFP546"/>
      <c r="AFQ546"/>
      <c r="AFR546"/>
      <c r="AFS546"/>
      <c r="AFT546"/>
      <c r="AFU546"/>
      <c r="AFV546"/>
      <c r="AFW546"/>
      <c r="AFX546"/>
      <c r="AFY546"/>
      <c r="AFZ546"/>
      <c r="AGA546"/>
      <c r="AGB546"/>
      <c r="AGC546"/>
      <c r="AGD546"/>
      <c r="AGE546"/>
      <c r="AGF546"/>
      <c r="AGG546"/>
      <c r="AGH546"/>
      <c r="AGI546"/>
      <c r="AGJ546"/>
      <c r="AGK546"/>
      <c r="AGL546"/>
      <c r="AGM546"/>
      <c r="AGN546"/>
      <c r="AGO546"/>
      <c r="AGP546"/>
      <c r="AGQ546"/>
      <c r="AGR546"/>
      <c r="AGS546"/>
      <c r="AGT546"/>
      <c r="AGU546"/>
      <c r="AGV546"/>
      <c r="AGW546"/>
      <c r="AGX546"/>
      <c r="AGY546"/>
      <c r="AGZ546"/>
      <c r="AHA546"/>
      <c r="AHB546"/>
      <c r="AHC546"/>
      <c r="AHD546"/>
      <c r="AHE546"/>
      <c r="AHF546"/>
      <c r="AHG546"/>
      <c r="AHH546"/>
      <c r="AHI546"/>
      <c r="AHJ546"/>
      <c r="AHK546"/>
      <c r="AHL546"/>
      <c r="AHM546"/>
      <c r="AHN546"/>
      <c r="AHO546"/>
      <c r="AHP546"/>
      <c r="AHQ546"/>
      <c r="AHR546"/>
      <c r="AHS546"/>
      <c r="AHT546"/>
      <c r="AHU546"/>
      <c r="AHV546"/>
      <c r="AHW546"/>
      <c r="AHX546"/>
      <c r="AHY546"/>
      <c r="AHZ546"/>
      <c r="AIA546"/>
      <c r="AIB546"/>
      <c r="AIC546"/>
      <c r="AID546"/>
      <c r="AIE546"/>
      <c r="AIF546"/>
      <c r="AIG546"/>
      <c r="AIH546"/>
      <c r="AII546"/>
      <c r="AIJ546"/>
      <c r="AIK546"/>
      <c r="AIL546"/>
      <c r="AIM546"/>
      <c r="AIN546"/>
      <c r="AIO546"/>
      <c r="AIP546"/>
      <c r="AIQ546"/>
      <c r="AIR546"/>
      <c r="AIS546"/>
      <c r="AIT546"/>
      <c r="AIU546"/>
      <c r="AIV546"/>
      <c r="AIW546"/>
      <c r="AIX546"/>
      <c r="AIY546"/>
      <c r="AIZ546"/>
      <c r="AJA546"/>
      <c r="AJB546"/>
      <c r="AJC546"/>
      <c r="AJD546"/>
      <c r="AJE546"/>
      <c r="AJF546"/>
      <c r="AJG546"/>
      <c r="AJH546"/>
      <c r="AJI546"/>
      <c r="AJJ546"/>
      <c r="AJK546"/>
      <c r="AJL546"/>
      <c r="AJM546"/>
      <c r="AJN546"/>
      <c r="AJO546"/>
      <c r="AJP546"/>
      <c r="AJQ546"/>
      <c r="AJR546"/>
      <c r="AJS546"/>
      <c r="AJT546"/>
      <c r="AJU546"/>
      <c r="AJV546"/>
      <c r="AJW546"/>
      <c r="AJX546"/>
      <c r="AJY546"/>
      <c r="AJZ546"/>
      <c r="AKA546"/>
      <c r="AKB546"/>
      <c r="AKC546"/>
      <c r="AKD546"/>
      <c r="AKE546"/>
      <c r="AKF546"/>
      <c r="AKG546"/>
      <c r="AKH546"/>
      <c r="AKI546"/>
      <c r="AKJ546"/>
      <c r="AKK546"/>
      <c r="AKL546"/>
      <c r="AKM546"/>
      <c r="AKN546"/>
      <c r="AKO546"/>
      <c r="AKP546"/>
      <c r="AKQ546"/>
      <c r="AKR546"/>
      <c r="AKS546"/>
      <c r="AKT546"/>
      <c r="AKU546"/>
      <c r="AKV546"/>
      <c r="AKW546"/>
      <c r="AKX546"/>
      <c r="AKY546"/>
      <c r="AKZ546"/>
      <c r="ALA546"/>
      <c r="ALB546"/>
      <c r="ALC546"/>
      <c r="ALD546"/>
      <c r="ALE546"/>
      <c r="ALF546"/>
      <c r="ALG546"/>
      <c r="ALH546"/>
      <c r="ALI546"/>
      <c r="ALJ546"/>
      <c r="ALK546"/>
      <c r="ALL546"/>
      <c r="ALM546"/>
      <c r="ALN546"/>
      <c r="ALO546"/>
      <c r="ALP546"/>
      <c r="ALQ546"/>
      <c r="ALR546"/>
      <c r="ALS546"/>
      <c r="ALT546"/>
      <c r="ALU546"/>
      <c r="ALV546"/>
      <c r="ALW546"/>
      <c r="ALX546"/>
      <c r="ALY546"/>
      <c r="ALZ546"/>
      <c r="AMA546"/>
      <c r="AMB546"/>
      <c r="AMC546"/>
      <c r="AMD546"/>
      <c r="AME546"/>
      <c r="AMF546"/>
      <c r="AMG546"/>
      <c r="AMH546"/>
      <c r="AMI546"/>
      <c r="AMJ546"/>
    </row>
    <row r="547" spans="1:1024">
      <c r="A547" s="7" t="s">
        <v>551</v>
      </c>
      <c r="B547" s="7">
        <v>716693</v>
      </c>
      <c r="C547" s="11"/>
      <c r="D547" s="12">
        <v>0.33333333333333298</v>
      </c>
      <c r="E547" s="7">
        <f>VLOOKUP(B547,Gesamtstunden_26!B:I,8,0)</f>
        <v>5</v>
      </c>
      <c r="F547" s="13">
        <f t="shared" si="8"/>
        <v>-4.666666666666667</v>
      </c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11"/>
      <c r="AV547" s="11"/>
      <c r="AW547" s="11"/>
      <c r="AX547" s="11"/>
      <c r="AY547" s="11"/>
      <c r="AZ547" s="11"/>
      <c r="BA547" s="11"/>
      <c r="BB547" s="11"/>
      <c r="BC547" s="11"/>
      <c r="BD547" s="11"/>
      <c r="BE547" s="11"/>
      <c r="BF547" s="11"/>
      <c r="BG547" s="11"/>
      <c r="BH547" s="11"/>
      <c r="BI547" s="11"/>
      <c r="BJ547" s="11"/>
      <c r="BK547" s="11"/>
      <c r="BL547" s="11"/>
      <c r="BM547" s="11"/>
      <c r="BN547" s="11"/>
      <c r="BO547" s="11"/>
      <c r="BP547" s="11"/>
      <c r="BQ547" s="11"/>
      <c r="BR547" s="11"/>
      <c r="BS547" s="11"/>
      <c r="BT547" s="11"/>
      <c r="BU547" s="11"/>
      <c r="BV547" s="11"/>
      <c r="BW547" s="11"/>
      <c r="BX547" s="11"/>
      <c r="BY547" s="11"/>
      <c r="BZ547" s="11"/>
      <c r="CA547" s="11"/>
      <c r="CB547" s="11"/>
      <c r="CC547" s="11"/>
      <c r="CD547" s="11"/>
      <c r="CE547" s="11"/>
      <c r="CF547" s="11"/>
      <c r="CG547" s="11"/>
      <c r="CH547" s="11"/>
      <c r="CI547" s="11"/>
      <c r="CJ547" s="11"/>
      <c r="CK547" s="11"/>
      <c r="CL547" s="11"/>
      <c r="CM547" s="11"/>
      <c r="CN547" s="11"/>
      <c r="CO547" s="11"/>
      <c r="CP547" s="11"/>
      <c r="CQ547" s="11"/>
      <c r="CR547" s="11"/>
      <c r="CS547" s="11"/>
      <c r="CT547" s="11"/>
      <c r="CU547" s="11"/>
      <c r="CV547" s="11"/>
      <c r="CW547" s="11"/>
      <c r="CX547" s="11"/>
      <c r="CY547" s="11"/>
      <c r="CZ547" s="11"/>
      <c r="DA547" s="11"/>
      <c r="DB547" s="11"/>
      <c r="DC547" s="11"/>
      <c r="DD547" s="11"/>
      <c r="DE547" s="11"/>
      <c r="DF547" s="11"/>
      <c r="DG547" s="11"/>
      <c r="DH547" s="11"/>
      <c r="DI547" s="11"/>
      <c r="DJ547" s="11"/>
      <c r="DK547" s="11"/>
      <c r="DL547" s="11"/>
      <c r="DM547" s="11"/>
      <c r="DN547" s="11"/>
      <c r="DO547" s="11"/>
      <c r="DP547" s="11"/>
      <c r="DQ547" s="11"/>
      <c r="DR547" s="11"/>
      <c r="DS547" s="11"/>
      <c r="DT547" s="11"/>
      <c r="DU547" s="11"/>
      <c r="DV547" s="11"/>
      <c r="DW547" s="11"/>
      <c r="DX547" s="11"/>
      <c r="DY547" s="11"/>
      <c r="DZ547" s="11"/>
      <c r="EA547" s="11"/>
      <c r="EB547" s="11"/>
      <c r="EC547" s="11"/>
      <c r="ED547" s="11"/>
      <c r="EE547" s="11"/>
      <c r="EF547" s="11"/>
      <c r="EG547" s="11"/>
      <c r="EH547" s="11"/>
      <c r="EI547" s="11"/>
      <c r="EJ547" s="11"/>
      <c r="EK547" s="11"/>
      <c r="EL547" s="11"/>
      <c r="EM547" s="11"/>
      <c r="EN547" s="11"/>
      <c r="EO547" s="11"/>
      <c r="EP547" s="11"/>
      <c r="EQ547" s="11"/>
      <c r="ER547" s="11"/>
      <c r="ES547" s="11"/>
      <c r="ET547" s="11"/>
      <c r="EU547" s="11"/>
      <c r="EV547" s="11"/>
      <c r="EW547" s="11"/>
      <c r="EX547" s="11"/>
      <c r="EY547" s="11"/>
      <c r="EZ547" s="11"/>
      <c r="FA547" s="11"/>
      <c r="FB547" s="11"/>
      <c r="FC547" s="11"/>
      <c r="FD547" s="11"/>
      <c r="FE547" s="11"/>
      <c r="FF547" s="11"/>
      <c r="FG547" s="11"/>
      <c r="FH547" s="11"/>
      <c r="FI547" s="11"/>
      <c r="FJ547" s="11"/>
      <c r="FK547" s="11"/>
      <c r="FL547" s="11"/>
      <c r="FM547" s="11"/>
      <c r="FN547" s="11"/>
      <c r="FO547" s="11"/>
      <c r="FP547" s="11"/>
      <c r="FQ547" s="11"/>
      <c r="FR547" s="11"/>
      <c r="FS547" s="11"/>
      <c r="FT547" s="11"/>
      <c r="FU547" s="11"/>
      <c r="FV547" s="11"/>
      <c r="FW547" s="11"/>
      <c r="FX547" s="11"/>
      <c r="FY547" s="11"/>
      <c r="FZ547" s="11"/>
      <c r="GA547" s="11"/>
      <c r="GB547" s="11"/>
      <c r="GC547" s="11"/>
      <c r="GD547" s="11"/>
      <c r="GE547" s="11"/>
      <c r="GF547" s="11"/>
      <c r="GG547" s="11"/>
      <c r="GH547" s="11"/>
      <c r="GI547" s="11"/>
      <c r="GJ547" s="11"/>
      <c r="GK547" s="11"/>
      <c r="GL547" s="11"/>
      <c r="GM547" s="11"/>
      <c r="GN547" s="11"/>
      <c r="GO547" s="11"/>
      <c r="GP547" s="11"/>
      <c r="GQ547" s="11"/>
      <c r="GR547" s="11"/>
      <c r="GS547" s="11"/>
      <c r="GT547" s="11"/>
      <c r="GU547" s="11"/>
      <c r="GV547" s="11"/>
      <c r="GW547" s="11"/>
      <c r="GX547" s="11"/>
      <c r="GY547" s="11"/>
      <c r="GZ547" s="11"/>
      <c r="HA547" s="11"/>
      <c r="HB547" s="11"/>
      <c r="HC547" s="11"/>
      <c r="HD547" s="11"/>
      <c r="HE547" s="11"/>
      <c r="HF547" s="11"/>
      <c r="HG547" s="11"/>
      <c r="HH547" s="11"/>
      <c r="HI547" s="11"/>
      <c r="HJ547" s="11"/>
      <c r="HK547" s="11"/>
      <c r="HL547" s="11"/>
      <c r="HM547" s="11"/>
      <c r="HN547" s="11"/>
      <c r="HO547" s="11"/>
      <c r="HP547" s="11"/>
      <c r="HQ547" s="11"/>
      <c r="HR547" s="11"/>
      <c r="HS547" s="11"/>
      <c r="HT547" s="11"/>
      <c r="HU547" s="11"/>
      <c r="HV547" s="11"/>
      <c r="HW547" s="11"/>
      <c r="HX547" s="11"/>
      <c r="HY547" s="11"/>
      <c r="HZ547" s="11"/>
      <c r="IA547" s="11"/>
      <c r="IB547" s="11"/>
      <c r="IC547" s="11"/>
      <c r="ID547" s="11"/>
      <c r="IE547" s="11"/>
      <c r="IF547" s="11"/>
      <c r="IG547" s="11"/>
      <c r="IH547" s="11"/>
      <c r="II547" s="11"/>
      <c r="IJ547" s="11"/>
      <c r="IK547" s="11"/>
      <c r="IL547" s="11"/>
      <c r="IM547" s="11"/>
      <c r="IN547" s="11"/>
      <c r="IO547" s="11"/>
      <c r="IP547" s="11"/>
      <c r="IQ547" s="11"/>
      <c r="IR547" s="11"/>
      <c r="IS547" s="11"/>
      <c r="IT547" s="11"/>
      <c r="IU547" s="11"/>
      <c r="IV547" s="11"/>
      <c r="IW547" s="11"/>
      <c r="IX547" s="11"/>
      <c r="IY547" s="11"/>
      <c r="IZ547" s="11"/>
      <c r="JA547" s="11"/>
      <c r="JB547" s="11"/>
      <c r="JC547" s="11"/>
      <c r="JD547" s="11"/>
      <c r="JE547" s="11"/>
      <c r="JF547" s="11"/>
      <c r="JG547" s="11"/>
      <c r="JH547" s="11"/>
      <c r="JI547" s="11"/>
      <c r="JJ547" s="11"/>
      <c r="JK547" s="11"/>
      <c r="JL547" s="11"/>
      <c r="JM547" s="11"/>
      <c r="JN547" s="11"/>
      <c r="JO547" s="11"/>
      <c r="JP547" s="11"/>
      <c r="JQ547" s="11"/>
      <c r="JR547" s="11"/>
      <c r="JS547" s="11"/>
      <c r="JT547" s="11"/>
      <c r="JU547" s="11"/>
      <c r="JV547" s="11"/>
      <c r="JW547" s="11"/>
      <c r="JX547" s="11"/>
      <c r="JY547" s="11"/>
      <c r="JZ547" s="11"/>
      <c r="KA547" s="11"/>
      <c r="KB547" s="11"/>
      <c r="KC547" s="11"/>
      <c r="KD547" s="11"/>
      <c r="KE547" s="11"/>
      <c r="KF547" s="11"/>
      <c r="KG547" s="11"/>
      <c r="KH547" s="11"/>
      <c r="KI547" s="11"/>
      <c r="KJ547" s="11"/>
      <c r="KK547" s="11"/>
      <c r="KL547" s="11"/>
      <c r="KM547" s="11"/>
      <c r="KN547" s="11"/>
      <c r="KO547" s="11"/>
      <c r="KP547" s="11"/>
      <c r="KQ547" s="11"/>
      <c r="KR547" s="11"/>
      <c r="KS547" s="11"/>
      <c r="KT547" s="11"/>
      <c r="KU547" s="11"/>
      <c r="KV547" s="11"/>
      <c r="KW547" s="11"/>
      <c r="KX547" s="11"/>
      <c r="KY547" s="11"/>
      <c r="KZ547" s="11"/>
      <c r="LA547" s="11"/>
      <c r="LB547" s="11"/>
      <c r="LC547" s="11"/>
      <c r="LD547" s="11"/>
      <c r="LE547" s="11"/>
      <c r="LF547" s="11"/>
      <c r="LG547" s="11"/>
      <c r="LH547" s="11"/>
      <c r="LI547" s="11"/>
      <c r="LJ547" s="11"/>
      <c r="LK547" s="11"/>
      <c r="LL547" s="11"/>
      <c r="LM547" s="11"/>
      <c r="LN547" s="11"/>
      <c r="LO547" s="11"/>
      <c r="LP547" s="11"/>
      <c r="LQ547" s="11"/>
      <c r="LR547" s="11"/>
      <c r="LS547" s="11"/>
      <c r="LT547" s="11"/>
      <c r="LU547" s="11"/>
      <c r="LV547" s="11"/>
      <c r="LW547" s="11"/>
      <c r="LX547" s="11"/>
      <c r="LY547" s="11"/>
      <c r="LZ547" s="11"/>
      <c r="MA547" s="11"/>
      <c r="MB547" s="11"/>
      <c r="MC547" s="11"/>
      <c r="MD547" s="11"/>
      <c r="ME547" s="11"/>
      <c r="MF547" s="11"/>
      <c r="MG547" s="11"/>
      <c r="MH547" s="11"/>
      <c r="MI547" s="11"/>
      <c r="MJ547" s="11"/>
      <c r="MK547" s="11"/>
      <c r="ML547" s="11"/>
      <c r="MM547" s="11"/>
      <c r="MN547" s="11"/>
      <c r="MO547" s="11"/>
      <c r="MP547" s="11"/>
      <c r="MQ547" s="11"/>
      <c r="MR547" s="11"/>
      <c r="MS547" s="11"/>
      <c r="MT547" s="11"/>
      <c r="MU547" s="11"/>
      <c r="MV547" s="11"/>
      <c r="MW547" s="11"/>
      <c r="MX547" s="11"/>
      <c r="MY547" s="11"/>
      <c r="MZ547" s="11"/>
      <c r="NA547" s="11"/>
      <c r="NB547" s="11"/>
      <c r="NC547" s="11"/>
      <c r="ND547" s="11"/>
      <c r="NE547" s="11"/>
      <c r="NF547" s="11"/>
      <c r="NG547" s="11"/>
      <c r="NH547" s="11"/>
      <c r="NI547" s="11"/>
      <c r="NJ547" s="11"/>
      <c r="NK547" s="11"/>
      <c r="NL547" s="11"/>
      <c r="NM547" s="11"/>
      <c r="NN547" s="11"/>
      <c r="NO547" s="11"/>
      <c r="NP547" s="11"/>
      <c r="NQ547" s="11"/>
      <c r="NR547" s="11"/>
      <c r="NS547" s="11"/>
      <c r="NT547" s="11"/>
      <c r="NU547" s="11"/>
      <c r="NV547" s="11"/>
      <c r="NW547" s="11"/>
      <c r="NX547" s="11"/>
      <c r="NY547" s="11"/>
      <c r="NZ547" s="11"/>
      <c r="OA547" s="11"/>
      <c r="OB547" s="11"/>
      <c r="OC547" s="11"/>
      <c r="OD547" s="11"/>
      <c r="OE547" s="11"/>
      <c r="OF547" s="11"/>
      <c r="OG547" s="11"/>
      <c r="OH547" s="11"/>
      <c r="OI547" s="11"/>
      <c r="OJ547" s="11"/>
      <c r="OK547" s="11"/>
      <c r="OL547" s="11"/>
      <c r="OM547" s="11"/>
      <c r="ON547" s="11"/>
      <c r="OO547" s="11"/>
      <c r="OP547" s="11"/>
      <c r="OQ547" s="11"/>
      <c r="OR547" s="11"/>
      <c r="OS547" s="11"/>
      <c r="OT547" s="11"/>
      <c r="OU547" s="11"/>
      <c r="OV547" s="11"/>
      <c r="OW547" s="11"/>
      <c r="OX547" s="11"/>
      <c r="OY547" s="11"/>
      <c r="OZ547" s="11"/>
      <c r="PA547" s="11"/>
      <c r="PB547" s="11"/>
      <c r="PC547" s="11"/>
      <c r="PD547" s="11"/>
      <c r="PE547" s="11"/>
      <c r="PF547" s="11"/>
      <c r="PG547" s="11"/>
      <c r="PH547" s="11"/>
      <c r="PI547" s="11"/>
      <c r="PJ547" s="11"/>
      <c r="PK547" s="11"/>
      <c r="PL547" s="11"/>
      <c r="PM547" s="11"/>
      <c r="PN547" s="11"/>
      <c r="PO547" s="11"/>
      <c r="PP547" s="11"/>
      <c r="PQ547" s="11"/>
      <c r="PR547" s="11"/>
      <c r="PS547" s="11"/>
      <c r="PT547" s="11"/>
      <c r="PU547" s="11"/>
      <c r="PV547" s="11"/>
      <c r="PW547" s="11"/>
      <c r="PX547" s="11"/>
      <c r="PY547" s="11"/>
      <c r="PZ547" s="11"/>
      <c r="QA547" s="11"/>
      <c r="QB547" s="11"/>
      <c r="QC547" s="11"/>
      <c r="QD547" s="11"/>
      <c r="QE547" s="11"/>
      <c r="QF547" s="11"/>
      <c r="QG547" s="11"/>
      <c r="QH547" s="11"/>
      <c r="QI547" s="11"/>
      <c r="QJ547" s="11"/>
      <c r="QK547" s="11"/>
      <c r="QL547" s="11"/>
      <c r="QM547" s="11"/>
      <c r="QN547" s="11"/>
      <c r="QO547" s="11"/>
      <c r="QP547" s="11"/>
      <c r="QQ547" s="11"/>
      <c r="QR547" s="11"/>
      <c r="QS547" s="11"/>
      <c r="QT547" s="11"/>
      <c r="QU547" s="11"/>
      <c r="QV547" s="11"/>
      <c r="QW547" s="11"/>
      <c r="QX547" s="11"/>
      <c r="QY547" s="11"/>
      <c r="QZ547" s="11"/>
      <c r="RA547" s="11"/>
      <c r="RB547" s="11"/>
      <c r="RC547" s="11"/>
      <c r="RD547" s="11"/>
      <c r="RE547" s="11"/>
      <c r="RF547" s="11"/>
      <c r="RG547" s="11"/>
      <c r="RH547" s="11"/>
      <c r="RI547" s="11"/>
      <c r="RJ547" s="11"/>
      <c r="RK547" s="11"/>
      <c r="RL547" s="11"/>
      <c r="RM547" s="11"/>
      <c r="RN547" s="11"/>
      <c r="RO547" s="11"/>
      <c r="RP547" s="11"/>
      <c r="RQ547" s="11"/>
      <c r="RR547" s="11"/>
      <c r="RS547" s="11"/>
      <c r="RT547" s="11"/>
      <c r="RU547" s="11"/>
      <c r="RV547" s="11"/>
      <c r="RW547" s="11"/>
      <c r="RX547" s="11"/>
      <c r="RY547" s="11"/>
      <c r="RZ547" s="11"/>
      <c r="SA547" s="11"/>
      <c r="SB547" s="11"/>
      <c r="SC547" s="11"/>
      <c r="SD547" s="11"/>
      <c r="SE547" s="11"/>
      <c r="SF547" s="11"/>
      <c r="SG547" s="11"/>
      <c r="SH547" s="11"/>
      <c r="SI547" s="11"/>
      <c r="SJ547" s="11"/>
      <c r="SK547" s="11"/>
      <c r="SL547" s="11"/>
      <c r="SM547" s="11"/>
      <c r="SN547" s="11"/>
      <c r="SO547" s="11"/>
      <c r="SP547" s="11"/>
      <c r="SQ547" s="11"/>
      <c r="SR547" s="11"/>
      <c r="SS547" s="11"/>
      <c r="ST547" s="11"/>
      <c r="SU547" s="11"/>
      <c r="SV547" s="11"/>
      <c r="SW547" s="11"/>
      <c r="SX547" s="11"/>
      <c r="SY547" s="11"/>
      <c r="SZ547" s="11"/>
      <c r="TA547" s="11"/>
      <c r="TB547" s="11"/>
      <c r="TC547" s="11"/>
      <c r="TD547" s="11"/>
      <c r="TE547" s="11"/>
      <c r="TF547" s="11"/>
      <c r="TG547" s="11"/>
      <c r="TH547" s="11"/>
      <c r="TI547" s="11"/>
      <c r="TJ547" s="11"/>
      <c r="TK547" s="11"/>
      <c r="TL547" s="11"/>
      <c r="TM547" s="11"/>
      <c r="TN547" s="11"/>
      <c r="TO547" s="11"/>
      <c r="TP547" s="11"/>
      <c r="TQ547" s="11"/>
      <c r="TR547" s="11"/>
      <c r="TS547" s="11"/>
      <c r="TT547" s="11"/>
      <c r="TU547" s="11"/>
      <c r="TV547" s="11"/>
      <c r="TW547" s="11"/>
      <c r="TX547" s="11"/>
      <c r="TY547" s="11"/>
      <c r="TZ547" s="11"/>
      <c r="UA547" s="11"/>
      <c r="UB547" s="11"/>
      <c r="UC547" s="11"/>
      <c r="UD547" s="11"/>
      <c r="UE547" s="11"/>
      <c r="UF547" s="11"/>
      <c r="UG547" s="11"/>
      <c r="UH547" s="11"/>
      <c r="UI547" s="11"/>
      <c r="UJ547" s="11"/>
      <c r="UK547" s="11"/>
      <c r="UL547" s="11"/>
      <c r="UM547" s="11"/>
      <c r="UN547" s="11"/>
      <c r="UO547" s="11"/>
      <c r="UP547" s="11"/>
      <c r="UQ547" s="11"/>
      <c r="UR547" s="11"/>
      <c r="US547" s="11"/>
      <c r="UT547" s="11"/>
      <c r="UU547" s="11"/>
      <c r="UV547" s="11"/>
      <c r="UW547" s="11"/>
      <c r="UX547" s="11"/>
      <c r="UY547" s="11"/>
      <c r="UZ547" s="11"/>
      <c r="VA547" s="11"/>
      <c r="VB547" s="11"/>
      <c r="VC547" s="11"/>
      <c r="VD547" s="11"/>
      <c r="VE547" s="11"/>
      <c r="VF547" s="11"/>
      <c r="VG547" s="11"/>
      <c r="VH547" s="11"/>
      <c r="VI547" s="11"/>
      <c r="VJ547" s="11"/>
      <c r="VK547" s="11"/>
      <c r="VL547" s="11"/>
      <c r="VM547" s="11"/>
      <c r="VN547" s="11"/>
      <c r="VO547" s="11"/>
      <c r="VP547" s="11"/>
      <c r="VQ547" s="11"/>
      <c r="VR547" s="11"/>
      <c r="VS547" s="11"/>
      <c r="VT547" s="11"/>
      <c r="VU547" s="11"/>
      <c r="VV547" s="11"/>
      <c r="VW547" s="11"/>
      <c r="VX547" s="11"/>
      <c r="VY547" s="11"/>
      <c r="VZ547" s="11"/>
      <c r="WA547" s="11"/>
      <c r="WB547" s="11"/>
      <c r="WC547" s="11"/>
      <c r="WD547" s="11"/>
      <c r="WE547" s="11"/>
      <c r="WF547" s="11"/>
      <c r="WG547" s="11"/>
      <c r="WH547" s="11"/>
      <c r="WI547" s="11"/>
      <c r="WJ547" s="11"/>
      <c r="WK547" s="11"/>
      <c r="WL547" s="11"/>
      <c r="WM547" s="11"/>
      <c r="WN547" s="11"/>
      <c r="WO547" s="11"/>
      <c r="WP547" s="11"/>
      <c r="WQ547" s="11"/>
      <c r="WR547" s="11"/>
      <c r="WS547" s="11"/>
      <c r="WT547" s="11"/>
      <c r="WU547" s="11"/>
      <c r="WV547" s="11"/>
      <c r="WW547" s="11"/>
      <c r="WX547" s="11"/>
      <c r="WY547" s="11"/>
      <c r="WZ547" s="11"/>
      <c r="XA547" s="11"/>
      <c r="XB547" s="11"/>
      <c r="XC547" s="11"/>
      <c r="XD547" s="11"/>
      <c r="XE547" s="11"/>
      <c r="XF547" s="11"/>
      <c r="XG547" s="11"/>
      <c r="XH547" s="11"/>
      <c r="XI547" s="11"/>
      <c r="XJ547" s="11"/>
      <c r="XK547" s="11"/>
      <c r="XL547" s="11"/>
      <c r="XM547" s="11"/>
      <c r="XN547" s="11"/>
      <c r="XO547" s="11"/>
      <c r="XP547" s="11"/>
      <c r="XQ547" s="11"/>
      <c r="XR547" s="11"/>
      <c r="XS547" s="11"/>
      <c r="XT547" s="11"/>
      <c r="XU547" s="11"/>
      <c r="XV547" s="11"/>
      <c r="XW547" s="11"/>
      <c r="XX547" s="11"/>
      <c r="XY547" s="11"/>
      <c r="XZ547" s="11"/>
      <c r="YA547" s="11"/>
      <c r="YB547" s="11"/>
      <c r="YC547" s="11"/>
      <c r="YD547" s="11"/>
      <c r="YE547" s="11"/>
      <c r="YF547" s="11"/>
      <c r="YG547" s="11"/>
      <c r="YH547" s="11"/>
      <c r="YI547" s="11"/>
      <c r="YJ547" s="11"/>
      <c r="YK547" s="11"/>
      <c r="YL547" s="11"/>
      <c r="YM547" s="11"/>
      <c r="YN547" s="11"/>
      <c r="YO547" s="11"/>
      <c r="YP547" s="11"/>
      <c r="YQ547" s="11"/>
      <c r="YR547" s="11"/>
      <c r="YS547" s="11"/>
      <c r="YT547" s="11"/>
      <c r="YU547" s="11"/>
      <c r="YV547" s="11"/>
      <c r="YW547" s="11"/>
      <c r="YX547" s="11"/>
      <c r="YY547" s="11"/>
      <c r="YZ547" s="11"/>
      <c r="ZA547" s="11"/>
      <c r="ZB547" s="11"/>
      <c r="ZC547" s="11"/>
      <c r="ZD547" s="11"/>
      <c r="ZE547" s="11"/>
      <c r="ZF547" s="11"/>
      <c r="ZG547" s="11"/>
      <c r="ZH547" s="11"/>
      <c r="ZI547" s="11"/>
      <c r="ZJ547" s="11"/>
      <c r="ZK547" s="11"/>
      <c r="ZL547" s="11"/>
      <c r="ZM547" s="11"/>
      <c r="ZN547" s="11"/>
      <c r="ZO547" s="11"/>
      <c r="ZP547" s="11"/>
      <c r="ZQ547" s="11"/>
      <c r="ZR547" s="11"/>
      <c r="ZS547" s="11"/>
      <c r="ZT547" s="11"/>
      <c r="ZU547" s="11"/>
      <c r="ZV547" s="11"/>
      <c r="ZW547" s="11"/>
      <c r="ZX547" s="11"/>
      <c r="ZY547" s="11"/>
      <c r="ZZ547" s="11"/>
      <c r="AAA547" s="11"/>
      <c r="AAB547" s="11"/>
      <c r="AAC547" s="11"/>
      <c r="AAD547" s="11"/>
      <c r="AAE547" s="11"/>
      <c r="AAF547" s="11"/>
      <c r="AAG547" s="11"/>
      <c r="AAH547" s="11"/>
      <c r="AAI547" s="11"/>
      <c r="AAJ547" s="11"/>
      <c r="AAK547" s="11"/>
      <c r="AAL547" s="11"/>
      <c r="AAM547" s="11"/>
      <c r="AAN547" s="11"/>
      <c r="AAO547" s="11"/>
      <c r="AAP547" s="11"/>
      <c r="AAQ547" s="11"/>
      <c r="AAR547" s="11"/>
      <c r="AAS547" s="11"/>
      <c r="AAT547" s="11"/>
      <c r="AAU547" s="11"/>
      <c r="AAV547" s="11"/>
      <c r="AAW547" s="11"/>
      <c r="AAX547" s="11"/>
      <c r="AAY547" s="11"/>
      <c r="AAZ547" s="11"/>
      <c r="ABA547" s="11"/>
      <c r="ABB547" s="11"/>
      <c r="ABC547" s="11"/>
      <c r="ABD547" s="11"/>
      <c r="ABE547" s="11"/>
      <c r="ABF547" s="11"/>
      <c r="ABG547" s="11"/>
      <c r="ABH547" s="11"/>
      <c r="ABI547" s="11"/>
      <c r="ABJ547" s="11"/>
      <c r="ABK547" s="11"/>
      <c r="ABL547" s="11"/>
      <c r="ABM547" s="11"/>
      <c r="ABN547" s="11"/>
      <c r="ABO547" s="11"/>
      <c r="ABP547" s="11"/>
      <c r="ABQ547" s="11"/>
      <c r="ABR547" s="11"/>
      <c r="ABS547" s="11"/>
      <c r="ABT547" s="11"/>
      <c r="ABU547" s="11"/>
      <c r="ABV547" s="11"/>
      <c r="ABW547" s="11"/>
      <c r="ABX547" s="11"/>
      <c r="ABY547" s="11"/>
      <c r="ABZ547" s="11"/>
      <c r="ACA547" s="11"/>
      <c r="ACB547" s="11"/>
      <c r="ACC547" s="11"/>
      <c r="ACD547" s="11"/>
      <c r="ACE547" s="11"/>
      <c r="ACF547" s="11"/>
      <c r="ACG547" s="11"/>
      <c r="ACH547" s="11"/>
      <c r="ACI547" s="11"/>
      <c r="ACJ547" s="11"/>
      <c r="ACK547" s="11"/>
      <c r="ACL547" s="11"/>
      <c r="ACM547" s="11"/>
      <c r="ACN547" s="11"/>
      <c r="ACO547" s="11"/>
      <c r="ACP547" s="11"/>
      <c r="ACQ547" s="11"/>
      <c r="ACR547" s="11"/>
      <c r="ACS547" s="11"/>
      <c r="ACT547" s="11"/>
      <c r="ACU547" s="11"/>
      <c r="ACV547" s="11"/>
      <c r="ACW547" s="11"/>
      <c r="ACX547" s="11"/>
      <c r="ACY547" s="11"/>
      <c r="ACZ547" s="11"/>
      <c r="ADA547" s="11"/>
      <c r="ADB547" s="11"/>
      <c r="ADC547" s="11"/>
      <c r="ADD547" s="11"/>
      <c r="ADE547" s="11"/>
      <c r="ADF547" s="11"/>
      <c r="ADG547" s="11"/>
      <c r="ADH547" s="11"/>
      <c r="ADI547" s="11"/>
      <c r="ADJ547" s="11"/>
      <c r="ADK547" s="11"/>
      <c r="ADL547" s="11"/>
      <c r="ADM547" s="11"/>
      <c r="ADN547" s="11"/>
      <c r="ADO547" s="11"/>
      <c r="ADP547" s="11"/>
      <c r="ADQ547" s="11"/>
      <c r="ADR547" s="11"/>
      <c r="ADS547" s="11"/>
      <c r="ADT547" s="11"/>
      <c r="ADU547" s="11"/>
      <c r="ADV547" s="11"/>
      <c r="ADW547" s="11"/>
      <c r="ADX547" s="11"/>
      <c r="ADY547" s="11"/>
      <c r="ADZ547" s="11"/>
      <c r="AEA547" s="11"/>
      <c r="AEB547" s="11"/>
      <c r="AEC547" s="11"/>
      <c r="AED547" s="11"/>
      <c r="AEE547" s="11"/>
      <c r="AEF547" s="11"/>
      <c r="AEG547" s="11"/>
      <c r="AEH547" s="11"/>
      <c r="AEI547" s="11"/>
      <c r="AEJ547" s="11"/>
      <c r="AEK547" s="11"/>
      <c r="AEL547" s="11"/>
      <c r="AEM547" s="11"/>
      <c r="AEN547" s="11"/>
      <c r="AEO547" s="11"/>
      <c r="AEP547" s="11"/>
      <c r="AEQ547" s="11"/>
      <c r="AER547" s="11"/>
      <c r="AES547" s="11"/>
      <c r="AET547" s="11"/>
      <c r="AEU547" s="11"/>
      <c r="AEV547" s="11"/>
      <c r="AEW547" s="11"/>
      <c r="AEX547" s="11"/>
      <c r="AEY547" s="11"/>
      <c r="AEZ547" s="11"/>
      <c r="AFA547" s="11"/>
      <c r="AFB547" s="11"/>
      <c r="AFC547" s="11"/>
      <c r="AFD547" s="11"/>
      <c r="AFE547" s="11"/>
      <c r="AFF547" s="11"/>
      <c r="AFG547" s="11"/>
      <c r="AFH547" s="11"/>
      <c r="AFI547" s="11"/>
      <c r="AFJ547" s="11"/>
      <c r="AFK547" s="11"/>
      <c r="AFL547" s="11"/>
      <c r="AFM547" s="11"/>
      <c r="AFN547" s="11"/>
      <c r="AFO547" s="11"/>
      <c r="AFP547" s="11"/>
      <c r="AFQ547" s="11"/>
      <c r="AFR547" s="11"/>
      <c r="AFS547" s="11"/>
      <c r="AFT547" s="11"/>
      <c r="AFU547" s="11"/>
      <c r="AFV547" s="11"/>
      <c r="AFW547" s="11"/>
      <c r="AFX547" s="11"/>
      <c r="AFY547" s="11"/>
      <c r="AFZ547" s="11"/>
      <c r="AGA547" s="11"/>
      <c r="AGB547" s="11"/>
      <c r="AGC547" s="11"/>
      <c r="AGD547" s="11"/>
      <c r="AGE547" s="11"/>
      <c r="AGF547" s="11"/>
      <c r="AGG547" s="11"/>
      <c r="AGH547" s="11"/>
      <c r="AGI547" s="11"/>
      <c r="AGJ547" s="11"/>
      <c r="AGK547" s="11"/>
      <c r="AGL547" s="11"/>
      <c r="AGM547" s="11"/>
      <c r="AGN547" s="11"/>
      <c r="AGO547" s="11"/>
      <c r="AGP547" s="11"/>
      <c r="AGQ547" s="11"/>
      <c r="AGR547" s="11"/>
      <c r="AGS547" s="11"/>
      <c r="AGT547" s="11"/>
      <c r="AGU547" s="11"/>
      <c r="AGV547" s="11"/>
      <c r="AGW547" s="11"/>
      <c r="AGX547" s="11"/>
      <c r="AGY547" s="11"/>
      <c r="AGZ547" s="11"/>
      <c r="AHA547" s="11"/>
      <c r="AHB547" s="11"/>
      <c r="AHC547" s="11"/>
      <c r="AHD547" s="11"/>
      <c r="AHE547" s="11"/>
      <c r="AHF547" s="11"/>
      <c r="AHG547" s="11"/>
      <c r="AHH547" s="11"/>
      <c r="AHI547" s="11"/>
      <c r="AHJ547" s="11"/>
      <c r="AHK547" s="11"/>
      <c r="AHL547" s="11"/>
      <c r="AHM547" s="11"/>
      <c r="AHN547" s="11"/>
      <c r="AHO547" s="11"/>
      <c r="AHP547" s="11"/>
      <c r="AHQ547" s="11"/>
      <c r="AHR547" s="11"/>
      <c r="AHS547" s="11"/>
      <c r="AHT547" s="11"/>
      <c r="AHU547" s="11"/>
      <c r="AHV547" s="11"/>
      <c r="AHW547" s="11"/>
      <c r="AHX547" s="11"/>
      <c r="AHY547" s="11"/>
      <c r="AHZ547" s="11"/>
      <c r="AIA547" s="11"/>
      <c r="AIB547" s="11"/>
      <c r="AIC547" s="11"/>
      <c r="AID547" s="11"/>
      <c r="AIE547" s="11"/>
      <c r="AIF547" s="11"/>
      <c r="AIG547" s="11"/>
      <c r="AIH547" s="11"/>
      <c r="AII547" s="11"/>
      <c r="AIJ547" s="11"/>
      <c r="AIK547" s="11"/>
      <c r="AIL547" s="11"/>
      <c r="AIM547" s="11"/>
      <c r="AIN547" s="11"/>
      <c r="AIO547" s="11"/>
      <c r="AIP547" s="11"/>
      <c r="AIQ547" s="11"/>
      <c r="AIR547" s="11"/>
      <c r="AIS547" s="11"/>
      <c r="AIT547" s="11"/>
      <c r="AIU547" s="11"/>
      <c r="AIV547" s="11"/>
      <c r="AIW547" s="11"/>
      <c r="AIX547" s="11"/>
      <c r="AIY547" s="11"/>
      <c r="AIZ547" s="11"/>
      <c r="AJA547" s="11"/>
      <c r="AJB547" s="11"/>
      <c r="AJC547" s="11"/>
      <c r="AJD547" s="11"/>
      <c r="AJE547" s="11"/>
      <c r="AJF547" s="11"/>
      <c r="AJG547" s="11"/>
      <c r="AJH547" s="11"/>
      <c r="AJI547" s="11"/>
      <c r="AJJ547" s="11"/>
      <c r="AJK547" s="11"/>
      <c r="AJL547" s="11"/>
      <c r="AJM547" s="11"/>
      <c r="AJN547" s="11"/>
      <c r="AJO547" s="11"/>
      <c r="AJP547" s="11"/>
      <c r="AJQ547" s="11"/>
      <c r="AJR547" s="11"/>
      <c r="AJS547" s="11"/>
      <c r="AJT547" s="11"/>
      <c r="AJU547" s="11"/>
      <c r="AJV547" s="11"/>
      <c r="AJW547" s="11"/>
      <c r="AJX547" s="11"/>
      <c r="AJY547" s="11"/>
      <c r="AJZ547" s="11"/>
      <c r="AKA547" s="11"/>
      <c r="AKB547" s="11"/>
      <c r="AKC547" s="11"/>
      <c r="AKD547" s="11"/>
      <c r="AKE547" s="11"/>
      <c r="AKF547" s="11"/>
      <c r="AKG547" s="11"/>
      <c r="AKH547" s="11"/>
      <c r="AKI547" s="11"/>
      <c r="AKJ547" s="11"/>
      <c r="AKK547" s="11"/>
      <c r="AKL547" s="11"/>
      <c r="AKM547" s="11"/>
      <c r="AKN547" s="11"/>
      <c r="AKO547" s="11"/>
      <c r="AKP547" s="11"/>
      <c r="AKQ547" s="11"/>
      <c r="AKR547" s="11"/>
      <c r="AKS547" s="11"/>
      <c r="AKT547" s="11"/>
      <c r="AKU547" s="11"/>
      <c r="AKV547" s="11"/>
      <c r="AKW547" s="11"/>
      <c r="AKX547" s="11"/>
      <c r="AKY547" s="11"/>
      <c r="AKZ547" s="11"/>
      <c r="ALA547" s="11"/>
      <c r="ALB547" s="11"/>
      <c r="ALC547" s="11"/>
      <c r="ALD547" s="11"/>
      <c r="ALE547" s="11"/>
      <c r="ALF547" s="11"/>
      <c r="ALG547" s="11"/>
      <c r="ALH547" s="11"/>
      <c r="ALI547" s="11"/>
      <c r="ALJ547" s="11"/>
      <c r="ALK547" s="11"/>
      <c r="ALL547" s="11"/>
      <c r="ALM547" s="11"/>
      <c r="ALN547" s="11"/>
      <c r="ALO547" s="11"/>
      <c r="ALP547" s="11"/>
      <c r="ALQ547" s="11"/>
      <c r="ALR547" s="11"/>
      <c r="ALS547" s="11"/>
      <c r="ALT547" s="11"/>
      <c r="ALU547" s="11"/>
      <c r="ALV547" s="11"/>
      <c r="ALW547" s="11"/>
      <c r="ALX547" s="11"/>
      <c r="ALY547" s="11"/>
      <c r="ALZ547" s="11"/>
      <c r="AMA547" s="11"/>
      <c r="AMB547" s="11"/>
      <c r="AMC547" s="11"/>
      <c r="AMD547" s="11"/>
      <c r="AME547" s="11"/>
      <c r="AMF547" s="11"/>
      <c r="AMG547" s="11"/>
      <c r="AMH547" s="11"/>
      <c r="AMI547" s="11"/>
      <c r="AMJ547" s="11"/>
    </row>
    <row r="548" spans="1:1024">
      <c r="A548" s="7" t="s">
        <v>552</v>
      </c>
      <c r="B548" s="7">
        <v>949052</v>
      </c>
      <c r="D548" s="1">
        <v>0</v>
      </c>
      <c r="E548" s="8">
        <f>VLOOKUP(B548,Gesamtstunden_26!B:I,8,0)</f>
        <v>1</v>
      </c>
      <c r="F548" s="2">
        <f t="shared" si="8"/>
        <v>-1</v>
      </c>
    </row>
    <row r="549" spans="1:1024">
      <c r="A549" s="10" t="s">
        <v>553</v>
      </c>
      <c r="B549" s="10">
        <v>120046</v>
      </c>
      <c r="D549" s="1">
        <v>0</v>
      </c>
      <c r="E549" s="8">
        <f>VLOOKUP(B549,Gesamtstunden_26!B:I,8,0)</f>
        <v>1.3333333333333333</v>
      </c>
      <c r="F549" s="2">
        <f t="shared" si="8"/>
        <v>-1.3333333333333333</v>
      </c>
    </row>
    <row r="550" spans="1:1024">
      <c r="A550" s="10" t="s">
        <v>554</v>
      </c>
      <c r="B550" s="10">
        <v>452434</v>
      </c>
      <c r="D550" s="1">
        <v>0</v>
      </c>
      <c r="E550" s="8">
        <f>VLOOKUP(B550,Gesamtstunden_26!B:I,8,0)</f>
        <v>3</v>
      </c>
      <c r="F550" s="2">
        <f t="shared" si="8"/>
        <v>-3</v>
      </c>
    </row>
    <row r="551" spans="1:1024">
      <c r="A551" s="16" t="s">
        <v>555</v>
      </c>
      <c r="B551" s="16">
        <v>499114</v>
      </c>
      <c r="D551" s="1">
        <v>0</v>
      </c>
      <c r="E551" s="8">
        <f>VLOOKUP(B551,Gesamtstunden_26!B:I,8,0)</f>
        <v>1</v>
      </c>
      <c r="F551" s="2">
        <f t="shared" si="8"/>
        <v>-1</v>
      </c>
    </row>
    <row r="552" spans="1:1024">
      <c r="A552" s="15" t="s">
        <v>556</v>
      </c>
      <c r="B552" s="15">
        <v>626800</v>
      </c>
      <c r="D552" s="1">
        <v>0</v>
      </c>
      <c r="E552" s="8">
        <f>VLOOKUP(B552,Gesamtstunden_26!B:I,8,0)</f>
        <v>0</v>
      </c>
      <c r="F552" s="2">
        <f t="shared" si="8"/>
        <v>0</v>
      </c>
    </row>
    <row r="553" spans="1:1024" s="11" customFormat="1" ht="27.6">
      <c r="A553" s="7" t="s">
        <v>557</v>
      </c>
      <c r="B553" s="7">
        <v>224398</v>
      </c>
      <c r="C553"/>
      <c r="D553" s="1">
        <v>0</v>
      </c>
      <c r="E553" s="8">
        <f>VLOOKUP(B553,Gesamtstunden_26!B:I,8,0)</f>
        <v>6</v>
      </c>
      <c r="F553" s="2">
        <f t="shared" si="8"/>
        <v>-6</v>
      </c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  <c r="BR553"/>
      <c r="BS553"/>
      <c r="BT553"/>
      <c r="BU553"/>
      <c r="BV553"/>
      <c r="BW553"/>
      <c r="BX553"/>
      <c r="BY553"/>
      <c r="BZ553"/>
      <c r="CA553"/>
      <c r="CB553"/>
      <c r="CC553"/>
      <c r="CD553"/>
      <c r="CE553"/>
      <c r="CF553"/>
      <c r="CG553"/>
      <c r="CH553"/>
      <c r="CI553"/>
      <c r="CJ553"/>
      <c r="CK553"/>
      <c r="CL553"/>
      <c r="CM553"/>
      <c r="CN553"/>
      <c r="CO553"/>
      <c r="CP553"/>
      <c r="CQ553"/>
      <c r="CR553"/>
      <c r="CS553"/>
      <c r="CT553"/>
      <c r="CU553"/>
      <c r="CV553"/>
      <c r="CW553"/>
      <c r="CX553"/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/>
      <c r="DM553"/>
      <c r="DN553"/>
      <c r="DO553"/>
      <c r="DP553"/>
      <c r="DQ553"/>
      <c r="DR553"/>
      <c r="DS553"/>
      <c r="DT553"/>
      <c r="DU553"/>
      <c r="DV553"/>
      <c r="DW553"/>
      <c r="DX553"/>
      <c r="DY553"/>
      <c r="DZ553"/>
      <c r="EA553"/>
      <c r="EB553"/>
      <c r="EC553"/>
      <c r="ED553"/>
      <c r="EE553"/>
      <c r="EF553"/>
      <c r="EG553"/>
      <c r="EH553"/>
      <c r="EI553"/>
      <c r="EJ553"/>
      <c r="EK553"/>
      <c r="EL553"/>
      <c r="EM553"/>
      <c r="EN553"/>
      <c r="EO553"/>
      <c r="EP553"/>
      <c r="EQ553"/>
      <c r="ER553"/>
      <c r="ES553"/>
      <c r="ET553"/>
      <c r="EU553"/>
      <c r="EV553"/>
      <c r="EW553"/>
      <c r="EX553"/>
      <c r="EY553"/>
      <c r="EZ553"/>
      <c r="FA553"/>
      <c r="FB553"/>
      <c r="FC553"/>
      <c r="FD553"/>
      <c r="FE553"/>
      <c r="FF553"/>
      <c r="FG553"/>
      <c r="FH553"/>
      <c r="FI553"/>
      <c r="FJ553"/>
      <c r="FK553"/>
      <c r="FL553"/>
      <c r="FM553"/>
      <c r="FN553"/>
      <c r="FO553"/>
      <c r="FP553"/>
      <c r="FQ553"/>
      <c r="FR553"/>
      <c r="FS553"/>
      <c r="FT553"/>
      <c r="FU553"/>
      <c r="FV553"/>
      <c r="FW553"/>
      <c r="FX553"/>
      <c r="FY553"/>
      <c r="FZ553"/>
      <c r="GA553"/>
      <c r="GB553"/>
      <c r="GC553"/>
      <c r="GD553"/>
      <c r="GE553"/>
      <c r="GF553"/>
      <c r="GG553"/>
      <c r="GH553"/>
      <c r="GI553"/>
      <c r="GJ553"/>
      <c r="GK553"/>
      <c r="GL553"/>
      <c r="GM553"/>
      <c r="GN553"/>
      <c r="GO553"/>
      <c r="GP553"/>
      <c r="GQ553"/>
      <c r="GR553"/>
      <c r="GS553"/>
      <c r="GT553"/>
      <c r="GU553"/>
      <c r="GV553"/>
      <c r="GW553"/>
      <c r="GX553"/>
      <c r="GY553"/>
      <c r="GZ553"/>
      <c r="HA553"/>
      <c r="HB553"/>
      <c r="HC553"/>
      <c r="HD553"/>
      <c r="HE553"/>
      <c r="HF553"/>
      <c r="HG553"/>
      <c r="HH553"/>
      <c r="HI553"/>
      <c r="HJ553"/>
      <c r="HK553"/>
      <c r="HL553"/>
      <c r="HM553"/>
      <c r="HN553"/>
      <c r="HO553"/>
      <c r="HP553"/>
      <c r="HQ553"/>
      <c r="HR553"/>
      <c r="HS553"/>
      <c r="HT553"/>
      <c r="HU553"/>
      <c r="HV553"/>
      <c r="HW553"/>
      <c r="HX553"/>
      <c r="HY553"/>
      <c r="HZ553"/>
      <c r="IA553"/>
      <c r="IB553"/>
      <c r="IC553"/>
      <c r="ID553"/>
      <c r="IE553"/>
      <c r="IF553"/>
      <c r="IG553"/>
      <c r="IH553"/>
      <c r="II553"/>
      <c r="IJ553"/>
      <c r="IK553"/>
      <c r="IL553"/>
      <c r="IM553"/>
      <c r="IN553"/>
      <c r="IO553"/>
      <c r="IP553"/>
      <c r="IQ553"/>
      <c r="IR553"/>
      <c r="IS553"/>
      <c r="IT553"/>
      <c r="IU553"/>
      <c r="IV553"/>
      <c r="IW553"/>
      <c r="IX553"/>
      <c r="IY553"/>
      <c r="IZ553"/>
      <c r="JA553"/>
      <c r="JB553"/>
      <c r="JC553"/>
      <c r="JD553"/>
      <c r="JE553"/>
      <c r="JF553"/>
      <c r="JG553"/>
      <c r="JH553"/>
      <c r="JI553"/>
      <c r="JJ553"/>
      <c r="JK553"/>
      <c r="JL553"/>
      <c r="JM553"/>
      <c r="JN553"/>
      <c r="JO553"/>
      <c r="JP553"/>
      <c r="JQ553"/>
      <c r="JR553"/>
      <c r="JS553"/>
      <c r="JT553"/>
      <c r="JU553"/>
      <c r="JV553"/>
      <c r="JW553"/>
      <c r="JX553"/>
      <c r="JY553"/>
      <c r="JZ553"/>
      <c r="KA553"/>
      <c r="KB553"/>
      <c r="KC553"/>
      <c r="KD553"/>
      <c r="KE553"/>
      <c r="KF553"/>
      <c r="KG553"/>
      <c r="KH553"/>
      <c r="KI553"/>
      <c r="KJ553"/>
      <c r="KK553"/>
      <c r="KL553"/>
      <c r="KM553"/>
      <c r="KN553"/>
      <c r="KO553"/>
      <c r="KP553"/>
      <c r="KQ553"/>
      <c r="KR553"/>
      <c r="KS553"/>
      <c r="KT553"/>
      <c r="KU553"/>
      <c r="KV553"/>
      <c r="KW553"/>
      <c r="KX553"/>
      <c r="KY553"/>
      <c r="KZ553"/>
      <c r="LA553"/>
      <c r="LB553"/>
      <c r="LC553"/>
      <c r="LD553"/>
      <c r="LE553"/>
      <c r="LF553"/>
      <c r="LG553"/>
      <c r="LH553"/>
      <c r="LI553"/>
      <c r="LJ553"/>
      <c r="LK553"/>
      <c r="LL553"/>
      <c r="LM553"/>
      <c r="LN553"/>
      <c r="LO553"/>
      <c r="LP553"/>
      <c r="LQ553"/>
      <c r="LR553"/>
      <c r="LS553"/>
      <c r="LT553"/>
      <c r="LU553"/>
      <c r="LV553"/>
      <c r="LW553"/>
      <c r="LX553"/>
      <c r="LY553"/>
      <c r="LZ553"/>
      <c r="MA553"/>
      <c r="MB553"/>
      <c r="MC553"/>
      <c r="MD553"/>
      <c r="ME553"/>
      <c r="MF553"/>
      <c r="MG553"/>
      <c r="MH553"/>
      <c r="MI553"/>
      <c r="MJ553"/>
      <c r="MK553"/>
      <c r="ML553"/>
      <c r="MM553"/>
      <c r="MN553"/>
      <c r="MO553"/>
      <c r="MP553"/>
      <c r="MQ553"/>
      <c r="MR553"/>
      <c r="MS553"/>
      <c r="MT553"/>
      <c r="MU553"/>
      <c r="MV553"/>
      <c r="MW553"/>
      <c r="MX553"/>
      <c r="MY553"/>
      <c r="MZ553"/>
      <c r="NA553"/>
      <c r="NB553"/>
      <c r="NC553"/>
      <c r="ND553"/>
      <c r="NE553"/>
      <c r="NF553"/>
      <c r="NG553"/>
      <c r="NH553"/>
      <c r="NI553"/>
      <c r="NJ553"/>
      <c r="NK553"/>
      <c r="NL553"/>
      <c r="NM553"/>
      <c r="NN553"/>
      <c r="NO553"/>
      <c r="NP553"/>
      <c r="NQ553"/>
      <c r="NR553"/>
      <c r="NS553"/>
      <c r="NT553"/>
      <c r="NU553"/>
      <c r="NV553"/>
      <c r="NW553"/>
      <c r="NX553"/>
      <c r="NY553"/>
      <c r="NZ553"/>
      <c r="OA553"/>
      <c r="OB553"/>
      <c r="OC553"/>
      <c r="OD553"/>
      <c r="OE553"/>
      <c r="OF553"/>
      <c r="OG553"/>
      <c r="OH553"/>
      <c r="OI553"/>
      <c r="OJ553"/>
      <c r="OK553"/>
      <c r="OL553"/>
      <c r="OM553"/>
      <c r="ON553"/>
      <c r="OO553"/>
      <c r="OP553"/>
      <c r="OQ553"/>
      <c r="OR553"/>
      <c r="OS553"/>
      <c r="OT553"/>
      <c r="OU553"/>
      <c r="OV553"/>
      <c r="OW553"/>
      <c r="OX553"/>
      <c r="OY553"/>
      <c r="OZ553"/>
      <c r="PA553"/>
      <c r="PB553"/>
      <c r="PC553"/>
      <c r="PD553"/>
      <c r="PE553"/>
      <c r="PF553"/>
      <c r="PG553"/>
      <c r="PH553"/>
      <c r="PI553"/>
      <c r="PJ553"/>
      <c r="PK553"/>
      <c r="PL553"/>
      <c r="PM553"/>
      <c r="PN553"/>
      <c r="PO553"/>
      <c r="PP553"/>
      <c r="PQ553"/>
      <c r="PR553"/>
      <c r="PS553"/>
      <c r="PT553"/>
      <c r="PU553"/>
      <c r="PV553"/>
      <c r="PW553"/>
      <c r="PX553"/>
      <c r="PY553"/>
      <c r="PZ553"/>
      <c r="QA553"/>
      <c r="QB553"/>
      <c r="QC553"/>
      <c r="QD553"/>
      <c r="QE553"/>
      <c r="QF553"/>
      <c r="QG553"/>
      <c r="QH553"/>
      <c r="QI553"/>
      <c r="QJ553"/>
      <c r="QK553"/>
      <c r="QL553"/>
      <c r="QM553"/>
      <c r="QN553"/>
      <c r="QO553"/>
      <c r="QP553"/>
      <c r="QQ553"/>
      <c r="QR553"/>
      <c r="QS553"/>
      <c r="QT553"/>
      <c r="QU553"/>
      <c r="QV553"/>
      <c r="QW553"/>
      <c r="QX553"/>
      <c r="QY553"/>
      <c r="QZ553"/>
      <c r="RA553"/>
      <c r="RB553"/>
      <c r="RC553"/>
      <c r="RD553"/>
      <c r="RE553"/>
      <c r="RF553"/>
      <c r="RG553"/>
      <c r="RH553"/>
      <c r="RI553"/>
      <c r="RJ553"/>
      <c r="RK553"/>
      <c r="RL553"/>
      <c r="RM553"/>
      <c r="RN553"/>
      <c r="RO553"/>
      <c r="RP553"/>
      <c r="RQ553"/>
      <c r="RR553"/>
      <c r="RS553"/>
      <c r="RT553"/>
      <c r="RU553"/>
      <c r="RV553"/>
      <c r="RW553"/>
      <c r="RX553"/>
      <c r="RY553"/>
      <c r="RZ553"/>
      <c r="SA553"/>
      <c r="SB553"/>
      <c r="SC553"/>
      <c r="SD553"/>
      <c r="SE553"/>
      <c r="SF553"/>
      <c r="SG553"/>
      <c r="SH553"/>
      <c r="SI553"/>
      <c r="SJ553"/>
      <c r="SK553"/>
      <c r="SL553"/>
      <c r="SM553"/>
      <c r="SN553"/>
      <c r="SO553"/>
      <c r="SP553"/>
      <c r="SQ553"/>
      <c r="SR553"/>
      <c r="SS553"/>
      <c r="ST553"/>
      <c r="SU553"/>
      <c r="SV553"/>
      <c r="SW553"/>
      <c r="SX553"/>
      <c r="SY553"/>
      <c r="SZ553"/>
      <c r="TA553"/>
      <c r="TB553"/>
      <c r="TC553"/>
      <c r="TD553"/>
      <c r="TE553"/>
      <c r="TF553"/>
      <c r="TG553"/>
      <c r="TH553"/>
      <c r="TI553"/>
      <c r="TJ553"/>
      <c r="TK553"/>
      <c r="TL553"/>
      <c r="TM553"/>
      <c r="TN553"/>
      <c r="TO553"/>
      <c r="TP553"/>
      <c r="TQ553"/>
      <c r="TR553"/>
      <c r="TS553"/>
      <c r="TT553"/>
      <c r="TU553"/>
      <c r="TV553"/>
      <c r="TW553"/>
      <c r="TX553"/>
      <c r="TY553"/>
      <c r="TZ553"/>
      <c r="UA553"/>
      <c r="UB553"/>
      <c r="UC553"/>
      <c r="UD553"/>
      <c r="UE553"/>
      <c r="UF553"/>
      <c r="UG553"/>
      <c r="UH553"/>
      <c r="UI553"/>
      <c r="UJ553"/>
      <c r="UK553"/>
      <c r="UL553"/>
      <c r="UM553"/>
      <c r="UN553"/>
      <c r="UO553"/>
      <c r="UP553"/>
      <c r="UQ553"/>
      <c r="UR553"/>
      <c r="US553"/>
      <c r="UT553"/>
      <c r="UU553"/>
      <c r="UV553"/>
      <c r="UW553"/>
      <c r="UX553"/>
      <c r="UY553"/>
      <c r="UZ553"/>
      <c r="VA553"/>
      <c r="VB553"/>
      <c r="VC553"/>
      <c r="VD553"/>
      <c r="VE553"/>
      <c r="VF553"/>
      <c r="VG553"/>
      <c r="VH553"/>
      <c r="VI553"/>
      <c r="VJ553"/>
      <c r="VK553"/>
      <c r="VL553"/>
      <c r="VM553"/>
      <c r="VN553"/>
      <c r="VO553"/>
      <c r="VP553"/>
      <c r="VQ553"/>
      <c r="VR553"/>
      <c r="VS553"/>
      <c r="VT553"/>
      <c r="VU553"/>
      <c r="VV553"/>
      <c r="VW553"/>
      <c r="VX553"/>
      <c r="VY553"/>
      <c r="VZ553"/>
      <c r="WA553"/>
      <c r="WB553"/>
      <c r="WC553"/>
      <c r="WD553"/>
      <c r="WE553"/>
      <c r="WF553"/>
      <c r="WG553"/>
      <c r="WH553"/>
      <c r="WI553"/>
      <c r="WJ553"/>
      <c r="WK553"/>
      <c r="WL553"/>
      <c r="WM553"/>
      <c r="WN553"/>
      <c r="WO553"/>
      <c r="WP553"/>
      <c r="WQ553"/>
      <c r="WR553"/>
      <c r="WS553"/>
      <c r="WT553"/>
      <c r="WU553"/>
      <c r="WV553"/>
      <c r="WW553"/>
      <c r="WX553"/>
      <c r="WY553"/>
      <c r="WZ553"/>
      <c r="XA553"/>
      <c r="XB553"/>
      <c r="XC553"/>
      <c r="XD553"/>
      <c r="XE553"/>
      <c r="XF553"/>
      <c r="XG553"/>
      <c r="XH553"/>
      <c r="XI553"/>
      <c r="XJ553"/>
      <c r="XK553"/>
      <c r="XL553"/>
      <c r="XM553"/>
      <c r="XN553"/>
      <c r="XO553"/>
      <c r="XP553"/>
      <c r="XQ553"/>
      <c r="XR553"/>
      <c r="XS553"/>
      <c r="XT553"/>
      <c r="XU553"/>
      <c r="XV553"/>
      <c r="XW553"/>
      <c r="XX553"/>
      <c r="XY553"/>
      <c r="XZ553"/>
      <c r="YA553"/>
      <c r="YB553"/>
      <c r="YC553"/>
      <c r="YD553"/>
      <c r="YE553"/>
      <c r="YF553"/>
      <c r="YG553"/>
      <c r="YH553"/>
      <c r="YI553"/>
      <c r="YJ553"/>
      <c r="YK553"/>
      <c r="YL553"/>
      <c r="YM553"/>
      <c r="YN553"/>
      <c r="YO553"/>
      <c r="YP553"/>
      <c r="YQ553"/>
      <c r="YR553"/>
      <c r="YS553"/>
      <c r="YT553"/>
      <c r="YU553"/>
      <c r="YV553"/>
      <c r="YW553"/>
      <c r="YX553"/>
      <c r="YY553"/>
      <c r="YZ553"/>
      <c r="ZA553"/>
      <c r="ZB553"/>
      <c r="ZC553"/>
      <c r="ZD553"/>
      <c r="ZE553"/>
      <c r="ZF553"/>
      <c r="ZG553"/>
      <c r="ZH553"/>
      <c r="ZI553"/>
      <c r="ZJ553"/>
      <c r="ZK553"/>
      <c r="ZL553"/>
      <c r="ZM553"/>
      <c r="ZN553"/>
      <c r="ZO553"/>
      <c r="ZP553"/>
      <c r="ZQ553"/>
      <c r="ZR553"/>
      <c r="ZS553"/>
      <c r="ZT553"/>
      <c r="ZU553"/>
      <c r="ZV553"/>
      <c r="ZW553"/>
      <c r="ZX553"/>
      <c r="ZY553"/>
      <c r="ZZ553"/>
      <c r="AAA553"/>
      <c r="AAB553"/>
      <c r="AAC553"/>
      <c r="AAD553"/>
      <c r="AAE553"/>
      <c r="AAF553"/>
      <c r="AAG553"/>
      <c r="AAH553"/>
      <c r="AAI553"/>
      <c r="AAJ553"/>
      <c r="AAK553"/>
      <c r="AAL553"/>
      <c r="AAM553"/>
      <c r="AAN553"/>
      <c r="AAO553"/>
      <c r="AAP553"/>
      <c r="AAQ553"/>
      <c r="AAR553"/>
      <c r="AAS553"/>
      <c r="AAT553"/>
      <c r="AAU553"/>
      <c r="AAV553"/>
      <c r="AAW553"/>
      <c r="AAX553"/>
      <c r="AAY553"/>
      <c r="AAZ553"/>
      <c r="ABA553"/>
      <c r="ABB553"/>
      <c r="ABC553"/>
      <c r="ABD553"/>
      <c r="ABE553"/>
      <c r="ABF553"/>
      <c r="ABG553"/>
      <c r="ABH553"/>
      <c r="ABI553"/>
      <c r="ABJ553"/>
      <c r="ABK553"/>
      <c r="ABL553"/>
      <c r="ABM553"/>
      <c r="ABN553"/>
      <c r="ABO553"/>
      <c r="ABP553"/>
      <c r="ABQ553"/>
      <c r="ABR553"/>
      <c r="ABS553"/>
      <c r="ABT553"/>
      <c r="ABU553"/>
      <c r="ABV553"/>
      <c r="ABW553"/>
      <c r="ABX553"/>
      <c r="ABY553"/>
      <c r="ABZ553"/>
      <c r="ACA553"/>
      <c r="ACB553"/>
      <c r="ACC553"/>
      <c r="ACD553"/>
      <c r="ACE553"/>
      <c r="ACF553"/>
      <c r="ACG553"/>
      <c r="ACH553"/>
      <c r="ACI553"/>
      <c r="ACJ553"/>
      <c r="ACK553"/>
      <c r="ACL553"/>
      <c r="ACM553"/>
      <c r="ACN553"/>
      <c r="ACO553"/>
      <c r="ACP553"/>
      <c r="ACQ553"/>
      <c r="ACR553"/>
      <c r="ACS553"/>
      <c r="ACT553"/>
      <c r="ACU553"/>
      <c r="ACV553"/>
      <c r="ACW553"/>
      <c r="ACX553"/>
      <c r="ACY553"/>
      <c r="ACZ553"/>
      <c r="ADA553"/>
      <c r="ADB553"/>
      <c r="ADC553"/>
      <c r="ADD553"/>
      <c r="ADE553"/>
      <c r="ADF553"/>
      <c r="ADG553"/>
      <c r="ADH553"/>
      <c r="ADI553"/>
      <c r="ADJ553"/>
      <c r="ADK553"/>
      <c r="ADL553"/>
      <c r="ADM553"/>
      <c r="ADN553"/>
      <c r="ADO553"/>
      <c r="ADP553"/>
      <c r="ADQ553"/>
      <c r="ADR553"/>
      <c r="ADS553"/>
      <c r="ADT553"/>
      <c r="ADU553"/>
      <c r="ADV553"/>
      <c r="ADW553"/>
      <c r="ADX553"/>
      <c r="ADY553"/>
      <c r="ADZ553"/>
      <c r="AEA553"/>
      <c r="AEB553"/>
      <c r="AEC553"/>
      <c r="AED553"/>
      <c r="AEE553"/>
      <c r="AEF553"/>
      <c r="AEG553"/>
      <c r="AEH553"/>
      <c r="AEI553"/>
      <c r="AEJ553"/>
      <c r="AEK553"/>
      <c r="AEL553"/>
      <c r="AEM553"/>
      <c r="AEN553"/>
      <c r="AEO553"/>
      <c r="AEP553"/>
      <c r="AEQ553"/>
      <c r="AER553"/>
      <c r="AES553"/>
      <c r="AET553"/>
      <c r="AEU553"/>
      <c r="AEV553"/>
      <c r="AEW553"/>
      <c r="AEX553"/>
      <c r="AEY553"/>
      <c r="AEZ553"/>
      <c r="AFA553"/>
      <c r="AFB553"/>
      <c r="AFC553"/>
      <c r="AFD553"/>
      <c r="AFE553"/>
      <c r="AFF553"/>
      <c r="AFG553"/>
      <c r="AFH553"/>
      <c r="AFI553"/>
      <c r="AFJ553"/>
      <c r="AFK553"/>
      <c r="AFL553"/>
      <c r="AFM553"/>
      <c r="AFN553"/>
      <c r="AFO553"/>
      <c r="AFP553"/>
      <c r="AFQ553"/>
      <c r="AFR553"/>
      <c r="AFS553"/>
      <c r="AFT553"/>
      <c r="AFU553"/>
      <c r="AFV553"/>
      <c r="AFW553"/>
      <c r="AFX553"/>
      <c r="AFY553"/>
      <c r="AFZ553"/>
      <c r="AGA553"/>
      <c r="AGB553"/>
      <c r="AGC553"/>
      <c r="AGD553"/>
      <c r="AGE553"/>
      <c r="AGF553"/>
      <c r="AGG553"/>
      <c r="AGH553"/>
      <c r="AGI553"/>
      <c r="AGJ553"/>
      <c r="AGK553"/>
      <c r="AGL553"/>
      <c r="AGM553"/>
      <c r="AGN553"/>
      <c r="AGO553"/>
      <c r="AGP553"/>
      <c r="AGQ553"/>
      <c r="AGR553"/>
      <c r="AGS553"/>
      <c r="AGT553"/>
      <c r="AGU553"/>
      <c r="AGV553"/>
      <c r="AGW553"/>
      <c r="AGX553"/>
      <c r="AGY553"/>
      <c r="AGZ553"/>
      <c r="AHA553"/>
      <c r="AHB553"/>
      <c r="AHC553"/>
      <c r="AHD553"/>
      <c r="AHE553"/>
      <c r="AHF553"/>
      <c r="AHG553"/>
      <c r="AHH553"/>
      <c r="AHI553"/>
      <c r="AHJ553"/>
      <c r="AHK553"/>
      <c r="AHL553"/>
      <c r="AHM553"/>
      <c r="AHN553"/>
      <c r="AHO553"/>
      <c r="AHP553"/>
      <c r="AHQ553"/>
      <c r="AHR553"/>
      <c r="AHS553"/>
      <c r="AHT553"/>
      <c r="AHU553"/>
      <c r="AHV553"/>
      <c r="AHW553"/>
      <c r="AHX553"/>
      <c r="AHY553"/>
      <c r="AHZ553"/>
      <c r="AIA553"/>
      <c r="AIB553"/>
      <c r="AIC553"/>
      <c r="AID553"/>
      <c r="AIE553"/>
      <c r="AIF553"/>
      <c r="AIG553"/>
      <c r="AIH553"/>
      <c r="AII553"/>
      <c r="AIJ553"/>
      <c r="AIK553"/>
      <c r="AIL553"/>
      <c r="AIM553"/>
      <c r="AIN553"/>
      <c r="AIO553"/>
      <c r="AIP553"/>
      <c r="AIQ553"/>
      <c r="AIR553"/>
      <c r="AIS553"/>
      <c r="AIT553"/>
      <c r="AIU553"/>
      <c r="AIV553"/>
      <c r="AIW553"/>
      <c r="AIX553"/>
      <c r="AIY553"/>
      <c r="AIZ553"/>
      <c r="AJA553"/>
      <c r="AJB553"/>
      <c r="AJC553"/>
      <c r="AJD553"/>
      <c r="AJE553"/>
      <c r="AJF553"/>
      <c r="AJG553"/>
      <c r="AJH553"/>
      <c r="AJI553"/>
      <c r="AJJ553"/>
      <c r="AJK553"/>
      <c r="AJL553"/>
      <c r="AJM553"/>
      <c r="AJN553"/>
      <c r="AJO553"/>
      <c r="AJP553"/>
      <c r="AJQ553"/>
      <c r="AJR553"/>
      <c r="AJS553"/>
      <c r="AJT553"/>
      <c r="AJU553"/>
      <c r="AJV553"/>
      <c r="AJW553"/>
      <c r="AJX553"/>
      <c r="AJY553"/>
      <c r="AJZ553"/>
      <c r="AKA553"/>
      <c r="AKB553"/>
      <c r="AKC553"/>
      <c r="AKD553"/>
      <c r="AKE553"/>
      <c r="AKF553"/>
      <c r="AKG553"/>
      <c r="AKH553"/>
      <c r="AKI553"/>
      <c r="AKJ553"/>
      <c r="AKK553"/>
      <c r="AKL553"/>
      <c r="AKM553"/>
      <c r="AKN553"/>
      <c r="AKO553"/>
      <c r="AKP553"/>
      <c r="AKQ553"/>
      <c r="AKR553"/>
      <c r="AKS553"/>
      <c r="AKT553"/>
      <c r="AKU553"/>
      <c r="AKV553"/>
      <c r="AKW553"/>
      <c r="AKX553"/>
      <c r="AKY553"/>
      <c r="AKZ553"/>
      <c r="ALA553"/>
      <c r="ALB553"/>
      <c r="ALC553"/>
      <c r="ALD553"/>
      <c r="ALE553"/>
      <c r="ALF553"/>
      <c r="ALG553"/>
      <c r="ALH553"/>
      <c r="ALI553"/>
      <c r="ALJ553"/>
      <c r="ALK553"/>
      <c r="ALL553"/>
      <c r="ALM553"/>
      <c r="ALN553"/>
      <c r="ALO553"/>
      <c r="ALP553"/>
      <c r="ALQ553"/>
      <c r="ALR553"/>
      <c r="ALS553"/>
      <c r="ALT553"/>
      <c r="ALU553"/>
      <c r="ALV553"/>
      <c r="ALW553"/>
      <c r="ALX553"/>
      <c r="ALY553"/>
      <c r="ALZ553"/>
      <c r="AMA553"/>
      <c r="AMB553"/>
      <c r="AMC553"/>
      <c r="AMD553"/>
      <c r="AME553"/>
      <c r="AMF553"/>
      <c r="AMG553"/>
      <c r="AMH553"/>
      <c r="AMI553"/>
      <c r="AMJ553"/>
    </row>
    <row r="554" spans="1:1024">
      <c r="A554" s="7" t="s">
        <v>558</v>
      </c>
      <c r="B554" s="7">
        <v>456761</v>
      </c>
      <c r="C554" s="11"/>
      <c r="D554" s="12">
        <v>0</v>
      </c>
      <c r="E554" s="7">
        <f>VLOOKUP(B554,Gesamtstunden_26!B:I,8,0)</f>
        <v>1.1666666666666665</v>
      </c>
      <c r="F554" s="13">
        <f t="shared" si="8"/>
        <v>-1.1666666666666665</v>
      </c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  <c r="AV554" s="11"/>
      <c r="AW554" s="11"/>
      <c r="AX554" s="11"/>
      <c r="AY554" s="11"/>
      <c r="AZ554" s="11"/>
      <c r="BA554" s="11"/>
      <c r="BB554" s="11"/>
      <c r="BC554" s="11"/>
      <c r="BD554" s="11"/>
      <c r="BE554" s="11"/>
      <c r="BF554" s="11"/>
      <c r="BG554" s="11"/>
      <c r="BH554" s="11"/>
      <c r="BI554" s="11"/>
      <c r="BJ554" s="11"/>
      <c r="BK554" s="11"/>
      <c r="BL554" s="11"/>
      <c r="BM554" s="11"/>
      <c r="BN554" s="11"/>
      <c r="BO554" s="11"/>
      <c r="BP554" s="11"/>
      <c r="BQ554" s="11"/>
      <c r="BR554" s="11"/>
      <c r="BS554" s="11"/>
      <c r="BT554" s="11"/>
      <c r="BU554" s="11"/>
      <c r="BV554" s="11"/>
      <c r="BW554" s="11"/>
      <c r="BX554" s="11"/>
      <c r="BY554" s="11"/>
      <c r="BZ554" s="11"/>
      <c r="CA554" s="11"/>
      <c r="CB554" s="11"/>
      <c r="CC554" s="11"/>
      <c r="CD554" s="11"/>
      <c r="CE554" s="11"/>
      <c r="CF554" s="11"/>
      <c r="CG554" s="11"/>
      <c r="CH554" s="11"/>
      <c r="CI554" s="11"/>
      <c r="CJ554" s="11"/>
      <c r="CK554" s="11"/>
      <c r="CL554" s="11"/>
      <c r="CM554" s="11"/>
      <c r="CN554" s="11"/>
      <c r="CO554" s="11"/>
      <c r="CP554" s="11"/>
      <c r="CQ554" s="11"/>
      <c r="CR554" s="11"/>
      <c r="CS554" s="11"/>
      <c r="CT554" s="11"/>
      <c r="CU554" s="11"/>
      <c r="CV554" s="11"/>
      <c r="CW554" s="11"/>
      <c r="CX554" s="11"/>
      <c r="CY554" s="11"/>
      <c r="CZ554" s="11"/>
      <c r="DA554" s="11"/>
      <c r="DB554" s="11"/>
      <c r="DC554" s="11"/>
      <c r="DD554" s="11"/>
      <c r="DE554" s="11"/>
      <c r="DF554" s="11"/>
      <c r="DG554" s="11"/>
      <c r="DH554" s="11"/>
      <c r="DI554" s="11"/>
      <c r="DJ554" s="11"/>
      <c r="DK554" s="11"/>
      <c r="DL554" s="11"/>
      <c r="DM554" s="11"/>
      <c r="DN554" s="11"/>
      <c r="DO554" s="11"/>
      <c r="DP554" s="11"/>
      <c r="DQ554" s="11"/>
      <c r="DR554" s="11"/>
      <c r="DS554" s="11"/>
      <c r="DT554" s="11"/>
      <c r="DU554" s="11"/>
      <c r="DV554" s="11"/>
      <c r="DW554" s="11"/>
      <c r="DX554" s="11"/>
      <c r="DY554" s="11"/>
      <c r="DZ554" s="11"/>
      <c r="EA554" s="11"/>
      <c r="EB554" s="11"/>
      <c r="EC554" s="11"/>
      <c r="ED554" s="11"/>
      <c r="EE554" s="11"/>
      <c r="EF554" s="11"/>
      <c r="EG554" s="11"/>
      <c r="EH554" s="11"/>
      <c r="EI554" s="11"/>
      <c r="EJ554" s="11"/>
      <c r="EK554" s="11"/>
      <c r="EL554" s="11"/>
      <c r="EM554" s="11"/>
      <c r="EN554" s="11"/>
      <c r="EO554" s="11"/>
      <c r="EP554" s="11"/>
      <c r="EQ554" s="11"/>
      <c r="ER554" s="11"/>
      <c r="ES554" s="11"/>
      <c r="ET554" s="11"/>
      <c r="EU554" s="11"/>
      <c r="EV554" s="11"/>
      <c r="EW554" s="11"/>
      <c r="EX554" s="11"/>
      <c r="EY554" s="11"/>
      <c r="EZ554" s="11"/>
      <c r="FA554" s="11"/>
      <c r="FB554" s="11"/>
      <c r="FC554" s="11"/>
      <c r="FD554" s="11"/>
      <c r="FE554" s="11"/>
      <c r="FF554" s="11"/>
      <c r="FG554" s="11"/>
      <c r="FH554" s="11"/>
      <c r="FI554" s="11"/>
      <c r="FJ554" s="11"/>
      <c r="FK554" s="11"/>
      <c r="FL554" s="11"/>
      <c r="FM554" s="11"/>
      <c r="FN554" s="11"/>
      <c r="FO554" s="11"/>
      <c r="FP554" s="11"/>
      <c r="FQ554" s="11"/>
      <c r="FR554" s="11"/>
      <c r="FS554" s="11"/>
      <c r="FT554" s="11"/>
      <c r="FU554" s="11"/>
      <c r="FV554" s="11"/>
      <c r="FW554" s="11"/>
      <c r="FX554" s="11"/>
      <c r="FY554" s="11"/>
      <c r="FZ554" s="11"/>
      <c r="GA554" s="11"/>
      <c r="GB554" s="11"/>
      <c r="GC554" s="11"/>
      <c r="GD554" s="11"/>
      <c r="GE554" s="11"/>
      <c r="GF554" s="11"/>
      <c r="GG554" s="11"/>
      <c r="GH554" s="11"/>
      <c r="GI554" s="11"/>
      <c r="GJ554" s="11"/>
      <c r="GK554" s="11"/>
      <c r="GL554" s="11"/>
      <c r="GM554" s="11"/>
      <c r="GN554" s="11"/>
      <c r="GO554" s="11"/>
      <c r="GP554" s="11"/>
      <c r="GQ554" s="11"/>
      <c r="GR554" s="11"/>
      <c r="GS554" s="11"/>
      <c r="GT554" s="11"/>
      <c r="GU554" s="11"/>
      <c r="GV554" s="11"/>
      <c r="GW554" s="11"/>
      <c r="GX554" s="11"/>
      <c r="GY554" s="11"/>
      <c r="GZ554" s="11"/>
      <c r="HA554" s="11"/>
      <c r="HB554" s="11"/>
      <c r="HC554" s="11"/>
      <c r="HD554" s="11"/>
      <c r="HE554" s="11"/>
      <c r="HF554" s="11"/>
      <c r="HG554" s="11"/>
      <c r="HH554" s="11"/>
      <c r="HI554" s="11"/>
      <c r="HJ554" s="11"/>
      <c r="HK554" s="11"/>
      <c r="HL554" s="11"/>
      <c r="HM554" s="11"/>
      <c r="HN554" s="11"/>
      <c r="HO554" s="11"/>
      <c r="HP554" s="11"/>
      <c r="HQ554" s="11"/>
      <c r="HR554" s="11"/>
      <c r="HS554" s="11"/>
      <c r="HT554" s="11"/>
      <c r="HU554" s="11"/>
      <c r="HV554" s="11"/>
      <c r="HW554" s="11"/>
      <c r="HX554" s="11"/>
      <c r="HY554" s="11"/>
      <c r="HZ554" s="11"/>
      <c r="IA554" s="11"/>
      <c r="IB554" s="11"/>
      <c r="IC554" s="11"/>
      <c r="ID554" s="11"/>
      <c r="IE554" s="11"/>
      <c r="IF554" s="11"/>
      <c r="IG554" s="11"/>
      <c r="IH554" s="11"/>
      <c r="II554" s="11"/>
      <c r="IJ554" s="11"/>
      <c r="IK554" s="11"/>
      <c r="IL554" s="11"/>
      <c r="IM554" s="11"/>
      <c r="IN554" s="11"/>
      <c r="IO554" s="11"/>
      <c r="IP554" s="11"/>
      <c r="IQ554" s="11"/>
      <c r="IR554" s="11"/>
      <c r="IS554" s="11"/>
      <c r="IT554" s="11"/>
      <c r="IU554" s="11"/>
      <c r="IV554" s="11"/>
      <c r="IW554" s="11"/>
      <c r="IX554" s="11"/>
      <c r="IY554" s="11"/>
      <c r="IZ554" s="11"/>
      <c r="JA554" s="11"/>
      <c r="JB554" s="11"/>
      <c r="JC554" s="11"/>
      <c r="JD554" s="11"/>
      <c r="JE554" s="11"/>
      <c r="JF554" s="11"/>
      <c r="JG554" s="11"/>
      <c r="JH554" s="11"/>
      <c r="JI554" s="11"/>
      <c r="JJ554" s="11"/>
      <c r="JK554" s="11"/>
      <c r="JL554" s="11"/>
      <c r="JM554" s="11"/>
      <c r="JN554" s="11"/>
      <c r="JO554" s="11"/>
      <c r="JP554" s="11"/>
      <c r="JQ554" s="11"/>
      <c r="JR554" s="11"/>
      <c r="JS554" s="11"/>
      <c r="JT554" s="11"/>
      <c r="JU554" s="11"/>
      <c r="JV554" s="11"/>
      <c r="JW554" s="11"/>
      <c r="JX554" s="11"/>
      <c r="JY554" s="11"/>
      <c r="JZ554" s="11"/>
      <c r="KA554" s="11"/>
      <c r="KB554" s="11"/>
      <c r="KC554" s="11"/>
      <c r="KD554" s="11"/>
      <c r="KE554" s="11"/>
      <c r="KF554" s="11"/>
      <c r="KG554" s="11"/>
      <c r="KH554" s="11"/>
      <c r="KI554" s="11"/>
      <c r="KJ554" s="11"/>
      <c r="KK554" s="11"/>
      <c r="KL554" s="11"/>
      <c r="KM554" s="11"/>
      <c r="KN554" s="11"/>
      <c r="KO554" s="11"/>
      <c r="KP554" s="11"/>
      <c r="KQ554" s="11"/>
      <c r="KR554" s="11"/>
      <c r="KS554" s="11"/>
      <c r="KT554" s="11"/>
      <c r="KU554" s="11"/>
      <c r="KV554" s="11"/>
      <c r="KW554" s="11"/>
      <c r="KX554" s="11"/>
      <c r="KY554" s="11"/>
      <c r="KZ554" s="11"/>
      <c r="LA554" s="11"/>
      <c r="LB554" s="11"/>
      <c r="LC554" s="11"/>
      <c r="LD554" s="11"/>
      <c r="LE554" s="11"/>
      <c r="LF554" s="11"/>
      <c r="LG554" s="11"/>
      <c r="LH554" s="11"/>
      <c r="LI554" s="11"/>
      <c r="LJ554" s="11"/>
      <c r="LK554" s="11"/>
      <c r="LL554" s="11"/>
      <c r="LM554" s="11"/>
      <c r="LN554" s="11"/>
      <c r="LO554" s="11"/>
      <c r="LP554" s="11"/>
      <c r="LQ554" s="11"/>
      <c r="LR554" s="11"/>
      <c r="LS554" s="11"/>
      <c r="LT554" s="11"/>
      <c r="LU554" s="11"/>
      <c r="LV554" s="11"/>
      <c r="LW554" s="11"/>
      <c r="LX554" s="11"/>
      <c r="LY554" s="11"/>
      <c r="LZ554" s="11"/>
      <c r="MA554" s="11"/>
      <c r="MB554" s="11"/>
      <c r="MC554" s="11"/>
      <c r="MD554" s="11"/>
      <c r="ME554" s="11"/>
      <c r="MF554" s="11"/>
      <c r="MG554" s="11"/>
      <c r="MH554" s="11"/>
      <c r="MI554" s="11"/>
      <c r="MJ554" s="11"/>
      <c r="MK554" s="11"/>
      <c r="ML554" s="11"/>
      <c r="MM554" s="11"/>
      <c r="MN554" s="11"/>
      <c r="MO554" s="11"/>
      <c r="MP554" s="11"/>
      <c r="MQ554" s="11"/>
      <c r="MR554" s="11"/>
      <c r="MS554" s="11"/>
      <c r="MT554" s="11"/>
      <c r="MU554" s="11"/>
      <c r="MV554" s="11"/>
      <c r="MW554" s="11"/>
      <c r="MX554" s="11"/>
      <c r="MY554" s="11"/>
      <c r="MZ554" s="11"/>
      <c r="NA554" s="11"/>
      <c r="NB554" s="11"/>
      <c r="NC554" s="11"/>
      <c r="ND554" s="11"/>
      <c r="NE554" s="11"/>
      <c r="NF554" s="11"/>
      <c r="NG554" s="11"/>
      <c r="NH554" s="11"/>
      <c r="NI554" s="11"/>
      <c r="NJ554" s="11"/>
      <c r="NK554" s="11"/>
      <c r="NL554" s="11"/>
      <c r="NM554" s="11"/>
      <c r="NN554" s="11"/>
      <c r="NO554" s="11"/>
      <c r="NP554" s="11"/>
      <c r="NQ554" s="11"/>
      <c r="NR554" s="11"/>
      <c r="NS554" s="11"/>
      <c r="NT554" s="11"/>
      <c r="NU554" s="11"/>
      <c r="NV554" s="11"/>
      <c r="NW554" s="11"/>
      <c r="NX554" s="11"/>
      <c r="NY554" s="11"/>
      <c r="NZ554" s="11"/>
      <c r="OA554" s="11"/>
      <c r="OB554" s="11"/>
      <c r="OC554" s="11"/>
      <c r="OD554" s="11"/>
      <c r="OE554" s="11"/>
      <c r="OF554" s="11"/>
      <c r="OG554" s="11"/>
      <c r="OH554" s="11"/>
      <c r="OI554" s="11"/>
      <c r="OJ554" s="11"/>
      <c r="OK554" s="11"/>
      <c r="OL554" s="11"/>
      <c r="OM554" s="11"/>
      <c r="ON554" s="11"/>
      <c r="OO554" s="11"/>
      <c r="OP554" s="11"/>
      <c r="OQ554" s="11"/>
      <c r="OR554" s="11"/>
      <c r="OS554" s="11"/>
      <c r="OT554" s="11"/>
      <c r="OU554" s="11"/>
      <c r="OV554" s="11"/>
      <c r="OW554" s="11"/>
      <c r="OX554" s="11"/>
      <c r="OY554" s="11"/>
      <c r="OZ554" s="11"/>
      <c r="PA554" s="11"/>
      <c r="PB554" s="11"/>
      <c r="PC554" s="11"/>
      <c r="PD554" s="11"/>
      <c r="PE554" s="11"/>
      <c r="PF554" s="11"/>
      <c r="PG554" s="11"/>
      <c r="PH554" s="11"/>
      <c r="PI554" s="11"/>
      <c r="PJ554" s="11"/>
      <c r="PK554" s="11"/>
      <c r="PL554" s="11"/>
      <c r="PM554" s="11"/>
      <c r="PN554" s="11"/>
      <c r="PO554" s="11"/>
      <c r="PP554" s="11"/>
      <c r="PQ554" s="11"/>
      <c r="PR554" s="11"/>
      <c r="PS554" s="11"/>
      <c r="PT554" s="11"/>
      <c r="PU554" s="11"/>
      <c r="PV554" s="11"/>
      <c r="PW554" s="11"/>
      <c r="PX554" s="11"/>
      <c r="PY554" s="11"/>
      <c r="PZ554" s="11"/>
      <c r="QA554" s="11"/>
      <c r="QB554" s="11"/>
      <c r="QC554" s="11"/>
      <c r="QD554" s="11"/>
      <c r="QE554" s="11"/>
      <c r="QF554" s="11"/>
      <c r="QG554" s="11"/>
      <c r="QH554" s="11"/>
      <c r="QI554" s="11"/>
      <c r="QJ554" s="11"/>
      <c r="QK554" s="11"/>
      <c r="QL554" s="11"/>
      <c r="QM554" s="11"/>
      <c r="QN554" s="11"/>
      <c r="QO554" s="11"/>
      <c r="QP554" s="11"/>
      <c r="QQ554" s="11"/>
      <c r="QR554" s="11"/>
      <c r="QS554" s="11"/>
      <c r="QT554" s="11"/>
      <c r="QU554" s="11"/>
      <c r="QV554" s="11"/>
      <c r="QW554" s="11"/>
      <c r="QX554" s="11"/>
      <c r="QY554" s="11"/>
      <c r="QZ554" s="11"/>
      <c r="RA554" s="11"/>
      <c r="RB554" s="11"/>
      <c r="RC554" s="11"/>
      <c r="RD554" s="11"/>
      <c r="RE554" s="11"/>
      <c r="RF554" s="11"/>
      <c r="RG554" s="11"/>
      <c r="RH554" s="11"/>
      <c r="RI554" s="11"/>
      <c r="RJ554" s="11"/>
      <c r="RK554" s="11"/>
      <c r="RL554" s="11"/>
      <c r="RM554" s="11"/>
      <c r="RN554" s="11"/>
      <c r="RO554" s="11"/>
      <c r="RP554" s="11"/>
      <c r="RQ554" s="11"/>
      <c r="RR554" s="11"/>
      <c r="RS554" s="11"/>
      <c r="RT554" s="11"/>
      <c r="RU554" s="11"/>
      <c r="RV554" s="11"/>
      <c r="RW554" s="11"/>
      <c r="RX554" s="11"/>
      <c r="RY554" s="11"/>
      <c r="RZ554" s="11"/>
      <c r="SA554" s="11"/>
      <c r="SB554" s="11"/>
      <c r="SC554" s="11"/>
      <c r="SD554" s="11"/>
      <c r="SE554" s="11"/>
      <c r="SF554" s="11"/>
      <c r="SG554" s="11"/>
      <c r="SH554" s="11"/>
      <c r="SI554" s="11"/>
      <c r="SJ554" s="11"/>
      <c r="SK554" s="11"/>
      <c r="SL554" s="11"/>
      <c r="SM554" s="11"/>
      <c r="SN554" s="11"/>
      <c r="SO554" s="11"/>
      <c r="SP554" s="11"/>
      <c r="SQ554" s="11"/>
      <c r="SR554" s="11"/>
      <c r="SS554" s="11"/>
      <c r="ST554" s="11"/>
      <c r="SU554" s="11"/>
      <c r="SV554" s="11"/>
      <c r="SW554" s="11"/>
      <c r="SX554" s="11"/>
      <c r="SY554" s="11"/>
      <c r="SZ554" s="11"/>
      <c r="TA554" s="11"/>
      <c r="TB554" s="11"/>
      <c r="TC554" s="11"/>
      <c r="TD554" s="11"/>
      <c r="TE554" s="11"/>
      <c r="TF554" s="11"/>
      <c r="TG554" s="11"/>
      <c r="TH554" s="11"/>
      <c r="TI554" s="11"/>
      <c r="TJ554" s="11"/>
      <c r="TK554" s="11"/>
      <c r="TL554" s="11"/>
      <c r="TM554" s="11"/>
      <c r="TN554" s="11"/>
      <c r="TO554" s="11"/>
      <c r="TP554" s="11"/>
      <c r="TQ554" s="11"/>
      <c r="TR554" s="11"/>
      <c r="TS554" s="11"/>
      <c r="TT554" s="11"/>
      <c r="TU554" s="11"/>
      <c r="TV554" s="11"/>
      <c r="TW554" s="11"/>
      <c r="TX554" s="11"/>
      <c r="TY554" s="11"/>
      <c r="TZ554" s="11"/>
      <c r="UA554" s="11"/>
      <c r="UB554" s="11"/>
      <c r="UC554" s="11"/>
      <c r="UD554" s="11"/>
      <c r="UE554" s="11"/>
      <c r="UF554" s="11"/>
      <c r="UG554" s="11"/>
      <c r="UH554" s="11"/>
      <c r="UI554" s="11"/>
      <c r="UJ554" s="11"/>
      <c r="UK554" s="11"/>
      <c r="UL554" s="11"/>
      <c r="UM554" s="11"/>
      <c r="UN554" s="11"/>
      <c r="UO554" s="11"/>
      <c r="UP554" s="11"/>
      <c r="UQ554" s="11"/>
      <c r="UR554" s="11"/>
      <c r="US554" s="11"/>
      <c r="UT554" s="11"/>
      <c r="UU554" s="11"/>
      <c r="UV554" s="11"/>
      <c r="UW554" s="11"/>
      <c r="UX554" s="11"/>
      <c r="UY554" s="11"/>
      <c r="UZ554" s="11"/>
      <c r="VA554" s="11"/>
      <c r="VB554" s="11"/>
      <c r="VC554" s="11"/>
      <c r="VD554" s="11"/>
      <c r="VE554" s="11"/>
      <c r="VF554" s="11"/>
      <c r="VG554" s="11"/>
      <c r="VH554" s="11"/>
      <c r="VI554" s="11"/>
      <c r="VJ554" s="11"/>
      <c r="VK554" s="11"/>
      <c r="VL554" s="11"/>
      <c r="VM554" s="11"/>
      <c r="VN554" s="11"/>
      <c r="VO554" s="11"/>
      <c r="VP554" s="11"/>
      <c r="VQ554" s="11"/>
      <c r="VR554" s="11"/>
      <c r="VS554" s="11"/>
      <c r="VT554" s="11"/>
      <c r="VU554" s="11"/>
      <c r="VV554" s="11"/>
      <c r="VW554" s="11"/>
      <c r="VX554" s="11"/>
      <c r="VY554" s="11"/>
      <c r="VZ554" s="11"/>
      <c r="WA554" s="11"/>
      <c r="WB554" s="11"/>
      <c r="WC554" s="11"/>
      <c r="WD554" s="11"/>
      <c r="WE554" s="11"/>
      <c r="WF554" s="11"/>
      <c r="WG554" s="11"/>
      <c r="WH554" s="11"/>
      <c r="WI554" s="11"/>
      <c r="WJ554" s="11"/>
      <c r="WK554" s="11"/>
      <c r="WL554" s="11"/>
      <c r="WM554" s="11"/>
      <c r="WN554" s="11"/>
      <c r="WO554" s="11"/>
      <c r="WP554" s="11"/>
      <c r="WQ554" s="11"/>
      <c r="WR554" s="11"/>
      <c r="WS554" s="11"/>
      <c r="WT554" s="11"/>
      <c r="WU554" s="11"/>
      <c r="WV554" s="11"/>
      <c r="WW554" s="11"/>
      <c r="WX554" s="11"/>
      <c r="WY554" s="11"/>
      <c r="WZ554" s="11"/>
      <c r="XA554" s="11"/>
      <c r="XB554" s="11"/>
      <c r="XC554" s="11"/>
      <c r="XD554" s="11"/>
      <c r="XE554" s="11"/>
      <c r="XF554" s="11"/>
      <c r="XG554" s="11"/>
      <c r="XH554" s="11"/>
      <c r="XI554" s="11"/>
      <c r="XJ554" s="11"/>
      <c r="XK554" s="11"/>
      <c r="XL554" s="11"/>
      <c r="XM554" s="11"/>
      <c r="XN554" s="11"/>
      <c r="XO554" s="11"/>
      <c r="XP554" s="11"/>
      <c r="XQ554" s="11"/>
      <c r="XR554" s="11"/>
      <c r="XS554" s="11"/>
      <c r="XT554" s="11"/>
      <c r="XU554" s="11"/>
      <c r="XV554" s="11"/>
      <c r="XW554" s="11"/>
      <c r="XX554" s="11"/>
      <c r="XY554" s="11"/>
      <c r="XZ554" s="11"/>
      <c r="YA554" s="11"/>
      <c r="YB554" s="11"/>
      <c r="YC554" s="11"/>
      <c r="YD554" s="11"/>
      <c r="YE554" s="11"/>
      <c r="YF554" s="11"/>
      <c r="YG554" s="11"/>
      <c r="YH554" s="11"/>
      <c r="YI554" s="11"/>
      <c r="YJ554" s="11"/>
      <c r="YK554" s="11"/>
      <c r="YL554" s="11"/>
      <c r="YM554" s="11"/>
      <c r="YN554" s="11"/>
      <c r="YO554" s="11"/>
      <c r="YP554" s="11"/>
      <c r="YQ554" s="11"/>
      <c r="YR554" s="11"/>
      <c r="YS554" s="11"/>
      <c r="YT554" s="11"/>
      <c r="YU554" s="11"/>
      <c r="YV554" s="11"/>
      <c r="YW554" s="11"/>
      <c r="YX554" s="11"/>
      <c r="YY554" s="11"/>
      <c r="YZ554" s="11"/>
      <c r="ZA554" s="11"/>
      <c r="ZB554" s="11"/>
      <c r="ZC554" s="11"/>
      <c r="ZD554" s="11"/>
      <c r="ZE554" s="11"/>
      <c r="ZF554" s="11"/>
      <c r="ZG554" s="11"/>
      <c r="ZH554" s="11"/>
      <c r="ZI554" s="11"/>
      <c r="ZJ554" s="11"/>
      <c r="ZK554" s="11"/>
      <c r="ZL554" s="11"/>
      <c r="ZM554" s="11"/>
      <c r="ZN554" s="11"/>
      <c r="ZO554" s="11"/>
      <c r="ZP554" s="11"/>
      <c r="ZQ554" s="11"/>
      <c r="ZR554" s="11"/>
      <c r="ZS554" s="11"/>
      <c r="ZT554" s="11"/>
      <c r="ZU554" s="11"/>
      <c r="ZV554" s="11"/>
      <c r="ZW554" s="11"/>
      <c r="ZX554" s="11"/>
      <c r="ZY554" s="11"/>
      <c r="ZZ554" s="11"/>
      <c r="AAA554" s="11"/>
      <c r="AAB554" s="11"/>
      <c r="AAC554" s="11"/>
      <c r="AAD554" s="11"/>
      <c r="AAE554" s="11"/>
      <c r="AAF554" s="11"/>
      <c r="AAG554" s="11"/>
      <c r="AAH554" s="11"/>
      <c r="AAI554" s="11"/>
      <c r="AAJ554" s="11"/>
      <c r="AAK554" s="11"/>
      <c r="AAL554" s="11"/>
      <c r="AAM554" s="11"/>
      <c r="AAN554" s="11"/>
      <c r="AAO554" s="11"/>
      <c r="AAP554" s="11"/>
      <c r="AAQ554" s="11"/>
      <c r="AAR554" s="11"/>
      <c r="AAS554" s="11"/>
      <c r="AAT554" s="11"/>
      <c r="AAU554" s="11"/>
      <c r="AAV554" s="11"/>
      <c r="AAW554" s="11"/>
      <c r="AAX554" s="11"/>
      <c r="AAY554" s="11"/>
      <c r="AAZ554" s="11"/>
      <c r="ABA554" s="11"/>
      <c r="ABB554" s="11"/>
      <c r="ABC554" s="11"/>
      <c r="ABD554" s="11"/>
      <c r="ABE554" s="11"/>
      <c r="ABF554" s="11"/>
      <c r="ABG554" s="11"/>
      <c r="ABH554" s="11"/>
      <c r="ABI554" s="11"/>
      <c r="ABJ554" s="11"/>
      <c r="ABK554" s="11"/>
      <c r="ABL554" s="11"/>
      <c r="ABM554" s="11"/>
      <c r="ABN554" s="11"/>
      <c r="ABO554" s="11"/>
      <c r="ABP554" s="11"/>
      <c r="ABQ554" s="11"/>
      <c r="ABR554" s="11"/>
      <c r="ABS554" s="11"/>
      <c r="ABT554" s="11"/>
      <c r="ABU554" s="11"/>
      <c r="ABV554" s="11"/>
      <c r="ABW554" s="11"/>
      <c r="ABX554" s="11"/>
      <c r="ABY554" s="11"/>
      <c r="ABZ554" s="11"/>
      <c r="ACA554" s="11"/>
      <c r="ACB554" s="11"/>
      <c r="ACC554" s="11"/>
      <c r="ACD554" s="11"/>
      <c r="ACE554" s="11"/>
      <c r="ACF554" s="11"/>
      <c r="ACG554" s="11"/>
      <c r="ACH554" s="11"/>
      <c r="ACI554" s="11"/>
      <c r="ACJ554" s="11"/>
      <c r="ACK554" s="11"/>
      <c r="ACL554" s="11"/>
      <c r="ACM554" s="11"/>
      <c r="ACN554" s="11"/>
      <c r="ACO554" s="11"/>
      <c r="ACP554" s="11"/>
      <c r="ACQ554" s="11"/>
      <c r="ACR554" s="11"/>
      <c r="ACS554" s="11"/>
      <c r="ACT554" s="11"/>
      <c r="ACU554" s="11"/>
      <c r="ACV554" s="11"/>
      <c r="ACW554" s="11"/>
      <c r="ACX554" s="11"/>
      <c r="ACY554" s="11"/>
      <c r="ACZ554" s="11"/>
      <c r="ADA554" s="11"/>
      <c r="ADB554" s="11"/>
      <c r="ADC554" s="11"/>
      <c r="ADD554" s="11"/>
      <c r="ADE554" s="11"/>
      <c r="ADF554" s="11"/>
      <c r="ADG554" s="11"/>
      <c r="ADH554" s="11"/>
      <c r="ADI554" s="11"/>
      <c r="ADJ554" s="11"/>
      <c r="ADK554" s="11"/>
      <c r="ADL554" s="11"/>
      <c r="ADM554" s="11"/>
      <c r="ADN554" s="11"/>
      <c r="ADO554" s="11"/>
      <c r="ADP554" s="11"/>
      <c r="ADQ554" s="11"/>
      <c r="ADR554" s="11"/>
      <c r="ADS554" s="11"/>
      <c r="ADT554" s="11"/>
      <c r="ADU554" s="11"/>
      <c r="ADV554" s="11"/>
      <c r="ADW554" s="11"/>
      <c r="ADX554" s="11"/>
      <c r="ADY554" s="11"/>
      <c r="ADZ554" s="11"/>
      <c r="AEA554" s="11"/>
      <c r="AEB554" s="11"/>
      <c r="AEC554" s="11"/>
      <c r="AED554" s="11"/>
      <c r="AEE554" s="11"/>
      <c r="AEF554" s="11"/>
      <c r="AEG554" s="11"/>
      <c r="AEH554" s="11"/>
      <c r="AEI554" s="11"/>
      <c r="AEJ554" s="11"/>
      <c r="AEK554" s="11"/>
      <c r="AEL554" s="11"/>
      <c r="AEM554" s="11"/>
      <c r="AEN554" s="11"/>
      <c r="AEO554" s="11"/>
      <c r="AEP554" s="11"/>
      <c r="AEQ554" s="11"/>
      <c r="AER554" s="11"/>
      <c r="AES554" s="11"/>
      <c r="AET554" s="11"/>
      <c r="AEU554" s="11"/>
      <c r="AEV554" s="11"/>
      <c r="AEW554" s="11"/>
      <c r="AEX554" s="11"/>
      <c r="AEY554" s="11"/>
      <c r="AEZ554" s="11"/>
      <c r="AFA554" s="11"/>
      <c r="AFB554" s="11"/>
      <c r="AFC554" s="11"/>
      <c r="AFD554" s="11"/>
      <c r="AFE554" s="11"/>
      <c r="AFF554" s="11"/>
      <c r="AFG554" s="11"/>
      <c r="AFH554" s="11"/>
      <c r="AFI554" s="11"/>
      <c r="AFJ554" s="11"/>
      <c r="AFK554" s="11"/>
      <c r="AFL554" s="11"/>
      <c r="AFM554" s="11"/>
      <c r="AFN554" s="11"/>
      <c r="AFO554" s="11"/>
      <c r="AFP554" s="11"/>
      <c r="AFQ554" s="11"/>
      <c r="AFR554" s="11"/>
      <c r="AFS554" s="11"/>
      <c r="AFT554" s="11"/>
      <c r="AFU554" s="11"/>
      <c r="AFV554" s="11"/>
      <c r="AFW554" s="11"/>
      <c r="AFX554" s="11"/>
      <c r="AFY554" s="11"/>
      <c r="AFZ554" s="11"/>
      <c r="AGA554" s="11"/>
      <c r="AGB554" s="11"/>
      <c r="AGC554" s="11"/>
      <c r="AGD554" s="11"/>
      <c r="AGE554" s="11"/>
      <c r="AGF554" s="11"/>
      <c r="AGG554" s="11"/>
      <c r="AGH554" s="11"/>
      <c r="AGI554" s="11"/>
      <c r="AGJ554" s="11"/>
      <c r="AGK554" s="11"/>
      <c r="AGL554" s="11"/>
      <c r="AGM554" s="11"/>
      <c r="AGN554" s="11"/>
      <c r="AGO554" s="11"/>
      <c r="AGP554" s="11"/>
      <c r="AGQ554" s="11"/>
      <c r="AGR554" s="11"/>
      <c r="AGS554" s="11"/>
      <c r="AGT554" s="11"/>
      <c r="AGU554" s="11"/>
      <c r="AGV554" s="11"/>
      <c r="AGW554" s="11"/>
      <c r="AGX554" s="11"/>
      <c r="AGY554" s="11"/>
      <c r="AGZ554" s="11"/>
      <c r="AHA554" s="11"/>
      <c r="AHB554" s="11"/>
      <c r="AHC554" s="11"/>
      <c r="AHD554" s="11"/>
      <c r="AHE554" s="11"/>
      <c r="AHF554" s="11"/>
      <c r="AHG554" s="11"/>
      <c r="AHH554" s="11"/>
      <c r="AHI554" s="11"/>
      <c r="AHJ554" s="11"/>
      <c r="AHK554" s="11"/>
      <c r="AHL554" s="11"/>
      <c r="AHM554" s="11"/>
      <c r="AHN554" s="11"/>
      <c r="AHO554" s="11"/>
      <c r="AHP554" s="11"/>
      <c r="AHQ554" s="11"/>
      <c r="AHR554" s="11"/>
      <c r="AHS554" s="11"/>
      <c r="AHT554" s="11"/>
      <c r="AHU554" s="11"/>
      <c r="AHV554" s="11"/>
      <c r="AHW554" s="11"/>
      <c r="AHX554" s="11"/>
      <c r="AHY554" s="11"/>
      <c r="AHZ554" s="11"/>
      <c r="AIA554" s="11"/>
      <c r="AIB554" s="11"/>
      <c r="AIC554" s="11"/>
      <c r="AID554" s="11"/>
      <c r="AIE554" s="11"/>
      <c r="AIF554" s="11"/>
      <c r="AIG554" s="11"/>
      <c r="AIH554" s="11"/>
      <c r="AII554" s="11"/>
      <c r="AIJ554" s="11"/>
      <c r="AIK554" s="11"/>
      <c r="AIL554" s="11"/>
      <c r="AIM554" s="11"/>
      <c r="AIN554" s="11"/>
      <c r="AIO554" s="11"/>
      <c r="AIP554" s="11"/>
      <c r="AIQ554" s="11"/>
      <c r="AIR554" s="11"/>
      <c r="AIS554" s="11"/>
      <c r="AIT554" s="11"/>
      <c r="AIU554" s="11"/>
      <c r="AIV554" s="11"/>
      <c r="AIW554" s="11"/>
      <c r="AIX554" s="11"/>
      <c r="AIY554" s="11"/>
      <c r="AIZ554" s="11"/>
      <c r="AJA554" s="11"/>
      <c r="AJB554" s="11"/>
      <c r="AJC554" s="11"/>
      <c r="AJD554" s="11"/>
      <c r="AJE554" s="11"/>
      <c r="AJF554" s="11"/>
      <c r="AJG554" s="11"/>
      <c r="AJH554" s="11"/>
      <c r="AJI554" s="11"/>
      <c r="AJJ554" s="11"/>
      <c r="AJK554" s="11"/>
      <c r="AJL554" s="11"/>
      <c r="AJM554" s="11"/>
      <c r="AJN554" s="11"/>
      <c r="AJO554" s="11"/>
      <c r="AJP554" s="11"/>
      <c r="AJQ554" s="11"/>
      <c r="AJR554" s="11"/>
      <c r="AJS554" s="11"/>
      <c r="AJT554" s="11"/>
      <c r="AJU554" s="11"/>
      <c r="AJV554" s="11"/>
      <c r="AJW554" s="11"/>
      <c r="AJX554" s="11"/>
      <c r="AJY554" s="11"/>
      <c r="AJZ554" s="11"/>
      <c r="AKA554" s="11"/>
      <c r="AKB554" s="11"/>
      <c r="AKC554" s="11"/>
      <c r="AKD554" s="11"/>
      <c r="AKE554" s="11"/>
      <c r="AKF554" s="11"/>
      <c r="AKG554" s="11"/>
      <c r="AKH554" s="11"/>
      <c r="AKI554" s="11"/>
      <c r="AKJ554" s="11"/>
      <c r="AKK554" s="11"/>
      <c r="AKL554" s="11"/>
      <c r="AKM554" s="11"/>
      <c r="AKN554" s="11"/>
      <c r="AKO554" s="11"/>
      <c r="AKP554" s="11"/>
      <c r="AKQ554" s="11"/>
      <c r="AKR554" s="11"/>
      <c r="AKS554" s="11"/>
      <c r="AKT554" s="11"/>
      <c r="AKU554" s="11"/>
      <c r="AKV554" s="11"/>
      <c r="AKW554" s="11"/>
      <c r="AKX554" s="11"/>
      <c r="AKY554" s="11"/>
      <c r="AKZ554" s="11"/>
      <c r="ALA554" s="11"/>
      <c r="ALB554" s="11"/>
      <c r="ALC554" s="11"/>
      <c r="ALD554" s="11"/>
      <c r="ALE554" s="11"/>
      <c r="ALF554" s="11"/>
      <c r="ALG554" s="11"/>
      <c r="ALH554" s="11"/>
      <c r="ALI554" s="11"/>
      <c r="ALJ554" s="11"/>
      <c r="ALK554" s="11"/>
      <c r="ALL554" s="11"/>
      <c r="ALM554" s="11"/>
      <c r="ALN554" s="11"/>
      <c r="ALO554" s="11"/>
      <c r="ALP554" s="11"/>
      <c r="ALQ554" s="11"/>
      <c r="ALR554" s="11"/>
      <c r="ALS554" s="11"/>
      <c r="ALT554" s="11"/>
      <c r="ALU554" s="11"/>
      <c r="ALV554" s="11"/>
      <c r="ALW554" s="11"/>
      <c r="ALX554" s="11"/>
      <c r="ALY554" s="11"/>
      <c r="ALZ554" s="11"/>
      <c r="AMA554" s="11"/>
      <c r="AMB554" s="11"/>
      <c r="AMC554" s="11"/>
      <c r="AMD554" s="11"/>
      <c r="AME554" s="11"/>
      <c r="AMF554" s="11"/>
      <c r="AMG554" s="11"/>
      <c r="AMH554" s="11"/>
      <c r="AMI554" s="11"/>
      <c r="AMJ554" s="11"/>
    </row>
    <row r="555" spans="1:1024">
      <c r="A555" s="8" t="s">
        <v>559</v>
      </c>
      <c r="B555" s="8">
        <v>386296</v>
      </c>
      <c r="D555" s="1">
        <v>15</v>
      </c>
      <c r="E555" s="8">
        <f>VLOOKUP(B555,Gesamtstunden_26!B:I,8,0)</f>
        <v>0</v>
      </c>
      <c r="F555" s="2">
        <f t="shared" si="8"/>
        <v>15</v>
      </c>
    </row>
    <row r="556" spans="1:1024" ht="27.6">
      <c r="A556" s="10" t="s">
        <v>560</v>
      </c>
      <c r="B556" s="10">
        <v>302687</v>
      </c>
      <c r="D556" s="1">
        <v>0</v>
      </c>
      <c r="E556" s="8">
        <f>VLOOKUP(B556,Gesamtstunden_26!B:I,8,0)</f>
        <v>3.3333333333333335</v>
      </c>
      <c r="F556" s="2">
        <f t="shared" si="8"/>
        <v>-3.3333333333333335</v>
      </c>
    </row>
    <row r="557" spans="1:1024">
      <c r="A557" s="8" t="s">
        <v>561</v>
      </c>
      <c r="B557" s="8">
        <v>644118</v>
      </c>
      <c r="D557" s="1">
        <v>11</v>
      </c>
      <c r="E557" s="8">
        <f>VLOOKUP(B557,Gesamtstunden_26!B:I,8,0)</f>
        <v>0</v>
      </c>
      <c r="F557" s="2">
        <f t="shared" si="8"/>
        <v>11</v>
      </c>
    </row>
    <row r="558" spans="1:1024">
      <c r="A558" s="16" t="s">
        <v>562</v>
      </c>
      <c r="B558" s="16">
        <v>266063</v>
      </c>
      <c r="D558" s="1">
        <v>0</v>
      </c>
      <c r="E558" s="8">
        <f>VLOOKUP(B558,Gesamtstunden_26!B:I,8,0)</f>
        <v>0</v>
      </c>
      <c r="F558" s="2">
        <f t="shared" si="8"/>
        <v>0</v>
      </c>
    </row>
    <row r="559" spans="1:1024">
      <c r="A559" s="10" t="s">
        <v>563</v>
      </c>
      <c r="B559" s="10">
        <v>690619</v>
      </c>
      <c r="D559" s="1">
        <v>0</v>
      </c>
      <c r="E559" s="8">
        <f>VLOOKUP(B559,Gesamtstunden_26!B:I,8,0)</f>
        <v>1.5</v>
      </c>
      <c r="F559" s="2">
        <f t="shared" si="8"/>
        <v>-1.5</v>
      </c>
    </row>
    <row r="560" spans="1:1024">
      <c r="A560" s="8" t="s">
        <v>564</v>
      </c>
      <c r="B560" s="8">
        <v>786898</v>
      </c>
      <c r="D560" s="1">
        <v>4.3333333333333304</v>
      </c>
      <c r="E560" s="8">
        <f>VLOOKUP(B560,Gesamtstunden_26!B:I,8,0)</f>
        <v>0</v>
      </c>
      <c r="F560" s="2">
        <f t="shared" si="8"/>
        <v>4.3333333333333304</v>
      </c>
    </row>
    <row r="561" spans="1:6">
      <c r="A561" s="17" t="s">
        <v>565</v>
      </c>
      <c r="B561" s="17">
        <v>761495</v>
      </c>
      <c r="D561" s="1">
        <v>0</v>
      </c>
      <c r="E561" s="8">
        <f>VLOOKUP(B561,Gesamtstunden_26!B:I,8,0)</f>
        <v>5.5</v>
      </c>
      <c r="F561" s="2">
        <f t="shared" si="8"/>
        <v>-5.5</v>
      </c>
    </row>
    <row r="562" spans="1:6" ht="27.6">
      <c r="A562" s="8" t="s">
        <v>566</v>
      </c>
      <c r="B562" s="8">
        <v>264548</v>
      </c>
      <c r="D562" s="1">
        <v>3</v>
      </c>
      <c r="E562" s="8">
        <f>VLOOKUP(B562,Gesamtstunden_26!B:I,8,0)</f>
        <v>0</v>
      </c>
      <c r="F562" s="2">
        <f t="shared" si="8"/>
        <v>3</v>
      </c>
    </row>
    <row r="563" spans="1:6">
      <c r="A563" s="8" t="s">
        <v>567</v>
      </c>
      <c r="B563" s="8">
        <v>756063</v>
      </c>
      <c r="D563" s="1">
        <v>8.1666666666666696</v>
      </c>
      <c r="E563" s="8">
        <f>VLOOKUP(B563,Gesamtstunden_26!B:I,8,0)</f>
        <v>0</v>
      </c>
      <c r="F563" s="2">
        <f t="shared" si="8"/>
        <v>8.1666666666666696</v>
      </c>
    </row>
    <row r="564" spans="1:6">
      <c r="A564" s="16" t="s">
        <v>568</v>
      </c>
      <c r="B564" s="16">
        <v>524315</v>
      </c>
      <c r="D564" s="1">
        <v>0</v>
      </c>
      <c r="E564" s="8">
        <f>VLOOKUP(B564,Gesamtstunden_26!B:I,8,0)</f>
        <v>2</v>
      </c>
      <c r="F564" s="2">
        <f t="shared" si="8"/>
        <v>-2</v>
      </c>
    </row>
    <row r="565" spans="1:6" ht="15">
      <c r="A565" s="20" t="s">
        <v>569</v>
      </c>
      <c r="B565" s="21">
        <v>329106</v>
      </c>
      <c r="D565" s="1">
        <v>4.0033333333333401</v>
      </c>
      <c r="E565" s="8">
        <f>VLOOKUP(B565,Gesamtstunden_26!B:I,8,0)</f>
        <v>0</v>
      </c>
      <c r="F565" s="2">
        <f t="shared" si="8"/>
        <v>4.0033333333333401</v>
      </c>
    </row>
    <row r="566" spans="1:6">
      <c r="A566" s="7" t="s">
        <v>570</v>
      </c>
      <c r="B566" s="7">
        <v>717385</v>
      </c>
      <c r="D566" s="1">
        <v>0</v>
      </c>
      <c r="E566" s="8">
        <f>VLOOKUP(B566,Gesamtstunden_26!B:I,8,0)</f>
        <v>3</v>
      </c>
      <c r="F566" s="2">
        <f t="shared" si="8"/>
        <v>-3</v>
      </c>
    </row>
    <row r="567" spans="1:6" ht="27.6">
      <c r="A567" s="7" t="s">
        <v>571</v>
      </c>
      <c r="B567" s="7">
        <v>775465</v>
      </c>
      <c r="D567" s="1">
        <v>0</v>
      </c>
      <c r="E567" s="8">
        <f>VLOOKUP(B567,Gesamtstunden_26!B:I,8,0)</f>
        <v>1.8333333333333333</v>
      </c>
      <c r="F567" s="2">
        <f t="shared" si="8"/>
        <v>-1.8333333333333333</v>
      </c>
    </row>
    <row r="568" spans="1:6">
      <c r="A568" s="10" t="s">
        <v>572</v>
      </c>
      <c r="B568" s="10">
        <v>500961</v>
      </c>
      <c r="D568" s="1">
        <v>0</v>
      </c>
      <c r="E568" s="8">
        <f>VLOOKUP(B568,Gesamtstunden_26!B:I,8,0)</f>
        <v>2.1666666666666665</v>
      </c>
      <c r="F568" s="2">
        <f t="shared" si="8"/>
        <v>-2.1666666666666665</v>
      </c>
    </row>
    <row r="569" spans="1:6">
      <c r="A569" s="10" t="s">
        <v>573</v>
      </c>
      <c r="B569" s="18">
        <v>843011</v>
      </c>
      <c r="D569" s="1">
        <v>0</v>
      </c>
      <c r="E569" s="8">
        <f>VLOOKUP(B569,Gesamtstunden_26!B:I,8,0)</f>
        <v>0</v>
      </c>
      <c r="F569" s="2">
        <f t="shared" si="8"/>
        <v>0</v>
      </c>
    </row>
    <row r="570" spans="1:6">
      <c r="A570" s="8" t="s">
        <v>574</v>
      </c>
      <c r="B570" s="8">
        <v>550416</v>
      </c>
      <c r="D570" s="1">
        <v>11.34</v>
      </c>
      <c r="E570" s="8">
        <f>VLOOKUP(B570,Gesamtstunden_26!B:I,8,0)</f>
        <v>0</v>
      </c>
      <c r="F570" s="2">
        <f t="shared" si="8"/>
        <v>11.34</v>
      </c>
    </row>
    <row r="571" spans="1:6">
      <c r="A571" s="17" t="s">
        <v>575</v>
      </c>
      <c r="B571" s="17">
        <v>315468</v>
      </c>
      <c r="D571" s="1">
        <v>0</v>
      </c>
      <c r="E571" s="8">
        <f>VLOOKUP(B571,Gesamtstunden_26!B:I,8,0)</f>
        <v>0.33333333333333331</v>
      </c>
      <c r="F571" s="2">
        <f t="shared" si="8"/>
        <v>-0.33333333333333331</v>
      </c>
    </row>
    <row r="572" spans="1:6">
      <c r="A572" s="16" t="s">
        <v>576</v>
      </c>
      <c r="B572" s="16">
        <v>216772</v>
      </c>
      <c r="D572" s="1">
        <v>0</v>
      </c>
      <c r="E572" s="8">
        <f>VLOOKUP(B572,Gesamtstunden_26!B:I,8,0)</f>
        <v>0.66666666666666663</v>
      </c>
      <c r="F572" s="2">
        <f t="shared" si="8"/>
        <v>-0.66666666666666663</v>
      </c>
    </row>
    <row r="573" spans="1:6">
      <c r="A573" s="16" t="s">
        <v>577</v>
      </c>
      <c r="B573" s="16">
        <v>302414</v>
      </c>
      <c r="D573" s="1">
        <v>0</v>
      </c>
      <c r="E573" s="8">
        <f>VLOOKUP(B573,Gesamtstunden_26!B:I,8,0)</f>
        <v>11.333333333333332</v>
      </c>
      <c r="F573" s="2">
        <f t="shared" si="8"/>
        <v>-11.333333333333332</v>
      </c>
    </row>
    <row r="574" spans="1:6">
      <c r="A574" s="8" t="s">
        <v>578</v>
      </c>
      <c r="B574" s="8">
        <v>141147</v>
      </c>
      <c r="D574" s="1">
        <v>1.6666666666666701</v>
      </c>
      <c r="E574" s="8">
        <f>VLOOKUP(B574,Gesamtstunden_26!B:I,8,0)</f>
        <v>0</v>
      </c>
      <c r="F574" s="2">
        <f t="shared" si="8"/>
        <v>1.6666666666666701</v>
      </c>
    </row>
    <row r="575" spans="1:6">
      <c r="A575" s="14" t="s">
        <v>579</v>
      </c>
      <c r="B575" s="14">
        <v>626186</v>
      </c>
      <c r="D575" s="1">
        <v>0</v>
      </c>
      <c r="E575" s="8">
        <f>VLOOKUP(B575,Gesamtstunden_26!B:I,8,0)</f>
        <v>0.33333333333333331</v>
      </c>
      <c r="F575" s="2">
        <f t="shared" si="8"/>
        <v>-0.33333333333333331</v>
      </c>
    </row>
    <row r="576" spans="1:6">
      <c r="A576" s="14" t="s">
        <v>580</v>
      </c>
      <c r="B576" s="14">
        <v>183984</v>
      </c>
      <c r="D576" s="1">
        <v>0</v>
      </c>
      <c r="E576" s="8">
        <f>VLOOKUP(B576,Gesamtstunden_26!B:I,8,0)</f>
        <v>1</v>
      </c>
      <c r="F576" s="2">
        <f t="shared" si="8"/>
        <v>-1</v>
      </c>
    </row>
    <row r="577" spans="1:1024" s="11" customFormat="1">
      <c r="A577" s="14" t="s">
        <v>581</v>
      </c>
      <c r="B577" s="14">
        <v>588433</v>
      </c>
      <c r="C577"/>
      <c r="D577" s="1">
        <v>0</v>
      </c>
      <c r="E577" s="8">
        <f>VLOOKUP(B577,Gesamtstunden_26!B:I,8,0)</f>
        <v>1</v>
      </c>
      <c r="F577" s="2">
        <f t="shared" si="8"/>
        <v>-1</v>
      </c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  <c r="BR577"/>
      <c r="BS577"/>
      <c r="BT577"/>
      <c r="BU577"/>
      <c r="BV577"/>
      <c r="BW577"/>
      <c r="BX577"/>
      <c r="BY577"/>
      <c r="BZ577"/>
      <c r="CA577"/>
      <c r="CB577"/>
      <c r="CC577"/>
      <c r="CD577"/>
      <c r="CE577"/>
      <c r="CF577"/>
      <c r="CG577"/>
      <c r="CH577"/>
      <c r="CI577"/>
      <c r="CJ577"/>
      <c r="CK577"/>
      <c r="CL577"/>
      <c r="CM577"/>
      <c r="CN577"/>
      <c r="CO577"/>
      <c r="CP577"/>
      <c r="CQ577"/>
      <c r="CR577"/>
      <c r="CS577"/>
      <c r="CT577"/>
      <c r="CU577"/>
      <c r="CV577"/>
      <c r="CW577"/>
      <c r="CX577"/>
      <c r="CY577"/>
      <c r="CZ577"/>
      <c r="DA577"/>
      <c r="DB577"/>
      <c r="DC577"/>
      <c r="DD577"/>
      <c r="DE577"/>
      <c r="DF577"/>
      <c r="DG577"/>
      <c r="DH577"/>
      <c r="DI577"/>
      <c r="DJ577"/>
      <c r="DK577"/>
      <c r="DL577"/>
      <c r="DM577"/>
      <c r="DN577"/>
      <c r="DO577"/>
      <c r="DP577"/>
      <c r="DQ577"/>
      <c r="DR577"/>
      <c r="DS577"/>
      <c r="DT577"/>
      <c r="DU577"/>
      <c r="DV577"/>
      <c r="DW577"/>
      <c r="DX577"/>
      <c r="DY577"/>
      <c r="DZ577"/>
      <c r="EA577"/>
      <c r="EB577"/>
      <c r="EC577"/>
      <c r="ED577"/>
      <c r="EE577"/>
      <c r="EF577"/>
      <c r="EG577"/>
      <c r="EH577"/>
      <c r="EI577"/>
      <c r="EJ577"/>
      <c r="EK577"/>
      <c r="EL577"/>
      <c r="EM577"/>
      <c r="EN577"/>
      <c r="EO577"/>
      <c r="EP577"/>
      <c r="EQ577"/>
      <c r="ER577"/>
      <c r="ES577"/>
      <c r="ET577"/>
      <c r="EU577"/>
      <c r="EV577"/>
      <c r="EW577"/>
      <c r="EX577"/>
      <c r="EY577"/>
      <c r="EZ577"/>
      <c r="FA577"/>
      <c r="FB577"/>
      <c r="FC577"/>
      <c r="FD577"/>
      <c r="FE577"/>
      <c r="FF577"/>
      <c r="FG577"/>
      <c r="FH577"/>
      <c r="FI577"/>
      <c r="FJ577"/>
      <c r="FK577"/>
      <c r="FL577"/>
      <c r="FM577"/>
      <c r="FN577"/>
      <c r="FO577"/>
      <c r="FP577"/>
      <c r="FQ577"/>
      <c r="FR577"/>
      <c r="FS577"/>
      <c r="FT577"/>
      <c r="FU577"/>
      <c r="FV577"/>
      <c r="FW577"/>
      <c r="FX577"/>
      <c r="FY577"/>
      <c r="FZ577"/>
      <c r="GA577"/>
      <c r="GB577"/>
      <c r="GC577"/>
      <c r="GD577"/>
      <c r="GE577"/>
      <c r="GF577"/>
      <c r="GG577"/>
      <c r="GH577"/>
      <c r="GI577"/>
      <c r="GJ577"/>
      <c r="GK577"/>
      <c r="GL577"/>
      <c r="GM577"/>
      <c r="GN577"/>
      <c r="GO577"/>
      <c r="GP577"/>
      <c r="GQ577"/>
      <c r="GR577"/>
      <c r="GS577"/>
      <c r="GT577"/>
      <c r="GU577"/>
      <c r="GV577"/>
      <c r="GW577"/>
      <c r="GX577"/>
      <c r="GY577"/>
      <c r="GZ577"/>
      <c r="HA577"/>
      <c r="HB577"/>
      <c r="HC577"/>
      <c r="HD577"/>
      <c r="HE577"/>
      <c r="HF577"/>
      <c r="HG577"/>
      <c r="HH577"/>
      <c r="HI577"/>
      <c r="HJ577"/>
      <c r="HK577"/>
      <c r="HL577"/>
      <c r="HM577"/>
      <c r="HN577"/>
      <c r="HO577"/>
      <c r="HP577"/>
      <c r="HQ577"/>
      <c r="HR577"/>
      <c r="HS577"/>
      <c r="HT577"/>
      <c r="HU577"/>
      <c r="HV577"/>
      <c r="HW577"/>
      <c r="HX577"/>
      <c r="HY577"/>
      <c r="HZ577"/>
      <c r="IA577"/>
      <c r="IB577"/>
      <c r="IC577"/>
      <c r="ID577"/>
      <c r="IE577"/>
      <c r="IF577"/>
      <c r="IG577"/>
      <c r="IH577"/>
      <c r="II577"/>
      <c r="IJ577"/>
      <c r="IK577"/>
      <c r="IL577"/>
      <c r="IM577"/>
      <c r="IN577"/>
      <c r="IO577"/>
      <c r="IP577"/>
      <c r="IQ577"/>
      <c r="IR577"/>
      <c r="IS577"/>
      <c r="IT577"/>
      <c r="IU577"/>
      <c r="IV577"/>
      <c r="IW577"/>
      <c r="IX577"/>
      <c r="IY577"/>
      <c r="IZ577"/>
      <c r="JA577"/>
      <c r="JB577"/>
      <c r="JC577"/>
      <c r="JD577"/>
      <c r="JE577"/>
      <c r="JF577"/>
      <c r="JG577"/>
      <c r="JH577"/>
      <c r="JI577"/>
      <c r="JJ577"/>
      <c r="JK577"/>
      <c r="JL577"/>
      <c r="JM577"/>
      <c r="JN577"/>
      <c r="JO577"/>
      <c r="JP577"/>
      <c r="JQ577"/>
      <c r="JR577"/>
      <c r="JS577"/>
      <c r="JT577"/>
      <c r="JU577"/>
      <c r="JV577"/>
      <c r="JW577"/>
      <c r="JX577"/>
      <c r="JY577"/>
      <c r="JZ577"/>
      <c r="KA577"/>
      <c r="KB577"/>
      <c r="KC577"/>
      <c r="KD577"/>
      <c r="KE577"/>
      <c r="KF577"/>
      <c r="KG577"/>
      <c r="KH577"/>
      <c r="KI577"/>
      <c r="KJ577"/>
      <c r="KK577"/>
      <c r="KL577"/>
      <c r="KM577"/>
      <c r="KN577"/>
      <c r="KO577"/>
      <c r="KP577"/>
      <c r="KQ577"/>
      <c r="KR577"/>
      <c r="KS577"/>
      <c r="KT577"/>
      <c r="KU577"/>
      <c r="KV577"/>
      <c r="KW577"/>
      <c r="KX577"/>
      <c r="KY577"/>
      <c r="KZ577"/>
      <c r="LA577"/>
      <c r="LB577"/>
      <c r="LC577"/>
      <c r="LD577"/>
      <c r="LE577"/>
      <c r="LF577"/>
      <c r="LG577"/>
      <c r="LH577"/>
      <c r="LI577"/>
      <c r="LJ577"/>
      <c r="LK577"/>
      <c r="LL577"/>
      <c r="LM577"/>
      <c r="LN577"/>
      <c r="LO577"/>
      <c r="LP577"/>
      <c r="LQ577"/>
      <c r="LR577"/>
      <c r="LS577"/>
      <c r="LT577"/>
      <c r="LU577"/>
      <c r="LV577"/>
      <c r="LW577"/>
      <c r="LX577"/>
      <c r="LY577"/>
      <c r="LZ577"/>
      <c r="MA577"/>
      <c r="MB577"/>
      <c r="MC577"/>
      <c r="MD577"/>
      <c r="ME577"/>
      <c r="MF577"/>
      <c r="MG577"/>
      <c r="MH577"/>
      <c r="MI577"/>
      <c r="MJ577"/>
      <c r="MK577"/>
      <c r="ML577"/>
      <c r="MM577"/>
      <c r="MN577"/>
      <c r="MO577"/>
      <c r="MP577"/>
      <c r="MQ577"/>
      <c r="MR577"/>
      <c r="MS577"/>
      <c r="MT577"/>
      <c r="MU577"/>
      <c r="MV577"/>
      <c r="MW577"/>
      <c r="MX577"/>
      <c r="MY577"/>
      <c r="MZ577"/>
      <c r="NA577"/>
      <c r="NB577"/>
      <c r="NC577"/>
      <c r="ND577"/>
      <c r="NE577"/>
      <c r="NF577"/>
      <c r="NG577"/>
      <c r="NH577"/>
      <c r="NI577"/>
      <c r="NJ577"/>
      <c r="NK577"/>
      <c r="NL577"/>
      <c r="NM577"/>
      <c r="NN577"/>
      <c r="NO577"/>
      <c r="NP577"/>
      <c r="NQ577"/>
      <c r="NR577"/>
      <c r="NS577"/>
      <c r="NT577"/>
      <c r="NU577"/>
      <c r="NV577"/>
      <c r="NW577"/>
      <c r="NX577"/>
      <c r="NY577"/>
      <c r="NZ577"/>
      <c r="OA577"/>
      <c r="OB577"/>
      <c r="OC577"/>
      <c r="OD577"/>
      <c r="OE577"/>
      <c r="OF577"/>
      <c r="OG577"/>
      <c r="OH577"/>
      <c r="OI577"/>
      <c r="OJ577"/>
      <c r="OK577"/>
      <c r="OL577"/>
      <c r="OM577"/>
      <c r="ON577"/>
      <c r="OO577"/>
      <c r="OP577"/>
      <c r="OQ577"/>
      <c r="OR577"/>
      <c r="OS577"/>
      <c r="OT577"/>
      <c r="OU577"/>
      <c r="OV577"/>
      <c r="OW577"/>
      <c r="OX577"/>
      <c r="OY577"/>
      <c r="OZ577"/>
      <c r="PA577"/>
      <c r="PB577"/>
      <c r="PC577"/>
      <c r="PD577"/>
      <c r="PE577"/>
      <c r="PF577"/>
      <c r="PG577"/>
      <c r="PH577"/>
      <c r="PI577"/>
      <c r="PJ577"/>
      <c r="PK577"/>
      <c r="PL577"/>
      <c r="PM577"/>
      <c r="PN577"/>
      <c r="PO577"/>
      <c r="PP577"/>
      <c r="PQ577"/>
      <c r="PR577"/>
      <c r="PS577"/>
      <c r="PT577"/>
      <c r="PU577"/>
      <c r="PV577"/>
      <c r="PW577"/>
      <c r="PX577"/>
      <c r="PY577"/>
      <c r="PZ577"/>
      <c r="QA577"/>
      <c r="QB577"/>
      <c r="QC577"/>
      <c r="QD577"/>
      <c r="QE577"/>
      <c r="QF577"/>
      <c r="QG577"/>
      <c r="QH577"/>
      <c r="QI577"/>
      <c r="QJ577"/>
      <c r="QK577"/>
      <c r="QL577"/>
      <c r="QM577"/>
      <c r="QN577"/>
      <c r="QO577"/>
      <c r="QP577"/>
      <c r="QQ577"/>
      <c r="QR577"/>
      <c r="QS577"/>
      <c r="QT577"/>
      <c r="QU577"/>
      <c r="QV577"/>
      <c r="QW577"/>
      <c r="QX577"/>
      <c r="QY577"/>
      <c r="QZ577"/>
      <c r="RA577"/>
      <c r="RB577"/>
      <c r="RC577"/>
      <c r="RD577"/>
      <c r="RE577"/>
      <c r="RF577"/>
      <c r="RG577"/>
      <c r="RH577"/>
      <c r="RI577"/>
      <c r="RJ577"/>
      <c r="RK577"/>
      <c r="RL577"/>
      <c r="RM577"/>
      <c r="RN577"/>
      <c r="RO577"/>
      <c r="RP577"/>
      <c r="RQ577"/>
      <c r="RR577"/>
      <c r="RS577"/>
      <c r="RT577"/>
      <c r="RU577"/>
      <c r="RV577"/>
      <c r="RW577"/>
      <c r="RX577"/>
      <c r="RY577"/>
      <c r="RZ577"/>
      <c r="SA577"/>
      <c r="SB577"/>
      <c r="SC577"/>
      <c r="SD577"/>
      <c r="SE577"/>
      <c r="SF577"/>
      <c r="SG577"/>
      <c r="SH577"/>
      <c r="SI577"/>
      <c r="SJ577"/>
      <c r="SK577"/>
      <c r="SL577"/>
      <c r="SM577"/>
      <c r="SN577"/>
      <c r="SO577"/>
      <c r="SP577"/>
      <c r="SQ577"/>
      <c r="SR577"/>
      <c r="SS577"/>
      <c r="ST577"/>
      <c r="SU577"/>
      <c r="SV577"/>
      <c r="SW577"/>
      <c r="SX577"/>
      <c r="SY577"/>
      <c r="SZ577"/>
      <c r="TA577"/>
      <c r="TB577"/>
      <c r="TC577"/>
      <c r="TD577"/>
      <c r="TE577"/>
      <c r="TF577"/>
      <c r="TG577"/>
      <c r="TH577"/>
      <c r="TI577"/>
      <c r="TJ577"/>
      <c r="TK577"/>
      <c r="TL577"/>
      <c r="TM577"/>
      <c r="TN577"/>
      <c r="TO577"/>
      <c r="TP577"/>
      <c r="TQ577"/>
      <c r="TR577"/>
      <c r="TS577"/>
      <c r="TT577"/>
      <c r="TU577"/>
      <c r="TV577"/>
      <c r="TW577"/>
      <c r="TX577"/>
      <c r="TY577"/>
      <c r="TZ577"/>
      <c r="UA577"/>
      <c r="UB577"/>
      <c r="UC577"/>
      <c r="UD577"/>
      <c r="UE577"/>
      <c r="UF577"/>
      <c r="UG577"/>
      <c r="UH577"/>
      <c r="UI577"/>
      <c r="UJ577"/>
      <c r="UK577"/>
      <c r="UL577"/>
      <c r="UM577"/>
      <c r="UN577"/>
      <c r="UO577"/>
      <c r="UP577"/>
      <c r="UQ577"/>
      <c r="UR577"/>
      <c r="US577"/>
      <c r="UT577"/>
      <c r="UU577"/>
      <c r="UV577"/>
      <c r="UW577"/>
      <c r="UX577"/>
      <c r="UY577"/>
      <c r="UZ577"/>
      <c r="VA577"/>
      <c r="VB577"/>
      <c r="VC577"/>
      <c r="VD577"/>
      <c r="VE577"/>
      <c r="VF577"/>
      <c r="VG577"/>
      <c r="VH577"/>
      <c r="VI577"/>
      <c r="VJ577"/>
      <c r="VK577"/>
      <c r="VL577"/>
      <c r="VM577"/>
      <c r="VN577"/>
      <c r="VO577"/>
      <c r="VP577"/>
      <c r="VQ577"/>
      <c r="VR577"/>
      <c r="VS577"/>
      <c r="VT577"/>
      <c r="VU577"/>
      <c r="VV577"/>
      <c r="VW577"/>
      <c r="VX577"/>
      <c r="VY577"/>
      <c r="VZ577"/>
      <c r="WA577"/>
      <c r="WB577"/>
      <c r="WC577"/>
      <c r="WD577"/>
      <c r="WE577"/>
      <c r="WF577"/>
      <c r="WG577"/>
      <c r="WH577"/>
      <c r="WI577"/>
      <c r="WJ577"/>
      <c r="WK577"/>
      <c r="WL577"/>
      <c r="WM577"/>
      <c r="WN577"/>
      <c r="WO577"/>
      <c r="WP577"/>
      <c r="WQ577"/>
      <c r="WR577"/>
      <c r="WS577"/>
      <c r="WT577"/>
      <c r="WU577"/>
      <c r="WV577"/>
      <c r="WW577"/>
      <c r="WX577"/>
      <c r="WY577"/>
      <c r="WZ577"/>
      <c r="XA577"/>
      <c r="XB577"/>
      <c r="XC577"/>
      <c r="XD577"/>
      <c r="XE577"/>
      <c r="XF577"/>
      <c r="XG577"/>
      <c r="XH577"/>
      <c r="XI577"/>
      <c r="XJ577"/>
      <c r="XK577"/>
      <c r="XL577"/>
      <c r="XM577"/>
      <c r="XN577"/>
      <c r="XO577"/>
      <c r="XP577"/>
      <c r="XQ577"/>
      <c r="XR577"/>
      <c r="XS577"/>
      <c r="XT577"/>
      <c r="XU577"/>
      <c r="XV577"/>
      <c r="XW577"/>
      <c r="XX577"/>
      <c r="XY577"/>
      <c r="XZ577"/>
      <c r="YA577"/>
      <c r="YB577"/>
      <c r="YC577"/>
      <c r="YD577"/>
      <c r="YE577"/>
      <c r="YF577"/>
      <c r="YG577"/>
      <c r="YH577"/>
      <c r="YI577"/>
      <c r="YJ577"/>
      <c r="YK577"/>
      <c r="YL577"/>
      <c r="YM577"/>
      <c r="YN577"/>
      <c r="YO577"/>
      <c r="YP577"/>
      <c r="YQ577"/>
      <c r="YR577"/>
      <c r="YS577"/>
      <c r="YT577"/>
      <c r="YU577"/>
      <c r="YV577"/>
      <c r="YW577"/>
      <c r="YX577"/>
      <c r="YY577"/>
      <c r="YZ577"/>
      <c r="ZA577"/>
      <c r="ZB577"/>
      <c r="ZC577"/>
      <c r="ZD577"/>
      <c r="ZE577"/>
      <c r="ZF577"/>
      <c r="ZG577"/>
      <c r="ZH577"/>
      <c r="ZI577"/>
      <c r="ZJ577"/>
      <c r="ZK577"/>
      <c r="ZL577"/>
      <c r="ZM577"/>
      <c r="ZN577"/>
      <c r="ZO577"/>
      <c r="ZP577"/>
      <c r="ZQ577"/>
      <c r="ZR577"/>
      <c r="ZS577"/>
      <c r="ZT577"/>
      <c r="ZU577"/>
      <c r="ZV577"/>
      <c r="ZW577"/>
      <c r="ZX577"/>
      <c r="ZY577"/>
      <c r="ZZ577"/>
      <c r="AAA577"/>
      <c r="AAB577"/>
      <c r="AAC577"/>
      <c r="AAD577"/>
      <c r="AAE577"/>
      <c r="AAF577"/>
      <c r="AAG577"/>
      <c r="AAH577"/>
      <c r="AAI577"/>
      <c r="AAJ577"/>
      <c r="AAK577"/>
      <c r="AAL577"/>
      <c r="AAM577"/>
      <c r="AAN577"/>
      <c r="AAO577"/>
      <c r="AAP577"/>
      <c r="AAQ577"/>
      <c r="AAR577"/>
      <c r="AAS577"/>
      <c r="AAT577"/>
      <c r="AAU577"/>
      <c r="AAV577"/>
      <c r="AAW577"/>
      <c r="AAX577"/>
      <c r="AAY577"/>
      <c r="AAZ577"/>
      <c r="ABA577"/>
      <c r="ABB577"/>
      <c r="ABC577"/>
      <c r="ABD577"/>
      <c r="ABE577"/>
      <c r="ABF577"/>
      <c r="ABG577"/>
      <c r="ABH577"/>
      <c r="ABI577"/>
      <c r="ABJ577"/>
      <c r="ABK577"/>
      <c r="ABL577"/>
      <c r="ABM577"/>
      <c r="ABN577"/>
      <c r="ABO577"/>
      <c r="ABP577"/>
      <c r="ABQ577"/>
      <c r="ABR577"/>
      <c r="ABS577"/>
      <c r="ABT577"/>
      <c r="ABU577"/>
      <c r="ABV577"/>
      <c r="ABW577"/>
      <c r="ABX577"/>
      <c r="ABY577"/>
      <c r="ABZ577"/>
      <c r="ACA577"/>
      <c r="ACB577"/>
      <c r="ACC577"/>
      <c r="ACD577"/>
      <c r="ACE577"/>
      <c r="ACF577"/>
      <c r="ACG577"/>
      <c r="ACH577"/>
      <c r="ACI577"/>
      <c r="ACJ577"/>
      <c r="ACK577"/>
      <c r="ACL577"/>
      <c r="ACM577"/>
      <c r="ACN577"/>
      <c r="ACO577"/>
      <c r="ACP577"/>
      <c r="ACQ577"/>
      <c r="ACR577"/>
      <c r="ACS577"/>
      <c r="ACT577"/>
      <c r="ACU577"/>
      <c r="ACV577"/>
      <c r="ACW577"/>
      <c r="ACX577"/>
      <c r="ACY577"/>
      <c r="ACZ577"/>
      <c r="ADA577"/>
      <c r="ADB577"/>
      <c r="ADC577"/>
      <c r="ADD577"/>
      <c r="ADE577"/>
      <c r="ADF577"/>
      <c r="ADG577"/>
      <c r="ADH577"/>
      <c r="ADI577"/>
      <c r="ADJ577"/>
      <c r="ADK577"/>
      <c r="ADL577"/>
      <c r="ADM577"/>
      <c r="ADN577"/>
      <c r="ADO577"/>
      <c r="ADP577"/>
      <c r="ADQ577"/>
      <c r="ADR577"/>
      <c r="ADS577"/>
      <c r="ADT577"/>
      <c r="ADU577"/>
      <c r="ADV577"/>
      <c r="ADW577"/>
      <c r="ADX577"/>
      <c r="ADY577"/>
      <c r="ADZ577"/>
      <c r="AEA577"/>
      <c r="AEB577"/>
      <c r="AEC577"/>
      <c r="AED577"/>
      <c r="AEE577"/>
      <c r="AEF577"/>
      <c r="AEG577"/>
      <c r="AEH577"/>
      <c r="AEI577"/>
      <c r="AEJ577"/>
      <c r="AEK577"/>
      <c r="AEL577"/>
      <c r="AEM577"/>
      <c r="AEN577"/>
      <c r="AEO577"/>
      <c r="AEP577"/>
      <c r="AEQ577"/>
      <c r="AER577"/>
      <c r="AES577"/>
      <c r="AET577"/>
      <c r="AEU577"/>
      <c r="AEV577"/>
      <c r="AEW577"/>
      <c r="AEX577"/>
      <c r="AEY577"/>
      <c r="AEZ577"/>
      <c r="AFA577"/>
      <c r="AFB577"/>
      <c r="AFC577"/>
      <c r="AFD577"/>
      <c r="AFE577"/>
      <c r="AFF577"/>
      <c r="AFG577"/>
      <c r="AFH577"/>
      <c r="AFI577"/>
      <c r="AFJ577"/>
      <c r="AFK577"/>
      <c r="AFL577"/>
      <c r="AFM577"/>
      <c r="AFN577"/>
      <c r="AFO577"/>
      <c r="AFP577"/>
      <c r="AFQ577"/>
      <c r="AFR577"/>
      <c r="AFS577"/>
      <c r="AFT577"/>
      <c r="AFU577"/>
      <c r="AFV577"/>
      <c r="AFW577"/>
      <c r="AFX577"/>
      <c r="AFY577"/>
      <c r="AFZ577"/>
      <c r="AGA577"/>
      <c r="AGB577"/>
      <c r="AGC577"/>
      <c r="AGD577"/>
      <c r="AGE577"/>
      <c r="AGF577"/>
      <c r="AGG577"/>
      <c r="AGH577"/>
      <c r="AGI577"/>
      <c r="AGJ577"/>
      <c r="AGK577"/>
      <c r="AGL577"/>
      <c r="AGM577"/>
      <c r="AGN577"/>
      <c r="AGO577"/>
      <c r="AGP577"/>
      <c r="AGQ577"/>
      <c r="AGR577"/>
      <c r="AGS577"/>
      <c r="AGT577"/>
      <c r="AGU577"/>
      <c r="AGV577"/>
      <c r="AGW577"/>
      <c r="AGX577"/>
      <c r="AGY577"/>
      <c r="AGZ577"/>
      <c r="AHA577"/>
      <c r="AHB577"/>
      <c r="AHC577"/>
      <c r="AHD577"/>
      <c r="AHE577"/>
      <c r="AHF577"/>
      <c r="AHG577"/>
      <c r="AHH577"/>
      <c r="AHI577"/>
      <c r="AHJ577"/>
      <c r="AHK577"/>
      <c r="AHL577"/>
      <c r="AHM577"/>
      <c r="AHN577"/>
      <c r="AHO577"/>
      <c r="AHP577"/>
      <c r="AHQ577"/>
      <c r="AHR577"/>
      <c r="AHS577"/>
      <c r="AHT577"/>
      <c r="AHU577"/>
      <c r="AHV577"/>
      <c r="AHW577"/>
      <c r="AHX577"/>
      <c r="AHY577"/>
      <c r="AHZ577"/>
      <c r="AIA577"/>
      <c r="AIB577"/>
      <c r="AIC577"/>
      <c r="AID577"/>
      <c r="AIE577"/>
      <c r="AIF577"/>
      <c r="AIG577"/>
      <c r="AIH577"/>
      <c r="AII577"/>
      <c r="AIJ577"/>
      <c r="AIK577"/>
      <c r="AIL577"/>
      <c r="AIM577"/>
      <c r="AIN577"/>
      <c r="AIO577"/>
      <c r="AIP577"/>
      <c r="AIQ577"/>
      <c r="AIR577"/>
      <c r="AIS577"/>
      <c r="AIT577"/>
      <c r="AIU577"/>
      <c r="AIV577"/>
      <c r="AIW577"/>
      <c r="AIX577"/>
      <c r="AIY577"/>
      <c r="AIZ577"/>
      <c r="AJA577"/>
      <c r="AJB577"/>
      <c r="AJC577"/>
      <c r="AJD577"/>
      <c r="AJE577"/>
      <c r="AJF577"/>
      <c r="AJG577"/>
      <c r="AJH577"/>
      <c r="AJI577"/>
      <c r="AJJ577"/>
      <c r="AJK577"/>
      <c r="AJL577"/>
      <c r="AJM577"/>
      <c r="AJN577"/>
      <c r="AJO577"/>
      <c r="AJP577"/>
      <c r="AJQ577"/>
      <c r="AJR577"/>
      <c r="AJS577"/>
      <c r="AJT577"/>
      <c r="AJU577"/>
      <c r="AJV577"/>
      <c r="AJW577"/>
      <c r="AJX577"/>
      <c r="AJY577"/>
      <c r="AJZ577"/>
      <c r="AKA577"/>
      <c r="AKB577"/>
      <c r="AKC577"/>
      <c r="AKD577"/>
      <c r="AKE577"/>
      <c r="AKF577"/>
      <c r="AKG577"/>
      <c r="AKH577"/>
      <c r="AKI577"/>
      <c r="AKJ577"/>
      <c r="AKK577"/>
      <c r="AKL577"/>
      <c r="AKM577"/>
      <c r="AKN577"/>
      <c r="AKO577"/>
      <c r="AKP577"/>
      <c r="AKQ577"/>
      <c r="AKR577"/>
      <c r="AKS577"/>
      <c r="AKT577"/>
      <c r="AKU577"/>
      <c r="AKV577"/>
      <c r="AKW577"/>
      <c r="AKX577"/>
      <c r="AKY577"/>
      <c r="AKZ577"/>
      <c r="ALA577"/>
      <c r="ALB577"/>
      <c r="ALC577"/>
      <c r="ALD577"/>
      <c r="ALE577"/>
      <c r="ALF577"/>
      <c r="ALG577"/>
      <c r="ALH577"/>
      <c r="ALI577"/>
      <c r="ALJ577"/>
      <c r="ALK577"/>
      <c r="ALL577"/>
      <c r="ALM577"/>
      <c r="ALN577"/>
      <c r="ALO577"/>
      <c r="ALP577"/>
      <c r="ALQ577"/>
      <c r="ALR577"/>
      <c r="ALS577"/>
      <c r="ALT577"/>
      <c r="ALU577"/>
      <c r="ALV577"/>
      <c r="ALW577"/>
      <c r="ALX577"/>
      <c r="ALY577"/>
      <c r="ALZ577"/>
      <c r="AMA577"/>
      <c r="AMB577"/>
      <c r="AMC577"/>
      <c r="AMD577"/>
      <c r="AME577"/>
      <c r="AMF577"/>
      <c r="AMG577"/>
      <c r="AMH577"/>
      <c r="AMI577"/>
      <c r="AMJ577"/>
    </row>
    <row r="578" spans="1:1024">
      <c r="A578" s="7" t="s">
        <v>582</v>
      </c>
      <c r="B578" s="7">
        <v>518980</v>
      </c>
      <c r="C578" s="11"/>
      <c r="D578" s="12">
        <v>2</v>
      </c>
      <c r="E578" s="7">
        <f>VLOOKUP(B578,Gesamtstunden_26!B:I,8,0)</f>
        <v>4.333333333333333</v>
      </c>
      <c r="F578" s="13">
        <f t="shared" ref="F578:F641" si="9">D578-E578</f>
        <v>-2.333333333333333</v>
      </c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1"/>
      <c r="AV578" s="11"/>
      <c r="AW578" s="11"/>
      <c r="AX578" s="11"/>
      <c r="AY578" s="11"/>
      <c r="AZ578" s="11"/>
      <c r="BA578" s="11"/>
      <c r="BB578" s="11"/>
      <c r="BC578" s="11"/>
      <c r="BD578" s="11"/>
      <c r="BE578" s="11"/>
      <c r="BF578" s="11"/>
      <c r="BG578" s="11"/>
      <c r="BH578" s="11"/>
      <c r="BI578" s="11"/>
      <c r="BJ578" s="11"/>
      <c r="BK578" s="11"/>
      <c r="BL578" s="11"/>
      <c r="BM578" s="11"/>
      <c r="BN578" s="11"/>
      <c r="BO578" s="11"/>
      <c r="BP578" s="11"/>
      <c r="BQ578" s="11"/>
      <c r="BR578" s="11"/>
      <c r="BS578" s="11"/>
      <c r="BT578" s="11"/>
      <c r="BU578" s="11"/>
      <c r="BV578" s="11"/>
      <c r="BW578" s="11"/>
      <c r="BX578" s="11"/>
      <c r="BY578" s="11"/>
      <c r="BZ578" s="11"/>
      <c r="CA578" s="11"/>
      <c r="CB578" s="11"/>
      <c r="CC578" s="11"/>
      <c r="CD578" s="11"/>
      <c r="CE578" s="11"/>
      <c r="CF578" s="11"/>
      <c r="CG578" s="11"/>
      <c r="CH578" s="11"/>
      <c r="CI578" s="11"/>
      <c r="CJ578" s="11"/>
      <c r="CK578" s="11"/>
      <c r="CL578" s="11"/>
      <c r="CM578" s="11"/>
      <c r="CN578" s="11"/>
      <c r="CO578" s="11"/>
      <c r="CP578" s="11"/>
      <c r="CQ578" s="11"/>
      <c r="CR578" s="11"/>
      <c r="CS578" s="11"/>
      <c r="CT578" s="11"/>
      <c r="CU578" s="11"/>
      <c r="CV578" s="11"/>
      <c r="CW578" s="11"/>
      <c r="CX578" s="11"/>
      <c r="CY578" s="11"/>
      <c r="CZ578" s="11"/>
      <c r="DA578" s="11"/>
      <c r="DB578" s="11"/>
      <c r="DC578" s="11"/>
      <c r="DD578" s="11"/>
      <c r="DE578" s="11"/>
      <c r="DF578" s="11"/>
      <c r="DG578" s="11"/>
      <c r="DH578" s="11"/>
      <c r="DI578" s="11"/>
      <c r="DJ578" s="11"/>
      <c r="DK578" s="11"/>
      <c r="DL578" s="11"/>
      <c r="DM578" s="11"/>
      <c r="DN578" s="11"/>
      <c r="DO578" s="11"/>
      <c r="DP578" s="11"/>
      <c r="DQ578" s="11"/>
      <c r="DR578" s="11"/>
      <c r="DS578" s="11"/>
      <c r="DT578" s="11"/>
      <c r="DU578" s="11"/>
      <c r="DV578" s="11"/>
      <c r="DW578" s="11"/>
      <c r="DX578" s="11"/>
      <c r="DY578" s="11"/>
      <c r="DZ578" s="11"/>
      <c r="EA578" s="11"/>
      <c r="EB578" s="11"/>
      <c r="EC578" s="11"/>
      <c r="ED578" s="11"/>
      <c r="EE578" s="11"/>
      <c r="EF578" s="11"/>
      <c r="EG578" s="11"/>
      <c r="EH578" s="11"/>
      <c r="EI578" s="11"/>
      <c r="EJ578" s="11"/>
      <c r="EK578" s="11"/>
      <c r="EL578" s="11"/>
      <c r="EM578" s="11"/>
      <c r="EN578" s="11"/>
      <c r="EO578" s="11"/>
      <c r="EP578" s="11"/>
      <c r="EQ578" s="11"/>
      <c r="ER578" s="11"/>
      <c r="ES578" s="11"/>
      <c r="ET578" s="11"/>
      <c r="EU578" s="11"/>
      <c r="EV578" s="11"/>
      <c r="EW578" s="11"/>
      <c r="EX578" s="11"/>
      <c r="EY578" s="11"/>
      <c r="EZ578" s="11"/>
      <c r="FA578" s="11"/>
      <c r="FB578" s="11"/>
      <c r="FC578" s="11"/>
      <c r="FD578" s="11"/>
      <c r="FE578" s="11"/>
      <c r="FF578" s="11"/>
      <c r="FG578" s="11"/>
      <c r="FH578" s="11"/>
      <c r="FI578" s="11"/>
      <c r="FJ578" s="11"/>
      <c r="FK578" s="11"/>
      <c r="FL578" s="11"/>
      <c r="FM578" s="11"/>
      <c r="FN578" s="11"/>
      <c r="FO578" s="11"/>
      <c r="FP578" s="11"/>
      <c r="FQ578" s="11"/>
      <c r="FR578" s="11"/>
      <c r="FS578" s="11"/>
      <c r="FT578" s="11"/>
      <c r="FU578" s="11"/>
      <c r="FV578" s="11"/>
      <c r="FW578" s="11"/>
      <c r="FX578" s="11"/>
      <c r="FY578" s="11"/>
      <c r="FZ578" s="11"/>
      <c r="GA578" s="11"/>
      <c r="GB578" s="11"/>
      <c r="GC578" s="11"/>
      <c r="GD578" s="11"/>
      <c r="GE578" s="11"/>
      <c r="GF578" s="11"/>
      <c r="GG578" s="11"/>
      <c r="GH578" s="11"/>
      <c r="GI578" s="11"/>
      <c r="GJ578" s="11"/>
      <c r="GK578" s="11"/>
      <c r="GL578" s="11"/>
      <c r="GM578" s="11"/>
      <c r="GN578" s="11"/>
      <c r="GO578" s="11"/>
      <c r="GP578" s="11"/>
      <c r="GQ578" s="11"/>
      <c r="GR578" s="11"/>
      <c r="GS578" s="11"/>
      <c r="GT578" s="11"/>
      <c r="GU578" s="11"/>
      <c r="GV578" s="11"/>
      <c r="GW578" s="11"/>
      <c r="GX578" s="11"/>
      <c r="GY578" s="11"/>
      <c r="GZ578" s="11"/>
      <c r="HA578" s="11"/>
      <c r="HB578" s="11"/>
      <c r="HC578" s="11"/>
      <c r="HD578" s="11"/>
      <c r="HE578" s="11"/>
      <c r="HF578" s="11"/>
      <c r="HG578" s="11"/>
      <c r="HH578" s="11"/>
      <c r="HI578" s="11"/>
      <c r="HJ578" s="11"/>
      <c r="HK578" s="11"/>
      <c r="HL578" s="11"/>
      <c r="HM578" s="11"/>
      <c r="HN578" s="11"/>
      <c r="HO578" s="11"/>
      <c r="HP578" s="11"/>
      <c r="HQ578" s="11"/>
      <c r="HR578" s="11"/>
      <c r="HS578" s="11"/>
      <c r="HT578" s="11"/>
      <c r="HU578" s="11"/>
      <c r="HV578" s="11"/>
      <c r="HW578" s="11"/>
      <c r="HX578" s="11"/>
      <c r="HY578" s="11"/>
      <c r="HZ578" s="11"/>
      <c r="IA578" s="11"/>
      <c r="IB578" s="11"/>
      <c r="IC578" s="11"/>
      <c r="ID578" s="11"/>
      <c r="IE578" s="11"/>
      <c r="IF578" s="11"/>
      <c r="IG578" s="11"/>
      <c r="IH578" s="11"/>
      <c r="II578" s="11"/>
      <c r="IJ578" s="11"/>
      <c r="IK578" s="11"/>
      <c r="IL578" s="11"/>
      <c r="IM578" s="11"/>
      <c r="IN578" s="11"/>
      <c r="IO578" s="11"/>
      <c r="IP578" s="11"/>
      <c r="IQ578" s="11"/>
      <c r="IR578" s="11"/>
      <c r="IS578" s="11"/>
      <c r="IT578" s="11"/>
      <c r="IU578" s="11"/>
      <c r="IV578" s="11"/>
      <c r="IW578" s="11"/>
      <c r="IX578" s="11"/>
      <c r="IY578" s="11"/>
      <c r="IZ578" s="11"/>
      <c r="JA578" s="11"/>
      <c r="JB578" s="11"/>
      <c r="JC578" s="11"/>
      <c r="JD578" s="11"/>
      <c r="JE578" s="11"/>
      <c r="JF578" s="11"/>
      <c r="JG578" s="11"/>
      <c r="JH578" s="11"/>
      <c r="JI578" s="11"/>
      <c r="JJ578" s="11"/>
      <c r="JK578" s="11"/>
      <c r="JL578" s="11"/>
      <c r="JM578" s="11"/>
      <c r="JN578" s="11"/>
      <c r="JO578" s="11"/>
      <c r="JP578" s="11"/>
      <c r="JQ578" s="11"/>
      <c r="JR578" s="11"/>
      <c r="JS578" s="11"/>
      <c r="JT578" s="11"/>
      <c r="JU578" s="11"/>
      <c r="JV578" s="11"/>
      <c r="JW578" s="11"/>
      <c r="JX578" s="11"/>
      <c r="JY578" s="11"/>
      <c r="JZ578" s="11"/>
      <c r="KA578" s="11"/>
      <c r="KB578" s="11"/>
      <c r="KC578" s="11"/>
      <c r="KD578" s="11"/>
      <c r="KE578" s="11"/>
      <c r="KF578" s="11"/>
      <c r="KG578" s="11"/>
      <c r="KH578" s="11"/>
      <c r="KI578" s="11"/>
      <c r="KJ578" s="11"/>
      <c r="KK578" s="11"/>
      <c r="KL578" s="11"/>
      <c r="KM578" s="11"/>
      <c r="KN578" s="11"/>
      <c r="KO578" s="11"/>
      <c r="KP578" s="11"/>
      <c r="KQ578" s="11"/>
      <c r="KR578" s="11"/>
      <c r="KS578" s="11"/>
      <c r="KT578" s="11"/>
      <c r="KU578" s="11"/>
      <c r="KV578" s="11"/>
      <c r="KW578" s="11"/>
      <c r="KX578" s="11"/>
      <c r="KY578" s="11"/>
      <c r="KZ578" s="11"/>
      <c r="LA578" s="11"/>
      <c r="LB578" s="11"/>
      <c r="LC578" s="11"/>
      <c r="LD578" s="11"/>
      <c r="LE578" s="11"/>
      <c r="LF578" s="11"/>
      <c r="LG578" s="11"/>
      <c r="LH578" s="11"/>
      <c r="LI578" s="11"/>
      <c r="LJ578" s="11"/>
      <c r="LK578" s="11"/>
      <c r="LL578" s="11"/>
      <c r="LM578" s="11"/>
      <c r="LN578" s="11"/>
      <c r="LO578" s="11"/>
      <c r="LP578" s="11"/>
      <c r="LQ578" s="11"/>
      <c r="LR578" s="11"/>
      <c r="LS578" s="11"/>
      <c r="LT578" s="11"/>
      <c r="LU578" s="11"/>
      <c r="LV578" s="11"/>
      <c r="LW578" s="11"/>
      <c r="LX578" s="11"/>
      <c r="LY578" s="11"/>
      <c r="LZ578" s="11"/>
      <c r="MA578" s="11"/>
      <c r="MB578" s="11"/>
      <c r="MC578" s="11"/>
      <c r="MD578" s="11"/>
      <c r="ME578" s="11"/>
      <c r="MF578" s="11"/>
      <c r="MG578" s="11"/>
      <c r="MH578" s="11"/>
      <c r="MI578" s="11"/>
      <c r="MJ578" s="11"/>
      <c r="MK578" s="11"/>
      <c r="ML578" s="11"/>
      <c r="MM578" s="11"/>
      <c r="MN578" s="11"/>
      <c r="MO578" s="11"/>
      <c r="MP578" s="11"/>
      <c r="MQ578" s="11"/>
      <c r="MR578" s="11"/>
      <c r="MS578" s="11"/>
      <c r="MT578" s="11"/>
      <c r="MU578" s="11"/>
      <c r="MV578" s="11"/>
      <c r="MW578" s="11"/>
      <c r="MX578" s="11"/>
      <c r="MY578" s="11"/>
      <c r="MZ578" s="11"/>
      <c r="NA578" s="11"/>
      <c r="NB578" s="11"/>
      <c r="NC578" s="11"/>
      <c r="ND578" s="11"/>
      <c r="NE578" s="11"/>
      <c r="NF578" s="11"/>
      <c r="NG578" s="11"/>
      <c r="NH578" s="11"/>
      <c r="NI578" s="11"/>
      <c r="NJ578" s="11"/>
      <c r="NK578" s="11"/>
      <c r="NL578" s="11"/>
      <c r="NM578" s="11"/>
      <c r="NN578" s="11"/>
      <c r="NO578" s="11"/>
      <c r="NP578" s="11"/>
      <c r="NQ578" s="11"/>
      <c r="NR578" s="11"/>
      <c r="NS578" s="11"/>
      <c r="NT578" s="11"/>
      <c r="NU578" s="11"/>
      <c r="NV578" s="11"/>
      <c r="NW578" s="11"/>
      <c r="NX578" s="11"/>
      <c r="NY578" s="11"/>
      <c r="NZ578" s="11"/>
      <c r="OA578" s="11"/>
      <c r="OB578" s="11"/>
      <c r="OC578" s="11"/>
      <c r="OD578" s="11"/>
      <c r="OE578" s="11"/>
      <c r="OF578" s="11"/>
      <c r="OG578" s="11"/>
      <c r="OH578" s="11"/>
      <c r="OI578" s="11"/>
      <c r="OJ578" s="11"/>
      <c r="OK578" s="11"/>
      <c r="OL578" s="11"/>
      <c r="OM578" s="11"/>
      <c r="ON578" s="11"/>
      <c r="OO578" s="11"/>
      <c r="OP578" s="11"/>
      <c r="OQ578" s="11"/>
      <c r="OR578" s="11"/>
      <c r="OS578" s="11"/>
      <c r="OT578" s="11"/>
      <c r="OU578" s="11"/>
      <c r="OV578" s="11"/>
      <c r="OW578" s="11"/>
      <c r="OX578" s="11"/>
      <c r="OY578" s="11"/>
      <c r="OZ578" s="11"/>
      <c r="PA578" s="11"/>
      <c r="PB578" s="11"/>
      <c r="PC578" s="11"/>
      <c r="PD578" s="11"/>
      <c r="PE578" s="11"/>
      <c r="PF578" s="11"/>
      <c r="PG578" s="11"/>
      <c r="PH578" s="11"/>
      <c r="PI578" s="11"/>
      <c r="PJ578" s="11"/>
      <c r="PK578" s="11"/>
      <c r="PL578" s="11"/>
      <c r="PM578" s="11"/>
      <c r="PN578" s="11"/>
      <c r="PO578" s="11"/>
      <c r="PP578" s="11"/>
      <c r="PQ578" s="11"/>
      <c r="PR578" s="11"/>
      <c r="PS578" s="11"/>
      <c r="PT578" s="11"/>
      <c r="PU578" s="11"/>
      <c r="PV578" s="11"/>
      <c r="PW578" s="11"/>
      <c r="PX578" s="11"/>
      <c r="PY578" s="11"/>
      <c r="PZ578" s="11"/>
      <c r="QA578" s="11"/>
      <c r="QB578" s="11"/>
      <c r="QC578" s="11"/>
      <c r="QD578" s="11"/>
      <c r="QE578" s="11"/>
      <c r="QF578" s="11"/>
      <c r="QG578" s="11"/>
      <c r="QH578" s="11"/>
      <c r="QI578" s="11"/>
      <c r="QJ578" s="11"/>
      <c r="QK578" s="11"/>
      <c r="QL578" s="11"/>
      <c r="QM578" s="11"/>
      <c r="QN578" s="11"/>
      <c r="QO578" s="11"/>
      <c r="QP578" s="11"/>
      <c r="QQ578" s="11"/>
      <c r="QR578" s="11"/>
      <c r="QS578" s="11"/>
      <c r="QT578" s="11"/>
      <c r="QU578" s="11"/>
      <c r="QV578" s="11"/>
      <c r="QW578" s="11"/>
      <c r="QX578" s="11"/>
      <c r="QY578" s="11"/>
      <c r="QZ578" s="11"/>
      <c r="RA578" s="11"/>
      <c r="RB578" s="11"/>
      <c r="RC578" s="11"/>
      <c r="RD578" s="11"/>
      <c r="RE578" s="11"/>
      <c r="RF578" s="11"/>
      <c r="RG578" s="11"/>
      <c r="RH578" s="11"/>
      <c r="RI578" s="11"/>
      <c r="RJ578" s="11"/>
      <c r="RK578" s="11"/>
      <c r="RL578" s="11"/>
      <c r="RM578" s="11"/>
      <c r="RN578" s="11"/>
      <c r="RO578" s="11"/>
      <c r="RP578" s="11"/>
      <c r="RQ578" s="11"/>
      <c r="RR578" s="11"/>
      <c r="RS578" s="11"/>
      <c r="RT578" s="11"/>
      <c r="RU578" s="11"/>
      <c r="RV578" s="11"/>
      <c r="RW578" s="11"/>
      <c r="RX578" s="11"/>
      <c r="RY578" s="11"/>
      <c r="RZ578" s="11"/>
      <c r="SA578" s="11"/>
      <c r="SB578" s="11"/>
      <c r="SC578" s="11"/>
      <c r="SD578" s="11"/>
      <c r="SE578" s="11"/>
      <c r="SF578" s="11"/>
      <c r="SG578" s="11"/>
      <c r="SH578" s="11"/>
      <c r="SI578" s="11"/>
      <c r="SJ578" s="11"/>
      <c r="SK578" s="11"/>
      <c r="SL578" s="11"/>
      <c r="SM578" s="11"/>
      <c r="SN578" s="11"/>
      <c r="SO578" s="11"/>
      <c r="SP578" s="11"/>
      <c r="SQ578" s="11"/>
      <c r="SR578" s="11"/>
      <c r="SS578" s="11"/>
      <c r="ST578" s="11"/>
      <c r="SU578" s="11"/>
      <c r="SV578" s="11"/>
      <c r="SW578" s="11"/>
      <c r="SX578" s="11"/>
      <c r="SY578" s="11"/>
      <c r="SZ578" s="11"/>
      <c r="TA578" s="11"/>
      <c r="TB578" s="11"/>
      <c r="TC578" s="11"/>
      <c r="TD578" s="11"/>
      <c r="TE578" s="11"/>
      <c r="TF578" s="11"/>
      <c r="TG578" s="11"/>
      <c r="TH578" s="11"/>
      <c r="TI578" s="11"/>
      <c r="TJ578" s="11"/>
      <c r="TK578" s="11"/>
      <c r="TL578" s="11"/>
      <c r="TM578" s="11"/>
      <c r="TN578" s="11"/>
      <c r="TO578" s="11"/>
      <c r="TP578" s="11"/>
      <c r="TQ578" s="11"/>
      <c r="TR578" s="11"/>
      <c r="TS578" s="11"/>
      <c r="TT578" s="11"/>
      <c r="TU578" s="11"/>
      <c r="TV578" s="11"/>
      <c r="TW578" s="11"/>
      <c r="TX578" s="11"/>
      <c r="TY578" s="11"/>
      <c r="TZ578" s="11"/>
      <c r="UA578" s="11"/>
      <c r="UB578" s="11"/>
      <c r="UC578" s="11"/>
      <c r="UD578" s="11"/>
      <c r="UE578" s="11"/>
      <c r="UF578" s="11"/>
      <c r="UG578" s="11"/>
      <c r="UH578" s="11"/>
      <c r="UI578" s="11"/>
      <c r="UJ578" s="11"/>
      <c r="UK578" s="11"/>
      <c r="UL578" s="11"/>
      <c r="UM578" s="11"/>
      <c r="UN578" s="11"/>
      <c r="UO578" s="11"/>
      <c r="UP578" s="11"/>
      <c r="UQ578" s="11"/>
      <c r="UR578" s="11"/>
      <c r="US578" s="11"/>
      <c r="UT578" s="11"/>
      <c r="UU578" s="11"/>
      <c r="UV578" s="11"/>
      <c r="UW578" s="11"/>
      <c r="UX578" s="11"/>
      <c r="UY578" s="11"/>
      <c r="UZ578" s="11"/>
      <c r="VA578" s="11"/>
      <c r="VB578" s="11"/>
      <c r="VC578" s="11"/>
      <c r="VD578" s="11"/>
      <c r="VE578" s="11"/>
      <c r="VF578" s="11"/>
      <c r="VG578" s="11"/>
      <c r="VH578" s="11"/>
      <c r="VI578" s="11"/>
      <c r="VJ578" s="11"/>
      <c r="VK578" s="11"/>
      <c r="VL578" s="11"/>
      <c r="VM578" s="11"/>
      <c r="VN578" s="11"/>
      <c r="VO578" s="11"/>
      <c r="VP578" s="11"/>
      <c r="VQ578" s="11"/>
      <c r="VR578" s="11"/>
      <c r="VS578" s="11"/>
      <c r="VT578" s="11"/>
      <c r="VU578" s="11"/>
      <c r="VV578" s="11"/>
      <c r="VW578" s="11"/>
      <c r="VX578" s="11"/>
      <c r="VY578" s="11"/>
      <c r="VZ578" s="11"/>
      <c r="WA578" s="11"/>
      <c r="WB578" s="11"/>
      <c r="WC578" s="11"/>
      <c r="WD578" s="11"/>
      <c r="WE578" s="11"/>
      <c r="WF578" s="11"/>
      <c r="WG578" s="11"/>
      <c r="WH578" s="11"/>
      <c r="WI578" s="11"/>
      <c r="WJ578" s="11"/>
      <c r="WK578" s="11"/>
      <c r="WL578" s="11"/>
      <c r="WM578" s="11"/>
      <c r="WN578" s="11"/>
      <c r="WO578" s="11"/>
      <c r="WP578" s="11"/>
      <c r="WQ578" s="11"/>
      <c r="WR578" s="11"/>
      <c r="WS578" s="11"/>
      <c r="WT578" s="11"/>
      <c r="WU578" s="11"/>
      <c r="WV578" s="11"/>
      <c r="WW578" s="11"/>
      <c r="WX578" s="11"/>
      <c r="WY578" s="11"/>
      <c r="WZ578" s="11"/>
      <c r="XA578" s="11"/>
      <c r="XB578" s="11"/>
      <c r="XC578" s="11"/>
      <c r="XD578" s="11"/>
      <c r="XE578" s="11"/>
      <c r="XF578" s="11"/>
      <c r="XG578" s="11"/>
      <c r="XH578" s="11"/>
      <c r="XI578" s="11"/>
      <c r="XJ578" s="11"/>
      <c r="XK578" s="11"/>
      <c r="XL578" s="11"/>
      <c r="XM578" s="11"/>
      <c r="XN578" s="11"/>
      <c r="XO578" s="11"/>
      <c r="XP578" s="11"/>
      <c r="XQ578" s="11"/>
      <c r="XR578" s="11"/>
      <c r="XS578" s="11"/>
      <c r="XT578" s="11"/>
      <c r="XU578" s="11"/>
      <c r="XV578" s="11"/>
      <c r="XW578" s="11"/>
      <c r="XX578" s="11"/>
      <c r="XY578" s="11"/>
      <c r="XZ578" s="11"/>
      <c r="YA578" s="11"/>
      <c r="YB578" s="11"/>
      <c r="YC578" s="11"/>
      <c r="YD578" s="11"/>
      <c r="YE578" s="11"/>
      <c r="YF578" s="11"/>
      <c r="YG578" s="11"/>
      <c r="YH578" s="11"/>
      <c r="YI578" s="11"/>
      <c r="YJ578" s="11"/>
      <c r="YK578" s="11"/>
      <c r="YL578" s="11"/>
      <c r="YM578" s="11"/>
      <c r="YN578" s="11"/>
      <c r="YO578" s="11"/>
      <c r="YP578" s="11"/>
      <c r="YQ578" s="11"/>
      <c r="YR578" s="11"/>
      <c r="YS578" s="11"/>
      <c r="YT578" s="11"/>
      <c r="YU578" s="11"/>
      <c r="YV578" s="11"/>
      <c r="YW578" s="11"/>
      <c r="YX578" s="11"/>
      <c r="YY578" s="11"/>
      <c r="YZ578" s="11"/>
      <c r="ZA578" s="11"/>
      <c r="ZB578" s="11"/>
      <c r="ZC578" s="11"/>
      <c r="ZD578" s="11"/>
      <c r="ZE578" s="11"/>
      <c r="ZF578" s="11"/>
      <c r="ZG578" s="11"/>
      <c r="ZH578" s="11"/>
      <c r="ZI578" s="11"/>
      <c r="ZJ578" s="11"/>
      <c r="ZK578" s="11"/>
      <c r="ZL578" s="11"/>
      <c r="ZM578" s="11"/>
      <c r="ZN578" s="11"/>
      <c r="ZO578" s="11"/>
      <c r="ZP578" s="11"/>
      <c r="ZQ578" s="11"/>
      <c r="ZR578" s="11"/>
      <c r="ZS578" s="11"/>
      <c r="ZT578" s="11"/>
      <c r="ZU578" s="11"/>
      <c r="ZV578" s="11"/>
      <c r="ZW578" s="11"/>
      <c r="ZX578" s="11"/>
      <c r="ZY578" s="11"/>
      <c r="ZZ578" s="11"/>
      <c r="AAA578" s="11"/>
      <c r="AAB578" s="11"/>
      <c r="AAC578" s="11"/>
      <c r="AAD578" s="11"/>
      <c r="AAE578" s="11"/>
      <c r="AAF578" s="11"/>
      <c r="AAG578" s="11"/>
      <c r="AAH578" s="11"/>
      <c r="AAI578" s="11"/>
      <c r="AAJ578" s="11"/>
      <c r="AAK578" s="11"/>
      <c r="AAL578" s="11"/>
      <c r="AAM578" s="11"/>
      <c r="AAN578" s="11"/>
      <c r="AAO578" s="11"/>
      <c r="AAP578" s="11"/>
      <c r="AAQ578" s="11"/>
      <c r="AAR578" s="11"/>
      <c r="AAS578" s="11"/>
      <c r="AAT578" s="11"/>
      <c r="AAU578" s="11"/>
      <c r="AAV578" s="11"/>
      <c r="AAW578" s="11"/>
      <c r="AAX578" s="11"/>
      <c r="AAY578" s="11"/>
      <c r="AAZ578" s="11"/>
      <c r="ABA578" s="11"/>
      <c r="ABB578" s="11"/>
      <c r="ABC578" s="11"/>
      <c r="ABD578" s="11"/>
      <c r="ABE578" s="11"/>
      <c r="ABF578" s="11"/>
      <c r="ABG578" s="11"/>
      <c r="ABH578" s="11"/>
      <c r="ABI578" s="11"/>
      <c r="ABJ578" s="11"/>
      <c r="ABK578" s="11"/>
      <c r="ABL578" s="11"/>
      <c r="ABM578" s="11"/>
      <c r="ABN578" s="11"/>
      <c r="ABO578" s="11"/>
      <c r="ABP578" s="11"/>
      <c r="ABQ578" s="11"/>
      <c r="ABR578" s="11"/>
      <c r="ABS578" s="11"/>
      <c r="ABT578" s="11"/>
      <c r="ABU578" s="11"/>
      <c r="ABV578" s="11"/>
      <c r="ABW578" s="11"/>
      <c r="ABX578" s="11"/>
      <c r="ABY578" s="11"/>
      <c r="ABZ578" s="11"/>
      <c r="ACA578" s="11"/>
      <c r="ACB578" s="11"/>
      <c r="ACC578" s="11"/>
      <c r="ACD578" s="11"/>
      <c r="ACE578" s="11"/>
      <c r="ACF578" s="11"/>
      <c r="ACG578" s="11"/>
      <c r="ACH578" s="11"/>
      <c r="ACI578" s="11"/>
      <c r="ACJ578" s="11"/>
      <c r="ACK578" s="11"/>
      <c r="ACL578" s="11"/>
      <c r="ACM578" s="11"/>
      <c r="ACN578" s="11"/>
      <c r="ACO578" s="11"/>
      <c r="ACP578" s="11"/>
      <c r="ACQ578" s="11"/>
      <c r="ACR578" s="11"/>
      <c r="ACS578" s="11"/>
      <c r="ACT578" s="11"/>
      <c r="ACU578" s="11"/>
      <c r="ACV578" s="11"/>
      <c r="ACW578" s="11"/>
      <c r="ACX578" s="11"/>
      <c r="ACY578" s="11"/>
      <c r="ACZ578" s="11"/>
      <c r="ADA578" s="11"/>
      <c r="ADB578" s="11"/>
      <c r="ADC578" s="11"/>
      <c r="ADD578" s="11"/>
      <c r="ADE578" s="11"/>
      <c r="ADF578" s="11"/>
      <c r="ADG578" s="11"/>
      <c r="ADH578" s="11"/>
      <c r="ADI578" s="11"/>
      <c r="ADJ578" s="11"/>
      <c r="ADK578" s="11"/>
      <c r="ADL578" s="11"/>
      <c r="ADM578" s="11"/>
      <c r="ADN578" s="11"/>
      <c r="ADO578" s="11"/>
      <c r="ADP578" s="11"/>
      <c r="ADQ578" s="11"/>
      <c r="ADR578" s="11"/>
      <c r="ADS578" s="11"/>
      <c r="ADT578" s="11"/>
      <c r="ADU578" s="11"/>
      <c r="ADV578" s="11"/>
      <c r="ADW578" s="11"/>
      <c r="ADX578" s="11"/>
      <c r="ADY578" s="11"/>
      <c r="ADZ578" s="11"/>
      <c r="AEA578" s="11"/>
      <c r="AEB578" s="11"/>
      <c r="AEC578" s="11"/>
      <c r="AED578" s="11"/>
      <c r="AEE578" s="11"/>
      <c r="AEF578" s="11"/>
      <c r="AEG578" s="11"/>
      <c r="AEH578" s="11"/>
      <c r="AEI578" s="11"/>
      <c r="AEJ578" s="11"/>
      <c r="AEK578" s="11"/>
      <c r="AEL578" s="11"/>
      <c r="AEM578" s="11"/>
      <c r="AEN578" s="11"/>
      <c r="AEO578" s="11"/>
      <c r="AEP578" s="11"/>
      <c r="AEQ578" s="11"/>
      <c r="AER578" s="11"/>
      <c r="AES578" s="11"/>
      <c r="AET578" s="11"/>
      <c r="AEU578" s="11"/>
      <c r="AEV578" s="11"/>
      <c r="AEW578" s="11"/>
      <c r="AEX578" s="11"/>
      <c r="AEY578" s="11"/>
      <c r="AEZ578" s="11"/>
      <c r="AFA578" s="11"/>
      <c r="AFB578" s="11"/>
      <c r="AFC578" s="11"/>
      <c r="AFD578" s="11"/>
      <c r="AFE578" s="11"/>
      <c r="AFF578" s="11"/>
      <c r="AFG578" s="11"/>
      <c r="AFH578" s="11"/>
      <c r="AFI578" s="11"/>
      <c r="AFJ578" s="11"/>
      <c r="AFK578" s="11"/>
      <c r="AFL578" s="11"/>
      <c r="AFM578" s="11"/>
      <c r="AFN578" s="11"/>
      <c r="AFO578" s="11"/>
      <c r="AFP578" s="11"/>
      <c r="AFQ578" s="11"/>
      <c r="AFR578" s="11"/>
      <c r="AFS578" s="11"/>
      <c r="AFT578" s="11"/>
      <c r="AFU578" s="11"/>
      <c r="AFV578" s="11"/>
      <c r="AFW578" s="11"/>
      <c r="AFX578" s="11"/>
      <c r="AFY578" s="11"/>
      <c r="AFZ578" s="11"/>
      <c r="AGA578" s="11"/>
      <c r="AGB578" s="11"/>
      <c r="AGC578" s="11"/>
      <c r="AGD578" s="11"/>
      <c r="AGE578" s="11"/>
      <c r="AGF578" s="11"/>
      <c r="AGG578" s="11"/>
      <c r="AGH578" s="11"/>
      <c r="AGI578" s="11"/>
      <c r="AGJ578" s="11"/>
      <c r="AGK578" s="11"/>
      <c r="AGL578" s="11"/>
      <c r="AGM578" s="11"/>
      <c r="AGN578" s="11"/>
      <c r="AGO578" s="11"/>
      <c r="AGP578" s="11"/>
      <c r="AGQ578" s="11"/>
      <c r="AGR578" s="11"/>
      <c r="AGS578" s="11"/>
      <c r="AGT578" s="11"/>
      <c r="AGU578" s="11"/>
      <c r="AGV578" s="11"/>
      <c r="AGW578" s="11"/>
      <c r="AGX578" s="11"/>
      <c r="AGY578" s="11"/>
      <c r="AGZ578" s="11"/>
      <c r="AHA578" s="11"/>
      <c r="AHB578" s="11"/>
      <c r="AHC578" s="11"/>
      <c r="AHD578" s="11"/>
      <c r="AHE578" s="11"/>
      <c r="AHF578" s="11"/>
      <c r="AHG578" s="11"/>
      <c r="AHH578" s="11"/>
      <c r="AHI578" s="11"/>
      <c r="AHJ578" s="11"/>
      <c r="AHK578" s="11"/>
      <c r="AHL578" s="11"/>
      <c r="AHM578" s="11"/>
      <c r="AHN578" s="11"/>
      <c r="AHO578" s="11"/>
      <c r="AHP578" s="11"/>
      <c r="AHQ578" s="11"/>
      <c r="AHR578" s="11"/>
      <c r="AHS578" s="11"/>
      <c r="AHT578" s="11"/>
      <c r="AHU578" s="11"/>
      <c r="AHV578" s="11"/>
      <c r="AHW578" s="11"/>
      <c r="AHX578" s="11"/>
      <c r="AHY578" s="11"/>
      <c r="AHZ578" s="11"/>
      <c r="AIA578" s="11"/>
      <c r="AIB578" s="11"/>
      <c r="AIC578" s="11"/>
      <c r="AID578" s="11"/>
      <c r="AIE578" s="11"/>
      <c r="AIF578" s="11"/>
      <c r="AIG578" s="11"/>
      <c r="AIH578" s="11"/>
      <c r="AII578" s="11"/>
      <c r="AIJ578" s="11"/>
      <c r="AIK578" s="11"/>
      <c r="AIL578" s="11"/>
      <c r="AIM578" s="11"/>
      <c r="AIN578" s="11"/>
      <c r="AIO578" s="11"/>
      <c r="AIP578" s="11"/>
      <c r="AIQ578" s="11"/>
      <c r="AIR578" s="11"/>
      <c r="AIS578" s="11"/>
      <c r="AIT578" s="11"/>
      <c r="AIU578" s="11"/>
      <c r="AIV578" s="11"/>
      <c r="AIW578" s="11"/>
      <c r="AIX578" s="11"/>
      <c r="AIY578" s="11"/>
      <c r="AIZ578" s="11"/>
      <c r="AJA578" s="11"/>
      <c r="AJB578" s="11"/>
      <c r="AJC578" s="11"/>
      <c r="AJD578" s="11"/>
      <c r="AJE578" s="11"/>
      <c r="AJF578" s="11"/>
      <c r="AJG578" s="11"/>
      <c r="AJH578" s="11"/>
      <c r="AJI578" s="11"/>
      <c r="AJJ578" s="11"/>
      <c r="AJK578" s="11"/>
      <c r="AJL578" s="11"/>
      <c r="AJM578" s="11"/>
      <c r="AJN578" s="11"/>
      <c r="AJO578" s="11"/>
      <c r="AJP578" s="11"/>
      <c r="AJQ578" s="11"/>
      <c r="AJR578" s="11"/>
      <c r="AJS578" s="11"/>
      <c r="AJT578" s="11"/>
      <c r="AJU578" s="11"/>
      <c r="AJV578" s="11"/>
      <c r="AJW578" s="11"/>
      <c r="AJX578" s="11"/>
      <c r="AJY578" s="11"/>
      <c r="AJZ578" s="11"/>
      <c r="AKA578" s="11"/>
      <c r="AKB578" s="11"/>
      <c r="AKC578" s="11"/>
      <c r="AKD578" s="11"/>
      <c r="AKE578" s="11"/>
      <c r="AKF578" s="11"/>
      <c r="AKG578" s="11"/>
      <c r="AKH578" s="11"/>
      <c r="AKI578" s="11"/>
      <c r="AKJ578" s="11"/>
      <c r="AKK578" s="11"/>
      <c r="AKL578" s="11"/>
      <c r="AKM578" s="11"/>
      <c r="AKN578" s="11"/>
      <c r="AKO578" s="11"/>
      <c r="AKP578" s="11"/>
      <c r="AKQ578" s="11"/>
      <c r="AKR578" s="11"/>
      <c r="AKS578" s="11"/>
      <c r="AKT578" s="11"/>
      <c r="AKU578" s="11"/>
      <c r="AKV578" s="11"/>
      <c r="AKW578" s="11"/>
      <c r="AKX578" s="11"/>
      <c r="AKY578" s="11"/>
      <c r="AKZ578" s="11"/>
      <c r="ALA578" s="11"/>
      <c r="ALB578" s="11"/>
      <c r="ALC578" s="11"/>
      <c r="ALD578" s="11"/>
      <c r="ALE578" s="11"/>
      <c r="ALF578" s="11"/>
      <c r="ALG578" s="11"/>
      <c r="ALH578" s="11"/>
      <c r="ALI578" s="11"/>
      <c r="ALJ578" s="11"/>
      <c r="ALK578" s="11"/>
      <c r="ALL578" s="11"/>
      <c r="ALM578" s="11"/>
      <c r="ALN578" s="11"/>
      <c r="ALO578" s="11"/>
      <c r="ALP578" s="11"/>
      <c r="ALQ578" s="11"/>
      <c r="ALR578" s="11"/>
      <c r="ALS578" s="11"/>
      <c r="ALT578" s="11"/>
      <c r="ALU578" s="11"/>
      <c r="ALV578" s="11"/>
      <c r="ALW578" s="11"/>
      <c r="ALX578" s="11"/>
      <c r="ALY578" s="11"/>
      <c r="ALZ578" s="11"/>
      <c r="AMA578" s="11"/>
      <c r="AMB578" s="11"/>
      <c r="AMC578" s="11"/>
      <c r="AMD578" s="11"/>
      <c r="AME578" s="11"/>
      <c r="AMF578" s="11"/>
      <c r="AMG578" s="11"/>
      <c r="AMH578" s="11"/>
      <c r="AMI578" s="11"/>
      <c r="AMJ578" s="11"/>
    </row>
    <row r="579" spans="1:1024">
      <c r="A579" s="10" t="s">
        <v>583</v>
      </c>
      <c r="B579" s="10">
        <v>866328</v>
      </c>
      <c r="D579" s="1">
        <v>0</v>
      </c>
      <c r="E579" s="8">
        <f>VLOOKUP(B579,Gesamtstunden_26!B:I,8,0)</f>
        <v>5.333333333333333</v>
      </c>
      <c r="F579" s="2">
        <f t="shared" si="9"/>
        <v>-5.333333333333333</v>
      </c>
    </row>
    <row r="580" spans="1:1024">
      <c r="A580" s="17" t="s">
        <v>584</v>
      </c>
      <c r="B580" s="17">
        <v>628110</v>
      </c>
      <c r="D580" s="1">
        <v>0</v>
      </c>
      <c r="E580" s="8">
        <f>VLOOKUP(B580,Gesamtstunden_26!B:I,8,0)</f>
        <v>3.3333333333333335</v>
      </c>
      <c r="F580" s="2">
        <f t="shared" si="9"/>
        <v>-3.3333333333333335</v>
      </c>
    </row>
    <row r="581" spans="1:1024">
      <c r="A581" s="8" t="s">
        <v>585</v>
      </c>
      <c r="B581" s="8">
        <v>563528</v>
      </c>
      <c r="D581" s="1">
        <v>9.6733333333333391</v>
      </c>
      <c r="E581" s="8">
        <f>VLOOKUP(B581,Gesamtstunden_26!B:I,8,0)</f>
        <v>0</v>
      </c>
      <c r="F581" s="2">
        <f t="shared" si="9"/>
        <v>9.6733333333333391</v>
      </c>
    </row>
    <row r="582" spans="1:1024" s="11" customFormat="1">
      <c r="A582" s="17" t="s">
        <v>586</v>
      </c>
      <c r="B582" s="17">
        <v>487643</v>
      </c>
      <c r="C582"/>
      <c r="D582" s="1">
        <v>0</v>
      </c>
      <c r="E582" s="8">
        <f>VLOOKUP(B582,Gesamtstunden_26!B:I,8,0)</f>
        <v>1</v>
      </c>
      <c r="F582" s="2">
        <f t="shared" si="9"/>
        <v>-1</v>
      </c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  <c r="BR582"/>
      <c r="BS582"/>
      <c r="BT582"/>
      <c r="BU582"/>
      <c r="BV582"/>
      <c r="BW582"/>
      <c r="BX582"/>
      <c r="BY582"/>
      <c r="BZ582"/>
      <c r="CA582"/>
      <c r="CB582"/>
      <c r="CC582"/>
      <c r="CD582"/>
      <c r="CE582"/>
      <c r="CF582"/>
      <c r="CG582"/>
      <c r="CH582"/>
      <c r="CI582"/>
      <c r="CJ582"/>
      <c r="CK582"/>
      <c r="CL582"/>
      <c r="CM582"/>
      <c r="CN582"/>
      <c r="CO582"/>
      <c r="CP582"/>
      <c r="CQ582"/>
      <c r="CR582"/>
      <c r="CS582"/>
      <c r="CT582"/>
      <c r="CU582"/>
      <c r="CV582"/>
      <c r="CW582"/>
      <c r="CX582"/>
      <c r="CY582"/>
      <c r="CZ582"/>
      <c r="DA582"/>
      <c r="DB582"/>
      <c r="DC582"/>
      <c r="DD582"/>
      <c r="DE582"/>
      <c r="DF582"/>
      <c r="DG582"/>
      <c r="DH582"/>
      <c r="DI582"/>
      <c r="DJ582"/>
      <c r="DK582"/>
      <c r="DL582"/>
      <c r="DM582"/>
      <c r="DN582"/>
      <c r="DO582"/>
      <c r="DP582"/>
      <c r="DQ582"/>
      <c r="DR582"/>
      <c r="DS582"/>
      <c r="DT582"/>
      <c r="DU582"/>
      <c r="DV582"/>
      <c r="DW582"/>
      <c r="DX582"/>
      <c r="DY582"/>
      <c r="DZ582"/>
      <c r="EA582"/>
      <c r="EB582"/>
      <c r="EC582"/>
      <c r="ED582"/>
      <c r="EE582"/>
      <c r="EF582"/>
      <c r="EG582"/>
      <c r="EH582"/>
      <c r="EI582"/>
      <c r="EJ582"/>
      <c r="EK582"/>
      <c r="EL582"/>
      <c r="EM582"/>
      <c r="EN582"/>
      <c r="EO582"/>
      <c r="EP582"/>
      <c r="EQ582"/>
      <c r="ER582"/>
      <c r="ES582"/>
      <c r="ET582"/>
      <c r="EU582"/>
      <c r="EV582"/>
      <c r="EW582"/>
      <c r="EX582"/>
      <c r="EY582"/>
      <c r="EZ582"/>
      <c r="FA582"/>
      <c r="FB582"/>
      <c r="FC582"/>
      <c r="FD582"/>
      <c r="FE582"/>
      <c r="FF582"/>
      <c r="FG582"/>
      <c r="FH582"/>
      <c r="FI582"/>
      <c r="FJ582"/>
      <c r="FK582"/>
      <c r="FL582"/>
      <c r="FM582"/>
      <c r="FN582"/>
      <c r="FO582"/>
      <c r="FP582"/>
      <c r="FQ582"/>
      <c r="FR582"/>
      <c r="FS582"/>
      <c r="FT582"/>
      <c r="FU582"/>
      <c r="FV582"/>
      <c r="FW582"/>
      <c r="FX582"/>
      <c r="FY582"/>
      <c r="FZ582"/>
      <c r="GA582"/>
      <c r="GB582"/>
      <c r="GC582"/>
      <c r="GD582"/>
      <c r="GE582"/>
      <c r="GF582"/>
      <c r="GG582"/>
      <c r="GH582"/>
      <c r="GI582"/>
      <c r="GJ582"/>
      <c r="GK582"/>
      <c r="GL582"/>
      <c r="GM582"/>
      <c r="GN582"/>
      <c r="GO582"/>
      <c r="GP582"/>
      <c r="GQ582"/>
      <c r="GR582"/>
      <c r="GS582"/>
      <c r="GT582"/>
      <c r="GU582"/>
      <c r="GV582"/>
      <c r="GW582"/>
      <c r="GX582"/>
      <c r="GY582"/>
      <c r="GZ582"/>
      <c r="HA582"/>
      <c r="HB582"/>
      <c r="HC582"/>
      <c r="HD582"/>
      <c r="HE582"/>
      <c r="HF582"/>
      <c r="HG582"/>
      <c r="HH582"/>
      <c r="HI582"/>
      <c r="HJ582"/>
      <c r="HK582"/>
      <c r="HL582"/>
      <c r="HM582"/>
      <c r="HN582"/>
      <c r="HO582"/>
      <c r="HP582"/>
      <c r="HQ582"/>
      <c r="HR582"/>
      <c r="HS582"/>
      <c r="HT582"/>
      <c r="HU582"/>
      <c r="HV582"/>
      <c r="HW582"/>
      <c r="HX582"/>
      <c r="HY582"/>
      <c r="HZ582"/>
      <c r="IA582"/>
      <c r="IB582"/>
      <c r="IC582"/>
      <c r="ID582"/>
      <c r="IE582"/>
      <c r="IF582"/>
      <c r="IG582"/>
      <c r="IH582"/>
      <c r="II582"/>
      <c r="IJ582"/>
      <c r="IK582"/>
      <c r="IL582"/>
      <c r="IM582"/>
      <c r="IN582"/>
      <c r="IO582"/>
      <c r="IP582"/>
      <c r="IQ582"/>
      <c r="IR582"/>
      <c r="IS582"/>
      <c r="IT582"/>
      <c r="IU582"/>
      <c r="IV582"/>
      <c r="IW582"/>
      <c r="IX582"/>
      <c r="IY582"/>
      <c r="IZ582"/>
      <c r="JA582"/>
      <c r="JB582"/>
      <c r="JC582"/>
      <c r="JD582"/>
      <c r="JE582"/>
      <c r="JF582"/>
      <c r="JG582"/>
      <c r="JH582"/>
      <c r="JI582"/>
      <c r="JJ582"/>
      <c r="JK582"/>
      <c r="JL582"/>
      <c r="JM582"/>
      <c r="JN582"/>
      <c r="JO582"/>
      <c r="JP582"/>
      <c r="JQ582"/>
      <c r="JR582"/>
      <c r="JS582"/>
      <c r="JT582"/>
      <c r="JU582"/>
      <c r="JV582"/>
      <c r="JW582"/>
      <c r="JX582"/>
      <c r="JY582"/>
      <c r="JZ582"/>
      <c r="KA582"/>
      <c r="KB582"/>
      <c r="KC582"/>
      <c r="KD582"/>
      <c r="KE582"/>
      <c r="KF582"/>
      <c r="KG582"/>
      <c r="KH582"/>
      <c r="KI582"/>
      <c r="KJ582"/>
      <c r="KK582"/>
      <c r="KL582"/>
      <c r="KM582"/>
      <c r="KN582"/>
      <c r="KO582"/>
      <c r="KP582"/>
      <c r="KQ582"/>
      <c r="KR582"/>
      <c r="KS582"/>
      <c r="KT582"/>
      <c r="KU582"/>
      <c r="KV582"/>
      <c r="KW582"/>
      <c r="KX582"/>
      <c r="KY582"/>
      <c r="KZ582"/>
      <c r="LA582"/>
      <c r="LB582"/>
      <c r="LC582"/>
      <c r="LD582"/>
      <c r="LE582"/>
      <c r="LF582"/>
      <c r="LG582"/>
      <c r="LH582"/>
      <c r="LI582"/>
      <c r="LJ582"/>
      <c r="LK582"/>
      <c r="LL582"/>
      <c r="LM582"/>
      <c r="LN582"/>
      <c r="LO582"/>
      <c r="LP582"/>
      <c r="LQ582"/>
      <c r="LR582"/>
      <c r="LS582"/>
      <c r="LT582"/>
      <c r="LU582"/>
      <c r="LV582"/>
      <c r="LW582"/>
      <c r="LX582"/>
      <c r="LY582"/>
      <c r="LZ582"/>
      <c r="MA582"/>
      <c r="MB582"/>
      <c r="MC582"/>
      <c r="MD582"/>
      <c r="ME582"/>
      <c r="MF582"/>
      <c r="MG582"/>
      <c r="MH582"/>
      <c r="MI582"/>
      <c r="MJ582"/>
      <c r="MK582"/>
      <c r="ML582"/>
      <c r="MM582"/>
      <c r="MN582"/>
      <c r="MO582"/>
      <c r="MP582"/>
      <c r="MQ582"/>
      <c r="MR582"/>
      <c r="MS582"/>
      <c r="MT582"/>
      <c r="MU582"/>
      <c r="MV582"/>
      <c r="MW582"/>
      <c r="MX582"/>
      <c r="MY582"/>
      <c r="MZ582"/>
      <c r="NA582"/>
      <c r="NB582"/>
      <c r="NC582"/>
      <c r="ND582"/>
      <c r="NE582"/>
      <c r="NF582"/>
      <c r="NG582"/>
      <c r="NH582"/>
      <c r="NI582"/>
      <c r="NJ582"/>
      <c r="NK582"/>
      <c r="NL582"/>
      <c r="NM582"/>
      <c r="NN582"/>
      <c r="NO582"/>
      <c r="NP582"/>
      <c r="NQ582"/>
      <c r="NR582"/>
      <c r="NS582"/>
      <c r="NT582"/>
      <c r="NU582"/>
      <c r="NV582"/>
      <c r="NW582"/>
      <c r="NX582"/>
      <c r="NY582"/>
      <c r="NZ582"/>
      <c r="OA582"/>
      <c r="OB582"/>
      <c r="OC582"/>
      <c r="OD582"/>
      <c r="OE582"/>
      <c r="OF582"/>
      <c r="OG582"/>
      <c r="OH582"/>
      <c r="OI582"/>
      <c r="OJ582"/>
      <c r="OK582"/>
      <c r="OL582"/>
      <c r="OM582"/>
      <c r="ON582"/>
      <c r="OO582"/>
      <c r="OP582"/>
      <c r="OQ582"/>
      <c r="OR582"/>
      <c r="OS582"/>
      <c r="OT582"/>
      <c r="OU582"/>
      <c r="OV582"/>
      <c r="OW582"/>
      <c r="OX582"/>
      <c r="OY582"/>
      <c r="OZ582"/>
      <c r="PA582"/>
      <c r="PB582"/>
      <c r="PC582"/>
      <c r="PD582"/>
      <c r="PE582"/>
      <c r="PF582"/>
      <c r="PG582"/>
      <c r="PH582"/>
      <c r="PI582"/>
      <c r="PJ582"/>
      <c r="PK582"/>
      <c r="PL582"/>
      <c r="PM582"/>
      <c r="PN582"/>
      <c r="PO582"/>
      <c r="PP582"/>
      <c r="PQ582"/>
      <c r="PR582"/>
      <c r="PS582"/>
      <c r="PT582"/>
      <c r="PU582"/>
      <c r="PV582"/>
      <c r="PW582"/>
      <c r="PX582"/>
      <c r="PY582"/>
      <c r="PZ582"/>
      <c r="QA582"/>
      <c r="QB582"/>
      <c r="QC582"/>
      <c r="QD582"/>
      <c r="QE582"/>
      <c r="QF582"/>
      <c r="QG582"/>
      <c r="QH582"/>
      <c r="QI582"/>
      <c r="QJ582"/>
      <c r="QK582"/>
      <c r="QL582"/>
      <c r="QM582"/>
      <c r="QN582"/>
      <c r="QO582"/>
      <c r="QP582"/>
      <c r="QQ582"/>
      <c r="QR582"/>
      <c r="QS582"/>
      <c r="QT582"/>
      <c r="QU582"/>
      <c r="QV582"/>
      <c r="QW582"/>
      <c r="QX582"/>
      <c r="QY582"/>
      <c r="QZ582"/>
      <c r="RA582"/>
      <c r="RB582"/>
      <c r="RC582"/>
      <c r="RD582"/>
      <c r="RE582"/>
      <c r="RF582"/>
      <c r="RG582"/>
      <c r="RH582"/>
      <c r="RI582"/>
      <c r="RJ582"/>
      <c r="RK582"/>
      <c r="RL582"/>
      <c r="RM582"/>
      <c r="RN582"/>
      <c r="RO582"/>
      <c r="RP582"/>
      <c r="RQ582"/>
      <c r="RR582"/>
      <c r="RS582"/>
      <c r="RT582"/>
      <c r="RU582"/>
      <c r="RV582"/>
      <c r="RW582"/>
      <c r="RX582"/>
      <c r="RY582"/>
      <c r="RZ582"/>
      <c r="SA582"/>
      <c r="SB582"/>
      <c r="SC582"/>
      <c r="SD582"/>
      <c r="SE582"/>
      <c r="SF582"/>
      <c r="SG582"/>
      <c r="SH582"/>
      <c r="SI582"/>
      <c r="SJ582"/>
      <c r="SK582"/>
      <c r="SL582"/>
      <c r="SM582"/>
      <c r="SN582"/>
      <c r="SO582"/>
      <c r="SP582"/>
      <c r="SQ582"/>
      <c r="SR582"/>
      <c r="SS582"/>
      <c r="ST582"/>
      <c r="SU582"/>
      <c r="SV582"/>
      <c r="SW582"/>
      <c r="SX582"/>
      <c r="SY582"/>
      <c r="SZ582"/>
      <c r="TA582"/>
      <c r="TB582"/>
      <c r="TC582"/>
      <c r="TD582"/>
      <c r="TE582"/>
      <c r="TF582"/>
      <c r="TG582"/>
      <c r="TH582"/>
      <c r="TI582"/>
      <c r="TJ582"/>
      <c r="TK582"/>
      <c r="TL582"/>
      <c r="TM582"/>
      <c r="TN582"/>
      <c r="TO582"/>
      <c r="TP582"/>
      <c r="TQ582"/>
      <c r="TR582"/>
      <c r="TS582"/>
      <c r="TT582"/>
      <c r="TU582"/>
      <c r="TV582"/>
      <c r="TW582"/>
      <c r="TX582"/>
      <c r="TY582"/>
      <c r="TZ582"/>
      <c r="UA582"/>
      <c r="UB582"/>
      <c r="UC582"/>
      <c r="UD582"/>
      <c r="UE582"/>
      <c r="UF582"/>
      <c r="UG582"/>
      <c r="UH582"/>
      <c r="UI582"/>
      <c r="UJ582"/>
      <c r="UK582"/>
      <c r="UL582"/>
      <c r="UM582"/>
      <c r="UN582"/>
      <c r="UO582"/>
      <c r="UP582"/>
      <c r="UQ582"/>
      <c r="UR582"/>
      <c r="US582"/>
      <c r="UT582"/>
      <c r="UU582"/>
      <c r="UV582"/>
      <c r="UW582"/>
      <c r="UX582"/>
      <c r="UY582"/>
      <c r="UZ582"/>
      <c r="VA582"/>
      <c r="VB582"/>
      <c r="VC582"/>
      <c r="VD582"/>
      <c r="VE582"/>
      <c r="VF582"/>
      <c r="VG582"/>
      <c r="VH582"/>
      <c r="VI582"/>
      <c r="VJ582"/>
      <c r="VK582"/>
      <c r="VL582"/>
      <c r="VM582"/>
      <c r="VN582"/>
      <c r="VO582"/>
      <c r="VP582"/>
      <c r="VQ582"/>
      <c r="VR582"/>
      <c r="VS582"/>
      <c r="VT582"/>
      <c r="VU582"/>
      <c r="VV582"/>
      <c r="VW582"/>
      <c r="VX582"/>
      <c r="VY582"/>
      <c r="VZ582"/>
      <c r="WA582"/>
      <c r="WB582"/>
      <c r="WC582"/>
      <c r="WD582"/>
      <c r="WE582"/>
      <c r="WF582"/>
      <c r="WG582"/>
      <c r="WH582"/>
      <c r="WI582"/>
      <c r="WJ582"/>
      <c r="WK582"/>
      <c r="WL582"/>
      <c r="WM582"/>
      <c r="WN582"/>
      <c r="WO582"/>
      <c r="WP582"/>
      <c r="WQ582"/>
      <c r="WR582"/>
      <c r="WS582"/>
      <c r="WT582"/>
      <c r="WU582"/>
      <c r="WV582"/>
      <c r="WW582"/>
      <c r="WX582"/>
      <c r="WY582"/>
      <c r="WZ582"/>
      <c r="XA582"/>
      <c r="XB582"/>
      <c r="XC582"/>
      <c r="XD582"/>
      <c r="XE582"/>
      <c r="XF582"/>
      <c r="XG582"/>
      <c r="XH582"/>
      <c r="XI582"/>
      <c r="XJ582"/>
      <c r="XK582"/>
      <c r="XL582"/>
      <c r="XM582"/>
      <c r="XN582"/>
      <c r="XO582"/>
      <c r="XP582"/>
      <c r="XQ582"/>
      <c r="XR582"/>
      <c r="XS582"/>
      <c r="XT582"/>
      <c r="XU582"/>
      <c r="XV582"/>
      <c r="XW582"/>
      <c r="XX582"/>
      <c r="XY582"/>
      <c r="XZ582"/>
      <c r="YA582"/>
      <c r="YB582"/>
      <c r="YC582"/>
      <c r="YD582"/>
      <c r="YE582"/>
      <c r="YF582"/>
      <c r="YG582"/>
      <c r="YH582"/>
      <c r="YI582"/>
      <c r="YJ582"/>
      <c r="YK582"/>
      <c r="YL582"/>
      <c r="YM582"/>
      <c r="YN582"/>
      <c r="YO582"/>
      <c r="YP582"/>
      <c r="YQ582"/>
      <c r="YR582"/>
      <c r="YS582"/>
      <c r="YT582"/>
      <c r="YU582"/>
      <c r="YV582"/>
      <c r="YW582"/>
      <c r="YX582"/>
      <c r="YY582"/>
      <c r="YZ582"/>
      <c r="ZA582"/>
      <c r="ZB582"/>
      <c r="ZC582"/>
      <c r="ZD582"/>
      <c r="ZE582"/>
      <c r="ZF582"/>
      <c r="ZG582"/>
      <c r="ZH582"/>
      <c r="ZI582"/>
      <c r="ZJ582"/>
      <c r="ZK582"/>
      <c r="ZL582"/>
      <c r="ZM582"/>
      <c r="ZN582"/>
      <c r="ZO582"/>
      <c r="ZP582"/>
      <c r="ZQ582"/>
      <c r="ZR582"/>
      <c r="ZS582"/>
      <c r="ZT582"/>
      <c r="ZU582"/>
      <c r="ZV582"/>
      <c r="ZW582"/>
      <c r="ZX582"/>
      <c r="ZY582"/>
      <c r="ZZ582"/>
      <c r="AAA582"/>
      <c r="AAB582"/>
      <c r="AAC582"/>
      <c r="AAD582"/>
      <c r="AAE582"/>
      <c r="AAF582"/>
      <c r="AAG582"/>
      <c r="AAH582"/>
      <c r="AAI582"/>
      <c r="AAJ582"/>
      <c r="AAK582"/>
      <c r="AAL582"/>
      <c r="AAM582"/>
      <c r="AAN582"/>
      <c r="AAO582"/>
      <c r="AAP582"/>
      <c r="AAQ582"/>
      <c r="AAR582"/>
      <c r="AAS582"/>
      <c r="AAT582"/>
      <c r="AAU582"/>
      <c r="AAV582"/>
      <c r="AAW582"/>
      <c r="AAX582"/>
      <c r="AAY582"/>
      <c r="AAZ582"/>
      <c r="ABA582"/>
      <c r="ABB582"/>
      <c r="ABC582"/>
      <c r="ABD582"/>
      <c r="ABE582"/>
      <c r="ABF582"/>
      <c r="ABG582"/>
      <c r="ABH582"/>
      <c r="ABI582"/>
      <c r="ABJ582"/>
      <c r="ABK582"/>
      <c r="ABL582"/>
      <c r="ABM582"/>
      <c r="ABN582"/>
      <c r="ABO582"/>
      <c r="ABP582"/>
      <c r="ABQ582"/>
      <c r="ABR582"/>
      <c r="ABS582"/>
      <c r="ABT582"/>
      <c r="ABU582"/>
      <c r="ABV582"/>
      <c r="ABW582"/>
      <c r="ABX582"/>
      <c r="ABY582"/>
      <c r="ABZ582"/>
      <c r="ACA582"/>
      <c r="ACB582"/>
      <c r="ACC582"/>
      <c r="ACD582"/>
      <c r="ACE582"/>
      <c r="ACF582"/>
      <c r="ACG582"/>
      <c r="ACH582"/>
      <c r="ACI582"/>
      <c r="ACJ582"/>
      <c r="ACK582"/>
      <c r="ACL582"/>
      <c r="ACM582"/>
      <c r="ACN582"/>
      <c r="ACO582"/>
      <c r="ACP582"/>
      <c r="ACQ582"/>
      <c r="ACR582"/>
      <c r="ACS582"/>
      <c r="ACT582"/>
      <c r="ACU582"/>
      <c r="ACV582"/>
      <c r="ACW582"/>
      <c r="ACX582"/>
      <c r="ACY582"/>
      <c r="ACZ582"/>
      <c r="ADA582"/>
      <c r="ADB582"/>
      <c r="ADC582"/>
      <c r="ADD582"/>
      <c r="ADE582"/>
      <c r="ADF582"/>
      <c r="ADG582"/>
      <c r="ADH582"/>
      <c r="ADI582"/>
      <c r="ADJ582"/>
      <c r="ADK582"/>
      <c r="ADL582"/>
      <c r="ADM582"/>
      <c r="ADN582"/>
      <c r="ADO582"/>
      <c r="ADP582"/>
      <c r="ADQ582"/>
      <c r="ADR582"/>
      <c r="ADS582"/>
      <c r="ADT582"/>
      <c r="ADU582"/>
      <c r="ADV582"/>
      <c r="ADW582"/>
      <c r="ADX582"/>
      <c r="ADY582"/>
      <c r="ADZ582"/>
      <c r="AEA582"/>
      <c r="AEB582"/>
      <c r="AEC582"/>
      <c r="AED582"/>
      <c r="AEE582"/>
      <c r="AEF582"/>
      <c r="AEG582"/>
      <c r="AEH582"/>
      <c r="AEI582"/>
      <c r="AEJ582"/>
      <c r="AEK582"/>
      <c r="AEL582"/>
      <c r="AEM582"/>
      <c r="AEN582"/>
      <c r="AEO582"/>
      <c r="AEP582"/>
      <c r="AEQ582"/>
      <c r="AER582"/>
      <c r="AES582"/>
      <c r="AET582"/>
      <c r="AEU582"/>
      <c r="AEV582"/>
      <c r="AEW582"/>
      <c r="AEX582"/>
      <c r="AEY582"/>
      <c r="AEZ582"/>
      <c r="AFA582"/>
      <c r="AFB582"/>
      <c r="AFC582"/>
      <c r="AFD582"/>
      <c r="AFE582"/>
      <c r="AFF582"/>
      <c r="AFG582"/>
      <c r="AFH582"/>
      <c r="AFI582"/>
      <c r="AFJ582"/>
      <c r="AFK582"/>
      <c r="AFL582"/>
      <c r="AFM582"/>
      <c r="AFN582"/>
      <c r="AFO582"/>
      <c r="AFP582"/>
      <c r="AFQ582"/>
      <c r="AFR582"/>
      <c r="AFS582"/>
      <c r="AFT582"/>
      <c r="AFU582"/>
      <c r="AFV582"/>
      <c r="AFW582"/>
      <c r="AFX582"/>
      <c r="AFY582"/>
      <c r="AFZ582"/>
      <c r="AGA582"/>
      <c r="AGB582"/>
      <c r="AGC582"/>
      <c r="AGD582"/>
      <c r="AGE582"/>
      <c r="AGF582"/>
      <c r="AGG582"/>
      <c r="AGH582"/>
      <c r="AGI582"/>
      <c r="AGJ582"/>
      <c r="AGK582"/>
      <c r="AGL582"/>
      <c r="AGM582"/>
      <c r="AGN582"/>
      <c r="AGO582"/>
      <c r="AGP582"/>
      <c r="AGQ582"/>
      <c r="AGR582"/>
      <c r="AGS582"/>
      <c r="AGT582"/>
      <c r="AGU582"/>
      <c r="AGV582"/>
      <c r="AGW582"/>
      <c r="AGX582"/>
      <c r="AGY582"/>
      <c r="AGZ582"/>
      <c r="AHA582"/>
      <c r="AHB582"/>
      <c r="AHC582"/>
      <c r="AHD582"/>
      <c r="AHE582"/>
      <c r="AHF582"/>
      <c r="AHG582"/>
      <c r="AHH582"/>
      <c r="AHI582"/>
      <c r="AHJ582"/>
      <c r="AHK582"/>
      <c r="AHL582"/>
      <c r="AHM582"/>
      <c r="AHN582"/>
      <c r="AHO582"/>
      <c r="AHP582"/>
      <c r="AHQ582"/>
      <c r="AHR582"/>
      <c r="AHS582"/>
      <c r="AHT582"/>
      <c r="AHU582"/>
      <c r="AHV582"/>
      <c r="AHW582"/>
      <c r="AHX582"/>
      <c r="AHY582"/>
      <c r="AHZ582"/>
      <c r="AIA582"/>
      <c r="AIB582"/>
      <c r="AIC582"/>
      <c r="AID582"/>
      <c r="AIE582"/>
      <c r="AIF582"/>
      <c r="AIG582"/>
      <c r="AIH582"/>
      <c r="AII582"/>
      <c r="AIJ582"/>
      <c r="AIK582"/>
      <c r="AIL582"/>
      <c r="AIM582"/>
      <c r="AIN582"/>
      <c r="AIO582"/>
      <c r="AIP582"/>
      <c r="AIQ582"/>
      <c r="AIR582"/>
      <c r="AIS582"/>
      <c r="AIT582"/>
      <c r="AIU582"/>
      <c r="AIV582"/>
      <c r="AIW582"/>
      <c r="AIX582"/>
      <c r="AIY582"/>
      <c r="AIZ582"/>
      <c r="AJA582"/>
      <c r="AJB582"/>
      <c r="AJC582"/>
      <c r="AJD582"/>
      <c r="AJE582"/>
      <c r="AJF582"/>
      <c r="AJG582"/>
      <c r="AJH582"/>
      <c r="AJI582"/>
      <c r="AJJ582"/>
      <c r="AJK582"/>
      <c r="AJL582"/>
      <c r="AJM582"/>
      <c r="AJN582"/>
      <c r="AJO582"/>
      <c r="AJP582"/>
      <c r="AJQ582"/>
      <c r="AJR582"/>
      <c r="AJS582"/>
      <c r="AJT582"/>
      <c r="AJU582"/>
      <c r="AJV582"/>
      <c r="AJW582"/>
      <c r="AJX582"/>
      <c r="AJY582"/>
      <c r="AJZ582"/>
      <c r="AKA582"/>
      <c r="AKB582"/>
      <c r="AKC582"/>
      <c r="AKD582"/>
      <c r="AKE582"/>
      <c r="AKF582"/>
      <c r="AKG582"/>
      <c r="AKH582"/>
      <c r="AKI582"/>
      <c r="AKJ582"/>
      <c r="AKK582"/>
      <c r="AKL582"/>
      <c r="AKM582"/>
      <c r="AKN582"/>
      <c r="AKO582"/>
      <c r="AKP582"/>
      <c r="AKQ582"/>
      <c r="AKR582"/>
      <c r="AKS582"/>
      <c r="AKT582"/>
      <c r="AKU582"/>
      <c r="AKV582"/>
      <c r="AKW582"/>
      <c r="AKX582"/>
      <c r="AKY582"/>
      <c r="AKZ582"/>
      <c r="ALA582"/>
      <c r="ALB582"/>
      <c r="ALC582"/>
      <c r="ALD582"/>
      <c r="ALE582"/>
      <c r="ALF582"/>
      <c r="ALG582"/>
      <c r="ALH582"/>
      <c r="ALI582"/>
      <c r="ALJ582"/>
      <c r="ALK582"/>
      <c r="ALL582"/>
      <c r="ALM582"/>
      <c r="ALN582"/>
      <c r="ALO582"/>
      <c r="ALP582"/>
      <c r="ALQ582"/>
      <c r="ALR582"/>
      <c r="ALS582"/>
      <c r="ALT582"/>
      <c r="ALU582"/>
      <c r="ALV582"/>
      <c r="ALW582"/>
      <c r="ALX582"/>
      <c r="ALY582"/>
      <c r="ALZ582"/>
      <c r="AMA582"/>
      <c r="AMB582"/>
      <c r="AMC582"/>
      <c r="AMD582"/>
      <c r="AME582"/>
      <c r="AMF582"/>
      <c r="AMG582"/>
      <c r="AMH582"/>
      <c r="AMI582"/>
      <c r="AMJ582"/>
    </row>
    <row r="583" spans="1:1024">
      <c r="A583" s="11" t="s">
        <v>587</v>
      </c>
      <c r="B583" s="11">
        <v>830884</v>
      </c>
      <c r="C583" s="11"/>
      <c r="D583" s="12">
        <v>3.6666666666666599</v>
      </c>
      <c r="E583" s="7">
        <f>VLOOKUP(B583,Gesamtstunden_26!B:I,8,0)</f>
        <v>7.3333333333333339</v>
      </c>
      <c r="F583" s="13">
        <f t="shared" si="9"/>
        <v>-3.6666666666666741</v>
      </c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1"/>
      <c r="AV583" s="11"/>
      <c r="AW583" s="11"/>
      <c r="AX583" s="11"/>
      <c r="AY583" s="11"/>
      <c r="AZ583" s="11"/>
      <c r="BA583" s="11"/>
      <c r="BB583" s="11"/>
      <c r="BC583" s="11"/>
      <c r="BD583" s="11"/>
      <c r="BE583" s="11"/>
      <c r="BF583" s="11"/>
      <c r="BG583" s="11"/>
      <c r="BH583" s="11"/>
      <c r="BI583" s="11"/>
      <c r="BJ583" s="11"/>
      <c r="BK583" s="11"/>
      <c r="BL583" s="11"/>
      <c r="BM583" s="11"/>
      <c r="BN583" s="11"/>
      <c r="BO583" s="11"/>
      <c r="BP583" s="11"/>
      <c r="BQ583" s="11"/>
      <c r="BR583" s="11"/>
      <c r="BS583" s="11"/>
      <c r="BT583" s="11"/>
      <c r="BU583" s="11"/>
      <c r="BV583" s="11"/>
      <c r="BW583" s="11"/>
      <c r="BX583" s="11"/>
      <c r="BY583" s="11"/>
      <c r="BZ583" s="11"/>
      <c r="CA583" s="11"/>
      <c r="CB583" s="11"/>
      <c r="CC583" s="11"/>
      <c r="CD583" s="11"/>
      <c r="CE583" s="11"/>
      <c r="CF583" s="11"/>
      <c r="CG583" s="11"/>
      <c r="CH583" s="11"/>
      <c r="CI583" s="11"/>
      <c r="CJ583" s="11"/>
      <c r="CK583" s="11"/>
      <c r="CL583" s="11"/>
      <c r="CM583" s="11"/>
      <c r="CN583" s="11"/>
      <c r="CO583" s="11"/>
      <c r="CP583" s="11"/>
      <c r="CQ583" s="11"/>
      <c r="CR583" s="11"/>
      <c r="CS583" s="11"/>
      <c r="CT583" s="11"/>
      <c r="CU583" s="11"/>
      <c r="CV583" s="11"/>
      <c r="CW583" s="11"/>
      <c r="CX583" s="11"/>
      <c r="CY583" s="11"/>
      <c r="CZ583" s="11"/>
      <c r="DA583" s="11"/>
      <c r="DB583" s="11"/>
      <c r="DC583" s="11"/>
      <c r="DD583" s="11"/>
      <c r="DE583" s="11"/>
      <c r="DF583" s="11"/>
      <c r="DG583" s="11"/>
      <c r="DH583" s="11"/>
      <c r="DI583" s="11"/>
      <c r="DJ583" s="11"/>
      <c r="DK583" s="11"/>
      <c r="DL583" s="11"/>
      <c r="DM583" s="11"/>
      <c r="DN583" s="11"/>
      <c r="DO583" s="11"/>
      <c r="DP583" s="11"/>
      <c r="DQ583" s="11"/>
      <c r="DR583" s="11"/>
      <c r="DS583" s="11"/>
      <c r="DT583" s="11"/>
      <c r="DU583" s="11"/>
      <c r="DV583" s="11"/>
      <c r="DW583" s="11"/>
      <c r="DX583" s="11"/>
      <c r="DY583" s="11"/>
      <c r="DZ583" s="11"/>
      <c r="EA583" s="11"/>
      <c r="EB583" s="11"/>
      <c r="EC583" s="11"/>
      <c r="ED583" s="11"/>
      <c r="EE583" s="11"/>
      <c r="EF583" s="11"/>
      <c r="EG583" s="11"/>
      <c r="EH583" s="11"/>
      <c r="EI583" s="11"/>
      <c r="EJ583" s="11"/>
      <c r="EK583" s="11"/>
      <c r="EL583" s="11"/>
      <c r="EM583" s="11"/>
      <c r="EN583" s="11"/>
      <c r="EO583" s="11"/>
      <c r="EP583" s="11"/>
      <c r="EQ583" s="11"/>
      <c r="ER583" s="11"/>
      <c r="ES583" s="11"/>
      <c r="ET583" s="11"/>
      <c r="EU583" s="11"/>
      <c r="EV583" s="11"/>
      <c r="EW583" s="11"/>
      <c r="EX583" s="11"/>
      <c r="EY583" s="11"/>
      <c r="EZ583" s="11"/>
      <c r="FA583" s="11"/>
      <c r="FB583" s="11"/>
      <c r="FC583" s="11"/>
      <c r="FD583" s="11"/>
      <c r="FE583" s="11"/>
      <c r="FF583" s="11"/>
      <c r="FG583" s="11"/>
      <c r="FH583" s="11"/>
      <c r="FI583" s="11"/>
      <c r="FJ583" s="11"/>
      <c r="FK583" s="11"/>
      <c r="FL583" s="11"/>
      <c r="FM583" s="11"/>
      <c r="FN583" s="11"/>
      <c r="FO583" s="11"/>
      <c r="FP583" s="11"/>
      <c r="FQ583" s="11"/>
      <c r="FR583" s="11"/>
      <c r="FS583" s="11"/>
      <c r="FT583" s="11"/>
      <c r="FU583" s="11"/>
      <c r="FV583" s="11"/>
      <c r="FW583" s="11"/>
      <c r="FX583" s="11"/>
      <c r="FY583" s="11"/>
      <c r="FZ583" s="11"/>
      <c r="GA583" s="11"/>
      <c r="GB583" s="11"/>
      <c r="GC583" s="11"/>
      <c r="GD583" s="11"/>
      <c r="GE583" s="11"/>
      <c r="GF583" s="11"/>
      <c r="GG583" s="11"/>
      <c r="GH583" s="11"/>
      <c r="GI583" s="11"/>
      <c r="GJ583" s="11"/>
      <c r="GK583" s="11"/>
      <c r="GL583" s="11"/>
      <c r="GM583" s="11"/>
      <c r="GN583" s="11"/>
      <c r="GO583" s="11"/>
      <c r="GP583" s="11"/>
      <c r="GQ583" s="11"/>
      <c r="GR583" s="11"/>
      <c r="GS583" s="11"/>
      <c r="GT583" s="11"/>
      <c r="GU583" s="11"/>
      <c r="GV583" s="11"/>
      <c r="GW583" s="11"/>
      <c r="GX583" s="11"/>
      <c r="GY583" s="11"/>
      <c r="GZ583" s="11"/>
      <c r="HA583" s="11"/>
      <c r="HB583" s="11"/>
      <c r="HC583" s="11"/>
      <c r="HD583" s="11"/>
      <c r="HE583" s="11"/>
      <c r="HF583" s="11"/>
      <c r="HG583" s="11"/>
      <c r="HH583" s="11"/>
      <c r="HI583" s="11"/>
      <c r="HJ583" s="11"/>
      <c r="HK583" s="11"/>
      <c r="HL583" s="11"/>
      <c r="HM583" s="11"/>
      <c r="HN583" s="11"/>
      <c r="HO583" s="11"/>
      <c r="HP583" s="11"/>
      <c r="HQ583" s="11"/>
      <c r="HR583" s="11"/>
      <c r="HS583" s="11"/>
      <c r="HT583" s="11"/>
      <c r="HU583" s="11"/>
      <c r="HV583" s="11"/>
      <c r="HW583" s="11"/>
      <c r="HX583" s="11"/>
      <c r="HY583" s="11"/>
      <c r="HZ583" s="11"/>
      <c r="IA583" s="11"/>
      <c r="IB583" s="11"/>
      <c r="IC583" s="11"/>
      <c r="ID583" s="11"/>
      <c r="IE583" s="11"/>
      <c r="IF583" s="11"/>
      <c r="IG583" s="11"/>
      <c r="IH583" s="11"/>
      <c r="II583" s="11"/>
      <c r="IJ583" s="11"/>
      <c r="IK583" s="11"/>
      <c r="IL583" s="11"/>
      <c r="IM583" s="11"/>
      <c r="IN583" s="11"/>
      <c r="IO583" s="11"/>
      <c r="IP583" s="11"/>
      <c r="IQ583" s="11"/>
      <c r="IR583" s="11"/>
      <c r="IS583" s="11"/>
      <c r="IT583" s="11"/>
      <c r="IU583" s="11"/>
      <c r="IV583" s="11"/>
      <c r="IW583" s="11"/>
      <c r="IX583" s="11"/>
      <c r="IY583" s="11"/>
      <c r="IZ583" s="11"/>
      <c r="JA583" s="11"/>
      <c r="JB583" s="11"/>
      <c r="JC583" s="11"/>
      <c r="JD583" s="11"/>
      <c r="JE583" s="11"/>
      <c r="JF583" s="11"/>
      <c r="JG583" s="11"/>
      <c r="JH583" s="11"/>
      <c r="JI583" s="11"/>
      <c r="JJ583" s="11"/>
      <c r="JK583" s="11"/>
      <c r="JL583" s="11"/>
      <c r="JM583" s="11"/>
      <c r="JN583" s="11"/>
      <c r="JO583" s="11"/>
      <c r="JP583" s="11"/>
      <c r="JQ583" s="11"/>
      <c r="JR583" s="11"/>
      <c r="JS583" s="11"/>
      <c r="JT583" s="11"/>
      <c r="JU583" s="11"/>
      <c r="JV583" s="11"/>
      <c r="JW583" s="11"/>
      <c r="JX583" s="11"/>
      <c r="JY583" s="11"/>
      <c r="JZ583" s="11"/>
      <c r="KA583" s="11"/>
      <c r="KB583" s="11"/>
      <c r="KC583" s="11"/>
      <c r="KD583" s="11"/>
      <c r="KE583" s="11"/>
      <c r="KF583" s="11"/>
      <c r="KG583" s="11"/>
      <c r="KH583" s="11"/>
      <c r="KI583" s="11"/>
      <c r="KJ583" s="11"/>
      <c r="KK583" s="11"/>
      <c r="KL583" s="11"/>
      <c r="KM583" s="11"/>
      <c r="KN583" s="11"/>
      <c r="KO583" s="11"/>
      <c r="KP583" s="11"/>
      <c r="KQ583" s="11"/>
      <c r="KR583" s="11"/>
      <c r="KS583" s="11"/>
      <c r="KT583" s="11"/>
      <c r="KU583" s="11"/>
      <c r="KV583" s="11"/>
      <c r="KW583" s="11"/>
      <c r="KX583" s="11"/>
      <c r="KY583" s="11"/>
      <c r="KZ583" s="11"/>
      <c r="LA583" s="11"/>
      <c r="LB583" s="11"/>
      <c r="LC583" s="11"/>
      <c r="LD583" s="11"/>
      <c r="LE583" s="11"/>
      <c r="LF583" s="11"/>
      <c r="LG583" s="11"/>
      <c r="LH583" s="11"/>
      <c r="LI583" s="11"/>
      <c r="LJ583" s="11"/>
      <c r="LK583" s="11"/>
      <c r="LL583" s="11"/>
      <c r="LM583" s="11"/>
      <c r="LN583" s="11"/>
      <c r="LO583" s="11"/>
      <c r="LP583" s="11"/>
      <c r="LQ583" s="11"/>
      <c r="LR583" s="11"/>
      <c r="LS583" s="11"/>
      <c r="LT583" s="11"/>
      <c r="LU583" s="11"/>
      <c r="LV583" s="11"/>
      <c r="LW583" s="11"/>
      <c r="LX583" s="11"/>
      <c r="LY583" s="11"/>
      <c r="LZ583" s="11"/>
      <c r="MA583" s="11"/>
      <c r="MB583" s="11"/>
      <c r="MC583" s="11"/>
      <c r="MD583" s="11"/>
      <c r="ME583" s="11"/>
      <c r="MF583" s="11"/>
      <c r="MG583" s="11"/>
      <c r="MH583" s="11"/>
      <c r="MI583" s="11"/>
      <c r="MJ583" s="11"/>
      <c r="MK583" s="11"/>
      <c r="ML583" s="11"/>
      <c r="MM583" s="11"/>
      <c r="MN583" s="11"/>
      <c r="MO583" s="11"/>
      <c r="MP583" s="11"/>
      <c r="MQ583" s="11"/>
      <c r="MR583" s="11"/>
      <c r="MS583" s="11"/>
      <c r="MT583" s="11"/>
      <c r="MU583" s="11"/>
      <c r="MV583" s="11"/>
      <c r="MW583" s="11"/>
      <c r="MX583" s="11"/>
      <c r="MY583" s="11"/>
      <c r="MZ583" s="11"/>
      <c r="NA583" s="11"/>
      <c r="NB583" s="11"/>
      <c r="NC583" s="11"/>
      <c r="ND583" s="11"/>
      <c r="NE583" s="11"/>
      <c r="NF583" s="11"/>
      <c r="NG583" s="11"/>
      <c r="NH583" s="11"/>
      <c r="NI583" s="11"/>
      <c r="NJ583" s="11"/>
      <c r="NK583" s="11"/>
      <c r="NL583" s="11"/>
      <c r="NM583" s="11"/>
      <c r="NN583" s="11"/>
      <c r="NO583" s="11"/>
      <c r="NP583" s="11"/>
      <c r="NQ583" s="11"/>
      <c r="NR583" s="11"/>
      <c r="NS583" s="11"/>
      <c r="NT583" s="11"/>
      <c r="NU583" s="11"/>
      <c r="NV583" s="11"/>
      <c r="NW583" s="11"/>
      <c r="NX583" s="11"/>
      <c r="NY583" s="11"/>
      <c r="NZ583" s="11"/>
      <c r="OA583" s="11"/>
      <c r="OB583" s="11"/>
      <c r="OC583" s="11"/>
      <c r="OD583" s="11"/>
      <c r="OE583" s="11"/>
      <c r="OF583" s="11"/>
      <c r="OG583" s="11"/>
      <c r="OH583" s="11"/>
      <c r="OI583" s="11"/>
      <c r="OJ583" s="11"/>
      <c r="OK583" s="11"/>
      <c r="OL583" s="11"/>
      <c r="OM583" s="11"/>
      <c r="ON583" s="11"/>
      <c r="OO583" s="11"/>
      <c r="OP583" s="11"/>
      <c r="OQ583" s="11"/>
      <c r="OR583" s="11"/>
      <c r="OS583" s="11"/>
      <c r="OT583" s="11"/>
      <c r="OU583" s="11"/>
      <c r="OV583" s="11"/>
      <c r="OW583" s="11"/>
      <c r="OX583" s="11"/>
      <c r="OY583" s="11"/>
      <c r="OZ583" s="11"/>
      <c r="PA583" s="11"/>
      <c r="PB583" s="11"/>
      <c r="PC583" s="11"/>
      <c r="PD583" s="11"/>
      <c r="PE583" s="11"/>
      <c r="PF583" s="11"/>
      <c r="PG583" s="11"/>
      <c r="PH583" s="11"/>
      <c r="PI583" s="11"/>
      <c r="PJ583" s="11"/>
      <c r="PK583" s="11"/>
      <c r="PL583" s="11"/>
      <c r="PM583" s="11"/>
      <c r="PN583" s="11"/>
      <c r="PO583" s="11"/>
      <c r="PP583" s="11"/>
      <c r="PQ583" s="11"/>
      <c r="PR583" s="11"/>
      <c r="PS583" s="11"/>
      <c r="PT583" s="11"/>
      <c r="PU583" s="11"/>
      <c r="PV583" s="11"/>
      <c r="PW583" s="11"/>
      <c r="PX583" s="11"/>
      <c r="PY583" s="11"/>
      <c r="PZ583" s="11"/>
      <c r="QA583" s="11"/>
      <c r="QB583" s="11"/>
      <c r="QC583" s="11"/>
      <c r="QD583" s="11"/>
      <c r="QE583" s="11"/>
      <c r="QF583" s="11"/>
      <c r="QG583" s="11"/>
      <c r="QH583" s="11"/>
      <c r="QI583" s="11"/>
      <c r="QJ583" s="11"/>
      <c r="QK583" s="11"/>
      <c r="QL583" s="11"/>
      <c r="QM583" s="11"/>
      <c r="QN583" s="11"/>
      <c r="QO583" s="11"/>
      <c r="QP583" s="11"/>
      <c r="QQ583" s="11"/>
      <c r="QR583" s="11"/>
      <c r="QS583" s="11"/>
      <c r="QT583" s="11"/>
      <c r="QU583" s="11"/>
      <c r="QV583" s="11"/>
      <c r="QW583" s="11"/>
      <c r="QX583" s="11"/>
      <c r="QY583" s="11"/>
      <c r="QZ583" s="11"/>
      <c r="RA583" s="11"/>
      <c r="RB583" s="11"/>
      <c r="RC583" s="11"/>
      <c r="RD583" s="11"/>
      <c r="RE583" s="11"/>
      <c r="RF583" s="11"/>
      <c r="RG583" s="11"/>
      <c r="RH583" s="11"/>
      <c r="RI583" s="11"/>
      <c r="RJ583" s="11"/>
      <c r="RK583" s="11"/>
      <c r="RL583" s="11"/>
      <c r="RM583" s="11"/>
      <c r="RN583" s="11"/>
      <c r="RO583" s="11"/>
      <c r="RP583" s="11"/>
      <c r="RQ583" s="11"/>
      <c r="RR583" s="11"/>
      <c r="RS583" s="11"/>
      <c r="RT583" s="11"/>
      <c r="RU583" s="11"/>
      <c r="RV583" s="11"/>
      <c r="RW583" s="11"/>
      <c r="RX583" s="11"/>
      <c r="RY583" s="11"/>
      <c r="RZ583" s="11"/>
      <c r="SA583" s="11"/>
      <c r="SB583" s="11"/>
      <c r="SC583" s="11"/>
      <c r="SD583" s="11"/>
      <c r="SE583" s="11"/>
      <c r="SF583" s="11"/>
      <c r="SG583" s="11"/>
      <c r="SH583" s="11"/>
      <c r="SI583" s="11"/>
      <c r="SJ583" s="11"/>
      <c r="SK583" s="11"/>
      <c r="SL583" s="11"/>
      <c r="SM583" s="11"/>
      <c r="SN583" s="11"/>
      <c r="SO583" s="11"/>
      <c r="SP583" s="11"/>
      <c r="SQ583" s="11"/>
      <c r="SR583" s="11"/>
      <c r="SS583" s="11"/>
      <c r="ST583" s="11"/>
      <c r="SU583" s="11"/>
      <c r="SV583" s="11"/>
      <c r="SW583" s="11"/>
      <c r="SX583" s="11"/>
      <c r="SY583" s="11"/>
      <c r="SZ583" s="11"/>
      <c r="TA583" s="11"/>
      <c r="TB583" s="11"/>
      <c r="TC583" s="11"/>
      <c r="TD583" s="11"/>
      <c r="TE583" s="11"/>
      <c r="TF583" s="11"/>
      <c r="TG583" s="11"/>
      <c r="TH583" s="11"/>
      <c r="TI583" s="11"/>
      <c r="TJ583" s="11"/>
      <c r="TK583" s="11"/>
      <c r="TL583" s="11"/>
      <c r="TM583" s="11"/>
      <c r="TN583" s="11"/>
      <c r="TO583" s="11"/>
      <c r="TP583" s="11"/>
      <c r="TQ583" s="11"/>
      <c r="TR583" s="11"/>
      <c r="TS583" s="11"/>
      <c r="TT583" s="11"/>
      <c r="TU583" s="11"/>
      <c r="TV583" s="11"/>
      <c r="TW583" s="11"/>
      <c r="TX583" s="11"/>
      <c r="TY583" s="11"/>
      <c r="TZ583" s="11"/>
      <c r="UA583" s="11"/>
      <c r="UB583" s="11"/>
      <c r="UC583" s="11"/>
      <c r="UD583" s="11"/>
      <c r="UE583" s="11"/>
      <c r="UF583" s="11"/>
      <c r="UG583" s="11"/>
      <c r="UH583" s="11"/>
      <c r="UI583" s="11"/>
      <c r="UJ583" s="11"/>
      <c r="UK583" s="11"/>
      <c r="UL583" s="11"/>
      <c r="UM583" s="11"/>
      <c r="UN583" s="11"/>
      <c r="UO583" s="11"/>
      <c r="UP583" s="11"/>
      <c r="UQ583" s="11"/>
      <c r="UR583" s="11"/>
      <c r="US583" s="11"/>
      <c r="UT583" s="11"/>
      <c r="UU583" s="11"/>
      <c r="UV583" s="11"/>
      <c r="UW583" s="11"/>
      <c r="UX583" s="11"/>
      <c r="UY583" s="11"/>
      <c r="UZ583" s="11"/>
      <c r="VA583" s="11"/>
      <c r="VB583" s="11"/>
      <c r="VC583" s="11"/>
      <c r="VD583" s="11"/>
      <c r="VE583" s="11"/>
      <c r="VF583" s="11"/>
      <c r="VG583" s="11"/>
      <c r="VH583" s="11"/>
      <c r="VI583" s="11"/>
      <c r="VJ583" s="11"/>
      <c r="VK583" s="11"/>
      <c r="VL583" s="11"/>
      <c r="VM583" s="11"/>
      <c r="VN583" s="11"/>
      <c r="VO583" s="11"/>
      <c r="VP583" s="11"/>
      <c r="VQ583" s="11"/>
      <c r="VR583" s="11"/>
      <c r="VS583" s="11"/>
      <c r="VT583" s="11"/>
      <c r="VU583" s="11"/>
      <c r="VV583" s="11"/>
      <c r="VW583" s="11"/>
      <c r="VX583" s="11"/>
      <c r="VY583" s="11"/>
      <c r="VZ583" s="11"/>
      <c r="WA583" s="11"/>
      <c r="WB583" s="11"/>
      <c r="WC583" s="11"/>
      <c r="WD583" s="11"/>
      <c r="WE583" s="11"/>
      <c r="WF583" s="11"/>
      <c r="WG583" s="11"/>
      <c r="WH583" s="11"/>
      <c r="WI583" s="11"/>
      <c r="WJ583" s="11"/>
      <c r="WK583" s="11"/>
      <c r="WL583" s="11"/>
      <c r="WM583" s="11"/>
      <c r="WN583" s="11"/>
      <c r="WO583" s="11"/>
      <c r="WP583" s="11"/>
      <c r="WQ583" s="11"/>
      <c r="WR583" s="11"/>
      <c r="WS583" s="11"/>
      <c r="WT583" s="11"/>
      <c r="WU583" s="11"/>
      <c r="WV583" s="11"/>
      <c r="WW583" s="11"/>
      <c r="WX583" s="11"/>
      <c r="WY583" s="11"/>
      <c r="WZ583" s="11"/>
      <c r="XA583" s="11"/>
      <c r="XB583" s="11"/>
      <c r="XC583" s="11"/>
      <c r="XD583" s="11"/>
      <c r="XE583" s="11"/>
      <c r="XF583" s="11"/>
      <c r="XG583" s="11"/>
      <c r="XH583" s="11"/>
      <c r="XI583" s="11"/>
      <c r="XJ583" s="11"/>
      <c r="XK583" s="11"/>
      <c r="XL583" s="11"/>
      <c r="XM583" s="11"/>
      <c r="XN583" s="11"/>
      <c r="XO583" s="11"/>
      <c r="XP583" s="11"/>
      <c r="XQ583" s="11"/>
      <c r="XR583" s="11"/>
      <c r="XS583" s="11"/>
      <c r="XT583" s="11"/>
      <c r="XU583" s="11"/>
      <c r="XV583" s="11"/>
      <c r="XW583" s="11"/>
      <c r="XX583" s="11"/>
      <c r="XY583" s="11"/>
      <c r="XZ583" s="11"/>
      <c r="YA583" s="11"/>
      <c r="YB583" s="11"/>
      <c r="YC583" s="11"/>
      <c r="YD583" s="11"/>
      <c r="YE583" s="11"/>
      <c r="YF583" s="11"/>
      <c r="YG583" s="11"/>
      <c r="YH583" s="11"/>
      <c r="YI583" s="11"/>
      <c r="YJ583" s="11"/>
      <c r="YK583" s="11"/>
      <c r="YL583" s="11"/>
      <c r="YM583" s="11"/>
      <c r="YN583" s="11"/>
      <c r="YO583" s="11"/>
      <c r="YP583" s="11"/>
      <c r="YQ583" s="11"/>
      <c r="YR583" s="11"/>
      <c r="YS583" s="11"/>
      <c r="YT583" s="11"/>
      <c r="YU583" s="11"/>
      <c r="YV583" s="11"/>
      <c r="YW583" s="11"/>
      <c r="YX583" s="11"/>
      <c r="YY583" s="11"/>
      <c r="YZ583" s="11"/>
      <c r="ZA583" s="11"/>
      <c r="ZB583" s="11"/>
      <c r="ZC583" s="11"/>
      <c r="ZD583" s="11"/>
      <c r="ZE583" s="11"/>
      <c r="ZF583" s="11"/>
      <c r="ZG583" s="11"/>
      <c r="ZH583" s="11"/>
      <c r="ZI583" s="11"/>
      <c r="ZJ583" s="11"/>
      <c r="ZK583" s="11"/>
      <c r="ZL583" s="11"/>
      <c r="ZM583" s="11"/>
      <c r="ZN583" s="11"/>
      <c r="ZO583" s="11"/>
      <c r="ZP583" s="11"/>
      <c r="ZQ583" s="11"/>
      <c r="ZR583" s="11"/>
      <c r="ZS583" s="11"/>
      <c r="ZT583" s="11"/>
      <c r="ZU583" s="11"/>
      <c r="ZV583" s="11"/>
      <c r="ZW583" s="11"/>
      <c r="ZX583" s="11"/>
      <c r="ZY583" s="11"/>
      <c r="ZZ583" s="11"/>
      <c r="AAA583" s="11"/>
      <c r="AAB583" s="11"/>
      <c r="AAC583" s="11"/>
      <c r="AAD583" s="11"/>
      <c r="AAE583" s="11"/>
      <c r="AAF583" s="11"/>
      <c r="AAG583" s="11"/>
      <c r="AAH583" s="11"/>
      <c r="AAI583" s="11"/>
      <c r="AAJ583" s="11"/>
      <c r="AAK583" s="11"/>
      <c r="AAL583" s="11"/>
      <c r="AAM583" s="11"/>
      <c r="AAN583" s="11"/>
      <c r="AAO583" s="11"/>
      <c r="AAP583" s="11"/>
      <c r="AAQ583" s="11"/>
      <c r="AAR583" s="11"/>
      <c r="AAS583" s="11"/>
      <c r="AAT583" s="11"/>
      <c r="AAU583" s="11"/>
      <c r="AAV583" s="11"/>
      <c r="AAW583" s="11"/>
      <c r="AAX583" s="11"/>
      <c r="AAY583" s="11"/>
      <c r="AAZ583" s="11"/>
      <c r="ABA583" s="11"/>
      <c r="ABB583" s="11"/>
      <c r="ABC583" s="11"/>
      <c r="ABD583" s="11"/>
      <c r="ABE583" s="11"/>
      <c r="ABF583" s="11"/>
      <c r="ABG583" s="11"/>
      <c r="ABH583" s="11"/>
      <c r="ABI583" s="11"/>
      <c r="ABJ583" s="11"/>
      <c r="ABK583" s="11"/>
      <c r="ABL583" s="11"/>
      <c r="ABM583" s="11"/>
      <c r="ABN583" s="11"/>
      <c r="ABO583" s="11"/>
      <c r="ABP583" s="11"/>
      <c r="ABQ583" s="11"/>
      <c r="ABR583" s="11"/>
      <c r="ABS583" s="11"/>
      <c r="ABT583" s="11"/>
      <c r="ABU583" s="11"/>
      <c r="ABV583" s="11"/>
      <c r="ABW583" s="11"/>
      <c r="ABX583" s="11"/>
      <c r="ABY583" s="11"/>
      <c r="ABZ583" s="11"/>
      <c r="ACA583" s="11"/>
      <c r="ACB583" s="11"/>
      <c r="ACC583" s="11"/>
      <c r="ACD583" s="11"/>
      <c r="ACE583" s="11"/>
      <c r="ACF583" s="11"/>
      <c r="ACG583" s="11"/>
      <c r="ACH583" s="11"/>
      <c r="ACI583" s="11"/>
      <c r="ACJ583" s="11"/>
      <c r="ACK583" s="11"/>
      <c r="ACL583" s="11"/>
      <c r="ACM583" s="11"/>
      <c r="ACN583" s="11"/>
      <c r="ACO583" s="11"/>
      <c r="ACP583" s="11"/>
      <c r="ACQ583" s="11"/>
      <c r="ACR583" s="11"/>
      <c r="ACS583" s="11"/>
      <c r="ACT583" s="11"/>
      <c r="ACU583" s="11"/>
      <c r="ACV583" s="11"/>
      <c r="ACW583" s="11"/>
      <c r="ACX583" s="11"/>
      <c r="ACY583" s="11"/>
      <c r="ACZ583" s="11"/>
      <c r="ADA583" s="11"/>
      <c r="ADB583" s="11"/>
      <c r="ADC583" s="11"/>
      <c r="ADD583" s="11"/>
      <c r="ADE583" s="11"/>
      <c r="ADF583" s="11"/>
      <c r="ADG583" s="11"/>
      <c r="ADH583" s="11"/>
      <c r="ADI583" s="11"/>
      <c r="ADJ583" s="11"/>
      <c r="ADK583" s="11"/>
      <c r="ADL583" s="11"/>
      <c r="ADM583" s="11"/>
      <c r="ADN583" s="11"/>
      <c r="ADO583" s="11"/>
      <c r="ADP583" s="11"/>
      <c r="ADQ583" s="11"/>
      <c r="ADR583" s="11"/>
      <c r="ADS583" s="11"/>
      <c r="ADT583" s="11"/>
      <c r="ADU583" s="11"/>
      <c r="ADV583" s="11"/>
      <c r="ADW583" s="11"/>
      <c r="ADX583" s="11"/>
      <c r="ADY583" s="11"/>
      <c r="ADZ583" s="11"/>
      <c r="AEA583" s="11"/>
      <c r="AEB583" s="11"/>
      <c r="AEC583" s="11"/>
      <c r="AED583" s="11"/>
      <c r="AEE583" s="11"/>
      <c r="AEF583" s="11"/>
      <c r="AEG583" s="11"/>
      <c r="AEH583" s="11"/>
      <c r="AEI583" s="11"/>
      <c r="AEJ583" s="11"/>
      <c r="AEK583" s="11"/>
      <c r="AEL583" s="11"/>
      <c r="AEM583" s="11"/>
      <c r="AEN583" s="11"/>
      <c r="AEO583" s="11"/>
      <c r="AEP583" s="11"/>
      <c r="AEQ583" s="11"/>
      <c r="AER583" s="11"/>
      <c r="AES583" s="11"/>
      <c r="AET583" s="11"/>
      <c r="AEU583" s="11"/>
      <c r="AEV583" s="11"/>
      <c r="AEW583" s="11"/>
      <c r="AEX583" s="11"/>
      <c r="AEY583" s="11"/>
      <c r="AEZ583" s="11"/>
      <c r="AFA583" s="11"/>
      <c r="AFB583" s="11"/>
      <c r="AFC583" s="11"/>
      <c r="AFD583" s="11"/>
      <c r="AFE583" s="11"/>
      <c r="AFF583" s="11"/>
      <c r="AFG583" s="11"/>
      <c r="AFH583" s="11"/>
      <c r="AFI583" s="11"/>
      <c r="AFJ583" s="11"/>
      <c r="AFK583" s="11"/>
      <c r="AFL583" s="11"/>
      <c r="AFM583" s="11"/>
      <c r="AFN583" s="11"/>
      <c r="AFO583" s="11"/>
      <c r="AFP583" s="11"/>
      <c r="AFQ583" s="11"/>
      <c r="AFR583" s="11"/>
      <c r="AFS583" s="11"/>
      <c r="AFT583" s="11"/>
      <c r="AFU583" s="11"/>
      <c r="AFV583" s="11"/>
      <c r="AFW583" s="11"/>
      <c r="AFX583" s="11"/>
      <c r="AFY583" s="11"/>
      <c r="AFZ583" s="11"/>
      <c r="AGA583" s="11"/>
      <c r="AGB583" s="11"/>
      <c r="AGC583" s="11"/>
      <c r="AGD583" s="11"/>
      <c r="AGE583" s="11"/>
      <c r="AGF583" s="11"/>
      <c r="AGG583" s="11"/>
      <c r="AGH583" s="11"/>
      <c r="AGI583" s="11"/>
      <c r="AGJ583" s="11"/>
      <c r="AGK583" s="11"/>
      <c r="AGL583" s="11"/>
      <c r="AGM583" s="11"/>
      <c r="AGN583" s="11"/>
      <c r="AGO583" s="11"/>
      <c r="AGP583" s="11"/>
      <c r="AGQ583" s="11"/>
      <c r="AGR583" s="11"/>
      <c r="AGS583" s="11"/>
      <c r="AGT583" s="11"/>
      <c r="AGU583" s="11"/>
      <c r="AGV583" s="11"/>
      <c r="AGW583" s="11"/>
      <c r="AGX583" s="11"/>
      <c r="AGY583" s="11"/>
      <c r="AGZ583" s="11"/>
      <c r="AHA583" s="11"/>
      <c r="AHB583" s="11"/>
      <c r="AHC583" s="11"/>
      <c r="AHD583" s="11"/>
      <c r="AHE583" s="11"/>
      <c r="AHF583" s="11"/>
      <c r="AHG583" s="11"/>
      <c r="AHH583" s="11"/>
      <c r="AHI583" s="11"/>
      <c r="AHJ583" s="11"/>
      <c r="AHK583" s="11"/>
      <c r="AHL583" s="11"/>
      <c r="AHM583" s="11"/>
      <c r="AHN583" s="11"/>
      <c r="AHO583" s="11"/>
      <c r="AHP583" s="11"/>
      <c r="AHQ583" s="11"/>
      <c r="AHR583" s="11"/>
      <c r="AHS583" s="11"/>
      <c r="AHT583" s="11"/>
      <c r="AHU583" s="11"/>
      <c r="AHV583" s="11"/>
      <c r="AHW583" s="11"/>
      <c r="AHX583" s="11"/>
      <c r="AHY583" s="11"/>
      <c r="AHZ583" s="11"/>
      <c r="AIA583" s="11"/>
      <c r="AIB583" s="11"/>
      <c r="AIC583" s="11"/>
      <c r="AID583" s="11"/>
      <c r="AIE583" s="11"/>
      <c r="AIF583" s="11"/>
      <c r="AIG583" s="11"/>
      <c r="AIH583" s="11"/>
      <c r="AII583" s="11"/>
      <c r="AIJ583" s="11"/>
      <c r="AIK583" s="11"/>
      <c r="AIL583" s="11"/>
      <c r="AIM583" s="11"/>
      <c r="AIN583" s="11"/>
      <c r="AIO583" s="11"/>
      <c r="AIP583" s="11"/>
      <c r="AIQ583" s="11"/>
      <c r="AIR583" s="11"/>
      <c r="AIS583" s="11"/>
      <c r="AIT583" s="11"/>
      <c r="AIU583" s="11"/>
      <c r="AIV583" s="11"/>
      <c r="AIW583" s="11"/>
      <c r="AIX583" s="11"/>
      <c r="AIY583" s="11"/>
      <c r="AIZ583" s="11"/>
      <c r="AJA583" s="11"/>
      <c r="AJB583" s="11"/>
      <c r="AJC583" s="11"/>
      <c r="AJD583" s="11"/>
      <c r="AJE583" s="11"/>
      <c r="AJF583" s="11"/>
      <c r="AJG583" s="11"/>
      <c r="AJH583" s="11"/>
      <c r="AJI583" s="11"/>
      <c r="AJJ583" s="11"/>
      <c r="AJK583" s="11"/>
      <c r="AJL583" s="11"/>
      <c r="AJM583" s="11"/>
      <c r="AJN583" s="11"/>
      <c r="AJO583" s="11"/>
      <c r="AJP583" s="11"/>
      <c r="AJQ583" s="11"/>
      <c r="AJR583" s="11"/>
      <c r="AJS583" s="11"/>
      <c r="AJT583" s="11"/>
      <c r="AJU583" s="11"/>
      <c r="AJV583" s="11"/>
      <c r="AJW583" s="11"/>
      <c r="AJX583" s="11"/>
      <c r="AJY583" s="11"/>
      <c r="AJZ583" s="11"/>
      <c r="AKA583" s="11"/>
      <c r="AKB583" s="11"/>
      <c r="AKC583" s="11"/>
      <c r="AKD583" s="11"/>
      <c r="AKE583" s="11"/>
      <c r="AKF583" s="11"/>
      <c r="AKG583" s="11"/>
      <c r="AKH583" s="11"/>
      <c r="AKI583" s="11"/>
      <c r="AKJ583" s="11"/>
      <c r="AKK583" s="11"/>
      <c r="AKL583" s="11"/>
      <c r="AKM583" s="11"/>
      <c r="AKN583" s="11"/>
      <c r="AKO583" s="11"/>
      <c r="AKP583" s="11"/>
      <c r="AKQ583" s="11"/>
      <c r="AKR583" s="11"/>
      <c r="AKS583" s="11"/>
      <c r="AKT583" s="11"/>
      <c r="AKU583" s="11"/>
      <c r="AKV583" s="11"/>
      <c r="AKW583" s="11"/>
      <c r="AKX583" s="11"/>
      <c r="AKY583" s="11"/>
      <c r="AKZ583" s="11"/>
      <c r="ALA583" s="11"/>
      <c r="ALB583" s="11"/>
      <c r="ALC583" s="11"/>
      <c r="ALD583" s="11"/>
      <c r="ALE583" s="11"/>
      <c r="ALF583" s="11"/>
      <c r="ALG583" s="11"/>
      <c r="ALH583" s="11"/>
      <c r="ALI583" s="11"/>
      <c r="ALJ583" s="11"/>
      <c r="ALK583" s="11"/>
      <c r="ALL583" s="11"/>
      <c r="ALM583" s="11"/>
      <c r="ALN583" s="11"/>
      <c r="ALO583" s="11"/>
      <c r="ALP583" s="11"/>
      <c r="ALQ583" s="11"/>
      <c r="ALR583" s="11"/>
      <c r="ALS583" s="11"/>
      <c r="ALT583" s="11"/>
      <c r="ALU583" s="11"/>
      <c r="ALV583" s="11"/>
      <c r="ALW583" s="11"/>
      <c r="ALX583" s="11"/>
      <c r="ALY583" s="11"/>
      <c r="ALZ583" s="11"/>
      <c r="AMA583" s="11"/>
      <c r="AMB583" s="11"/>
      <c r="AMC583" s="11"/>
      <c r="AMD583" s="11"/>
      <c r="AME583" s="11"/>
      <c r="AMF583" s="11"/>
      <c r="AMG583" s="11"/>
      <c r="AMH583" s="11"/>
      <c r="AMI583" s="11"/>
      <c r="AMJ583" s="11"/>
    </row>
    <row r="584" spans="1:1024">
      <c r="A584" s="7" t="s">
        <v>588</v>
      </c>
      <c r="B584" s="7">
        <v>554842</v>
      </c>
      <c r="D584" s="1">
        <v>0</v>
      </c>
      <c r="E584" s="8">
        <f>VLOOKUP(B584,Gesamtstunden_26!B:I,8,0)</f>
        <v>3.6666666666666665</v>
      </c>
      <c r="F584" s="2">
        <f t="shared" si="9"/>
        <v>-3.6666666666666665</v>
      </c>
    </row>
    <row r="585" spans="1:1024">
      <c r="A585" s="10" t="s">
        <v>589</v>
      </c>
      <c r="B585" s="10">
        <v>899316</v>
      </c>
      <c r="D585" s="1">
        <v>0</v>
      </c>
      <c r="E585" s="8">
        <f>VLOOKUP(B585,Gesamtstunden_26!B:I,8,0)</f>
        <v>2.3333333333333335</v>
      </c>
      <c r="F585" s="2">
        <f t="shared" si="9"/>
        <v>-2.3333333333333335</v>
      </c>
    </row>
    <row r="586" spans="1:1024">
      <c r="A586" s="7" t="s">
        <v>590</v>
      </c>
      <c r="B586" s="7">
        <v>803118</v>
      </c>
      <c r="D586" s="1">
        <v>0</v>
      </c>
      <c r="E586" s="8">
        <f>VLOOKUP(B586,Gesamtstunden_26!B:I,8,0)</f>
        <v>18.333333333333332</v>
      </c>
      <c r="F586" s="2">
        <f t="shared" si="9"/>
        <v>-18.333333333333332</v>
      </c>
    </row>
    <row r="587" spans="1:1024">
      <c r="A587" s="8" t="s">
        <v>591</v>
      </c>
      <c r="B587" s="8">
        <v>269811</v>
      </c>
      <c r="D587" s="1">
        <v>12.5066666666667</v>
      </c>
      <c r="E587" s="8">
        <f>VLOOKUP(B587,Gesamtstunden_26!B:I,8,0)</f>
        <v>0</v>
      </c>
      <c r="F587" s="2">
        <f t="shared" si="9"/>
        <v>12.5066666666667</v>
      </c>
    </row>
    <row r="588" spans="1:1024" s="11" customFormat="1">
      <c r="A588" s="8" t="s">
        <v>592</v>
      </c>
      <c r="B588" s="8">
        <v>242793</v>
      </c>
      <c r="C588"/>
      <c r="D588" s="1">
        <v>11.0033333333333</v>
      </c>
      <c r="E588" s="8">
        <f>VLOOKUP(B588,Gesamtstunden_26!B:I,8,0)</f>
        <v>0</v>
      </c>
      <c r="F588" s="2">
        <f t="shared" si="9"/>
        <v>11.0033333333333</v>
      </c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  <c r="BR588"/>
      <c r="BS588"/>
      <c r="BT588"/>
      <c r="BU588"/>
      <c r="BV588"/>
      <c r="BW588"/>
      <c r="BX588"/>
      <c r="BY588"/>
      <c r="BZ588"/>
      <c r="CA588"/>
      <c r="CB588"/>
      <c r="CC588"/>
      <c r="CD588"/>
      <c r="CE588"/>
      <c r="CF588"/>
      <c r="CG588"/>
      <c r="CH588"/>
      <c r="CI588"/>
      <c r="CJ588"/>
      <c r="CK588"/>
      <c r="CL588"/>
      <c r="CM588"/>
      <c r="CN588"/>
      <c r="CO588"/>
      <c r="CP588"/>
      <c r="CQ588"/>
      <c r="CR588"/>
      <c r="CS588"/>
      <c r="CT588"/>
      <c r="CU588"/>
      <c r="CV588"/>
      <c r="CW588"/>
      <c r="CX588"/>
      <c r="CY588"/>
      <c r="CZ588"/>
      <c r="DA588"/>
      <c r="DB588"/>
      <c r="DC588"/>
      <c r="DD588"/>
      <c r="DE588"/>
      <c r="DF588"/>
      <c r="DG588"/>
      <c r="DH588"/>
      <c r="DI588"/>
      <c r="DJ588"/>
      <c r="DK588"/>
      <c r="DL588"/>
      <c r="DM588"/>
      <c r="DN588"/>
      <c r="DO588"/>
      <c r="DP588"/>
      <c r="DQ588"/>
      <c r="DR588"/>
      <c r="DS588"/>
      <c r="DT588"/>
      <c r="DU588"/>
      <c r="DV588"/>
      <c r="DW588"/>
      <c r="DX588"/>
      <c r="DY588"/>
      <c r="DZ588"/>
      <c r="EA588"/>
      <c r="EB588"/>
      <c r="EC588"/>
      <c r="ED588"/>
      <c r="EE588"/>
      <c r="EF588"/>
      <c r="EG588"/>
      <c r="EH588"/>
      <c r="EI588"/>
      <c r="EJ588"/>
      <c r="EK588"/>
      <c r="EL588"/>
      <c r="EM588"/>
      <c r="EN588"/>
      <c r="EO588"/>
      <c r="EP588"/>
      <c r="EQ588"/>
      <c r="ER588"/>
      <c r="ES588"/>
      <c r="ET588"/>
      <c r="EU588"/>
      <c r="EV588"/>
      <c r="EW588"/>
      <c r="EX588"/>
      <c r="EY588"/>
      <c r="EZ588"/>
      <c r="FA588"/>
      <c r="FB588"/>
      <c r="FC588"/>
      <c r="FD588"/>
      <c r="FE588"/>
      <c r="FF588"/>
      <c r="FG588"/>
      <c r="FH588"/>
      <c r="FI588"/>
      <c r="FJ588"/>
      <c r="FK588"/>
      <c r="FL588"/>
      <c r="FM588"/>
      <c r="FN588"/>
      <c r="FO588"/>
      <c r="FP588"/>
      <c r="FQ588"/>
      <c r="FR588"/>
      <c r="FS588"/>
      <c r="FT588"/>
      <c r="FU588"/>
      <c r="FV588"/>
      <c r="FW588"/>
      <c r="FX588"/>
      <c r="FY588"/>
      <c r="FZ588"/>
      <c r="GA588"/>
      <c r="GB588"/>
      <c r="GC588"/>
      <c r="GD588"/>
      <c r="GE588"/>
      <c r="GF588"/>
      <c r="GG588"/>
      <c r="GH588"/>
      <c r="GI588"/>
      <c r="GJ588"/>
      <c r="GK588"/>
      <c r="GL588"/>
      <c r="GM588"/>
      <c r="GN588"/>
      <c r="GO588"/>
      <c r="GP588"/>
      <c r="GQ588"/>
      <c r="GR588"/>
      <c r="GS588"/>
      <c r="GT588"/>
      <c r="GU588"/>
      <c r="GV588"/>
      <c r="GW588"/>
      <c r="GX588"/>
      <c r="GY588"/>
      <c r="GZ588"/>
      <c r="HA588"/>
      <c r="HB588"/>
      <c r="HC588"/>
      <c r="HD588"/>
      <c r="HE588"/>
      <c r="HF588"/>
      <c r="HG588"/>
      <c r="HH588"/>
      <c r="HI588"/>
      <c r="HJ588"/>
      <c r="HK588"/>
      <c r="HL588"/>
      <c r="HM588"/>
      <c r="HN588"/>
      <c r="HO588"/>
      <c r="HP588"/>
      <c r="HQ588"/>
      <c r="HR588"/>
      <c r="HS588"/>
      <c r="HT588"/>
      <c r="HU588"/>
      <c r="HV588"/>
      <c r="HW588"/>
      <c r="HX588"/>
      <c r="HY588"/>
      <c r="HZ588"/>
      <c r="IA588"/>
      <c r="IB588"/>
      <c r="IC588"/>
      <c r="ID588"/>
      <c r="IE588"/>
      <c r="IF588"/>
      <c r="IG588"/>
      <c r="IH588"/>
      <c r="II588"/>
      <c r="IJ588"/>
      <c r="IK588"/>
      <c r="IL588"/>
      <c r="IM588"/>
      <c r="IN588"/>
      <c r="IO588"/>
      <c r="IP588"/>
      <c r="IQ588"/>
      <c r="IR588"/>
      <c r="IS588"/>
      <c r="IT588"/>
      <c r="IU588"/>
      <c r="IV588"/>
      <c r="IW588"/>
      <c r="IX588"/>
      <c r="IY588"/>
      <c r="IZ588"/>
      <c r="JA588"/>
      <c r="JB588"/>
      <c r="JC588"/>
      <c r="JD588"/>
      <c r="JE588"/>
      <c r="JF588"/>
      <c r="JG588"/>
      <c r="JH588"/>
      <c r="JI588"/>
      <c r="JJ588"/>
      <c r="JK588"/>
      <c r="JL588"/>
      <c r="JM588"/>
      <c r="JN588"/>
      <c r="JO588"/>
      <c r="JP588"/>
      <c r="JQ588"/>
      <c r="JR588"/>
      <c r="JS588"/>
      <c r="JT588"/>
      <c r="JU588"/>
      <c r="JV588"/>
      <c r="JW588"/>
      <c r="JX588"/>
      <c r="JY588"/>
      <c r="JZ588"/>
      <c r="KA588"/>
      <c r="KB588"/>
      <c r="KC588"/>
      <c r="KD588"/>
      <c r="KE588"/>
      <c r="KF588"/>
      <c r="KG588"/>
      <c r="KH588"/>
      <c r="KI588"/>
      <c r="KJ588"/>
      <c r="KK588"/>
      <c r="KL588"/>
      <c r="KM588"/>
      <c r="KN588"/>
      <c r="KO588"/>
      <c r="KP588"/>
      <c r="KQ588"/>
      <c r="KR588"/>
      <c r="KS588"/>
      <c r="KT588"/>
      <c r="KU588"/>
      <c r="KV588"/>
      <c r="KW588"/>
      <c r="KX588"/>
      <c r="KY588"/>
      <c r="KZ588"/>
      <c r="LA588"/>
      <c r="LB588"/>
      <c r="LC588"/>
      <c r="LD588"/>
      <c r="LE588"/>
      <c r="LF588"/>
      <c r="LG588"/>
      <c r="LH588"/>
      <c r="LI588"/>
      <c r="LJ588"/>
      <c r="LK588"/>
      <c r="LL588"/>
      <c r="LM588"/>
      <c r="LN588"/>
      <c r="LO588"/>
      <c r="LP588"/>
      <c r="LQ588"/>
      <c r="LR588"/>
      <c r="LS588"/>
      <c r="LT588"/>
      <c r="LU588"/>
      <c r="LV588"/>
      <c r="LW588"/>
      <c r="LX588"/>
      <c r="LY588"/>
      <c r="LZ588"/>
      <c r="MA588"/>
      <c r="MB588"/>
      <c r="MC588"/>
      <c r="MD588"/>
      <c r="ME588"/>
      <c r="MF588"/>
      <c r="MG588"/>
      <c r="MH588"/>
      <c r="MI588"/>
      <c r="MJ588"/>
      <c r="MK588"/>
      <c r="ML588"/>
      <c r="MM588"/>
      <c r="MN588"/>
      <c r="MO588"/>
      <c r="MP588"/>
      <c r="MQ588"/>
      <c r="MR588"/>
      <c r="MS588"/>
      <c r="MT588"/>
      <c r="MU588"/>
      <c r="MV588"/>
      <c r="MW588"/>
      <c r="MX588"/>
      <c r="MY588"/>
      <c r="MZ588"/>
      <c r="NA588"/>
      <c r="NB588"/>
      <c r="NC588"/>
      <c r="ND588"/>
      <c r="NE588"/>
      <c r="NF588"/>
      <c r="NG588"/>
      <c r="NH588"/>
      <c r="NI588"/>
      <c r="NJ588"/>
      <c r="NK588"/>
      <c r="NL588"/>
      <c r="NM588"/>
      <c r="NN588"/>
      <c r="NO588"/>
      <c r="NP588"/>
      <c r="NQ588"/>
      <c r="NR588"/>
      <c r="NS588"/>
      <c r="NT588"/>
      <c r="NU588"/>
      <c r="NV588"/>
      <c r="NW588"/>
      <c r="NX588"/>
      <c r="NY588"/>
      <c r="NZ588"/>
      <c r="OA588"/>
      <c r="OB588"/>
      <c r="OC588"/>
      <c r="OD588"/>
      <c r="OE588"/>
      <c r="OF588"/>
      <c r="OG588"/>
      <c r="OH588"/>
      <c r="OI588"/>
      <c r="OJ588"/>
      <c r="OK588"/>
      <c r="OL588"/>
      <c r="OM588"/>
      <c r="ON588"/>
      <c r="OO588"/>
      <c r="OP588"/>
      <c r="OQ588"/>
      <c r="OR588"/>
      <c r="OS588"/>
      <c r="OT588"/>
      <c r="OU588"/>
      <c r="OV588"/>
      <c r="OW588"/>
      <c r="OX588"/>
      <c r="OY588"/>
      <c r="OZ588"/>
      <c r="PA588"/>
      <c r="PB588"/>
      <c r="PC588"/>
      <c r="PD588"/>
      <c r="PE588"/>
      <c r="PF588"/>
      <c r="PG588"/>
      <c r="PH588"/>
      <c r="PI588"/>
      <c r="PJ588"/>
      <c r="PK588"/>
      <c r="PL588"/>
      <c r="PM588"/>
      <c r="PN588"/>
      <c r="PO588"/>
      <c r="PP588"/>
      <c r="PQ588"/>
      <c r="PR588"/>
      <c r="PS588"/>
      <c r="PT588"/>
      <c r="PU588"/>
      <c r="PV588"/>
      <c r="PW588"/>
      <c r="PX588"/>
      <c r="PY588"/>
      <c r="PZ588"/>
      <c r="QA588"/>
      <c r="QB588"/>
      <c r="QC588"/>
      <c r="QD588"/>
      <c r="QE588"/>
      <c r="QF588"/>
      <c r="QG588"/>
      <c r="QH588"/>
      <c r="QI588"/>
      <c r="QJ588"/>
      <c r="QK588"/>
      <c r="QL588"/>
      <c r="QM588"/>
      <c r="QN588"/>
      <c r="QO588"/>
      <c r="QP588"/>
      <c r="QQ588"/>
      <c r="QR588"/>
      <c r="QS588"/>
      <c r="QT588"/>
      <c r="QU588"/>
      <c r="QV588"/>
      <c r="QW588"/>
      <c r="QX588"/>
      <c r="QY588"/>
      <c r="QZ588"/>
      <c r="RA588"/>
      <c r="RB588"/>
      <c r="RC588"/>
      <c r="RD588"/>
      <c r="RE588"/>
      <c r="RF588"/>
      <c r="RG588"/>
      <c r="RH588"/>
      <c r="RI588"/>
      <c r="RJ588"/>
      <c r="RK588"/>
      <c r="RL588"/>
      <c r="RM588"/>
      <c r="RN588"/>
      <c r="RO588"/>
      <c r="RP588"/>
      <c r="RQ588"/>
      <c r="RR588"/>
      <c r="RS588"/>
      <c r="RT588"/>
      <c r="RU588"/>
      <c r="RV588"/>
      <c r="RW588"/>
      <c r="RX588"/>
      <c r="RY588"/>
      <c r="RZ588"/>
      <c r="SA588"/>
      <c r="SB588"/>
      <c r="SC588"/>
      <c r="SD588"/>
      <c r="SE588"/>
      <c r="SF588"/>
      <c r="SG588"/>
      <c r="SH588"/>
      <c r="SI588"/>
      <c r="SJ588"/>
      <c r="SK588"/>
      <c r="SL588"/>
      <c r="SM588"/>
      <c r="SN588"/>
      <c r="SO588"/>
      <c r="SP588"/>
      <c r="SQ588"/>
      <c r="SR588"/>
      <c r="SS588"/>
      <c r="ST588"/>
      <c r="SU588"/>
      <c r="SV588"/>
      <c r="SW588"/>
      <c r="SX588"/>
      <c r="SY588"/>
      <c r="SZ588"/>
      <c r="TA588"/>
      <c r="TB588"/>
      <c r="TC588"/>
      <c r="TD588"/>
      <c r="TE588"/>
      <c r="TF588"/>
      <c r="TG588"/>
      <c r="TH588"/>
      <c r="TI588"/>
      <c r="TJ588"/>
      <c r="TK588"/>
      <c r="TL588"/>
      <c r="TM588"/>
      <c r="TN588"/>
      <c r="TO588"/>
      <c r="TP588"/>
      <c r="TQ588"/>
      <c r="TR588"/>
      <c r="TS588"/>
      <c r="TT588"/>
      <c r="TU588"/>
      <c r="TV588"/>
      <c r="TW588"/>
      <c r="TX588"/>
      <c r="TY588"/>
      <c r="TZ588"/>
      <c r="UA588"/>
      <c r="UB588"/>
      <c r="UC588"/>
      <c r="UD588"/>
      <c r="UE588"/>
      <c r="UF588"/>
      <c r="UG588"/>
      <c r="UH588"/>
      <c r="UI588"/>
      <c r="UJ588"/>
      <c r="UK588"/>
      <c r="UL588"/>
      <c r="UM588"/>
      <c r="UN588"/>
      <c r="UO588"/>
      <c r="UP588"/>
      <c r="UQ588"/>
      <c r="UR588"/>
      <c r="US588"/>
      <c r="UT588"/>
      <c r="UU588"/>
      <c r="UV588"/>
      <c r="UW588"/>
      <c r="UX588"/>
      <c r="UY588"/>
      <c r="UZ588"/>
      <c r="VA588"/>
      <c r="VB588"/>
      <c r="VC588"/>
      <c r="VD588"/>
      <c r="VE588"/>
      <c r="VF588"/>
      <c r="VG588"/>
      <c r="VH588"/>
      <c r="VI588"/>
      <c r="VJ588"/>
      <c r="VK588"/>
      <c r="VL588"/>
      <c r="VM588"/>
      <c r="VN588"/>
      <c r="VO588"/>
      <c r="VP588"/>
      <c r="VQ588"/>
      <c r="VR588"/>
      <c r="VS588"/>
      <c r="VT588"/>
      <c r="VU588"/>
      <c r="VV588"/>
      <c r="VW588"/>
      <c r="VX588"/>
      <c r="VY588"/>
      <c r="VZ588"/>
      <c r="WA588"/>
      <c r="WB588"/>
      <c r="WC588"/>
      <c r="WD588"/>
      <c r="WE588"/>
      <c r="WF588"/>
      <c r="WG588"/>
      <c r="WH588"/>
      <c r="WI588"/>
      <c r="WJ588"/>
      <c r="WK588"/>
      <c r="WL588"/>
      <c r="WM588"/>
      <c r="WN588"/>
      <c r="WO588"/>
      <c r="WP588"/>
      <c r="WQ588"/>
      <c r="WR588"/>
      <c r="WS588"/>
      <c r="WT588"/>
      <c r="WU588"/>
      <c r="WV588"/>
      <c r="WW588"/>
      <c r="WX588"/>
      <c r="WY588"/>
      <c r="WZ588"/>
      <c r="XA588"/>
      <c r="XB588"/>
      <c r="XC588"/>
      <c r="XD588"/>
      <c r="XE588"/>
      <c r="XF588"/>
      <c r="XG588"/>
      <c r="XH588"/>
      <c r="XI588"/>
      <c r="XJ588"/>
      <c r="XK588"/>
      <c r="XL588"/>
      <c r="XM588"/>
      <c r="XN588"/>
      <c r="XO588"/>
      <c r="XP588"/>
      <c r="XQ588"/>
      <c r="XR588"/>
      <c r="XS588"/>
      <c r="XT588"/>
      <c r="XU588"/>
      <c r="XV588"/>
      <c r="XW588"/>
      <c r="XX588"/>
      <c r="XY588"/>
      <c r="XZ588"/>
      <c r="YA588"/>
      <c r="YB588"/>
      <c r="YC588"/>
      <c r="YD588"/>
      <c r="YE588"/>
      <c r="YF588"/>
      <c r="YG588"/>
      <c r="YH588"/>
      <c r="YI588"/>
      <c r="YJ588"/>
      <c r="YK588"/>
      <c r="YL588"/>
      <c r="YM588"/>
      <c r="YN588"/>
      <c r="YO588"/>
      <c r="YP588"/>
      <c r="YQ588"/>
      <c r="YR588"/>
      <c r="YS588"/>
      <c r="YT588"/>
      <c r="YU588"/>
      <c r="YV588"/>
      <c r="YW588"/>
      <c r="YX588"/>
      <c r="YY588"/>
      <c r="YZ588"/>
      <c r="ZA588"/>
      <c r="ZB588"/>
      <c r="ZC588"/>
      <c r="ZD588"/>
      <c r="ZE588"/>
      <c r="ZF588"/>
      <c r="ZG588"/>
      <c r="ZH588"/>
      <c r="ZI588"/>
      <c r="ZJ588"/>
      <c r="ZK588"/>
      <c r="ZL588"/>
      <c r="ZM588"/>
      <c r="ZN588"/>
      <c r="ZO588"/>
      <c r="ZP588"/>
      <c r="ZQ588"/>
      <c r="ZR588"/>
      <c r="ZS588"/>
      <c r="ZT588"/>
      <c r="ZU588"/>
      <c r="ZV588"/>
      <c r="ZW588"/>
      <c r="ZX588"/>
      <c r="ZY588"/>
      <c r="ZZ588"/>
      <c r="AAA588"/>
      <c r="AAB588"/>
      <c r="AAC588"/>
      <c r="AAD588"/>
      <c r="AAE588"/>
      <c r="AAF588"/>
      <c r="AAG588"/>
      <c r="AAH588"/>
      <c r="AAI588"/>
      <c r="AAJ588"/>
      <c r="AAK588"/>
      <c r="AAL588"/>
      <c r="AAM588"/>
      <c r="AAN588"/>
      <c r="AAO588"/>
      <c r="AAP588"/>
      <c r="AAQ588"/>
      <c r="AAR588"/>
      <c r="AAS588"/>
      <c r="AAT588"/>
      <c r="AAU588"/>
      <c r="AAV588"/>
      <c r="AAW588"/>
      <c r="AAX588"/>
      <c r="AAY588"/>
      <c r="AAZ588"/>
      <c r="ABA588"/>
      <c r="ABB588"/>
      <c r="ABC588"/>
      <c r="ABD588"/>
      <c r="ABE588"/>
      <c r="ABF588"/>
      <c r="ABG588"/>
      <c r="ABH588"/>
      <c r="ABI588"/>
      <c r="ABJ588"/>
      <c r="ABK588"/>
      <c r="ABL588"/>
      <c r="ABM588"/>
      <c r="ABN588"/>
      <c r="ABO588"/>
      <c r="ABP588"/>
      <c r="ABQ588"/>
      <c r="ABR588"/>
      <c r="ABS588"/>
      <c r="ABT588"/>
      <c r="ABU588"/>
      <c r="ABV588"/>
      <c r="ABW588"/>
      <c r="ABX588"/>
      <c r="ABY588"/>
      <c r="ABZ588"/>
      <c r="ACA588"/>
      <c r="ACB588"/>
      <c r="ACC588"/>
      <c r="ACD588"/>
      <c r="ACE588"/>
      <c r="ACF588"/>
      <c r="ACG588"/>
      <c r="ACH588"/>
      <c r="ACI588"/>
      <c r="ACJ588"/>
      <c r="ACK588"/>
      <c r="ACL588"/>
      <c r="ACM588"/>
      <c r="ACN588"/>
      <c r="ACO588"/>
      <c r="ACP588"/>
      <c r="ACQ588"/>
      <c r="ACR588"/>
      <c r="ACS588"/>
      <c r="ACT588"/>
      <c r="ACU588"/>
      <c r="ACV588"/>
      <c r="ACW588"/>
      <c r="ACX588"/>
      <c r="ACY588"/>
      <c r="ACZ588"/>
      <c r="ADA588"/>
      <c r="ADB588"/>
      <c r="ADC588"/>
      <c r="ADD588"/>
      <c r="ADE588"/>
      <c r="ADF588"/>
      <c r="ADG588"/>
      <c r="ADH588"/>
      <c r="ADI588"/>
      <c r="ADJ588"/>
      <c r="ADK588"/>
      <c r="ADL588"/>
      <c r="ADM588"/>
      <c r="ADN588"/>
      <c r="ADO588"/>
      <c r="ADP588"/>
      <c r="ADQ588"/>
      <c r="ADR588"/>
      <c r="ADS588"/>
      <c r="ADT588"/>
      <c r="ADU588"/>
      <c r="ADV588"/>
      <c r="ADW588"/>
      <c r="ADX588"/>
      <c r="ADY588"/>
      <c r="ADZ588"/>
      <c r="AEA588"/>
      <c r="AEB588"/>
      <c r="AEC588"/>
      <c r="AED588"/>
      <c r="AEE588"/>
      <c r="AEF588"/>
      <c r="AEG588"/>
      <c r="AEH588"/>
      <c r="AEI588"/>
      <c r="AEJ588"/>
      <c r="AEK588"/>
      <c r="AEL588"/>
      <c r="AEM588"/>
      <c r="AEN588"/>
      <c r="AEO588"/>
      <c r="AEP588"/>
      <c r="AEQ588"/>
      <c r="AER588"/>
      <c r="AES588"/>
      <c r="AET588"/>
      <c r="AEU588"/>
      <c r="AEV588"/>
      <c r="AEW588"/>
      <c r="AEX588"/>
      <c r="AEY588"/>
      <c r="AEZ588"/>
      <c r="AFA588"/>
      <c r="AFB588"/>
      <c r="AFC588"/>
      <c r="AFD588"/>
      <c r="AFE588"/>
      <c r="AFF588"/>
      <c r="AFG588"/>
      <c r="AFH588"/>
      <c r="AFI588"/>
      <c r="AFJ588"/>
      <c r="AFK588"/>
      <c r="AFL588"/>
      <c r="AFM588"/>
      <c r="AFN588"/>
      <c r="AFO588"/>
      <c r="AFP588"/>
      <c r="AFQ588"/>
      <c r="AFR588"/>
      <c r="AFS588"/>
      <c r="AFT588"/>
      <c r="AFU588"/>
      <c r="AFV588"/>
      <c r="AFW588"/>
      <c r="AFX588"/>
      <c r="AFY588"/>
      <c r="AFZ588"/>
      <c r="AGA588"/>
      <c r="AGB588"/>
      <c r="AGC588"/>
      <c r="AGD588"/>
      <c r="AGE588"/>
      <c r="AGF588"/>
      <c r="AGG588"/>
      <c r="AGH588"/>
      <c r="AGI588"/>
      <c r="AGJ588"/>
      <c r="AGK588"/>
      <c r="AGL588"/>
      <c r="AGM588"/>
      <c r="AGN588"/>
      <c r="AGO588"/>
      <c r="AGP588"/>
      <c r="AGQ588"/>
      <c r="AGR588"/>
      <c r="AGS588"/>
      <c r="AGT588"/>
      <c r="AGU588"/>
      <c r="AGV588"/>
      <c r="AGW588"/>
      <c r="AGX588"/>
      <c r="AGY588"/>
      <c r="AGZ588"/>
      <c r="AHA588"/>
      <c r="AHB588"/>
      <c r="AHC588"/>
      <c r="AHD588"/>
      <c r="AHE588"/>
      <c r="AHF588"/>
      <c r="AHG588"/>
      <c r="AHH588"/>
      <c r="AHI588"/>
      <c r="AHJ588"/>
      <c r="AHK588"/>
      <c r="AHL588"/>
      <c r="AHM588"/>
      <c r="AHN588"/>
      <c r="AHO588"/>
      <c r="AHP588"/>
      <c r="AHQ588"/>
      <c r="AHR588"/>
      <c r="AHS588"/>
      <c r="AHT588"/>
      <c r="AHU588"/>
      <c r="AHV588"/>
      <c r="AHW588"/>
      <c r="AHX588"/>
      <c r="AHY588"/>
      <c r="AHZ588"/>
      <c r="AIA588"/>
      <c r="AIB588"/>
      <c r="AIC588"/>
      <c r="AID588"/>
      <c r="AIE588"/>
      <c r="AIF588"/>
      <c r="AIG588"/>
      <c r="AIH588"/>
      <c r="AII588"/>
      <c r="AIJ588"/>
      <c r="AIK588"/>
      <c r="AIL588"/>
      <c r="AIM588"/>
      <c r="AIN588"/>
      <c r="AIO588"/>
      <c r="AIP588"/>
      <c r="AIQ588"/>
      <c r="AIR588"/>
      <c r="AIS588"/>
      <c r="AIT588"/>
      <c r="AIU588"/>
      <c r="AIV588"/>
      <c r="AIW588"/>
      <c r="AIX588"/>
      <c r="AIY588"/>
      <c r="AIZ588"/>
      <c r="AJA588"/>
      <c r="AJB588"/>
      <c r="AJC588"/>
      <c r="AJD588"/>
      <c r="AJE588"/>
      <c r="AJF588"/>
      <c r="AJG588"/>
      <c r="AJH588"/>
      <c r="AJI588"/>
      <c r="AJJ588"/>
      <c r="AJK588"/>
      <c r="AJL588"/>
      <c r="AJM588"/>
      <c r="AJN588"/>
      <c r="AJO588"/>
      <c r="AJP588"/>
      <c r="AJQ588"/>
      <c r="AJR588"/>
      <c r="AJS588"/>
      <c r="AJT588"/>
      <c r="AJU588"/>
      <c r="AJV588"/>
      <c r="AJW588"/>
      <c r="AJX588"/>
      <c r="AJY588"/>
      <c r="AJZ588"/>
      <c r="AKA588"/>
      <c r="AKB588"/>
      <c r="AKC588"/>
      <c r="AKD588"/>
      <c r="AKE588"/>
      <c r="AKF588"/>
      <c r="AKG588"/>
      <c r="AKH588"/>
      <c r="AKI588"/>
      <c r="AKJ588"/>
      <c r="AKK588"/>
      <c r="AKL588"/>
      <c r="AKM588"/>
      <c r="AKN588"/>
      <c r="AKO588"/>
      <c r="AKP588"/>
      <c r="AKQ588"/>
      <c r="AKR588"/>
      <c r="AKS588"/>
      <c r="AKT588"/>
      <c r="AKU588"/>
      <c r="AKV588"/>
      <c r="AKW588"/>
      <c r="AKX588"/>
      <c r="AKY588"/>
      <c r="AKZ588"/>
      <c r="ALA588"/>
      <c r="ALB588"/>
      <c r="ALC588"/>
      <c r="ALD588"/>
      <c r="ALE588"/>
      <c r="ALF588"/>
      <c r="ALG588"/>
      <c r="ALH588"/>
      <c r="ALI588"/>
      <c r="ALJ588"/>
      <c r="ALK588"/>
      <c r="ALL588"/>
      <c r="ALM588"/>
      <c r="ALN588"/>
      <c r="ALO588"/>
      <c r="ALP588"/>
      <c r="ALQ588"/>
      <c r="ALR588"/>
      <c r="ALS588"/>
      <c r="ALT588"/>
      <c r="ALU588"/>
      <c r="ALV588"/>
      <c r="ALW588"/>
      <c r="ALX588"/>
      <c r="ALY588"/>
      <c r="ALZ588"/>
      <c r="AMA588"/>
      <c r="AMB588"/>
      <c r="AMC588"/>
      <c r="AMD588"/>
      <c r="AME588"/>
      <c r="AMF588"/>
      <c r="AMG588"/>
      <c r="AMH588"/>
      <c r="AMI588"/>
      <c r="AMJ588"/>
    </row>
    <row r="589" spans="1:1024">
      <c r="A589" s="7" t="s">
        <v>593</v>
      </c>
      <c r="B589" s="7">
        <v>494188</v>
      </c>
      <c r="C589" s="11"/>
      <c r="D589" s="12">
        <v>0.33333333333333398</v>
      </c>
      <c r="E589" s="7">
        <f>VLOOKUP(B589,Gesamtstunden_26!B:I,8,0)</f>
        <v>1.8333333333333333</v>
      </c>
      <c r="F589" s="13">
        <f t="shared" si="9"/>
        <v>-1.4999999999999993</v>
      </c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11"/>
      <c r="AV589" s="11"/>
      <c r="AW589" s="11"/>
      <c r="AX589" s="11"/>
      <c r="AY589" s="11"/>
      <c r="AZ589" s="11"/>
      <c r="BA589" s="11"/>
      <c r="BB589" s="11"/>
      <c r="BC589" s="11"/>
      <c r="BD589" s="11"/>
      <c r="BE589" s="11"/>
      <c r="BF589" s="11"/>
      <c r="BG589" s="11"/>
      <c r="BH589" s="11"/>
      <c r="BI589" s="11"/>
      <c r="BJ589" s="11"/>
      <c r="BK589" s="11"/>
      <c r="BL589" s="11"/>
      <c r="BM589" s="11"/>
      <c r="BN589" s="11"/>
      <c r="BO589" s="11"/>
      <c r="BP589" s="11"/>
      <c r="BQ589" s="11"/>
      <c r="BR589" s="11"/>
      <c r="BS589" s="11"/>
      <c r="BT589" s="11"/>
      <c r="BU589" s="11"/>
      <c r="BV589" s="11"/>
      <c r="BW589" s="11"/>
      <c r="BX589" s="11"/>
      <c r="BY589" s="11"/>
      <c r="BZ589" s="11"/>
      <c r="CA589" s="11"/>
      <c r="CB589" s="11"/>
      <c r="CC589" s="11"/>
      <c r="CD589" s="11"/>
      <c r="CE589" s="11"/>
      <c r="CF589" s="11"/>
      <c r="CG589" s="11"/>
      <c r="CH589" s="11"/>
      <c r="CI589" s="11"/>
      <c r="CJ589" s="11"/>
      <c r="CK589" s="11"/>
      <c r="CL589" s="11"/>
      <c r="CM589" s="11"/>
      <c r="CN589" s="11"/>
      <c r="CO589" s="11"/>
      <c r="CP589" s="11"/>
      <c r="CQ589" s="11"/>
      <c r="CR589" s="11"/>
      <c r="CS589" s="11"/>
      <c r="CT589" s="11"/>
      <c r="CU589" s="11"/>
      <c r="CV589" s="11"/>
      <c r="CW589" s="11"/>
      <c r="CX589" s="11"/>
      <c r="CY589" s="11"/>
      <c r="CZ589" s="11"/>
      <c r="DA589" s="11"/>
      <c r="DB589" s="11"/>
      <c r="DC589" s="11"/>
      <c r="DD589" s="11"/>
      <c r="DE589" s="11"/>
      <c r="DF589" s="11"/>
      <c r="DG589" s="11"/>
      <c r="DH589" s="11"/>
      <c r="DI589" s="11"/>
      <c r="DJ589" s="11"/>
      <c r="DK589" s="11"/>
      <c r="DL589" s="11"/>
      <c r="DM589" s="11"/>
      <c r="DN589" s="11"/>
      <c r="DO589" s="11"/>
      <c r="DP589" s="11"/>
      <c r="DQ589" s="11"/>
      <c r="DR589" s="11"/>
      <c r="DS589" s="11"/>
      <c r="DT589" s="11"/>
      <c r="DU589" s="11"/>
      <c r="DV589" s="11"/>
      <c r="DW589" s="11"/>
      <c r="DX589" s="11"/>
      <c r="DY589" s="11"/>
      <c r="DZ589" s="11"/>
      <c r="EA589" s="11"/>
      <c r="EB589" s="11"/>
      <c r="EC589" s="11"/>
      <c r="ED589" s="11"/>
      <c r="EE589" s="11"/>
      <c r="EF589" s="11"/>
      <c r="EG589" s="11"/>
      <c r="EH589" s="11"/>
      <c r="EI589" s="11"/>
      <c r="EJ589" s="11"/>
      <c r="EK589" s="11"/>
      <c r="EL589" s="11"/>
      <c r="EM589" s="11"/>
      <c r="EN589" s="11"/>
      <c r="EO589" s="11"/>
      <c r="EP589" s="11"/>
      <c r="EQ589" s="11"/>
      <c r="ER589" s="11"/>
      <c r="ES589" s="11"/>
      <c r="ET589" s="11"/>
      <c r="EU589" s="11"/>
      <c r="EV589" s="11"/>
      <c r="EW589" s="11"/>
      <c r="EX589" s="11"/>
      <c r="EY589" s="11"/>
      <c r="EZ589" s="11"/>
      <c r="FA589" s="11"/>
      <c r="FB589" s="11"/>
      <c r="FC589" s="11"/>
      <c r="FD589" s="11"/>
      <c r="FE589" s="11"/>
      <c r="FF589" s="11"/>
      <c r="FG589" s="11"/>
      <c r="FH589" s="11"/>
      <c r="FI589" s="11"/>
      <c r="FJ589" s="11"/>
      <c r="FK589" s="11"/>
      <c r="FL589" s="11"/>
      <c r="FM589" s="11"/>
      <c r="FN589" s="11"/>
      <c r="FO589" s="11"/>
      <c r="FP589" s="11"/>
      <c r="FQ589" s="11"/>
      <c r="FR589" s="11"/>
      <c r="FS589" s="11"/>
      <c r="FT589" s="11"/>
      <c r="FU589" s="11"/>
      <c r="FV589" s="11"/>
      <c r="FW589" s="11"/>
      <c r="FX589" s="11"/>
      <c r="FY589" s="11"/>
      <c r="FZ589" s="11"/>
      <c r="GA589" s="11"/>
      <c r="GB589" s="11"/>
      <c r="GC589" s="11"/>
      <c r="GD589" s="11"/>
      <c r="GE589" s="11"/>
      <c r="GF589" s="11"/>
      <c r="GG589" s="11"/>
      <c r="GH589" s="11"/>
      <c r="GI589" s="11"/>
      <c r="GJ589" s="11"/>
      <c r="GK589" s="11"/>
      <c r="GL589" s="11"/>
      <c r="GM589" s="11"/>
      <c r="GN589" s="11"/>
      <c r="GO589" s="11"/>
      <c r="GP589" s="11"/>
      <c r="GQ589" s="11"/>
      <c r="GR589" s="11"/>
      <c r="GS589" s="11"/>
      <c r="GT589" s="11"/>
      <c r="GU589" s="11"/>
      <c r="GV589" s="11"/>
      <c r="GW589" s="11"/>
      <c r="GX589" s="11"/>
      <c r="GY589" s="11"/>
      <c r="GZ589" s="11"/>
      <c r="HA589" s="11"/>
      <c r="HB589" s="11"/>
      <c r="HC589" s="11"/>
      <c r="HD589" s="11"/>
      <c r="HE589" s="11"/>
      <c r="HF589" s="11"/>
      <c r="HG589" s="11"/>
      <c r="HH589" s="11"/>
      <c r="HI589" s="11"/>
      <c r="HJ589" s="11"/>
      <c r="HK589" s="11"/>
      <c r="HL589" s="11"/>
      <c r="HM589" s="11"/>
      <c r="HN589" s="11"/>
      <c r="HO589" s="11"/>
      <c r="HP589" s="11"/>
      <c r="HQ589" s="11"/>
      <c r="HR589" s="11"/>
      <c r="HS589" s="11"/>
      <c r="HT589" s="11"/>
      <c r="HU589" s="11"/>
      <c r="HV589" s="11"/>
      <c r="HW589" s="11"/>
      <c r="HX589" s="11"/>
      <c r="HY589" s="11"/>
      <c r="HZ589" s="11"/>
      <c r="IA589" s="11"/>
      <c r="IB589" s="11"/>
      <c r="IC589" s="11"/>
      <c r="ID589" s="11"/>
      <c r="IE589" s="11"/>
      <c r="IF589" s="11"/>
      <c r="IG589" s="11"/>
      <c r="IH589" s="11"/>
      <c r="II589" s="11"/>
      <c r="IJ589" s="11"/>
      <c r="IK589" s="11"/>
      <c r="IL589" s="11"/>
      <c r="IM589" s="11"/>
      <c r="IN589" s="11"/>
      <c r="IO589" s="11"/>
      <c r="IP589" s="11"/>
      <c r="IQ589" s="11"/>
      <c r="IR589" s="11"/>
      <c r="IS589" s="11"/>
      <c r="IT589" s="11"/>
      <c r="IU589" s="11"/>
      <c r="IV589" s="11"/>
      <c r="IW589" s="11"/>
      <c r="IX589" s="11"/>
      <c r="IY589" s="11"/>
      <c r="IZ589" s="11"/>
      <c r="JA589" s="11"/>
      <c r="JB589" s="11"/>
      <c r="JC589" s="11"/>
      <c r="JD589" s="11"/>
      <c r="JE589" s="11"/>
      <c r="JF589" s="11"/>
      <c r="JG589" s="11"/>
      <c r="JH589" s="11"/>
      <c r="JI589" s="11"/>
      <c r="JJ589" s="11"/>
      <c r="JK589" s="11"/>
      <c r="JL589" s="11"/>
      <c r="JM589" s="11"/>
      <c r="JN589" s="11"/>
      <c r="JO589" s="11"/>
      <c r="JP589" s="11"/>
      <c r="JQ589" s="11"/>
      <c r="JR589" s="11"/>
      <c r="JS589" s="11"/>
      <c r="JT589" s="11"/>
      <c r="JU589" s="11"/>
      <c r="JV589" s="11"/>
      <c r="JW589" s="11"/>
      <c r="JX589" s="11"/>
      <c r="JY589" s="11"/>
      <c r="JZ589" s="11"/>
      <c r="KA589" s="11"/>
      <c r="KB589" s="11"/>
      <c r="KC589" s="11"/>
      <c r="KD589" s="11"/>
      <c r="KE589" s="11"/>
      <c r="KF589" s="11"/>
      <c r="KG589" s="11"/>
      <c r="KH589" s="11"/>
      <c r="KI589" s="11"/>
      <c r="KJ589" s="11"/>
      <c r="KK589" s="11"/>
      <c r="KL589" s="11"/>
      <c r="KM589" s="11"/>
      <c r="KN589" s="11"/>
      <c r="KO589" s="11"/>
      <c r="KP589" s="11"/>
      <c r="KQ589" s="11"/>
      <c r="KR589" s="11"/>
      <c r="KS589" s="11"/>
      <c r="KT589" s="11"/>
      <c r="KU589" s="11"/>
      <c r="KV589" s="11"/>
      <c r="KW589" s="11"/>
      <c r="KX589" s="11"/>
      <c r="KY589" s="11"/>
      <c r="KZ589" s="11"/>
      <c r="LA589" s="11"/>
      <c r="LB589" s="11"/>
      <c r="LC589" s="11"/>
      <c r="LD589" s="11"/>
      <c r="LE589" s="11"/>
      <c r="LF589" s="11"/>
      <c r="LG589" s="11"/>
      <c r="LH589" s="11"/>
      <c r="LI589" s="11"/>
      <c r="LJ589" s="11"/>
      <c r="LK589" s="11"/>
      <c r="LL589" s="11"/>
      <c r="LM589" s="11"/>
      <c r="LN589" s="11"/>
      <c r="LO589" s="11"/>
      <c r="LP589" s="11"/>
      <c r="LQ589" s="11"/>
      <c r="LR589" s="11"/>
      <c r="LS589" s="11"/>
      <c r="LT589" s="11"/>
      <c r="LU589" s="11"/>
      <c r="LV589" s="11"/>
      <c r="LW589" s="11"/>
      <c r="LX589" s="11"/>
      <c r="LY589" s="11"/>
      <c r="LZ589" s="11"/>
      <c r="MA589" s="11"/>
      <c r="MB589" s="11"/>
      <c r="MC589" s="11"/>
      <c r="MD589" s="11"/>
      <c r="ME589" s="11"/>
      <c r="MF589" s="11"/>
      <c r="MG589" s="11"/>
      <c r="MH589" s="11"/>
      <c r="MI589" s="11"/>
      <c r="MJ589" s="11"/>
      <c r="MK589" s="11"/>
      <c r="ML589" s="11"/>
      <c r="MM589" s="11"/>
      <c r="MN589" s="11"/>
      <c r="MO589" s="11"/>
      <c r="MP589" s="11"/>
      <c r="MQ589" s="11"/>
      <c r="MR589" s="11"/>
      <c r="MS589" s="11"/>
      <c r="MT589" s="11"/>
      <c r="MU589" s="11"/>
      <c r="MV589" s="11"/>
      <c r="MW589" s="11"/>
      <c r="MX589" s="11"/>
      <c r="MY589" s="11"/>
      <c r="MZ589" s="11"/>
      <c r="NA589" s="11"/>
      <c r="NB589" s="11"/>
      <c r="NC589" s="11"/>
      <c r="ND589" s="11"/>
      <c r="NE589" s="11"/>
      <c r="NF589" s="11"/>
      <c r="NG589" s="11"/>
      <c r="NH589" s="11"/>
      <c r="NI589" s="11"/>
      <c r="NJ589" s="11"/>
      <c r="NK589" s="11"/>
      <c r="NL589" s="11"/>
      <c r="NM589" s="11"/>
      <c r="NN589" s="11"/>
      <c r="NO589" s="11"/>
      <c r="NP589" s="11"/>
      <c r="NQ589" s="11"/>
      <c r="NR589" s="11"/>
      <c r="NS589" s="11"/>
      <c r="NT589" s="11"/>
      <c r="NU589" s="11"/>
      <c r="NV589" s="11"/>
      <c r="NW589" s="11"/>
      <c r="NX589" s="11"/>
      <c r="NY589" s="11"/>
      <c r="NZ589" s="11"/>
      <c r="OA589" s="11"/>
      <c r="OB589" s="11"/>
      <c r="OC589" s="11"/>
      <c r="OD589" s="11"/>
      <c r="OE589" s="11"/>
      <c r="OF589" s="11"/>
      <c r="OG589" s="11"/>
      <c r="OH589" s="11"/>
      <c r="OI589" s="11"/>
      <c r="OJ589" s="11"/>
      <c r="OK589" s="11"/>
      <c r="OL589" s="11"/>
      <c r="OM589" s="11"/>
      <c r="ON589" s="11"/>
      <c r="OO589" s="11"/>
      <c r="OP589" s="11"/>
      <c r="OQ589" s="11"/>
      <c r="OR589" s="11"/>
      <c r="OS589" s="11"/>
      <c r="OT589" s="11"/>
      <c r="OU589" s="11"/>
      <c r="OV589" s="11"/>
      <c r="OW589" s="11"/>
      <c r="OX589" s="11"/>
      <c r="OY589" s="11"/>
      <c r="OZ589" s="11"/>
      <c r="PA589" s="11"/>
      <c r="PB589" s="11"/>
      <c r="PC589" s="11"/>
      <c r="PD589" s="11"/>
      <c r="PE589" s="11"/>
      <c r="PF589" s="11"/>
      <c r="PG589" s="11"/>
      <c r="PH589" s="11"/>
      <c r="PI589" s="11"/>
      <c r="PJ589" s="11"/>
      <c r="PK589" s="11"/>
      <c r="PL589" s="11"/>
      <c r="PM589" s="11"/>
      <c r="PN589" s="11"/>
      <c r="PO589" s="11"/>
      <c r="PP589" s="11"/>
      <c r="PQ589" s="11"/>
      <c r="PR589" s="11"/>
      <c r="PS589" s="11"/>
      <c r="PT589" s="11"/>
      <c r="PU589" s="11"/>
      <c r="PV589" s="11"/>
      <c r="PW589" s="11"/>
      <c r="PX589" s="11"/>
      <c r="PY589" s="11"/>
      <c r="PZ589" s="11"/>
      <c r="QA589" s="11"/>
      <c r="QB589" s="11"/>
      <c r="QC589" s="11"/>
      <c r="QD589" s="11"/>
      <c r="QE589" s="11"/>
      <c r="QF589" s="11"/>
      <c r="QG589" s="11"/>
      <c r="QH589" s="11"/>
      <c r="QI589" s="11"/>
      <c r="QJ589" s="11"/>
      <c r="QK589" s="11"/>
      <c r="QL589" s="11"/>
      <c r="QM589" s="11"/>
      <c r="QN589" s="11"/>
      <c r="QO589" s="11"/>
      <c r="QP589" s="11"/>
      <c r="QQ589" s="11"/>
      <c r="QR589" s="11"/>
      <c r="QS589" s="11"/>
      <c r="QT589" s="11"/>
      <c r="QU589" s="11"/>
      <c r="QV589" s="11"/>
      <c r="QW589" s="11"/>
      <c r="QX589" s="11"/>
      <c r="QY589" s="11"/>
      <c r="QZ589" s="11"/>
      <c r="RA589" s="11"/>
      <c r="RB589" s="11"/>
      <c r="RC589" s="11"/>
      <c r="RD589" s="11"/>
      <c r="RE589" s="11"/>
      <c r="RF589" s="11"/>
      <c r="RG589" s="11"/>
      <c r="RH589" s="11"/>
      <c r="RI589" s="11"/>
      <c r="RJ589" s="11"/>
      <c r="RK589" s="11"/>
      <c r="RL589" s="11"/>
      <c r="RM589" s="11"/>
      <c r="RN589" s="11"/>
      <c r="RO589" s="11"/>
      <c r="RP589" s="11"/>
      <c r="RQ589" s="11"/>
      <c r="RR589" s="11"/>
      <c r="RS589" s="11"/>
      <c r="RT589" s="11"/>
      <c r="RU589" s="11"/>
      <c r="RV589" s="11"/>
      <c r="RW589" s="11"/>
      <c r="RX589" s="11"/>
      <c r="RY589" s="11"/>
      <c r="RZ589" s="11"/>
      <c r="SA589" s="11"/>
      <c r="SB589" s="11"/>
      <c r="SC589" s="11"/>
      <c r="SD589" s="11"/>
      <c r="SE589" s="11"/>
      <c r="SF589" s="11"/>
      <c r="SG589" s="11"/>
      <c r="SH589" s="11"/>
      <c r="SI589" s="11"/>
      <c r="SJ589" s="11"/>
      <c r="SK589" s="11"/>
      <c r="SL589" s="11"/>
      <c r="SM589" s="11"/>
      <c r="SN589" s="11"/>
      <c r="SO589" s="11"/>
      <c r="SP589" s="11"/>
      <c r="SQ589" s="11"/>
      <c r="SR589" s="11"/>
      <c r="SS589" s="11"/>
      <c r="ST589" s="11"/>
      <c r="SU589" s="11"/>
      <c r="SV589" s="11"/>
      <c r="SW589" s="11"/>
      <c r="SX589" s="11"/>
      <c r="SY589" s="11"/>
      <c r="SZ589" s="11"/>
      <c r="TA589" s="11"/>
      <c r="TB589" s="11"/>
      <c r="TC589" s="11"/>
      <c r="TD589" s="11"/>
      <c r="TE589" s="11"/>
      <c r="TF589" s="11"/>
      <c r="TG589" s="11"/>
      <c r="TH589" s="11"/>
      <c r="TI589" s="11"/>
      <c r="TJ589" s="11"/>
      <c r="TK589" s="11"/>
      <c r="TL589" s="11"/>
      <c r="TM589" s="11"/>
      <c r="TN589" s="11"/>
      <c r="TO589" s="11"/>
      <c r="TP589" s="11"/>
      <c r="TQ589" s="11"/>
      <c r="TR589" s="11"/>
      <c r="TS589" s="11"/>
      <c r="TT589" s="11"/>
      <c r="TU589" s="11"/>
      <c r="TV589" s="11"/>
      <c r="TW589" s="11"/>
      <c r="TX589" s="11"/>
      <c r="TY589" s="11"/>
      <c r="TZ589" s="11"/>
      <c r="UA589" s="11"/>
      <c r="UB589" s="11"/>
      <c r="UC589" s="11"/>
      <c r="UD589" s="11"/>
      <c r="UE589" s="11"/>
      <c r="UF589" s="11"/>
      <c r="UG589" s="11"/>
      <c r="UH589" s="11"/>
      <c r="UI589" s="11"/>
      <c r="UJ589" s="11"/>
      <c r="UK589" s="11"/>
      <c r="UL589" s="11"/>
      <c r="UM589" s="11"/>
      <c r="UN589" s="11"/>
      <c r="UO589" s="11"/>
      <c r="UP589" s="11"/>
      <c r="UQ589" s="11"/>
      <c r="UR589" s="11"/>
      <c r="US589" s="11"/>
      <c r="UT589" s="11"/>
      <c r="UU589" s="11"/>
      <c r="UV589" s="11"/>
      <c r="UW589" s="11"/>
      <c r="UX589" s="11"/>
      <c r="UY589" s="11"/>
      <c r="UZ589" s="11"/>
      <c r="VA589" s="11"/>
      <c r="VB589" s="11"/>
      <c r="VC589" s="11"/>
      <c r="VD589" s="11"/>
      <c r="VE589" s="11"/>
      <c r="VF589" s="11"/>
      <c r="VG589" s="11"/>
      <c r="VH589" s="11"/>
      <c r="VI589" s="11"/>
      <c r="VJ589" s="11"/>
      <c r="VK589" s="11"/>
      <c r="VL589" s="11"/>
      <c r="VM589" s="11"/>
      <c r="VN589" s="11"/>
      <c r="VO589" s="11"/>
      <c r="VP589" s="11"/>
      <c r="VQ589" s="11"/>
      <c r="VR589" s="11"/>
      <c r="VS589" s="11"/>
      <c r="VT589" s="11"/>
      <c r="VU589" s="11"/>
      <c r="VV589" s="11"/>
      <c r="VW589" s="11"/>
      <c r="VX589" s="11"/>
      <c r="VY589" s="11"/>
      <c r="VZ589" s="11"/>
      <c r="WA589" s="11"/>
      <c r="WB589" s="11"/>
      <c r="WC589" s="11"/>
      <c r="WD589" s="11"/>
      <c r="WE589" s="11"/>
      <c r="WF589" s="11"/>
      <c r="WG589" s="11"/>
      <c r="WH589" s="11"/>
      <c r="WI589" s="11"/>
      <c r="WJ589" s="11"/>
      <c r="WK589" s="11"/>
      <c r="WL589" s="11"/>
      <c r="WM589" s="11"/>
      <c r="WN589" s="11"/>
      <c r="WO589" s="11"/>
      <c r="WP589" s="11"/>
      <c r="WQ589" s="11"/>
      <c r="WR589" s="11"/>
      <c r="WS589" s="11"/>
      <c r="WT589" s="11"/>
      <c r="WU589" s="11"/>
      <c r="WV589" s="11"/>
      <c r="WW589" s="11"/>
      <c r="WX589" s="11"/>
      <c r="WY589" s="11"/>
      <c r="WZ589" s="11"/>
      <c r="XA589" s="11"/>
      <c r="XB589" s="11"/>
      <c r="XC589" s="11"/>
      <c r="XD589" s="11"/>
      <c r="XE589" s="11"/>
      <c r="XF589" s="11"/>
      <c r="XG589" s="11"/>
      <c r="XH589" s="11"/>
      <c r="XI589" s="11"/>
      <c r="XJ589" s="11"/>
      <c r="XK589" s="11"/>
      <c r="XL589" s="11"/>
      <c r="XM589" s="11"/>
      <c r="XN589" s="11"/>
      <c r="XO589" s="11"/>
      <c r="XP589" s="11"/>
      <c r="XQ589" s="11"/>
      <c r="XR589" s="11"/>
      <c r="XS589" s="11"/>
      <c r="XT589" s="11"/>
      <c r="XU589" s="11"/>
      <c r="XV589" s="11"/>
      <c r="XW589" s="11"/>
      <c r="XX589" s="11"/>
      <c r="XY589" s="11"/>
      <c r="XZ589" s="11"/>
      <c r="YA589" s="11"/>
      <c r="YB589" s="11"/>
      <c r="YC589" s="11"/>
      <c r="YD589" s="11"/>
      <c r="YE589" s="11"/>
      <c r="YF589" s="11"/>
      <c r="YG589" s="11"/>
      <c r="YH589" s="11"/>
      <c r="YI589" s="11"/>
      <c r="YJ589" s="11"/>
      <c r="YK589" s="11"/>
      <c r="YL589" s="11"/>
      <c r="YM589" s="11"/>
      <c r="YN589" s="11"/>
      <c r="YO589" s="11"/>
      <c r="YP589" s="11"/>
      <c r="YQ589" s="11"/>
      <c r="YR589" s="11"/>
      <c r="YS589" s="11"/>
      <c r="YT589" s="11"/>
      <c r="YU589" s="11"/>
      <c r="YV589" s="11"/>
      <c r="YW589" s="11"/>
      <c r="YX589" s="11"/>
      <c r="YY589" s="11"/>
      <c r="YZ589" s="11"/>
      <c r="ZA589" s="11"/>
      <c r="ZB589" s="11"/>
      <c r="ZC589" s="11"/>
      <c r="ZD589" s="11"/>
      <c r="ZE589" s="11"/>
      <c r="ZF589" s="11"/>
      <c r="ZG589" s="11"/>
      <c r="ZH589" s="11"/>
      <c r="ZI589" s="11"/>
      <c r="ZJ589" s="11"/>
      <c r="ZK589" s="11"/>
      <c r="ZL589" s="11"/>
      <c r="ZM589" s="11"/>
      <c r="ZN589" s="11"/>
      <c r="ZO589" s="11"/>
      <c r="ZP589" s="11"/>
      <c r="ZQ589" s="11"/>
      <c r="ZR589" s="11"/>
      <c r="ZS589" s="11"/>
      <c r="ZT589" s="11"/>
      <c r="ZU589" s="11"/>
      <c r="ZV589" s="11"/>
      <c r="ZW589" s="11"/>
      <c r="ZX589" s="11"/>
      <c r="ZY589" s="11"/>
      <c r="ZZ589" s="11"/>
      <c r="AAA589" s="11"/>
      <c r="AAB589" s="11"/>
      <c r="AAC589" s="11"/>
      <c r="AAD589" s="11"/>
      <c r="AAE589" s="11"/>
      <c r="AAF589" s="11"/>
      <c r="AAG589" s="11"/>
      <c r="AAH589" s="11"/>
      <c r="AAI589" s="11"/>
      <c r="AAJ589" s="11"/>
      <c r="AAK589" s="11"/>
      <c r="AAL589" s="11"/>
      <c r="AAM589" s="11"/>
      <c r="AAN589" s="11"/>
      <c r="AAO589" s="11"/>
      <c r="AAP589" s="11"/>
      <c r="AAQ589" s="11"/>
      <c r="AAR589" s="11"/>
      <c r="AAS589" s="11"/>
      <c r="AAT589" s="11"/>
      <c r="AAU589" s="11"/>
      <c r="AAV589" s="11"/>
      <c r="AAW589" s="11"/>
      <c r="AAX589" s="11"/>
      <c r="AAY589" s="11"/>
      <c r="AAZ589" s="11"/>
      <c r="ABA589" s="11"/>
      <c r="ABB589" s="11"/>
      <c r="ABC589" s="11"/>
      <c r="ABD589" s="11"/>
      <c r="ABE589" s="11"/>
      <c r="ABF589" s="11"/>
      <c r="ABG589" s="11"/>
      <c r="ABH589" s="11"/>
      <c r="ABI589" s="11"/>
      <c r="ABJ589" s="11"/>
      <c r="ABK589" s="11"/>
      <c r="ABL589" s="11"/>
      <c r="ABM589" s="11"/>
      <c r="ABN589" s="11"/>
      <c r="ABO589" s="11"/>
      <c r="ABP589" s="11"/>
      <c r="ABQ589" s="11"/>
      <c r="ABR589" s="11"/>
      <c r="ABS589" s="11"/>
      <c r="ABT589" s="11"/>
      <c r="ABU589" s="11"/>
      <c r="ABV589" s="11"/>
      <c r="ABW589" s="11"/>
      <c r="ABX589" s="11"/>
      <c r="ABY589" s="11"/>
      <c r="ABZ589" s="11"/>
      <c r="ACA589" s="11"/>
      <c r="ACB589" s="11"/>
      <c r="ACC589" s="11"/>
      <c r="ACD589" s="11"/>
      <c r="ACE589" s="11"/>
      <c r="ACF589" s="11"/>
      <c r="ACG589" s="11"/>
      <c r="ACH589" s="11"/>
      <c r="ACI589" s="11"/>
      <c r="ACJ589" s="11"/>
      <c r="ACK589" s="11"/>
      <c r="ACL589" s="11"/>
      <c r="ACM589" s="11"/>
      <c r="ACN589" s="11"/>
      <c r="ACO589" s="11"/>
      <c r="ACP589" s="11"/>
      <c r="ACQ589" s="11"/>
      <c r="ACR589" s="11"/>
      <c r="ACS589" s="11"/>
      <c r="ACT589" s="11"/>
      <c r="ACU589" s="11"/>
      <c r="ACV589" s="11"/>
      <c r="ACW589" s="11"/>
      <c r="ACX589" s="11"/>
      <c r="ACY589" s="11"/>
      <c r="ACZ589" s="11"/>
      <c r="ADA589" s="11"/>
      <c r="ADB589" s="11"/>
      <c r="ADC589" s="11"/>
      <c r="ADD589" s="11"/>
      <c r="ADE589" s="11"/>
      <c r="ADF589" s="11"/>
      <c r="ADG589" s="11"/>
      <c r="ADH589" s="11"/>
      <c r="ADI589" s="11"/>
      <c r="ADJ589" s="11"/>
      <c r="ADK589" s="11"/>
      <c r="ADL589" s="11"/>
      <c r="ADM589" s="11"/>
      <c r="ADN589" s="11"/>
      <c r="ADO589" s="11"/>
      <c r="ADP589" s="11"/>
      <c r="ADQ589" s="11"/>
      <c r="ADR589" s="11"/>
      <c r="ADS589" s="11"/>
      <c r="ADT589" s="11"/>
      <c r="ADU589" s="11"/>
      <c r="ADV589" s="11"/>
      <c r="ADW589" s="11"/>
      <c r="ADX589" s="11"/>
      <c r="ADY589" s="11"/>
      <c r="ADZ589" s="11"/>
      <c r="AEA589" s="11"/>
      <c r="AEB589" s="11"/>
      <c r="AEC589" s="11"/>
      <c r="AED589" s="11"/>
      <c r="AEE589" s="11"/>
      <c r="AEF589" s="11"/>
      <c r="AEG589" s="11"/>
      <c r="AEH589" s="11"/>
      <c r="AEI589" s="11"/>
      <c r="AEJ589" s="11"/>
      <c r="AEK589" s="11"/>
      <c r="AEL589" s="11"/>
      <c r="AEM589" s="11"/>
      <c r="AEN589" s="11"/>
      <c r="AEO589" s="11"/>
      <c r="AEP589" s="11"/>
      <c r="AEQ589" s="11"/>
      <c r="AER589" s="11"/>
      <c r="AES589" s="11"/>
      <c r="AET589" s="11"/>
      <c r="AEU589" s="11"/>
      <c r="AEV589" s="11"/>
      <c r="AEW589" s="11"/>
      <c r="AEX589" s="11"/>
      <c r="AEY589" s="11"/>
      <c r="AEZ589" s="11"/>
      <c r="AFA589" s="11"/>
      <c r="AFB589" s="11"/>
      <c r="AFC589" s="11"/>
      <c r="AFD589" s="11"/>
      <c r="AFE589" s="11"/>
      <c r="AFF589" s="11"/>
      <c r="AFG589" s="11"/>
      <c r="AFH589" s="11"/>
      <c r="AFI589" s="11"/>
      <c r="AFJ589" s="11"/>
      <c r="AFK589" s="11"/>
      <c r="AFL589" s="11"/>
      <c r="AFM589" s="11"/>
      <c r="AFN589" s="11"/>
      <c r="AFO589" s="11"/>
      <c r="AFP589" s="11"/>
      <c r="AFQ589" s="11"/>
      <c r="AFR589" s="11"/>
      <c r="AFS589" s="11"/>
      <c r="AFT589" s="11"/>
      <c r="AFU589" s="11"/>
      <c r="AFV589" s="11"/>
      <c r="AFW589" s="11"/>
      <c r="AFX589" s="11"/>
      <c r="AFY589" s="11"/>
      <c r="AFZ589" s="11"/>
      <c r="AGA589" s="11"/>
      <c r="AGB589" s="11"/>
      <c r="AGC589" s="11"/>
      <c r="AGD589" s="11"/>
      <c r="AGE589" s="11"/>
      <c r="AGF589" s="11"/>
      <c r="AGG589" s="11"/>
      <c r="AGH589" s="11"/>
      <c r="AGI589" s="11"/>
      <c r="AGJ589" s="11"/>
      <c r="AGK589" s="11"/>
      <c r="AGL589" s="11"/>
      <c r="AGM589" s="11"/>
      <c r="AGN589" s="11"/>
      <c r="AGO589" s="11"/>
      <c r="AGP589" s="11"/>
      <c r="AGQ589" s="11"/>
      <c r="AGR589" s="11"/>
      <c r="AGS589" s="11"/>
      <c r="AGT589" s="11"/>
      <c r="AGU589" s="11"/>
      <c r="AGV589" s="11"/>
      <c r="AGW589" s="11"/>
      <c r="AGX589" s="11"/>
      <c r="AGY589" s="11"/>
      <c r="AGZ589" s="11"/>
      <c r="AHA589" s="11"/>
      <c r="AHB589" s="11"/>
      <c r="AHC589" s="11"/>
      <c r="AHD589" s="11"/>
      <c r="AHE589" s="11"/>
      <c r="AHF589" s="11"/>
      <c r="AHG589" s="11"/>
      <c r="AHH589" s="11"/>
      <c r="AHI589" s="11"/>
      <c r="AHJ589" s="11"/>
      <c r="AHK589" s="11"/>
      <c r="AHL589" s="11"/>
      <c r="AHM589" s="11"/>
      <c r="AHN589" s="11"/>
      <c r="AHO589" s="11"/>
      <c r="AHP589" s="11"/>
      <c r="AHQ589" s="11"/>
      <c r="AHR589" s="11"/>
      <c r="AHS589" s="11"/>
      <c r="AHT589" s="11"/>
      <c r="AHU589" s="11"/>
      <c r="AHV589" s="11"/>
      <c r="AHW589" s="11"/>
      <c r="AHX589" s="11"/>
      <c r="AHY589" s="11"/>
      <c r="AHZ589" s="11"/>
      <c r="AIA589" s="11"/>
      <c r="AIB589" s="11"/>
      <c r="AIC589" s="11"/>
      <c r="AID589" s="11"/>
      <c r="AIE589" s="11"/>
      <c r="AIF589" s="11"/>
      <c r="AIG589" s="11"/>
      <c r="AIH589" s="11"/>
      <c r="AII589" s="11"/>
      <c r="AIJ589" s="11"/>
      <c r="AIK589" s="11"/>
      <c r="AIL589" s="11"/>
      <c r="AIM589" s="11"/>
      <c r="AIN589" s="11"/>
      <c r="AIO589" s="11"/>
      <c r="AIP589" s="11"/>
      <c r="AIQ589" s="11"/>
      <c r="AIR589" s="11"/>
      <c r="AIS589" s="11"/>
      <c r="AIT589" s="11"/>
      <c r="AIU589" s="11"/>
      <c r="AIV589" s="11"/>
      <c r="AIW589" s="11"/>
      <c r="AIX589" s="11"/>
      <c r="AIY589" s="11"/>
      <c r="AIZ589" s="11"/>
      <c r="AJA589" s="11"/>
      <c r="AJB589" s="11"/>
      <c r="AJC589" s="11"/>
      <c r="AJD589" s="11"/>
      <c r="AJE589" s="11"/>
      <c r="AJF589" s="11"/>
      <c r="AJG589" s="11"/>
      <c r="AJH589" s="11"/>
      <c r="AJI589" s="11"/>
      <c r="AJJ589" s="11"/>
      <c r="AJK589" s="11"/>
      <c r="AJL589" s="11"/>
      <c r="AJM589" s="11"/>
      <c r="AJN589" s="11"/>
      <c r="AJO589" s="11"/>
      <c r="AJP589" s="11"/>
      <c r="AJQ589" s="11"/>
      <c r="AJR589" s="11"/>
      <c r="AJS589" s="11"/>
      <c r="AJT589" s="11"/>
      <c r="AJU589" s="11"/>
      <c r="AJV589" s="11"/>
      <c r="AJW589" s="11"/>
      <c r="AJX589" s="11"/>
      <c r="AJY589" s="11"/>
      <c r="AJZ589" s="11"/>
      <c r="AKA589" s="11"/>
      <c r="AKB589" s="11"/>
      <c r="AKC589" s="11"/>
      <c r="AKD589" s="11"/>
      <c r="AKE589" s="11"/>
      <c r="AKF589" s="11"/>
      <c r="AKG589" s="11"/>
      <c r="AKH589" s="11"/>
      <c r="AKI589" s="11"/>
      <c r="AKJ589" s="11"/>
      <c r="AKK589" s="11"/>
      <c r="AKL589" s="11"/>
      <c r="AKM589" s="11"/>
      <c r="AKN589" s="11"/>
      <c r="AKO589" s="11"/>
      <c r="AKP589" s="11"/>
      <c r="AKQ589" s="11"/>
      <c r="AKR589" s="11"/>
      <c r="AKS589" s="11"/>
      <c r="AKT589" s="11"/>
      <c r="AKU589" s="11"/>
      <c r="AKV589" s="11"/>
      <c r="AKW589" s="11"/>
      <c r="AKX589" s="11"/>
      <c r="AKY589" s="11"/>
      <c r="AKZ589" s="11"/>
      <c r="ALA589" s="11"/>
      <c r="ALB589" s="11"/>
      <c r="ALC589" s="11"/>
      <c r="ALD589" s="11"/>
      <c r="ALE589" s="11"/>
      <c r="ALF589" s="11"/>
      <c r="ALG589" s="11"/>
      <c r="ALH589" s="11"/>
      <c r="ALI589" s="11"/>
      <c r="ALJ589" s="11"/>
      <c r="ALK589" s="11"/>
      <c r="ALL589" s="11"/>
      <c r="ALM589" s="11"/>
      <c r="ALN589" s="11"/>
      <c r="ALO589" s="11"/>
      <c r="ALP589" s="11"/>
      <c r="ALQ589" s="11"/>
      <c r="ALR589" s="11"/>
      <c r="ALS589" s="11"/>
      <c r="ALT589" s="11"/>
      <c r="ALU589" s="11"/>
      <c r="ALV589" s="11"/>
      <c r="ALW589" s="11"/>
      <c r="ALX589" s="11"/>
      <c r="ALY589" s="11"/>
      <c r="ALZ589" s="11"/>
      <c r="AMA589" s="11"/>
      <c r="AMB589" s="11"/>
      <c r="AMC589" s="11"/>
      <c r="AMD589" s="11"/>
      <c r="AME589" s="11"/>
      <c r="AMF589" s="11"/>
      <c r="AMG589" s="11"/>
      <c r="AMH589" s="11"/>
      <c r="AMI589" s="11"/>
      <c r="AMJ589" s="11"/>
    </row>
    <row r="590" spans="1:1024">
      <c r="A590" s="7" t="s">
        <v>594</v>
      </c>
      <c r="B590" s="7">
        <v>729265</v>
      </c>
      <c r="D590" s="1">
        <v>0</v>
      </c>
      <c r="E590" s="8">
        <f>VLOOKUP(B590,Gesamtstunden_26!B:I,8,0)</f>
        <v>0.83333333333333326</v>
      </c>
      <c r="F590" s="2">
        <f t="shared" si="9"/>
        <v>-0.83333333333333326</v>
      </c>
    </row>
    <row r="591" spans="1:1024">
      <c r="A591" s="16" t="s">
        <v>595</v>
      </c>
      <c r="B591" s="16">
        <v>256488</v>
      </c>
      <c r="D591" s="1">
        <v>0</v>
      </c>
      <c r="E591" s="8">
        <f>VLOOKUP(B591,Gesamtstunden_26!B:I,8,0)</f>
        <v>0</v>
      </c>
      <c r="F591" s="2">
        <f t="shared" si="9"/>
        <v>0</v>
      </c>
    </row>
    <row r="592" spans="1:1024">
      <c r="A592" s="8" t="s">
        <v>596</v>
      </c>
      <c r="B592" s="8">
        <v>710771</v>
      </c>
      <c r="D592" s="1">
        <v>4.6666666666666696</v>
      </c>
      <c r="E592" s="8">
        <f>VLOOKUP(B592,Gesamtstunden_26!B:I,8,0)</f>
        <v>0</v>
      </c>
      <c r="F592" s="2">
        <f t="shared" si="9"/>
        <v>4.6666666666666696</v>
      </c>
    </row>
    <row r="593" spans="1:1024">
      <c r="A593" s="16" t="s">
        <v>597</v>
      </c>
      <c r="B593" s="16">
        <v>8384</v>
      </c>
      <c r="D593" s="1">
        <v>0</v>
      </c>
      <c r="E593" s="8">
        <f>VLOOKUP(B593,Gesamtstunden_26!B:I,8,0)</f>
        <v>0</v>
      </c>
      <c r="F593" s="2">
        <f t="shared" si="9"/>
        <v>0</v>
      </c>
    </row>
    <row r="594" spans="1:1024">
      <c r="A594" s="8" t="s">
        <v>598</v>
      </c>
      <c r="B594" s="8">
        <v>738103</v>
      </c>
      <c r="D594" s="1">
        <v>2</v>
      </c>
      <c r="E594" s="8">
        <f>VLOOKUP(B594,Gesamtstunden_26!B:I,8,0)</f>
        <v>0</v>
      </c>
      <c r="F594" s="2">
        <f t="shared" si="9"/>
        <v>2</v>
      </c>
    </row>
    <row r="595" spans="1:1024">
      <c r="A595" s="7" t="s">
        <v>599</v>
      </c>
      <c r="B595" s="7">
        <v>480351</v>
      </c>
      <c r="D595" s="1">
        <v>0</v>
      </c>
      <c r="E595" s="8">
        <f>VLOOKUP(B595,Gesamtstunden_26!B:I,8,0)</f>
        <v>0.66666666666666663</v>
      </c>
      <c r="F595" s="2">
        <f t="shared" si="9"/>
        <v>-0.66666666666666663</v>
      </c>
    </row>
    <row r="596" spans="1:1024">
      <c r="A596" s="7" t="s">
        <v>600</v>
      </c>
      <c r="B596" s="7">
        <v>210824</v>
      </c>
      <c r="D596" s="1">
        <v>0</v>
      </c>
      <c r="E596" s="8">
        <f>VLOOKUP(B596,Gesamtstunden_26!B:I,8,0)</f>
        <v>3.3333333333333335</v>
      </c>
      <c r="F596" s="2">
        <f t="shared" si="9"/>
        <v>-3.3333333333333335</v>
      </c>
    </row>
    <row r="597" spans="1:1024">
      <c r="A597" s="8" t="s">
        <v>601</v>
      </c>
      <c r="B597" s="8">
        <v>804908</v>
      </c>
      <c r="D597" s="1">
        <v>4</v>
      </c>
      <c r="E597" s="8">
        <f>VLOOKUP(B597,Gesamtstunden_26!B:I,8,0)</f>
        <v>3</v>
      </c>
      <c r="F597" s="2">
        <f t="shared" si="9"/>
        <v>1</v>
      </c>
    </row>
    <row r="598" spans="1:1024">
      <c r="A598" s="8" t="s">
        <v>602</v>
      </c>
      <c r="B598" s="8">
        <v>276074</v>
      </c>
      <c r="D598" s="1">
        <v>15</v>
      </c>
      <c r="E598" s="8">
        <f>VLOOKUP(B598,Gesamtstunden_26!B:I,8,0)</f>
        <v>0</v>
      </c>
      <c r="F598" s="2">
        <f t="shared" si="9"/>
        <v>15</v>
      </c>
    </row>
    <row r="599" spans="1:1024">
      <c r="A599" s="8" t="s">
        <v>603</v>
      </c>
      <c r="B599" s="8">
        <v>959417</v>
      </c>
      <c r="D599" s="1">
        <v>1</v>
      </c>
      <c r="E599" s="8">
        <f>VLOOKUP(B599,Gesamtstunden_26!B:I,8,0)</f>
        <v>0</v>
      </c>
      <c r="F599" s="2">
        <f t="shared" si="9"/>
        <v>1</v>
      </c>
    </row>
    <row r="600" spans="1:1024">
      <c r="A600" s="7" t="s">
        <v>604</v>
      </c>
      <c r="B600" s="7">
        <v>416008</v>
      </c>
      <c r="D600" s="1">
        <v>0</v>
      </c>
      <c r="E600" s="8">
        <f>VLOOKUP(B600,Gesamtstunden_26!B:I,8,0)</f>
        <v>2.5</v>
      </c>
      <c r="F600" s="2">
        <f t="shared" si="9"/>
        <v>-2.5</v>
      </c>
    </row>
    <row r="601" spans="1:1024">
      <c r="A601" s="8" t="s">
        <v>605</v>
      </c>
      <c r="B601" s="8">
        <v>167184</v>
      </c>
      <c r="D601" s="1">
        <v>9.3333333333333304</v>
      </c>
      <c r="E601" s="8">
        <f>VLOOKUP(B601,Gesamtstunden_26!B:I,8,0)</f>
        <v>0</v>
      </c>
      <c r="F601" s="2">
        <f t="shared" si="9"/>
        <v>9.3333333333333304</v>
      </c>
    </row>
    <row r="602" spans="1:1024">
      <c r="A602" s="14" t="s">
        <v>606</v>
      </c>
      <c r="B602" s="14">
        <v>570260</v>
      </c>
      <c r="D602" s="1">
        <v>0</v>
      </c>
      <c r="E602" s="8">
        <f>VLOOKUP(B602,Gesamtstunden_26!B:I,8,0)</f>
        <v>0</v>
      </c>
      <c r="F602" s="2">
        <f t="shared" si="9"/>
        <v>0</v>
      </c>
    </row>
    <row r="603" spans="1:1024">
      <c r="A603" s="14" t="s">
        <v>607</v>
      </c>
      <c r="B603" s="14">
        <v>421108</v>
      </c>
      <c r="D603" s="1">
        <v>0</v>
      </c>
      <c r="E603" s="8">
        <f>VLOOKUP(B603,Gesamtstunden_26!B:I,8,0)</f>
        <v>0</v>
      </c>
      <c r="F603" s="2">
        <f t="shared" si="9"/>
        <v>0</v>
      </c>
    </row>
    <row r="604" spans="1:1024">
      <c r="A604" s="16" t="s">
        <v>608</v>
      </c>
      <c r="B604" s="16">
        <v>335130</v>
      </c>
      <c r="D604" s="1">
        <v>0</v>
      </c>
      <c r="E604" s="8">
        <f>VLOOKUP(B604,Gesamtstunden_26!B:I,8,0)</f>
        <v>0</v>
      </c>
      <c r="F604" s="2">
        <f t="shared" si="9"/>
        <v>0</v>
      </c>
    </row>
    <row r="605" spans="1:1024" s="11" customFormat="1">
      <c r="A605" s="17" t="s">
        <v>609</v>
      </c>
      <c r="B605" s="17">
        <v>574299</v>
      </c>
      <c r="C605"/>
      <c r="D605" s="1">
        <v>0</v>
      </c>
      <c r="E605" s="8">
        <f>VLOOKUP(B605,Gesamtstunden_26!B:I,8,0)</f>
        <v>1</v>
      </c>
      <c r="F605" s="2">
        <f t="shared" si="9"/>
        <v>-1</v>
      </c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  <c r="BF605"/>
      <c r="BG605"/>
      <c r="BH605"/>
      <c r="BI605"/>
      <c r="BJ605"/>
      <c r="BK605"/>
      <c r="BL605"/>
      <c r="BM605"/>
      <c r="BN605"/>
      <c r="BO605"/>
      <c r="BP605"/>
      <c r="BQ605"/>
      <c r="BR605"/>
      <c r="BS605"/>
      <c r="BT605"/>
      <c r="BU605"/>
      <c r="BV605"/>
      <c r="BW605"/>
      <c r="BX605"/>
      <c r="BY605"/>
      <c r="BZ605"/>
      <c r="CA605"/>
      <c r="CB605"/>
      <c r="CC605"/>
      <c r="CD605"/>
      <c r="CE605"/>
      <c r="CF605"/>
      <c r="CG605"/>
      <c r="CH605"/>
      <c r="CI605"/>
      <c r="CJ605"/>
      <c r="CK605"/>
      <c r="CL605"/>
      <c r="CM605"/>
      <c r="CN605"/>
      <c r="CO605"/>
      <c r="CP605"/>
      <c r="CQ605"/>
      <c r="CR605"/>
      <c r="CS605"/>
      <c r="CT605"/>
      <c r="CU605"/>
      <c r="CV605"/>
      <c r="CW605"/>
      <c r="CX605"/>
      <c r="CY605"/>
      <c r="CZ605"/>
      <c r="DA605"/>
      <c r="DB605"/>
      <c r="DC605"/>
      <c r="DD605"/>
      <c r="DE605"/>
      <c r="DF605"/>
      <c r="DG605"/>
      <c r="DH605"/>
      <c r="DI605"/>
      <c r="DJ605"/>
      <c r="DK605"/>
      <c r="DL605"/>
      <c r="DM605"/>
      <c r="DN605"/>
      <c r="DO605"/>
      <c r="DP605"/>
      <c r="DQ605"/>
      <c r="DR605"/>
      <c r="DS605"/>
      <c r="DT605"/>
      <c r="DU605"/>
      <c r="DV605"/>
      <c r="DW605"/>
      <c r="DX605"/>
      <c r="DY605"/>
      <c r="DZ605"/>
      <c r="EA605"/>
      <c r="EB605"/>
      <c r="EC605"/>
      <c r="ED605"/>
      <c r="EE605"/>
      <c r="EF605"/>
      <c r="EG605"/>
      <c r="EH605"/>
      <c r="EI605"/>
      <c r="EJ605"/>
      <c r="EK605"/>
      <c r="EL605"/>
      <c r="EM605"/>
      <c r="EN605"/>
      <c r="EO605"/>
      <c r="EP605"/>
      <c r="EQ605"/>
      <c r="ER605"/>
      <c r="ES605"/>
      <c r="ET605"/>
      <c r="EU605"/>
      <c r="EV605"/>
      <c r="EW605"/>
      <c r="EX605"/>
      <c r="EY605"/>
      <c r="EZ605"/>
      <c r="FA605"/>
      <c r="FB605"/>
      <c r="FC605"/>
      <c r="FD605"/>
      <c r="FE605"/>
      <c r="FF605"/>
      <c r="FG605"/>
      <c r="FH605"/>
      <c r="FI605"/>
      <c r="FJ605"/>
      <c r="FK605"/>
      <c r="FL605"/>
      <c r="FM605"/>
      <c r="FN605"/>
      <c r="FO605"/>
      <c r="FP605"/>
      <c r="FQ605"/>
      <c r="FR605"/>
      <c r="FS605"/>
      <c r="FT605"/>
      <c r="FU605"/>
      <c r="FV605"/>
      <c r="FW605"/>
      <c r="FX605"/>
      <c r="FY605"/>
      <c r="FZ605"/>
      <c r="GA605"/>
      <c r="GB605"/>
      <c r="GC605"/>
      <c r="GD605"/>
      <c r="GE605"/>
      <c r="GF605"/>
      <c r="GG605"/>
      <c r="GH605"/>
      <c r="GI605"/>
      <c r="GJ605"/>
      <c r="GK605"/>
      <c r="GL605"/>
      <c r="GM605"/>
      <c r="GN605"/>
      <c r="GO605"/>
      <c r="GP605"/>
      <c r="GQ605"/>
      <c r="GR605"/>
      <c r="GS605"/>
      <c r="GT605"/>
      <c r="GU605"/>
      <c r="GV605"/>
      <c r="GW605"/>
      <c r="GX605"/>
      <c r="GY605"/>
      <c r="GZ605"/>
      <c r="HA605"/>
      <c r="HB605"/>
      <c r="HC605"/>
      <c r="HD605"/>
      <c r="HE605"/>
      <c r="HF605"/>
      <c r="HG605"/>
      <c r="HH605"/>
      <c r="HI605"/>
      <c r="HJ605"/>
      <c r="HK605"/>
      <c r="HL605"/>
      <c r="HM605"/>
      <c r="HN605"/>
      <c r="HO605"/>
      <c r="HP605"/>
      <c r="HQ605"/>
      <c r="HR605"/>
      <c r="HS605"/>
      <c r="HT605"/>
      <c r="HU605"/>
      <c r="HV605"/>
      <c r="HW605"/>
      <c r="HX605"/>
      <c r="HY605"/>
      <c r="HZ605"/>
      <c r="IA605"/>
      <c r="IB605"/>
      <c r="IC605"/>
      <c r="ID605"/>
      <c r="IE605"/>
      <c r="IF605"/>
      <c r="IG605"/>
      <c r="IH605"/>
      <c r="II605"/>
      <c r="IJ605"/>
      <c r="IK605"/>
      <c r="IL605"/>
      <c r="IM605"/>
      <c r="IN605"/>
      <c r="IO605"/>
      <c r="IP605"/>
      <c r="IQ605"/>
      <c r="IR605"/>
      <c r="IS605"/>
      <c r="IT605"/>
      <c r="IU605"/>
      <c r="IV605"/>
      <c r="IW605"/>
      <c r="IX605"/>
      <c r="IY605"/>
      <c r="IZ605"/>
      <c r="JA605"/>
      <c r="JB605"/>
      <c r="JC605"/>
      <c r="JD605"/>
      <c r="JE605"/>
      <c r="JF605"/>
      <c r="JG605"/>
      <c r="JH605"/>
      <c r="JI605"/>
      <c r="JJ605"/>
      <c r="JK605"/>
      <c r="JL605"/>
      <c r="JM605"/>
      <c r="JN605"/>
      <c r="JO605"/>
      <c r="JP605"/>
      <c r="JQ605"/>
      <c r="JR605"/>
      <c r="JS605"/>
      <c r="JT605"/>
      <c r="JU605"/>
      <c r="JV605"/>
      <c r="JW605"/>
      <c r="JX605"/>
      <c r="JY605"/>
      <c r="JZ605"/>
      <c r="KA605"/>
      <c r="KB605"/>
      <c r="KC605"/>
      <c r="KD605"/>
      <c r="KE605"/>
      <c r="KF605"/>
      <c r="KG605"/>
      <c r="KH605"/>
      <c r="KI605"/>
      <c r="KJ605"/>
      <c r="KK605"/>
      <c r="KL605"/>
      <c r="KM605"/>
      <c r="KN605"/>
      <c r="KO605"/>
      <c r="KP605"/>
      <c r="KQ605"/>
      <c r="KR605"/>
      <c r="KS605"/>
      <c r="KT605"/>
      <c r="KU605"/>
      <c r="KV605"/>
      <c r="KW605"/>
      <c r="KX605"/>
      <c r="KY605"/>
      <c r="KZ605"/>
      <c r="LA605"/>
      <c r="LB605"/>
      <c r="LC605"/>
      <c r="LD605"/>
      <c r="LE605"/>
      <c r="LF605"/>
      <c r="LG605"/>
      <c r="LH605"/>
      <c r="LI605"/>
      <c r="LJ605"/>
      <c r="LK605"/>
      <c r="LL605"/>
      <c r="LM605"/>
      <c r="LN605"/>
      <c r="LO605"/>
      <c r="LP605"/>
      <c r="LQ605"/>
      <c r="LR605"/>
      <c r="LS605"/>
      <c r="LT605"/>
      <c r="LU605"/>
      <c r="LV605"/>
      <c r="LW605"/>
      <c r="LX605"/>
      <c r="LY605"/>
      <c r="LZ605"/>
      <c r="MA605"/>
      <c r="MB605"/>
      <c r="MC605"/>
      <c r="MD605"/>
      <c r="ME605"/>
      <c r="MF605"/>
      <c r="MG605"/>
      <c r="MH605"/>
      <c r="MI605"/>
      <c r="MJ605"/>
      <c r="MK605"/>
      <c r="ML605"/>
      <c r="MM605"/>
      <c r="MN605"/>
      <c r="MO605"/>
      <c r="MP605"/>
      <c r="MQ605"/>
      <c r="MR605"/>
      <c r="MS605"/>
      <c r="MT605"/>
      <c r="MU605"/>
      <c r="MV605"/>
      <c r="MW605"/>
      <c r="MX605"/>
      <c r="MY605"/>
      <c r="MZ605"/>
      <c r="NA605"/>
      <c r="NB605"/>
      <c r="NC605"/>
      <c r="ND605"/>
      <c r="NE605"/>
      <c r="NF605"/>
      <c r="NG605"/>
      <c r="NH605"/>
      <c r="NI605"/>
      <c r="NJ605"/>
      <c r="NK605"/>
      <c r="NL605"/>
      <c r="NM605"/>
      <c r="NN605"/>
      <c r="NO605"/>
      <c r="NP605"/>
      <c r="NQ605"/>
      <c r="NR605"/>
      <c r="NS605"/>
      <c r="NT605"/>
      <c r="NU605"/>
      <c r="NV605"/>
      <c r="NW605"/>
      <c r="NX605"/>
      <c r="NY605"/>
      <c r="NZ605"/>
      <c r="OA605"/>
      <c r="OB605"/>
      <c r="OC605"/>
      <c r="OD605"/>
      <c r="OE605"/>
      <c r="OF605"/>
      <c r="OG605"/>
      <c r="OH605"/>
      <c r="OI605"/>
      <c r="OJ605"/>
      <c r="OK605"/>
      <c r="OL605"/>
      <c r="OM605"/>
      <c r="ON605"/>
      <c r="OO605"/>
      <c r="OP605"/>
      <c r="OQ605"/>
      <c r="OR605"/>
      <c r="OS605"/>
      <c r="OT605"/>
      <c r="OU605"/>
      <c r="OV605"/>
      <c r="OW605"/>
      <c r="OX605"/>
      <c r="OY605"/>
      <c r="OZ605"/>
      <c r="PA605"/>
      <c r="PB605"/>
      <c r="PC605"/>
      <c r="PD605"/>
      <c r="PE605"/>
      <c r="PF605"/>
      <c r="PG605"/>
      <c r="PH605"/>
      <c r="PI605"/>
      <c r="PJ605"/>
      <c r="PK605"/>
      <c r="PL605"/>
      <c r="PM605"/>
      <c r="PN605"/>
      <c r="PO605"/>
      <c r="PP605"/>
      <c r="PQ605"/>
      <c r="PR605"/>
      <c r="PS605"/>
      <c r="PT605"/>
      <c r="PU605"/>
      <c r="PV605"/>
      <c r="PW605"/>
      <c r="PX605"/>
      <c r="PY605"/>
      <c r="PZ605"/>
      <c r="QA605"/>
      <c r="QB605"/>
      <c r="QC605"/>
      <c r="QD605"/>
      <c r="QE605"/>
      <c r="QF605"/>
      <c r="QG605"/>
      <c r="QH605"/>
      <c r="QI605"/>
      <c r="QJ605"/>
      <c r="QK605"/>
      <c r="QL605"/>
      <c r="QM605"/>
      <c r="QN605"/>
      <c r="QO605"/>
      <c r="QP605"/>
      <c r="QQ605"/>
      <c r="QR605"/>
      <c r="QS605"/>
      <c r="QT605"/>
      <c r="QU605"/>
      <c r="QV605"/>
      <c r="QW605"/>
      <c r="QX605"/>
      <c r="QY605"/>
      <c r="QZ605"/>
      <c r="RA605"/>
      <c r="RB605"/>
      <c r="RC605"/>
      <c r="RD605"/>
      <c r="RE605"/>
      <c r="RF605"/>
      <c r="RG605"/>
      <c r="RH605"/>
      <c r="RI605"/>
      <c r="RJ605"/>
      <c r="RK605"/>
      <c r="RL605"/>
      <c r="RM605"/>
      <c r="RN605"/>
      <c r="RO605"/>
      <c r="RP605"/>
      <c r="RQ605"/>
      <c r="RR605"/>
      <c r="RS605"/>
      <c r="RT605"/>
      <c r="RU605"/>
      <c r="RV605"/>
      <c r="RW605"/>
      <c r="RX605"/>
      <c r="RY605"/>
      <c r="RZ605"/>
      <c r="SA605"/>
      <c r="SB605"/>
      <c r="SC605"/>
      <c r="SD605"/>
      <c r="SE605"/>
      <c r="SF605"/>
      <c r="SG605"/>
      <c r="SH605"/>
      <c r="SI605"/>
      <c r="SJ605"/>
      <c r="SK605"/>
      <c r="SL605"/>
      <c r="SM605"/>
      <c r="SN605"/>
      <c r="SO605"/>
      <c r="SP605"/>
      <c r="SQ605"/>
      <c r="SR605"/>
      <c r="SS605"/>
      <c r="ST605"/>
      <c r="SU605"/>
      <c r="SV605"/>
      <c r="SW605"/>
      <c r="SX605"/>
      <c r="SY605"/>
      <c r="SZ605"/>
      <c r="TA605"/>
      <c r="TB605"/>
      <c r="TC605"/>
      <c r="TD605"/>
      <c r="TE605"/>
      <c r="TF605"/>
      <c r="TG605"/>
      <c r="TH605"/>
      <c r="TI605"/>
      <c r="TJ605"/>
      <c r="TK605"/>
      <c r="TL605"/>
      <c r="TM605"/>
      <c r="TN605"/>
      <c r="TO605"/>
      <c r="TP605"/>
      <c r="TQ605"/>
      <c r="TR605"/>
      <c r="TS605"/>
      <c r="TT605"/>
      <c r="TU605"/>
      <c r="TV605"/>
      <c r="TW605"/>
      <c r="TX605"/>
      <c r="TY605"/>
      <c r="TZ605"/>
      <c r="UA605"/>
      <c r="UB605"/>
      <c r="UC605"/>
      <c r="UD605"/>
      <c r="UE605"/>
      <c r="UF605"/>
      <c r="UG605"/>
      <c r="UH605"/>
      <c r="UI605"/>
      <c r="UJ605"/>
      <c r="UK605"/>
      <c r="UL605"/>
      <c r="UM605"/>
      <c r="UN605"/>
      <c r="UO605"/>
      <c r="UP605"/>
      <c r="UQ605"/>
      <c r="UR605"/>
      <c r="US605"/>
      <c r="UT605"/>
      <c r="UU605"/>
      <c r="UV605"/>
      <c r="UW605"/>
      <c r="UX605"/>
      <c r="UY605"/>
      <c r="UZ605"/>
      <c r="VA605"/>
      <c r="VB605"/>
      <c r="VC605"/>
      <c r="VD605"/>
      <c r="VE605"/>
      <c r="VF605"/>
      <c r="VG605"/>
      <c r="VH605"/>
      <c r="VI605"/>
      <c r="VJ605"/>
      <c r="VK605"/>
      <c r="VL605"/>
      <c r="VM605"/>
      <c r="VN605"/>
      <c r="VO605"/>
      <c r="VP605"/>
      <c r="VQ605"/>
      <c r="VR605"/>
      <c r="VS605"/>
      <c r="VT605"/>
      <c r="VU605"/>
      <c r="VV605"/>
      <c r="VW605"/>
      <c r="VX605"/>
      <c r="VY605"/>
      <c r="VZ605"/>
      <c r="WA605"/>
      <c r="WB605"/>
      <c r="WC605"/>
      <c r="WD605"/>
      <c r="WE605"/>
      <c r="WF605"/>
      <c r="WG605"/>
      <c r="WH605"/>
      <c r="WI605"/>
      <c r="WJ605"/>
      <c r="WK605"/>
      <c r="WL605"/>
      <c r="WM605"/>
      <c r="WN605"/>
      <c r="WO605"/>
      <c r="WP605"/>
      <c r="WQ605"/>
      <c r="WR605"/>
      <c r="WS605"/>
      <c r="WT605"/>
      <c r="WU605"/>
      <c r="WV605"/>
      <c r="WW605"/>
      <c r="WX605"/>
      <c r="WY605"/>
      <c r="WZ605"/>
      <c r="XA605"/>
      <c r="XB605"/>
      <c r="XC605"/>
      <c r="XD605"/>
      <c r="XE605"/>
      <c r="XF605"/>
      <c r="XG605"/>
      <c r="XH605"/>
      <c r="XI605"/>
      <c r="XJ605"/>
      <c r="XK605"/>
      <c r="XL605"/>
      <c r="XM605"/>
      <c r="XN605"/>
      <c r="XO605"/>
      <c r="XP605"/>
      <c r="XQ605"/>
      <c r="XR605"/>
      <c r="XS605"/>
      <c r="XT605"/>
      <c r="XU605"/>
      <c r="XV605"/>
      <c r="XW605"/>
      <c r="XX605"/>
      <c r="XY605"/>
      <c r="XZ605"/>
      <c r="YA605"/>
      <c r="YB605"/>
      <c r="YC605"/>
      <c r="YD605"/>
      <c r="YE605"/>
      <c r="YF605"/>
      <c r="YG605"/>
      <c r="YH605"/>
      <c r="YI605"/>
      <c r="YJ605"/>
      <c r="YK605"/>
      <c r="YL605"/>
      <c r="YM605"/>
      <c r="YN605"/>
      <c r="YO605"/>
      <c r="YP605"/>
      <c r="YQ605"/>
      <c r="YR605"/>
      <c r="YS605"/>
      <c r="YT605"/>
      <c r="YU605"/>
      <c r="YV605"/>
      <c r="YW605"/>
      <c r="YX605"/>
      <c r="YY605"/>
      <c r="YZ605"/>
      <c r="ZA605"/>
      <c r="ZB605"/>
      <c r="ZC605"/>
      <c r="ZD605"/>
      <c r="ZE605"/>
      <c r="ZF605"/>
      <c r="ZG605"/>
      <c r="ZH605"/>
      <c r="ZI605"/>
      <c r="ZJ605"/>
      <c r="ZK605"/>
      <c r="ZL605"/>
      <c r="ZM605"/>
      <c r="ZN605"/>
      <c r="ZO605"/>
      <c r="ZP605"/>
      <c r="ZQ605"/>
      <c r="ZR605"/>
      <c r="ZS605"/>
      <c r="ZT605"/>
      <c r="ZU605"/>
      <c r="ZV605"/>
      <c r="ZW605"/>
      <c r="ZX605"/>
      <c r="ZY605"/>
      <c r="ZZ605"/>
      <c r="AAA605"/>
      <c r="AAB605"/>
      <c r="AAC605"/>
      <c r="AAD605"/>
      <c r="AAE605"/>
      <c r="AAF605"/>
      <c r="AAG605"/>
      <c r="AAH605"/>
      <c r="AAI605"/>
      <c r="AAJ605"/>
      <c r="AAK605"/>
      <c r="AAL605"/>
      <c r="AAM605"/>
      <c r="AAN605"/>
      <c r="AAO605"/>
      <c r="AAP605"/>
      <c r="AAQ605"/>
      <c r="AAR605"/>
      <c r="AAS605"/>
      <c r="AAT605"/>
      <c r="AAU605"/>
      <c r="AAV605"/>
      <c r="AAW605"/>
      <c r="AAX605"/>
      <c r="AAY605"/>
      <c r="AAZ605"/>
      <c r="ABA605"/>
      <c r="ABB605"/>
      <c r="ABC605"/>
      <c r="ABD605"/>
      <c r="ABE605"/>
      <c r="ABF605"/>
      <c r="ABG605"/>
      <c r="ABH605"/>
      <c r="ABI605"/>
      <c r="ABJ605"/>
      <c r="ABK605"/>
      <c r="ABL605"/>
      <c r="ABM605"/>
      <c r="ABN605"/>
      <c r="ABO605"/>
      <c r="ABP605"/>
      <c r="ABQ605"/>
      <c r="ABR605"/>
      <c r="ABS605"/>
      <c r="ABT605"/>
      <c r="ABU605"/>
      <c r="ABV605"/>
      <c r="ABW605"/>
      <c r="ABX605"/>
      <c r="ABY605"/>
      <c r="ABZ605"/>
      <c r="ACA605"/>
      <c r="ACB605"/>
      <c r="ACC605"/>
      <c r="ACD605"/>
      <c r="ACE605"/>
      <c r="ACF605"/>
      <c r="ACG605"/>
      <c r="ACH605"/>
      <c r="ACI605"/>
      <c r="ACJ605"/>
      <c r="ACK605"/>
      <c r="ACL605"/>
      <c r="ACM605"/>
      <c r="ACN605"/>
      <c r="ACO605"/>
      <c r="ACP605"/>
      <c r="ACQ605"/>
      <c r="ACR605"/>
      <c r="ACS605"/>
      <c r="ACT605"/>
      <c r="ACU605"/>
      <c r="ACV605"/>
      <c r="ACW605"/>
      <c r="ACX605"/>
      <c r="ACY605"/>
      <c r="ACZ605"/>
      <c r="ADA605"/>
      <c r="ADB605"/>
      <c r="ADC605"/>
      <c r="ADD605"/>
      <c r="ADE605"/>
      <c r="ADF605"/>
      <c r="ADG605"/>
      <c r="ADH605"/>
      <c r="ADI605"/>
      <c r="ADJ605"/>
      <c r="ADK605"/>
      <c r="ADL605"/>
      <c r="ADM605"/>
      <c r="ADN605"/>
      <c r="ADO605"/>
      <c r="ADP605"/>
      <c r="ADQ605"/>
      <c r="ADR605"/>
      <c r="ADS605"/>
      <c r="ADT605"/>
      <c r="ADU605"/>
      <c r="ADV605"/>
      <c r="ADW605"/>
      <c r="ADX605"/>
      <c r="ADY605"/>
      <c r="ADZ605"/>
      <c r="AEA605"/>
      <c r="AEB605"/>
      <c r="AEC605"/>
      <c r="AED605"/>
      <c r="AEE605"/>
      <c r="AEF605"/>
      <c r="AEG605"/>
      <c r="AEH605"/>
      <c r="AEI605"/>
      <c r="AEJ605"/>
      <c r="AEK605"/>
      <c r="AEL605"/>
      <c r="AEM605"/>
      <c r="AEN605"/>
      <c r="AEO605"/>
      <c r="AEP605"/>
      <c r="AEQ605"/>
      <c r="AER605"/>
      <c r="AES605"/>
      <c r="AET605"/>
      <c r="AEU605"/>
      <c r="AEV605"/>
      <c r="AEW605"/>
      <c r="AEX605"/>
      <c r="AEY605"/>
      <c r="AEZ605"/>
      <c r="AFA605"/>
      <c r="AFB605"/>
      <c r="AFC605"/>
      <c r="AFD605"/>
      <c r="AFE605"/>
      <c r="AFF605"/>
      <c r="AFG605"/>
      <c r="AFH605"/>
      <c r="AFI605"/>
      <c r="AFJ605"/>
      <c r="AFK605"/>
      <c r="AFL605"/>
      <c r="AFM605"/>
      <c r="AFN605"/>
      <c r="AFO605"/>
      <c r="AFP605"/>
      <c r="AFQ605"/>
      <c r="AFR605"/>
      <c r="AFS605"/>
      <c r="AFT605"/>
      <c r="AFU605"/>
      <c r="AFV605"/>
      <c r="AFW605"/>
      <c r="AFX605"/>
      <c r="AFY605"/>
      <c r="AFZ605"/>
      <c r="AGA605"/>
      <c r="AGB605"/>
      <c r="AGC605"/>
      <c r="AGD605"/>
      <c r="AGE605"/>
      <c r="AGF605"/>
      <c r="AGG605"/>
      <c r="AGH605"/>
      <c r="AGI605"/>
      <c r="AGJ605"/>
      <c r="AGK605"/>
      <c r="AGL605"/>
      <c r="AGM605"/>
      <c r="AGN605"/>
      <c r="AGO605"/>
      <c r="AGP605"/>
      <c r="AGQ605"/>
      <c r="AGR605"/>
      <c r="AGS605"/>
      <c r="AGT605"/>
      <c r="AGU605"/>
      <c r="AGV605"/>
      <c r="AGW605"/>
      <c r="AGX605"/>
      <c r="AGY605"/>
      <c r="AGZ605"/>
      <c r="AHA605"/>
      <c r="AHB605"/>
      <c r="AHC605"/>
      <c r="AHD605"/>
      <c r="AHE605"/>
      <c r="AHF605"/>
      <c r="AHG605"/>
      <c r="AHH605"/>
      <c r="AHI605"/>
      <c r="AHJ605"/>
      <c r="AHK605"/>
      <c r="AHL605"/>
      <c r="AHM605"/>
      <c r="AHN605"/>
      <c r="AHO605"/>
      <c r="AHP605"/>
      <c r="AHQ605"/>
      <c r="AHR605"/>
      <c r="AHS605"/>
      <c r="AHT605"/>
      <c r="AHU605"/>
      <c r="AHV605"/>
      <c r="AHW605"/>
      <c r="AHX605"/>
      <c r="AHY605"/>
      <c r="AHZ605"/>
      <c r="AIA605"/>
      <c r="AIB605"/>
      <c r="AIC605"/>
      <c r="AID605"/>
      <c r="AIE605"/>
      <c r="AIF605"/>
      <c r="AIG605"/>
      <c r="AIH605"/>
      <c r="AII605"/>
      <c r="AIJ605"/>
      <c r="AIK605"/>
      <c r="AIL605"/>
      <c r="AIM605"/>
      <c r="AIN605"/>
      <c r="AIO605"/>
      <c r="AIP605"/>
      <c r="AIQ605"/>
      <c r="AIR605"/>
      <c r="AIS605"/>
      <c r="AIT605"/>
      <c r="AIU605"/>
      <c r="AIV605"/>
      <c r="AIW605"/>
      <c r="AIX605"/>
      <c r="AIY605"/>
      <c r="AIZ605"/>
      <c r="AJA605"/>
      <c r="AJB605"/>
      <c r="AJC605"/>
      <c r="AJD605"/>
      <c r="AJE605"/>
      <c r="AJF605"/>
      <c r="AJG605"/>
      <c r="AJH605"/>
      <c r="AJI605"/>
      <c r="AJJ605"/>
      <c r="AJK605"/>
      <c r="AJL605"/>
      <c r="AJM605"/>
      <c r="AJN605"/>
      <c r="AJO605"/>
      <c r="AJP605"/>
      <c r="AJQ605"/>
      <c r="AJR605"/>
      <c r="AJS605"/>
      <c r="AJT605"/>
      <c r="AJU605"/>
      <c r="AJV605"/>
      <c r="AJW605"/>
      <c r="AJX605"/>
      <c r="AJY605"/>
      <c r="AJZ605"/>
      <c r="AKA605"/>
      <c r="AKB605"/>
      <c r="AKC605"/>
      <c r="AKD605"/>
      <c r="AKE605"/>
      <c r="AKF605"/>
      <c r="AKG605"/>
      <c r="AKH605"/>
      <c r="AKI605"/>
      <c r="AKJ605"/>
      <c r="AKK605"/>
      <c r="AKL605"/>
      <c r="AKM605"/>
      <c r="AKN605"/>
      <c r="AKO605"/>
      <c r="AKP605"/>
      <c r="AKQ605"/>
      <c r="AKR605"/>
      <c r="AKS605"/>
      <c r="AKT605"/>
      <c r="AKU605"/>
      <c r="AKV605"/>
      <c r="AKW605"/>
      <c r="AKX605"/>
      <c r="AKY605"/>
      <c r="AKZ605"/>
      <c r="ALA605"/>
      <c r="ALB605"/>
      <c r="ALC605"/>
      <c r="ALD605"/>
      <c r="ALE605"/>
      <c r="ALF605"/>
      <c r="ALG605"/>
      <c r="ALH605"/>
      <c r="ALI605"/>
      <c r="ALJ605"/>
      <c r="ALK605"/>
      <c r="ALL605"/>
      <c r="ALM605"/>
      <c r="ALN605"/>
      <c r="ALO605"/>
      <c r="ALP605"/>
      <c r="ALQ605"/>
      <c r="ALR605"/>
      <c r="ALS605"/>
      <c r="ALT605"/>
      <c r="ALU605"/>
      <c r="ALV605"/>
      <c r="ALW605"/>
      <c r="ALX605"/>
      <c r="ALY605"/>
      <c r="ALZ605"/>
      <c r="AMA605"/>
      <c r="AMB605"/>
      <c r="AMC605"/>
      <c r="AMD605"/>
      <c r="AME605"/>
      <c r="AMF605"/>
      <c r="AMG605"/>
      <c r="AMH605"/>
      <c r="AMI605"/>
      <c r="AMJ605"/>
    </row>
    <row r="606" spans="1:1024" ht="27.6">
      <c r="A606" s="7" t="s">
        <v>610</v>
      </c>
      <c r="B606" s="7">
        <v>131287</v>
      </c>
      <c r="C606" s="11"/>
      <c r="D606" s="12">
        <v>0</v>
      </c>
      <c r="E606" s="7">
        <f>VLOOKUP(B606,Gesamtstunden_26!B:I,8,0)</f>
        <v>2.6666666666666665</v>
      </c>
      <c r="F606" s="13">
        <f t="shared" si="9"/>
        <v>-2.6666666666666665</v>
      </c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  <c r="AU606" s="11"/>
      <c r="AV606" s="11"/>
      <c r="AW606" s="11"/>
      <c r="AX606" s="11"/>
      <c r="AY606" s="11"/>
      <c r="AZ606" s="11"/>
      <c r="BA606" s="11"/>
      <c r="BB606" s="11"/>
      <c r="BC606" s="11"/>
      <c r="BD606" s="11"/>
      <c r="BE606" s="11"/>
      <c r="BF606" s="11"/>
      <c r="BG606" s="11"/>
      <c r="BH606" s="11"/>
      <c r="BI606" s="11"/>
      <c r="BJ606" s="11"/>
      <c r="BK606" s="11"/>
      <c r="BL606" s="11"/>
      <c r="BM606" s="11"/>
      <c r="BN606" s="11"/>
      <c r="BO606" s="11"/>
      <c r="BP606" s="11"/>
      <c r="BQ606" s="11"/>
      <c r="BR606" s="11"/>
      <c r="BS606" s="11"/>
      <c r="BT606" s="11"/>
      <c r="BU606" s="11"/>
      <c r="BV606" s="11"/>
      <c r="BW606" s="11"/>
      <c r="BX606" s="11"/>
      <c r="BY606" s="11"/>
      <c r="BZ606" s="11"/>
      <c r="CA606" s="11"/>
      <c r="CB606" s="11"/>
      <c r="CC606" s="11"/>
      <c r="CD606" s="11"/>
      <c r="CE606" s="11"/>
      <c r="CF606" s="11"/>
      <c r="CG606" s="11"/>
      <c r="CH606" s="11"/>
      <c r="CI606" s="11"/>
      <c r="CJ606" s="11"/>
      <c r="CK606" s="11"/>
      <c r="CL606" s="11"/>
      <c r="CM606" s="11"/>
      <c r="CN606" s="11"/>
      <c r="CO606" s="11"/>
      <c r="CP606" s="11"/>
      <c r="CQ606" s="11"/>
      <c r="CR606" s="11"/>
      <c r="CS606" s="11"/>
      <c r="CT606" s="11"/>
      <c r="CU606" s="11"/>
      <c r="CV606" s="11"/>
      <c r="CW606" s="11"/>
      <c r="CX606" s="11"/>
      <c r="CY606" s="11"/>
      <c r="CZ606" s="11"/>
      <c r="DA606" s="11"/>
      <c r="DB606" s="11"/>
      <c r="DC606" s="11"/>
      <c r="DD606" s="11"/>
      <c r="DE606" s="11"/>
      <c r="DF606" s="11"/>
      <c r="DG606" s="11"/>
      <c r="DH606" s="11"/>
      <c r="DI606" s="11"/>
      <c r="DJ606" s="11"/>
      <c r="DK606" s="11"/>
      <c r="DL606" s="11"/>
      <c r="DM606" s="11"/>
      <c r="DN606" s="11"/>
      <c r="DO606" s="11"/>
      <c r="DP606" s="11"/>
      <c r="DQ606" s="11"/>
      <c r="DR606" s="11"/>
      <c r="DS606" s="11"/>
      <c r="DT606" s="11"/>
      <c r="DU606" s="11"/>
      <c r="DV606" s="11"/>
      <c r="DW606" s="11"/>
      <c r="DX606" s="11"/>
      <c r="DY606" s="11"/>
      <c r="DZ606" s="11"/>
      <c r="EA606" s="11"/>
      <c r="EB606" s="11"/>
      <c r="EC606" s="11"/>
      <c r="ED606" s="11"/>
      <c r="EE606" s="11"/>
      <c r="EF606" s="11"/>
      <c r="EG606" s="11"/>
      <c r="EH606" s="11"/>
      <c r="EI606" s="11"/>
      <c r="EJ606" s="11"/>
      <c r="EK606" s="11"/>
      <c r="EL606" s="11"/>
      <c r="EM606" s="11"/>
      <c r="EN606" s="11"/>
      <c r="EO606" s="11"/>
      <c r="EP606" s="11"/>
      <c r="EQ606" s="11"/>
      <c r="ER606" s="11"/>
      <c r="ES606" s="11"/>
      <c r="ET606" s="11"/>
      <c r="EU606" s="11"/>
      <c r="EV606" s="11"/>
      <c r="EW606" s="11"/>
      <c r="EX606" s="11"/>
      <c r="EY606" s="11"/>
      <c r="EZ606" s="11"/>
      <c r="FA606" s="11"/>
      <c r="FB606" s="11"/>
      <c r="FC606" s="11"/>
      <c r="FD606" s="11"/>
      <c r="FE606" s="11"/>
      <c r="FF606" s="11"/>
      <c r="FG606" s="11"/>
      <c r="FH606" s="11"/>
      <c r="FI606" s="11"/>
      <c r="FJ606" s="11"/>
      <c r="FK606" s="11"/>
      <c r="FL606" s="11"/>
      <c r="FM606" s="11"/>
      <c r="FN606" s="11"/>
      <c r="FO606" s="11"/>
      <c r="FP606" s="11"/>
      <c r="FQ606" s="11"/>
      <c r="FR606" s="11"/>
      <c r="FS606" s="11"/>
      <c r="FT606" s="11"/>
      <c r="FU606" s="11"/>
      <c r="FV606" s="11"/>
      <c r="FW606" s="11"/>
      <c r="FX606" s="11"/>
      <c r="FY606" s="11"/>
      <c r="FZ606" s="11"/>
      <c r="GA606" s="11"/>
      <c r="GB606" s="11"/>
      <c r="GC606" s="11"/>
      <c r="GD606" s="11"/>
      <c r="GE606" s="11"/>
      <c r="GF606" s="11"/>
      <c r="GG606" s="11"/>
      <c r="GH606" s="11"/>
      <c r="GI606" s="11"/>
      <c r="GJ606" s="11"/>
      <c r="GK606" s="11"/>
      <c r="GL606" s="11"/>
      <c r="GM606" s="11"/>
      <c r="GN606" s="11"/>
      <c r="GO606" s="11"/>
      <c r="GP606" s="11"/>
      <c r="GQ606" s="11"/>
      <c r="GR606" s="11"/>
      <c r="GS606" s="11"/>
      <c r="GT606" s="11"/>
      <c r="GU606" s="11"/>
      <c r="GV606" s="11"/>
      <c r="GW606" s="11"/>
      <c r="GX606" s="11"/>
      <c r="GY606" s="11"/>
      <c r="GZ606" s="11"/>
      <c r="HA606" s="11"/>
      <c r="HB606" s="11"/>
      <c r="HC606" s="11"/>
      <c r="HD606" s="11"/>
      <c r="HE606" s="11"/>
      <c r="HF606" s="11"/>
      <c r="HG606" s="11"/>
      <c r="HH606" s="11"/>
      <c r="HI606" s="11"/>
      <c r="HJ606" s="11"/>
      <c r="HK606" s="11"/>
      <c r="HL606" s="11"/>
      <c r="HM606" s="11"/>
      <c r="HN606" s="11"/>
      <c r="HO606" s="11"/>
      <c r="HP606" s="11"/>
      <c r="HQ606" s="11"/>
      <c r="HR606" s="11"/>
      <c r="HS606" s="11"/>
      <c r="HT606" s="11"/>
      <c r="HU606" s="11"/>
      <c r="HV606" s="11"/>
      <c r="HW606" s="11"/>
      <c r="HX606" s="11"/>
      <c r="HY606" s="11"/>
      <c r="HZ606" s="11"/>
      <c r="IA606" s="11"/>
      <c r="IB606" s="11"/>
      <c r="IC606" s="11"/>
      <c r="ID606" s="11"/>
      <c r="IE606" s="11"/>
      <c r="IF606" s="11"/>
      <c r="IG606" s="11"/>
      <c r="IH606" s="11"/>
      <c r="II606" s="11"/>
      <c r="IJ606" s="11"/>
      <c r="IK606" s="11"/>
      <c r="IL606" s="11"/>
      <c r="IM606" s="11"/>
      <c r="IN606" s="11"/>
      <c r="IO606" s="11"/>
      <c r="IP606" s="11"/>
      <c r="IQ606" s="11"/>
      <c r="IR606" s="11"/>
      <c r="IS606" s="11"/>
      <c r="IT606" s="11"/>
      <c r="IU606" s="11"/>
      <c r="IV606" s="11"/>
      <c r="IW606" s="11"/>
      <c r="IX606" s="11"/>
      <c r="IY606" s="11"/>
      <c r="IZ606" s="11"/>
      <c r="JA606" s="11"/>
      <c r="JB606" s="11"/>
      <c r="JC606" s="11"/>
      <c r="JD606" s="11"/>
      <c r="JE606" s="11"/>
      <c r="JF606" s="11"/>
      <c r="JG606" s="11"/>
      <c r="JH606" s="11"/>
      <c r="JI606" s="11"/>
      <c r="JJ606" s="11"/>
      <c r="JK606" s="11"/>
      <c r="JL606" s="11"/>
      <c r="JM606" s="11"/>
      <c r="JN606" s="11"/>
      <c r="JO606" s="11"/>
      <c r="JP606" s="11"/>
      <c r="JQ606" s="11"/>
      <c r="JR606" s="11"/>
      <c r="JS606" s="11"/>
      <c r="JT606" s="11"/>
      <c r="JU606" s="11"/>
      <c r="JV606" s="11"/>
      <c r="JW606" s="11"/>
      <c r="JX606" s="11"/>
      <c r="JY606" s="11"/>
      <c r="JZ606" s="11"/>
      <c r="KA606" s="11"/>
      <c r="KB606" s="11"/>
      <c r="KC606" s="11"/>
      <c r="KD606" s="11"/>
      <c r="KE606" s="11"/>
      <c r="KF606" s="11"/>
      <c r="KG606" s="11"/>
      <c r="KH606" s="11"/>
      <c r="KI606" s="11"/>
      <c r="KJ606" s="11"/>
      <c r="KK606" s="11"/>
      <c r="KL606" s="11"/>
      <c r="KM606" s="11"/>
      <c r="KN606" s="11"/>
      <c r="KO606" s="11"/>
      <c r="KP606" s="11"/>
      <c r="KQ606" s="11"/>
      <c r="KR606" s="11"/>
      <c r="KS606" s="11"/>
      <c r="KT606" s="11"/>
      <c r="KU606" s="11"/>
      <c r="KV606" s="11"/>
      <c r="KW606" s="11"/>
      <c r="KX606" s="11"/>
      <c r="KY606" s="11"/>
      <c r="KZ606" s="11"/>
      <c r="LA606" s="11"/>
      <c r="LB606" s="11"/>
      <c r="LC606" s="11"/>
      <c r="LD606" s="11"/>
      <c r="LE606" s="11"/>
      <c r="LF606" s="11"/>
      <c r="LG606" s="11"/>
      <c r="LH606" s="11"/>
      <c r="LI606" s="11"/>
      <c r="LJ606" s="11"/>
      <c r="LK606" s="11"/>
      <c r="LL606" s="11"/>
      <c r="LM606" s="11"/>
      <c r="LN606" s="11"/>
      <c r="LO606" s="11"/>
      <c r="LP606" s="11"/>
      <c r="LQ606" s="11"/>
      <c r="LR606" s="11"/>
      <c r="LS606" s="11"/>
      <c r="LT606" s="11"/>
      <c r="LU606" s="11"/>
      <c r="LV606" s="11"/>
      <c r="LW606" s="11"/>
      <c r="LX606" s="11"/>
      <c r="LY606" s="11"/>
      <c r="LZ606" s="11"/>
      <c r="MA606" s="11"/>
      <c r="MB606" s="11"/>
      <c r="MC606" s="11"/>
      <c r="MD606" s="11"/>
      <c r="ME606" s="11"/>
      <c r="MF606" s="11"/>
      <c r="MG606" s="11"/>
      <c r="MH606" s="11"/>
      <c r="MI606" s="11"/>
      <c r="MJ606" s="11"/>
      <c r="MK606" s="11"/>
      <c r="ML606" s="11"/>
      <c r="MM606" s="11"/>
      <c r="MN606" s="11"/>
      <c r="MO606" s="11"/>
      <c r="MP606" s="11"/>
      <c r="MQ606" s="11"/>
      <c r="MR606" s="11"/>
      <c r="MS606" s="11"/>
      <c r="MT606" s="11"/>
      <c r="MU606" s="11"/>
      <c r="MV606" s="11"/>
      <c r="MW606" s="11"/>
      <c r="MX606" s="11"/>
      <c r="MY606" s="11"/>
      <c r="MZ606" s="11"/>
      <c r="NA606" s="11"/>
      <c r="NB606" s="11"/>
      <c r="NC606" s="11"/>
      <c r="ND606" s="11"/>
      <c r="NE606" s="11"/>
      <c r="NF606" s="11"/>
      <c r="NG606" s="11"/>
      <c r="NH606" s="11"/>
      <c r="NI606" s="11"/>
      <c r="NJ606" s="11"/>
      <c r="NK606" s="11"/>
      <c r="NL606" s="11"/>
      <c r="NM606" s="11"/>
      <c r="NN606" s="11"/>
      <c r="NO606" s="11"/>
      <c r="NP606" s="11"/>
      <c r="NQ606" s="11"/>
      <c r="NR606" s="11"/>
      <c r="NS606" s="11"/>
      <c r="NT606" s="11"/>
      <c r="NU606" s="11"/>
      <c r="NV606" s="11"/>
      <c r="NW606" s="11"/>
      <c r="NX606" s="11"/>
      <c r="NY606" s="11"/>
      <c r="NZ606" s="11"/>
      <c r="OA606" s="11"/>
      <c r="OB606" s="11"/>
      <c r="OC606" s="11"/>
      <c r="OD606" s="11"/>
      <c r="OE606" s="11"/>
      <c r="OF606" s="11"/>
      <c r="OG606" s="11"/>
      <c r="OH606" s="11"/>
      <c r="OI606" s="11"/>
      <c r="OJ606" s="11"/>
      <c r="OK606" s="11"/>
      <c r="OL606" s="11"/>
      <c r="OM606" s="11"/>
      <c r="ON606" s="11"/>
      <c r="OO606" s="11"/>
      <c r="OP606" s="11"/>
      <c r="OQ606" s="11"/>
      <c r="OR606" s="11"/>
      <c r="OS606" s="11"/>
      <c r="OT606" s="11"/>
      <c r="OU606" s="11"/>
      <c r="OV606" s="11"/>
      <c r="OW606" s="11"/>
      <c r="OX606" s="11"/>
      <c r="OY606" s="11"/>
      <c r="OZ606" s="11"/>
      <c r="PA606" s="11"/>
      <c r="PB606" s="11"/>
      <c r="PC606" s="11"/>
      <c r="PD606" s="11"/>
      <c r="PE606" s="11"/>
      <c r="PF606" s="11"/>
      <c r="PG606" s="11"/>
      <c r="PH606" s="11"/>
      <c r="PI606" s="11"/>
      <c r="PJ606" s="11"/>
      <c r="PK606" s="11"/>
      <c r="PL606" s="11"/>
      <c r="PM606" s="11"/>
      <c r="PN606" s="11"/>
      <c r="PO606" s="11"/>
      <c r="PP606" s="11"/>
      <c r="PQ606" s="11"/>
      <c r="PR606" s="11"/>
      <c r="PS606" s="11"/>
      <c r="PT606" s="11"/>
      <c r="PU606" s="11"/>
      <c r="PV606" s="11"/>
      <c r="PW606" s="11"/>
      <c r="PX606" s="11"/>
      <c r="PY606" s="11"/>
      <c r="PZ606" s="11"/>
      <c r="QA606" s="11"/>
      <c r="QB606" s="11"/>
      <c r="QC606" s="11"/>
      <c r="QD606" s="11"/>
      <c r="QE606" s="11"/>
      <c r="QF606" s="11"/>
      <c r="QG606" s="11"/>
      <c r="QH606" s="11"/>
      <c r="QI606" s="11"/>
      <c r="QJ606" s="11"/>
      <c r="QK606" s="11"/>
      <c r="QL606" s="11"/>
      <c r="QM606" s="11"/>
      <c r="QN606" s="11"/>
      <c r="QO606" s="11"/>
      <c r="QP606" s="11"/>
      <c r="QQ606" s="11"/>
      <c r="QR606" s="11"/>
      <c r="QS606" s="11"/>
      <c r="QT606" s="11"/>
      <c r="QU606" s="11"/>
      <c r="QV606" s="11"/>
      <c r="QW606" s="11"/>
      <c r="QX606" s="11"/>
      <c r="QY606" s="11"/>
      <c r="QZ606" s="11"/>
      <c r="RA606" s="11"/>
      <c r="RB606" s="11"/>
      <c r="RC606" s="11"/>
      <c r="RD606" s="11"/>
      <c r="RE606" s="11"/>
      <c r="RF606" s="11"/>
      <c r="RG606" s="11"/>
      <c r="RH606" s="11"/>
      <c r="RI606" s="11"/>
      <c r="RJ606" s="11"/>
      <c r="RK606" s="11"/>
      <c r="RL606" s="11"/>
      <c r="RM606" s="11"/>
      <c r="RN606" s="11"/>
      <c r="RO606" s="11"/>
      <c r="RP606" s="11"/>
      <c r="RQ606" s="11"/>
      <c r="RR606" s="11"/>
      <c r="RS606" s="11"/>
      <c r="RT606" s="11"/>
      <c r="RU606" s="11"/>
      <c r="RV606" s="11"/>
      <c r="RW606" s="11"/>
      <c r="RX606" s="11"/>
      <c r="RY606" s="11"/>
      <c r="RZ606" s="11"/>
      <c r="SA606" s="11"/>
      <c r="SB606" s="11"/>
      <c r="SC606" s="11"/>
      <c r="SD606" s="11"/>
      <c r="SE606" s="11"/>
      <c r="SF606" s="11"/>
      <c r="SG606" s="11"/>
      <c r="SH606" s="11"/>
      <c r="SI606" s="11"/>
      <c r="SJ606" s="11"/>
      <c r="SK606" s="11"/>
      <c r="SL606" s="11"/>
      <c r="SM606" s="11"/>
      <c r="SN606" s="11"/>
      <c r="SO606" s="11"/>
      <c r="SP606" s="11"/>
      <c r="SQ606" s="11"/>
      <c r="SR606" s="11"/>
      <c r="SS606" s="11"/>
      <c r="ST606" s="11"/>
      <c r="SU606" s="11"/>
      <c r="SV606" s="11"/>
      <c r="SW606" s="11"/>
      <c r="SX606" s="11"/>
      <c r="SY606" s="11"/>
      <c r="SZ606" s="11"/>
      <c r="TA606" s="11"/>
      <c r="TB606" s="11"/>
      <c r="TC606" s="11"/>
      <c r="TD606" s="11"/>
      <c r="TE606" s="11"/>
      <c r="TF606" s="11"/>
      <c r="TG606" s="11"/>
      <c r="TH606" s="11"/>
      <c r="TI606" s="11"/>
      <c r="TJ606" s="11"/>
      <c r="TK606" s="11"/>
      <c r="TL606" s="11"/>
      <c r="TM606" s="11"/>
      <c r="TN606" s="11"/>
      <c r="TO606" s="11"/>
      <c r="TP606" s="11"/>
      <c r="TQ606" s="11"/>
      <c r="TR606" s="11"/>
      <c r="TS606" s="11"/>
      <c r="TT606" s="11"/>
      <c r="TU606" s="11"/>
      <c r="TV606" s="11"/>
      <c r="TW606" s="11"/>
      <c r="TX606" s="11"/>
      <c r="TY606" s="11"/>
      <c r="TZ606" s="11"/>
      <c r="UA606" s="11"/>
      <c r="UB606" s="11"/>
      <c r="UC606" s="11"/>
      <c r="UD606" s="11"/>
      <c r="UE606" s="11"/>
      <c r="UF606" s="11"/>
      <c r="UG606" s="11"/>
      <c r="UH606" s="11"/>
      <c r="UI606" s="11"/>
      <c r="UJ606" s="11"/>
      <c r="UK606" s="11"/>
      <c r="UL606" s="11"/>
      <c r="UM606" s="11"/>
      <c r="UN606" s="11"/>
      <c r="UO606" s="11"/>
      <c r="UP606" s="11"/>
      <c r="UQ606" s="11"/>
      <c r="UR606" s="11"/>
      <c r="US606" s="11"/>
      <c r="UT606" s="11"/>
      <c r="UU606" s="11"/>
      <c r="UV606" s="11"/>
      <c r="UW606" s="11"/>
      <c r="UX606" s="11"/>
      <c r="UY606" s="11"/>
      <c r="UZ606" s="11"/>
      <c r="VA606" s="11"/>
      <c r="VB606" s="11"/>
      <c r="VC606" s="11"/>
      <c r="VD606" s="11"/>
      <c r="VE606" s="11"/>
      <c r="VF606" s="11"/>
      <c r="VG606" s="11"/>
      <c r="VH606" s="11"/>
      <c r="VI606" s="11"/>
      <c r="VJ606" s="11"/>
      <c r="VK606" s="11"/>
      <c r="VL606" s="11"/>
      <c r="VM606" s="11"/>
      <c r="VN606" s="11"/>
      <c r="VO606" s="11"/>
      <c r="VP606" s="11"/>
      <c r="VQ606" s="11"/>
      <c r="VR606" s="11"/>
      <c r="VS606" s="11"/>
      <c r="VT606" s="11"/>
      <c r="VU606" s="11"/>
      <c r="VV606" s="11"/>
      <c r="VW606" s="11"/>
      <c r="VX606" s="11"/>
      <c r="VY606" s="11"/>
      <c r="VZ606" s="11"/>
      <c r="WA606" s="11"/>
      <c r="WB606" s="11"/>
      <c r="WC606" s="11"/>
      <c r="WD606" s="11"/>
      <c r="WE606" s="11"/>
      <c r="WF606" s="11"/>
      <c r="WG606" s="11"/>
      <c r="WH606" s="11"/>
      <c r="WI606" s="11"/>
      <c r="WJ606" s="11"/>
      <c r="WK606" s="11"/>
      <c r="WL606" s="11"/>
      <c r="WM606" s="11"/>
      <c r="WN606" s="11"/>
      <c r="WO606" s="11"/>
      <c r="WP606" s="11"/>
      <c r="WQ606" s="11"/>
      <c r="WR606" s="11"/>
      <c r="WS606" s="11"/>
      <c r="WT606" s="11"/>
      <c r="WU606" s="11"/>
      <c r="WV606" s="11"/>
      <c r="WW606" s="11"/>
      <c r="WX606" s="11"/>
      <c r="WY606" s="11"/>
      <c r="WZ606" s="11"/>
      <c r="XA606" s="11"/>
      <c r="XB606" s="11"/>
      <c r="XC606" s="11"/>
      <c r="XD606" s="11"/>
      <c r="XE606" s="11"/>
      <c r="XF606" s="11"/>
      <c r="XG606" s="11"/>
      <c r="XH606" s="11"/>
      <c r="XI606" s="11"/>
      <c r="XJ606" s="11"/>
      <c r="XK606" s="11"/>
      <c r="XL606" s="11"/>
      <c r="XM606" s="11"/>
      <c r="XN606" s="11"/>
      <c r="XO606" s="11"/>
      <c r="XP606" s="11"/>
      <c r="XQ606" s="11"/>
      <c r="XR606" s="11"/>
      <c r="XS606" s="11"/>
      <c r="XT606" s="11"/>
      <c r="XU606" s="11"/>
      <c r="XV606" s="11"/>
      <c r="XW606" s="11"/>
      <c r="XX606" s="11"/>
      <c r="XY606" s="11"/>
      <c r="XZ606" s="11"/>
      <c r="YA606" s="11"/>
      <c r="YB606" s="11"/>
      <c r="YC606" s="11"/>
      <c r="YD606" s="11"/>
      <c r="YE606" s="11"/>
      <c r="YF606" s="11"/>
      <c r="YG606" s="11"/>
      <c r="YH606" s="11"/>
      <c r="YI606" s="11"/>
      <c r="YJ606" s="11"/>
      <c r="YK606" s="11"/>
      <c r="YL606" s="11"/>
      <c r="YM606" s="11"/>
      <c r="YN606" s="11"/>
      <c r="YO606" s="11"/>
      <c r="YP606" s="11"/>
      <c r="YQ606" s="11"/>
      <c r="YR606" s="11"/>
      <c r="YS606" s="11"/>
      <c r="YT606" s="11"/>
      <c r="YU606" s="11"/>
      <c r="YV606" s="11"/>
      <c r="YW606" s="11"/>
      <c r="YX606" s="11"/>
      <c r="YY606" s="11"/>
      <c r="YZ606" s="11"/>
      <c r="ZA606" s="11"/>
      <c r="ZB606" s="11"/>
      <c r="ZC606" s="11"/>
      <c r="ZD606" s="11"/>
      <c r="ZE606" s="11"/>
      <c r="ZF606" s="11"/>
      <c r="ZG606" s="11"/>
      <c r="ZH606" s="11"/>
      <c r="ZI606" s="11"/>
      <c r="ZJ606" s="11"/>
      <c r="ZK606" s="11"/>
      <c r="ZL606" s="11"/>
      <c r="ZM606" s="11"/>
      <c r="ZN606" s="11"/>
      <c r="ZO606" s="11"/>
      <c r="ZP606" s="11"/>
      <c r="ZQ606" s="11"/>
      <c r="ZR606" s="11"/>
      <c r="ZS606" s="11"/>
      <c r="ZT606" s="11"/>
      <c r="ZU606" s="11"/>
      <c r="ZV606" s="11"/>
      <c r="ZW606" s="11"/>
      <c r="ZX606" s="11"/>
      <c r="ZY606" s="11"/>
      <c r="ZZ606" s="11"/>
      <c r="AAA606" s="11"/>
      <c r="AAB606" s="11"/>
      <c r="AAC606" s="11"/>
      <c r="AAD606" s="11"/>
      <c r="AAE606" s="11"/>
      <c r="AAF606" s="11"/>
      <c r="AAG606" s="11"/>
      <c r="AAH606" s="11"/>
      <c r="AAI606" s="11"/>
      <c r="AAJ606" s="11"/>
      <c r="AAK606" s="11"/>
      <c r="AAL606" s="11"/>
      <c r="AAM606" s="11"/>
      <c r="AAN606" s="11"/>
      <c r="AAO606" s="11"/>
      <c r="AAP606" s="11"/>
      <c r="AAQ606" s="11"/>
      <c r="AAR606" s="11"/>
      <c r="AAS606" s="11"/>
      <c r="AAT606" s="11"/>
      <c r="AAU606" s="11"/>
      <c r="AAV606" s="11"/>
      <c r="AAW606" s="11"/>
      <c r="AAX606" s="11"/>
      <c r="AAY606" s="11"/>
      <c r="AAZ606" s="11"/>
      <c r="ABA606" s="11"/>
      <c r="ABB606" s="11"/>
      <c r="ABC606" s="11"/>
      <c r="ABD606" s="11"/>
      <c r="ABE606" s="11"/>
      <c r="ABF606" s="11"/>
      <c r="ABG606" s="11"/>
      <c r="ABH606" s="11"/>
      <c r="ABI606" s="11"/>
      <c r="ABJ606" s="11"/>
      <c r="ABK606" s="11"/>
      <c r="ABL606" s="11"/>
      <c r="ABM606" s="11"/>
      <c r="ABN606" s="11"/>
      <c r="ABO606" s="11"/>
      <c r="ABP606" s="11"/>
      <c r="ABQ606" s="11"/>
      <c r="ABR606" s="11"/>
      <c r="ABS606" s="11"/>
      <c r="ABT606" s="11"/>
      <c r="ABU606" s="11"/>
      <c r="ABV606" s="11"/>
      <c r="ABW606" s="11"/>
      <c r="ABX606" s="11"/>
      <c r="ABY606" s="11"/>
      <c r="ABZ606" s="11"/>
      <c r="ACA606" s="11"/>
      <c r="ACB606" s="11"/>
      <c r="ACC606" s="11"/>
      <c r="ACD606" s="11"/>
      <c r="ACE606" s="11"/>
      <c r="ACF606" s="11"/>
      <c r="ACG606" s="11"/>
      <c r="ACH606" s="11"/>
      <c r="ACI606" s="11"/>
      <c r="ACJ606" s="11"/>
      <c r="ACK606" s="11"/>
      <c r="ACL606" s="11"/>
      <c r="ACM606" s="11"/>
      <c r="ACN606" s="11"/>
      <c r="ACO606" s="11"/>
      <c r="ACP606" s="11"/>
      <c r="ACQ606" s="11"/>
      <c r="ACR606" s="11"/>
      <c r="ACS606" s="11"/>
      <c r="ACT606" s="11"/>
      <c r="ACU606" s="11"/>
      <c r="ACV606" s="11"/>
      <c r="ACW606" s="11"/>
      <c r="ACX606" s="11"/>
      <c r="ACY606" s="11"/>
      <c r="ACZ606" s="11"/>
      <c r="ADA606" s="11"/>
      <c r="ADB606" s="11"/>
      <c r="ADC606" s="11"/>
      <c r="ADD606" s="11"/>
      <c r="ADE606" s="11"/>
      <c r="ADF606" s="11"/>
      <c r="ADG606" s="11"/>
      <c r="ADH606" s="11"/>
      <c r="ADI606" s="11"/>
      <c r="ADJ606" s="11"/>
      <c r="ADK606" s="11"/>
      <c r="ADL606" s="11"/>
      <c r="ADM606" s="11"/>
      <c r="ADN606" s="11"/>
      <c r="ADO606" s="11"/>
      <c r="ADP606" s="11"/>
      <c r="ADQ606" s="11"/>
      <c r="ADR606" s="11"/>
      <c r="ADS606" s="11"/>
      <c r="ADT606" s="11"/>
      <c r="ADU606" s="11"/>
      <c r="ADV606" s="11"/>
      <c r="ADW606" s="11"/>
      <c r="ADX606" s="11"/>
      <c r="ADY606" s="11"/>
      <c r="ADZ606" s="11"/>
      <c r="AEA606" s="11"/>
      <c r="AEB606" s="11"/>
      <c r="AEC606" s="11"/>
      <c r="AED606" s="11"/>
      <c r="AEE606" s="11"/>
      <c r="AEF606" s="11"/>
      <c r="AEG606" s="11"/>
      <c r="AEH606" s="11"/>
      <c r="AEI606" s="11"/>
      <c r="AEJ606" s="11"/>
      <c r="AEK606" s="11"/>
      <c r="AEL606" s="11"/>
      <c r="AEM606" s="11"/>
      <c r="AEN606" s="11"/>
      <c r="AEO606" s="11"/>
      <c r="AEP606" s="11"/>
      <c r="AEQ606" s="11"/>
      <c r="AER606" s="11"/>
      <c r="AES606" s="11"/>
      <c r="AET606" s="11"/>
      <c r="AEU606" s="11"/>
      <c r="AEV606" s="11"/>
      <c r="AEW606" s="11"/>
      <c r="AEX606" s="11"/>
      <c r="AEY606" s="11"/>
      <c r="AEZ606" s="11"/>
      <c r="AFA606" s="11"/>
      <c r="AFB606" s="11"/>
      <c r="AFC606" s="11"/>
      <c r="AFD606" s="11"/>
      <c r="AFE606" s="11"/>
      <c r="AFF606" s="11"/>
      <c r="AFG606" s="11"/>
      <c r="AFH606" s="11"/>
      <c r="AFI606" s="11"/>
      <c r="AFJ606" s="11"/>
      <c r="AFK606" s="11"/>
      <c r="AFL606" s="11"/>
      <c r="AFM606" s="11"/>
      <c r="AFN606" s="11"/>
      <c r="AFO606" s="11"/>
      <c r="AFP606" s="11"/>
      <c r="AFQ606" s="11"/>
      <c r="AFR606" s="11"/>
      <c r="AFS606" s="11"/>
      <c r="AFT606" s="11"/>
      <c r="AFU606" s="11"/>
      <c r="AFV606" s="11"/>
      <c r="AFW606" s="11"/>
      <c r="AFX606" s="11"/>
      <c r="AFY606" s="11"/>
      <c r="AFZ606" s="11"/>
      <c r="AGA606" s="11"/>
      <c r="AGB606" s="11"/>
      <c r="AGC606" s="11"/>
      <c r="AGD606" s="11"/>
      <c r="AGE606" s="11"/>
      <c r="AGF606" s="11"/>
      <c r="AGG606" s="11"/>
      <c r="AGH606" s="11"/>
      <c r="AGI606" s="11"/>
      <c r="AGJ606" s="11"/>
      <c r="AGK606" s="11"/>
      <c r="AGL606" s="11"/>
      <c r="AGM606" s="11"/>
      <c r="AGN606" s="11"/>
      <c r="AGO606" s="11"/>
      <c r="AGP606" s="11"/>
      <c r="AGQ606" s="11"/>
      <c r="AGR606" s="11"/>
      <c r="AGS606" s="11"/>
      <c r="AGT606" s="11"/>
      <c r="AGU606" s="11"/>
      <c r="AGV606" s="11"/>
      <c r="AGW606" s="11"/>
      <c r="AGX606" s="11"/>
      <c r="AGY606" s="11"/>
      <c r="AGZ606" s="11"/>
      <c r="AHA606" s="11"/>
      <c r="AHB606" s="11"/>
      <c r="AHC606" s="11"/>
      <c r="AHD606" s="11"/>
      <c r="AHE606" s="11"/>
      <c r="AHF606" s="11"/>
      <c r="AHG606" s="11"/>
      <c r="AHH606" s="11"/>
      <c r="AHI606" s="11"/>
      <c r="AHJ606" s="11"/>
      <c r="AHK606" s="11"/>
      <c r="AHL606" s="11"/>
      <c r="AHM606" s="11"/>
      <c r="AHN606" s="11"/>
      <c r="AHO606" s="11"/>
      <c r="AHP606" s="11"/>
      <c r="AHQ606" s="11"/>
      <c r="AHR606" s="11"/>
      <c r="AHS606" s="11"/>
      <c r="AHT606" s="11"/>
      <c r="AHU606" s="11"/>
      <c r="AHV606" s="11"/>
      <c r="AHW606" s="11"/>
      <c r="AHX606" s="11"/>
      <c r="AHY606" s="11"/>
      <c r="AHZ606" s="11"/>
      <c r="AIA606" s="11"/>
      <c r="AIB606" s="11"/>
      <c r="AIC606" s="11"/>
      <c r="AID606" s="11"/>
      <c r="AIE606" s="11"/>
      <c r="AIF606" s="11"/>
      <c r="AIG606" s="11"/>
      <c r="AIH606" s="11"/>
      <c r="AII606" s="11"/>
      <c r="AIJ606" s="11"/>
      <c r="AIK606" s="11"/>
      <c r="AIL606" s="11"/>
      <c r="AIM606" s="11"/>
      <c r="AIN606" s="11"/>
      <c r="AIO606" s="11"/>
      <c r="AIP606" s="11"/>
      <c r="AIQ606" s="11"/>
      <c r="AIR606" s="11"/>
      <c r="AIS606" s="11"/>
      <c r="AIT606" s="11"/>
      <c r="AIU606" s="11"/>
      <c r="AIV606" s="11"/>
      <c r="AIW606" s="11"/>
      <c r="AIX606" s="11"/>
      <c r="AIY606" s="11"/>
      <c r="AIZ606" s="11"/>
      <c r="AJA606" s="11"/>
      <c r="AJB606" s="11"/>
      <c r="AJC606" s="11"/>
      <c r="AJD606" s="11"/>
      <c r="AJE606" s="11"/>
      <c r="AJF606" s="11"/>
      <c r="AJG606" s="11"/>
      <c r="AJH606" s="11"/>
      <c r="AJI606" s="11"/>
      <c r="AJJ606" s="11"/>
      <c r="AJK606" s="11"/>
      <c r="AJL606" s="11"/>
      <c r="AJM606" s="11"/>
      <c r="AJN606" s="11"/>
      <c r="AJO606" s="11"/>
      <c r="AJP606" s="11"/>
      <c r="AJQ606" s="11"/>
      <c r="AJR606" s="11"/>
      <c r="AJS606" s="11"/>
      <c r="AJT606" s="11"/>
      <c r="AJU606" s="11"/>
      <c r="AJV606" s="11"/>
      <c r="AJW606" s="11"/>
      <c r="AJX606" s="11"/>
      <c r="AJY606" s="11"/>
      <c r="AJZ606" s="11"/>
      <c r="AKA606" s="11"/>
      <c r="AKB606" s="11"/>
      <c r="AKC606" s="11"/>
      <c r="AKD606" s="11"/>
      <c r="AKE606" s="11"/>
      <c r="AKF606" s="11"/>
      <c r="AKG606" s="11"/>
      <c r="AKH606" s="11"/>
      <c r="AKI606" s="11"/>
      <c r="AKJ606" s="11"/>
      <c r="AKK606" s="11"/>
      <c r="AKL606" s="11"/>
      <c r="AKM606" s="11"/>
      <c r="AKN606" s="11"/>
      <c r="AKO606" s="11"/>
      <c r="AKP606" s="11"/>
      <c r="AKQ606" s="11"/>
      <c r="AKR606" s="11"/>
      <c r="AKS606" s="11"/>
      <c r="AKT606" s="11"/>
      <c r="AKU606" s="11"/>
      <c r="AKV606" s="11"/>
      <c r="AKW606" s="11"/>
      <c r="AKX606" s="11"/>
      <c r="AKY606" s="11"/>
      <c r="AKZ606" s="11"/>
      <c r="ALA606" s="11"/>
      <c r="ALB606" s="11"/>
      <c r="ALC606" s="11"/>
      <c r="ALD606" s="11"/>
      <c r="ALE606" s="11"/>
      <c r="ALF606" s="11"/>
      <c r="ALG606" s="11"/>
      <c r="ALH606" s="11"/>
      <c r="ALI606" s="11"/>
      <c r="ALJ606" s="11"/>
      <c r="ALK606" s="11"/>
      <c r="ALL606" s="11"/>
      <c r="ALM606" s="11"/>
      <c r="ALN606" s="11"/>
      <c r="ALO606" s="11"/>
      <c r="ALP606" s="11"/>
      <c r="ALQ606" s="11"/>
      <c r="ALR606" s="11"/>
      <c r="ALS606" s="11"/>
      <c r="ALT606" s="11"/>
      <c r="ALU606" s="11"/>
      <c r="ALV606" s="11"/>
      <c r="ALW606" s="11"/>
      <c r="ALX606" s="11"/>
      <c r="ALY606" s="11"/>
      <c r="ALZ606" s="11"/>
      <c r="AMA606" s="11"/>
      <c r="AMB606" s="11"/>
      <c r="AMC606" s="11"/>
      <c r="AMD606" s="11"/>
      <c r="AME606" s="11"/>
      <c r="AMF606" s="11"/>
      <c r="AMG606" s="11"/>
      <c r="AMH606" s="11"/>
      <c r="AMI606" s="11"/>
      <c r="AMJ606" s="11"/>
    </row>
    <row r="607" spans="1:1024">
      <c r="A607" s="7" t="s">
        <v>611</v>
      </c>
      <c r="B607" s="7">
        <v>955121</v>
      </c>
      <c r="D607" s="1">
        <v>0</v>
      </c>
      <c r="E607" s="8">
        <f>VLOOKUP(B607,Gesamtstunden_26!B:I,8,0)</f>
        <v>5</v>
      </c>
      <c r="F607" s="2">
        <f t="shared" si="9"/>
        <v>-5</v>
      </c>
    </row>
    <row r="608" spans="1:1024">
      <c r="A608" s="8" t="s">
        <v>612</v>
      </c>
      <c r="B608" s="8">
        <v>595188</v>
      </c>
      <c r="D608" s="1">
        <v>14.67</v>
      </c>
      <c r="E608" s="8">
        <f>VLOOKUP(B608,Gesamtstunden_26!B:I,8,0)</f>
        <v>0</v>
      </c>
      <c r="F608" s="2">
        <f t="shared" si="9"/>
        <v>14.67</v>
      </c>
    </row>
    <row r="609" spans="1:1024">
      <c r="A609" s="7" t="s">
        <v>613</v>
      </c>
      <c r="B609" s="7">
        <v>403667</v>
      </c>
      <c r="D609" s="1">
        <v>0</v>
      </c>
      <c r="E609" s="8">
        <f>VLOOKUP(B609,Gesamtstunden_26!B:I,8,0)</f>
        <v>2.3333333333333335</v>
      </c>
      <c r="F609" s="2">
        <f t="shared" si="9"/>
        <v>-2.3333333333333335</v>
      </c>
    </row>
    <row r="610" spans="1:1024" ht="27.6">
      <c r="A610" s="10" t="s">
        <v>614</v>
      </c>
      <c r="B610" s="10">
        <v>792959</v>
      </c>
      <c r="D610" s="1">
        <v>0</v>
      </c>
      <c r="E610" s="8">
        <f>VLOOKUP(B610,Gesamtstunden_26!B:I,8,0)</f>
        <v>3</v>
      </c>
      <c r="F610" s="2">
        <f t="shared" si="9"/>
        <v>-3</v>
      </c>
    </row>
    <row r="611" spans="1:1024">
      <c r="A611" s="8" t="s">
        <v>615</v>
      </c>
      <c r="B611" s="8">
        <v>602521</v>
      </c>
      <c r="D611" s="1">
        <v>14.67</v>
      </c>
      <c r="E611" s="8">
        <f>VLOOKUP(B611,Gesamtstunden_26!B:I,8,0)</f>
        <v>0</v>
      </c>
      <c r="F611" s="2">
        <f t="shared" si="9"/>
        <v>14.67</v>
      </c>
    </row>
    <row r="612" spans="1:1024" ht="27.6">
      <c r="A612" s="10" t="s">
        <v>616</v>
      </c>
      <c r="B612" s="10">
        <v>667491</v>
      </c>
      <c r="D612" s="1">
        <v>0</v>
      </c>
      <c r="E612" s="8">
        <f>VLOOKUP(B612,Gesamtstunden_26!B:I,8,0)</f>
        <v>6</v>
      </c>
      <c r="F612" s="2">
        <f t="shared" si="9"/>
        <v>-6</v>
      </c>
    </row>
    <row r="613" spans="1:1024">
      <c r="A613" s="7" t="s">
        <v>617</v>
      </c>
      <c r="B613" s="7">
        <v>967569</v>
      </c>
      <c r="D613" s="1">
        <v>0</v>
      </c>
      <c r="E613" s="8">
        <f>VLOOKUP(B613,Gesamtstunden_26!B:I,8,0)</f>
        <v>4</v>
      </c>
      <c r="F613" s="2">
        <f t="shared" si="9"/>
        <v>-4</v>
      </c>
    </row>
    <row r="614" spans="1:1024" ht="27.6">
      <c r="A614" s="7" t="s">
        <v>618</v>
      </c>
      <c r="B614" s="7">
        <v>773189</v>
      </c>
      <c r="D614" s="1">
        <v>0</v>
      </c>
      <c r="E614" s="8">
        <f>VLOOKUP(B614,Gesamtstunden_26!B:I,8,0)</f>
        <v>6.666666666666667</v>
      </c>
      <c r="F614" s="2">
        <f t="shared" si="9"/>
        <v>-6.666666666666667</v>
      </c>
    </row>
    <row r="615" spans="1:1024">
      <c r="A615" s="10" t="s">
        <v>619</v>
      </c>
      <c r="B615" s="10">
        <v>648771</v>
      </c>
      <c r="D615" s="1">
        <v>0</v>
      </c>
      <c r="E615" s="8">
        <f>VLOOKUP(B615,Gesamtstunden_26!B:I,8,0)</f>
        <v>2.3333333333333335</v>
      </c>
      <c r="F615" s="2">
        <f t="shared" si="9"/>
        <v>-2.3333333333333335</v>
      </c>
    </row>
    <row r="616" spans="1:1024">
      <c r="A616" s="8" t="s">
        <v>620</v>
      </c>
      <c r="B616" s="8">
        <v>520710</v>
      </c>
      <c r="D616" s="1">
        <v>5.0066666666666704</v>
      </c>
      <c r="E616" s="8">
        <f>VLOOKUP(B616,Gesamtstunden_26!B:I,8,0)</f>
        <v>0</v>
      </c>
      <c r="F616" s="2">
        <f t="shared" si="9"/>
        <v>5.0066666666666704</v>
      </c>
    </row>
    <row r="617" spans="1:1024">
      <c r="A617" s="8" t="s">
        <v>621</v>
      </c>
      <c r="B617" s="8">
        <v>888312</v>
      </c>
      <c r="D617" s="1">
        <v>1.5</v>
      </c>
      <c r="E617" s="8">
        <f>VLOOKUP(B617,Gesamtstunden_26!B:I,8,0)</f>
        <v>0</v>
      </c>
      <c r="F617" s="2">
        <f t="shared" si="9"/>
        <v>1.5</v>
      </c>
    </row>
    <row r="618" spans="1:1024" s="11" customFormat="1">
      <c r="A618" s="8" t="s">
        <v>622</v>
      </c>
      <c r="B618" s="8">
        <v>82731</v>
      </c>
      <c r="C618"/>
      <c r="D618" s="1">
        <v>10.8333333333333</v>
      </c>
      <c r="E618" s="8">
        <f>VLOOKUP(B618,Gesamtstunden_26!B:I,8,0)</f>
        <v>0</v>
      </c>
      <c r="F618" s="2">
        <f t="shared" si="9"/>
        <v>10.8333333333333</v>
      </c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  <c r="BF618"/>
      <c r="BG618"/>
      <c r="BH618"/>
      <c r="BI618"/>
      <c r="BJ618"/>
      <c r="BK618"/>
      <c r="BL618"/>
      <c r="BM618"/>
      <c r="BN618"/>
      <c r="BO618"/>
      <c r="BP618"/>
      <c r="BQ618"/>
      <c r="BR618"/>
      <c r="BS618"/>
      <c r="BT618"/>
      <c r="BU618"/>
      <c r="BV618"/>
      <c r="BW618"/>
      <c r="BX618"/>
      <c r="BY618"/>
      <c r="BZ618"/>
      <c r="CA618"/>
      <c r="CB618"/>
      <c r="CC618"/>
      <c r="CD618"/>
      <c r="CE618"/>
      <c r="CF618"/>
      <c r="CG618"/>
      <c r="CH618"/>
      <c r="CI618"/>
      <c r="CJ618"/>
      <c r="CK618"/>
      <c r="CL618"/>
      <c r="CM618"/>
      <c r="CN618"/>
      <c r="CO618"/>
      <c r="CP618"/>
      <c r="CQ618"/>
      <c r="CR618"/>
      <c r="CS618"/>
      <c r="CT618"/>
      <c r="CU618"/>
      <c r="CV618"/>
      <c r="CW618"/>
      <c r="CX618"/>
      <c r="CY618"/>
      <c r="CZ618"/>
      <c r="DA618"/>
      <c r="DB618"/>
      <c r="DC618"/>
      <c r="DD618"/>
      <c r="DE618"/>
      <c r="DF618"/>
      <c r="DG618"/>
      <c r="DH618"/>
      <c r="DI618"/>
      <c r="DJ618"/>
      <c r="DK618"/>
      <c r="DL618"/>
      <c r="DM618"/>
      <c r="DN618"/>
      <c r="DO618"/>
      <c r="DP618"/>
      <c r="DQ618"/>
      <c r="DR618"/>
      <c r="DS618"/>
      <c r="DT618"/>
      <c r="DU618"/>
      <c r="DV618"/>
      <c r="DW618"/>
      <c r="DX618"/>
      <c r="DY618"/>
      <c r="DZ618"/>
      <c r="EA618"/>
      <c r="EB618"/>
      <c r="EC618"/>
      <c r="ED618"/>
      <c r="EE618"/>
      <c r="EF618"/>
      <c r="EG618"/>
      <c r="EH618"/>
      <c r="EI618"/>
      <c r="EJ618"/>
      <c r="EK618"/>
      <c r="EL618"/>
      <c r="EM618"/>
      <c r="EN618"/>
      <c r="EO618"/>
      <c r="EP618"/>
      <c r="EQ618"/>
      <c r="ER618"/>
      <c r="ES618"/>
      <c r="ET618"/>
      <c r="EU618"/>
      <c r="EV618"/>
      <c r="EW618"/>
      <c r="EX618"/>
      <c r="EY618"/>
      <c r="EZ618"/>
      <c r="FA618"/>
      <c r="FB618"/>
      <c r="FC618"/>
      <c r="FD618"/>
      <c r="FE618"/>
      <c r="FF618"/>
      <c r="FG618"/>
      <c r="FH618"/>
      <c r="FI618"/>
      <c r="FJ618"/>
      <c r="FK618"/>
      <c r="FL618"/>
      <c r="FM618"/>
      <c r="FN618"/>
      <c r="FO618"/>
      <c r="FP618"/>
      <c r="FQ618"/>
      <c r="FR618"/>
      <c r="FS618"/>
      <c r="FT618"/>
      <c r="FU618"/>
      <c r="FV618"/>
      <c r="FW618"/>
      <c r="FX618"/>
      <c r="FY618"/>
      <c r="FZ618"/>
      <c r="GA618"/>
      <c r="GB618"/>
      <c r="GC618"/>
      <c r="GD618"/>
      <c r="GE618"/>
      <c r="GF618"/>
      <c r="GG618"/>
      <c r="GH618"/>
      <c r="GI618"/>
      <c r="GJ618"/>
      <c r="GK618"/>
      <c r="GL618"/>
      <c r="GM618"/>
      <c r="GN618"/>
      <c r="GO618"/>
      <c r="GP618"/>
      <c r="GQ618"/>
      <c r="GR618"/>
      <c r="GS618"/>
      <c r="GT618"/>
      <c r="GU618"/>
      <c r="GV618"/>
      <c r="GW618"/>
      <c r="GX618"/>
      <c r="GY618"/>
      <c r="GZ618"/>
      <c r="HA618"/>
      <c r="HB618"/>
      <c r="HC618"/>
      <c r="HD618"/>
      <c r="HE618"/>
      <c r="HF618"/>
      <c r="HG618"/>
      <c r="HH618"/>
      <c r="HI618"/>
      <c r="HJ618"/>
      <c r="HK618"/>
      <c r="HL618"/>
      <c r="HM618"/>
      <c r="HN618"/>
      <c r="HO618"/>
      <c r="HP618"/>
      <c r="HQ618"/>
      <c r="HR618"/>
      <c r="HS618"/>
      <c r="HT618"/>
      <c r="HU618"/>
      <c r="HV618"/>
      <c r="HW618"/>
      <c r="HX618"/>
      <c r="HY618"/>
      <c r="HZ618"/>
      <c r="IA618"/>
      <c r="IB618"/>
      <c r="IC618"/>
      <c r="ID618"/>
      <c r="IE618"/>
      <c r="IF618"/>
      <c r="IG618"/>
      <c r="IH618"/>
      <c r="II618"/>
      <c r="IJ618"/>
      <c r="IK618"/>
      <c r="IL618"/>
      <c r="IM618"/>
      <c r="IN618"/>
      <c r="IO618"/>
      <c r="IP618"/>
      <c r="IQ618"/>
      <c r="IR618"/>
      <c r="IS618"/>
      <c r="IT618"/>
      <c r="IU618"/>
      <c r="IV618"/>
      <c r="IW618"/>
      <c r="IX618"/>
      <c r="IY618"/>
      <c r="IZ618"/>
      <c r="JA618"/>
      <c r="JB618"/>
      <c r="JC618"/>
      <c r="JD618"/>
      <c r="JE618"/>
      <c r="JF618"/>
      <c r="JG618"/>
      <c r="JH618"/>
      <c r="JI618"/>
      <c r="JJ618"/>
      <c r="JK618"/>
      <c r="JL618"/>
      <c r="JM618"/>
      <c r="JN618"/>
      <c r="JO618"/>
      <c r="JP618"/>
      <c r="JQ618"/>
      <c r="JR618"/>
      <c r="JS618"/>
      <c r="JT618"/>
      <c r="JU618"/>
      <c r="JV618"/>
      <c r="JW618"/>
      <c r="JX618"/>
      <c r="JY618"/>
      <c r="JZ618"/>
      <c r="KA618"/>
      <c r="KB618"/>
      <c r="KC618"/>
      <c r="KD618"/>
      <c r="KE618"/>
      <c r="KF618"/>
      <c r="KG618"/>
      <c r="KH618"/>
      <c r="KI618"/>
      <c r="KJ618"/>
      <c r="KK618"/>
      <c r="KL618"/>
      <c r="KM618"/>
      <c r="KN618"/>
      <c r="KO618"/>
      <c r="KP618"/>
      <c r="KQ618"/>
      <c r="KR618"/>
      <c r="KS618"/>
      <c r="KT618"/>
      <c r="KU618"/>
      <c r="KV618"/>
      <c r="KW618"/>
      <c r="KX618"/>
      <c r="KY618"/>
      <c r="KZ618"/>
      <c r="LA618"/>
      <c r="LB618"/>
      <c r="LC618"/>
      <c r="LD618"/>
      <c r="LE618"/>
      <c r="LF618"/>
      <c r="LG618"/>
      <c r="LH618"/>
      <c r="LI618"/>
      <c r="LJ618"/>
      <c r="LK618"/>
      <c r="LL618"/>
      <c r="LM618"/>
      <c r="LN618"/>
      <c r="LO618"/>
      <c r="LP618"/>
      <c r="LQ618"/>
      <c r="LR618"/>
      <c r="LS618"/>
      <c r="LT618"/>
      <c r="LU618"/>
      <c r="LV618"/>
      <c r="LW618"/>
      <c r="LX618"/>
      <c r="LY618"/>
      <c r="LZ618"/>
      <c r="MA618"/>
      <c r="MB618"/>
      <c r="MC618"/>
      <c r="MD618"/>
      <c r="ME618"/>
      <c r="MF618"/>
      <c r="MG618"/>
      <c r="MH618"/>
      <c r="MI618"/>
      <c r="MJ618"/>
      <c r="MK618"/>
      <c r="ML618"/>
      <c r="MM618"/>
      <c r="MN618"/>
      <c r="MO618"/>
      <c r="MP618"/>
      <c r="MQ618"/>
      <c r="MR618"/>
      <c r="MS618"/>
      <c r="MT618"/>
      <c r="MU618"/>
      <c r="MV618"/>
      <c r="MW618"/>
      <c r="MX618"/>
      <c r="MY618"/>
      <c r="MZ618"/>
      <c r="NA618"/>
      <c r="NB618"/>
      <c r="NC618"/>
      <c r="ND618"/>
      <c r="NE618"/>
      <c r="NF618"/>
      <c r="NG618"/>
      <c r="NH618"/>
      <c r="NI618"/>
      <c r="NJ618"/>
      <c r="NK618"/>
      <c r="NL618"/>
      <c r="NM618"/>
      <c r="NN618"/>
      <c r="NO618"/>
      <c r="NP618"/>
      <c r="NQ618"/>
      <c r="NR618"/>
      <c r="NS618"/>
      <c r="NT618"/>
      <c r="NU618"/>
      <c r="NV618"/>
      <c r="NW618"/>
      <c r="NX618"/>
      <c r="NY618"/>
      <c r="NZ618"/>
      <c r="OA618"/>
      <c r="OB618"/>
      <c r="OC618"/>
      <c r="OD618"/>
      <c r="OE618"/>
      <c r="OF618"/>
      <c r="OG618"/>
      <c r="OH618"/>
      <c r="OI618"/>
      <c r="OJ618"/>
      <c r="OK618"/>
      <c r="OL618"/>
      <c r="OM618"/>
      <c r="ON618"/>
      <c r="OO618"/>
      <c r="OP618"/>
      <c r="OQ618"/>
      <c r="OR618"/>
      <c r="OS618"/>
      <c r="OT618"/>
      <c r="OU618"/>
      <c r="OV618"/>
      <c r="OW618"/>
      <c r="OX618"/>
      <c r="OY618"/>
      <c r="OZ618"/>
      <c r="PA618"/>
      <c r="PB618"/>
      <c r="PC618"/>
      <c r="PD618"/>
      <c r="PE618"/>
      <c r="PF618"/>
      <c r="PG618"/>
      <c r="PH618"/>
      <c r="PI618"/>
      <c r="PJ618"/>
      <c r="PK618"/>
      <c r="PL618"/>
      <c r="PM618"/>
      <c r="PN618"/>
      <c r="PO618"/>
      <c r="PP618"/>
      <c r="PQ618"/>
      <c r="PR618"/>
      <c r="PS618"/>
      <c r="PT618"/>
      <c r="PU618"/>
      <c r="PV618"/>
      <c r="PW618"/>
      <c r="PX618"/>
      <c r="PY618"/>
      <c r="PZ618"/>
      <c r="QA618"/>
      <c r="QB618"/>
      <c r="QC618"/>
      <c r="QD618"/>
      <c r="QE618"/>
      <c r="QF618"/>
      <c r="QG618"/>
      <c r="QH618"/>
      <c r="QI618"/>
      <c r="QJ618"/>
      <c r="QK618"/>
      <c r="QL618"/>
      <c r="QM618"/>
      <c r="QN618"/>
      <c r="QO618"/>
      <c r="QP618"/>
      <c r="QQ618"/>
      <c r="QR618"/>
      <c r="QS618"/>
      <c r="QT618"/>
      <c r="QU618"/>
      <c r="QV618"/>
      <c r="QW618"/>
      <c r="QX618"/>
      <c r="QY618"/>
      <c r="QZ618"/>
      <c r="RA618"/>
      <c r="RB618"/>
      <c r="RC618"/>
      <c r="RD618"/>
      <c r="RE618"/>
      <c r="RF618"/>
      <c r="RG618"/>
      <c r="RH618"/>
      <c r="RI618"/>
      <c r="RJ618"/>
      <c r="RK618"/>
      <c r="RL618"/>
      <c r="RM618"/>
      <c r="RN618"/>
      <c r="RO618"/>
      <c r="RP618"/>
      <c r="RQ618"/>
      <c r="RR618"/>
      <c r="RS618"/>
      <c r="RT618"/>
      <c r="RU618"/>
      <c r="RV618"/>
      <c r="RW618"/>
      <c r="RX618"/>
      <c r="RY618"/>
      <c r="RZ618"/>
      <c r="SA618"/>
      <c r="SB618"/>
      <c r="SC618"/>
      <c r="SD618"/>
      <c r="SE618"/>
      <c r="SF618"/>
      <c r="SG618"/>
      <c r="SH618"/>
      <c r="SI618"/>
      <c r="SJ618"/>
      <c r="SK618"/>
      <c r="SL618"/>
      <c r="SM618"/>
      <c r="SN618"/>
      <c r="SO618"/>
      <c r="SP618"/>
      <c r="SQ618"/>
      <c r="SR618"/>
      <c r="SS618"/>
      <c r="ST618"/>
      <c r="SU618"/>
      <c r="SV618"/>
      <c r="SW618"/>
      <c r="SX618"/>
      <c r="SY618"/>
      <c r="SZ618"/>
      <c r="TA618"/>
      <c r="TB618"/>
      <c r="TC618"/>
      <c r="TD618"/>
      <c r="TE618"/>
      <c r="TF618"/>
      <c r="TG618"/>
      <c r="TH618"/>
      <c r="TI618"/>
      <c r="TJ618"/>
      <c r="TK618"/>
      <c r="TL618"/>
      <c r="TM618"/>
      <c r="TN618"/>
      <c r="TO618"/>
      <c r="TP618"/>
      <c r="TQ618"/>
      <c r="TR618"/>
      <c r="TS618"/>
      <c r="TT618"/>
      <c r="TU618"/>
      <c r="TV618"/>
      <c r="TW618"/>
      <c r="TX618"/>
      <c r="TY618"/>
      <c r="TZ618"/>
      <c r="UA618"/>
      <c r="UB618"/>
      <c r="UC618"/>
      <c r="UD618"/>
      <c r="UE618"/>
      <c r="UF618"/>
      <c r="UG618"/>
      <c r="UH618"/>
      <c r="UI618"/>
      <c r="UJ618"/>
      <c r="UK618"/>
      <c r="UL618"/>
      <c r="UM618"/>
      <c r="UN618"/>
      <c r="UO618"/>
      <c r="UP618"/>
      <c r="UQ618"/>
      <c r="UR618"/>
      <c r="US618"/>
      <c r="UT618"/>
      <c r="UU618"/>
      <c r="UV618"/>
      <c r="UW618"/>
      <c r="UX618"/>
      <c r="UY618"/>
      <c r="UZ618"/>
      <c r="VA618"/>
      <c r="VB618"/>
      <c r="VC618"/>
      <c r="VD618"/>
      <c r="VE618"/>
      <c r="VF618"/>
      <c r="VG618"/>
      <c r="VH618"/>
      <c r="VI618"/>
      <c r="VJ618"/>
      <c r="VK618"/>
      <c r="VL618"/>
      <c r="VM618"/>
      <c r="VN618"/>
      <c r="VO618"/>
      <c r="VP618"/>
      <c r="VQ618"/>
      <c r="VR618"/>
      <c r="VS618"/>
      <c r="VT618"/>
      <c r="VU618"/>
      <c r="VV618"/>
      <c r="VW618"/>
      <c r="VX618"/>
      <c r="VY618"/>
      <c r="VZ618"/>
      <c r="WA618"/>
      <c r="WB618"/>
      <c r="WC618"/>
      <c r="WD618"/>
      <c r="WE618"/>
      <c r="WF618"/>
      <c r="WG618"/>
      <c r="WH618"/>
      <c r="WI618"/>
      <c r="WJ618"/>
      <c r="WK618"/>
      <c r="WL618"/>
      <c r="WM618"/>
      <c r="WN618"/>
      <c r="WO618"/>
      <c r="WP618"/>
      <c r="WQ618"/>
      <c r="WR618"/>
      <c r="WS618"/>
      <c r="WT618"/>
      <c r="WU618"/>
      <c r="WV618"/>
      <c r="WW618"/>
      <c r="WX618"/>
      <c r="WY618"/>
      <c r="WZ618"/>
      <c r="XA618"/>
      <c r="XB618"/>
      <c r="XC618"/>
      <c r="XD618"/>
      <c r="XE618"/>
      <c r="XF618"/>
      <c r="XG618"/>
      <c r="XH618"/>
      <c r="XI618"/>
      <c r="XJ618"/>
      <c r="XK618"/>
      <c r="XL618"/>
      <c r="XM618"/>
      <c r="XN618"/>
      <c r="XO618"/>
      <c r="XP618"/>
      <c r="XQ618"/>
      <c r="XR618"/>
      <c r="XS618"/>
      <c r="XT618"/>
      <c r="XU618"/>
      <c r="XV618"/>
      <c r="XW618"/>
      <c r="XX618"/>
      <c r="XY618"/>
      <c r="XZ618"/>
      <c r="YA618"/>
      <c r="YB618"/>
      <c r="YC618"/>
      <c r="YD618"/>
      <c r="YE618"/>
      <c r="YF618"/>
      <c r="YG618"/>
      <c r="YH618"/>
      <c r="YI618"/>
      <c r="YJ618"/>
      <c r="YK618"/>
      <c r="YL618"/>
      <c r="YM618"/>
      <c r="YN618"/>
      <c r="YO618"/>
      <c r="YP618"/>
      <c r="YQ618"/>
      <c r="YR618"/>
      <c r="YS618"/>
      <c r="YT618"/>
      <c r="YU618"/>
      <c r="YV618"/>
      <c r="YW618"/>
      <c r="YX618"/>
      <c r="YY618"/>
      <c r="YZ618"/>
      <c r="ZA618"/>
      <c r="ZB618"/>
      <c r="ZC618"/>
      <c r="ZD618"/>
      <c r="ZE618"/>
      <c r="ZF618"/>
      <c r="ZG618"/>
      <c r="ZH618"/>
      <c r="ZI618"/>
      <c r="ZJ618"/>
      <c r="ZK618"/>
      <c r="ZL618"/>
      <c r="ZM618"/>
      <c r="ZN618"/>
      <c r="ZO618"/>
      <c r="ZP618"/>
      <c r="ZQ618"/>
      <c r="ZR618"/>
      <c r="ZS618"/>
      <c r="ZT618"/>
      <c r="ZU618"/>
      <c r="ZV618"/>
      <c r="ZW618"/>
      <c r="ZX618"/>
      <c r="ZY618"/>
      <c r="ZZ618"/>
      <c r="AAA618"/>
      <c r="AAB618"/>
      <c r="AAC618"/>
      <c r="AAD618"/>
      <c r="AAE618"/>
      <c r="AAF618"/>
      <c r="AAG618"/>
      <c r="AAH618"/>
      <c r="AAI618"/>
      <c r="AAJ618"/>
      <c r="AAK618"/>
      <c r="AAL618"/>
      <c r="AAM618"/>
      <c r="AAN618"/>
      <c r="AAO618"/>
      <c r="AAP618"/>
      <c r="AAQ618"/>
      <c r="AAR618"/>
      <c r="AAS618"/>
      <c r="AAT618"/>
      <c r="AAU618"/>
      <c r="AAV618"/>
      <c r="AAW618"/>
      <c r="AAX618"/>
      <c r="AAY618"/>
      <c r="AAZ618"/>
      <c r="ABA618"/>
      <c r="ABB618"/>
      <c r="ABC618"/>
      <c r="ABD618"/>
      <c r="ABE618"/>
      <c r="ABF618"/>
      <c r="ABG618"/>
      <c r="ABH618"/>
      <c r="ABI618"/>
      <c r="ABJ618"/>
      <c r="ABK618"/>
      <c r="ABL618"/>
      <c r="ABM618"/>
      <c r="ABN618"/>
      <c r="ABO618"/>
      <c r="ABP618"/>
      <c r="ABQ618"/>
      <c r="ABR618"/>
      <c r="ABS618"/>
      <c r="ABT618"/>
      <c r="ABU618"/>
      <c r="ABV618"/>
      <c r="ABW618"/>
      <c r="ABX618"/>
      <c r="ABY618"/>
      <c r="ABZ618"/>
      <c r="ACA618"/>
      <c r="ACB618"/>
      <c r="ACC618"/>
      <c r="ACD618"/>
      <c r="ACE618"/>
      <c r="ACF618"/>
      <c r="ACG618"/>
      <c r="ACH618"/>
      <c r="ACI618"/>
      <c r="ACJ618"/>
      <c r="ACK618"/>
      <c r="ACL618"/>
      <c r="ACM618"/>
      <c r="ACN618"/>
      <c r="ACO618"/>
      <c r="ACP618"/>
      <c r="ACQ618"/>
      <c r="ACR618"/>
      <c r="ACS618"/>
      <c r="ACT618"/>
      <c r="ACU618"/>
      <c r="ACV618"/>
      <c r="ACW618"/>
      <c r="ACX618"/>
      <c r="ACY618"/>
      <c r="ACZ618"/>
      <c r="ADA618"/>
      <c r="ADB618"/>
      <c r="ADC618"/>
      <c r="ADD618"/>
      <c r="ADE618"/>
      <c r="ADF618"/>
      <c r="ADG618"/>
      <c r="ADH618"/>
      <c r="ADI618"/>
      <c r="ADJ618"/>
      <c r="ADK618"/>
      <c r="ADL618"/>
      <c r="ADM618"/>
      <c r="ADN618"/>
      <c r="ADO618"/>
      <c r="ADP618"/>
      <c r="ADQ618"/>
      <c r="ADR618"/>
      <c r="ADS618"/>
      <c r="ADT618"/>
      <c r="ADU618"/>
      <c r="ADV618"/>
      <c r="ADW618"/>
      <c r="ADX618"/>
      <c r="ADY618"/>
      <c r="ADZ618"/>
      <c r="AEA618"/>
      <c r="AEB618"/>
      <c r="AEC618"/>
      <c r="AED618"/>
      <c r="AEE618"/>
      <c r="AEF618"/>
      <c r="AEG618"/>
      <c r="AEH618"/>
      <c r="AEI618"/>
      <c r="AEJ618"/>
      <c r="AEK618"/>
      <c r="AEL618"/>
      <c r="AEM618"/>
      <c r="AEN618"/>
      <c r="AEO618"/>
      <c r="AEP618"/>
      <c r="AEQ618"/>
      <c r="AER618"/>
      <c r="AES618"/>
      <c r="AET618"/>
      <c r="AEU618"/>
      <c r="AEV618"/>
      <c r="AEW618"/>
      <c r="AEX618"/>
      <c r="AEY618"/>
      <c r="AEZ618"/>
      <c r="AFA618"/>
      <c r="AFB618"/>
      <c r="AFC618"/>
      <c r="AFD618"/>
      <c r="AFE618"/>
      <c r="AFF618"/>
      <c r="AFG618"/>
      <c r="AFH618"/>
      <c r="AFI618"/>
      <c r="AFJ618"/>
      <c r="AFK618"/>
      <c r="AFL618"/>
      <c r="AFM618"/>
      <c r="AFN618"/>
      <c r="AFO618"/>
      <c r="AFP618"/>
      <c r="AFQ618"/>
      <c r="AFR618"/>
      <c r="AFS618"/>
      <c r="AFT618"/>
      <c r="AFU618"/>
      <c r="AFV618"/>
      <c r="AFW618"/>
      <c r="AFX618"/>
      <c r="AFY618"/>
      <c r="AFZ618"/>
      <c r="AGA618"/>
      <c r="AGB618"/>
      <c r="AGC618"/>
      <c r="AGD618"/>
      <c r="AGE618"/>
      <c r="AGF618"/>
      <c r="AGG618"/>
      <c r="AGH618"/>
      <c r="AGI618"/>
      <c r="AGJ618"/>
      <c r="AGK618"/>
      <c r="AGL618"/>
      <c r="AGM618"/>
      <c r="AGN618"/>
      <c r="AGO618"/>
      <c r="AGP618"/>
      <c r="AGQ618"/>
      <c r="AGR618"/>
      <c r="AGS618"/>
      <c r="AGT618"/>
      <c r="AGU618"/>
      <c r="AGV618"/>
      <c r="AGW618"/>
      <c r="AGX618"/>
      <c r="AGY618"/>
      <c r="AGZ618"/>
      <c r="AHA618"/>
      <c r="AHB618"/>
      <c r="AHC618"/>
      <c r="AHD618"/>
      <c r="AHE618"/>
      <c r="AHF618"/>
      <c r="AHG618"/>
      <c r="AHH618"/>
      <c r="AHI618"/>
      <c r="AHJ618"/>
      <c r="AHK618"/>
      <c r="AHL618"/>
      <c r="AHM618"/>
      <c r="AHN618"/>
      <c r="AHO618"/>
      <c r="AHP618"/>
      <c r="AHQ618"/>
      <c r="AHR618"/>
      <c r="AHS618"/>
      <c r="AHT618"/>
      <c r="AHU618"/>
      <c r="AHV618"/>
      <c r="AHW618"/>
      <c r="AHX618"/>
      <c r="AHY618"/>
      <c r="AHZ618"/>
      <c r="AIA618"/>
      <c r="AIB618"/>
      <c r="AIC618"/>
      <c r="AID618"/>
      <c r="AIE618"/>
      <c r="AIF618"/>
      <c r="AIG618"/>
      <c r="AIH618"/>
      <c r="AII618"/>
      <c r="AIJ618"/>
      <c r="AIK618"/>
      <c r="AIL618"/>
      <c r="AIM618"/>
      <c r="AIN618"/>
      <c r="AIO618"/>
      <c r="AIP618"/>
      <c r="AIQ618"/>
      <c r="AIR618"/>
      <c r="AIS618"/>
      <c r="AIT618"/>
      <c r="AIU618"/>
      <c r="AIV618"/>
      <c r="AIW618"/>
      <c r="AIX618"/>
      <c r="AIY618"/>
      <c r="AIZ618"/>
      <c r="AJA618"/>
      <c r="AJB618"/>
      <c r="AJC618"/>
      <c r="AJD618"/>
      <c r="AJE618"/>
      <c r="AJF618"/>
      <c r="AJG618"/>
      <c r="AJH618"/>
      <c r="AJI618"/>
      <c r="AJJ618"/>
      <c r="AJK618"/>
      <c r="AJL618"/>
      <c r="AJM618"/>
      <c r="AJN618"/>
      <c r="AJO618"/>
      <c r="AJP618"/>
      <c r="AJQ618"/>
      <c r="AJR618"/>
      <c r="AJS618"/>
      <c r="AJT618"/>
      <c r="AJU618"/>
      <c r="AJV618"/>
      <c r="AJW618"/>
      <c r="AJX618"/>
      <c r="AJY618"/>
      <c r="AJZ618"/>
      <c r="AKA618"/>
      <c r="AKB618"/>
      <c r="AKC618"/>
      <c r="AKD618"/>
      <c r="AKE618"/>
      <c r="AKF618"/>
      <c r="AKG618"/>
      <c r="AKH618"/>
      <c r="AKI618"/>
      <c r="AKJ618"/>
      <c r="AKK618"/>
      <c r="AKL618"/>
      <c r="AKM618"/>
      <c r="AKN618"/>
      <c r="AKO618"/>
      <c r="AKP618"/>
      <c r="AKQ618"/>
      <c r="AKR618"/>
      <c r="AKS618"/>
      <c r="AKT618"/>
      <c r="AKU618"/>
      <c r="AKV618"/>
      <c r="AKW618"/>
      <c r="AKX618"/>
      <c r="AKY618"/>
      <c r="AKZ618"/>
      <c r="ALA618"/>
      <c r="ALB618"/>
      <c r="ALC618"/>
      <c r="ALD618"/>
      <c r="ALE618"/>
      <c r="ALF618"/>
      <c r="ALG618"/>
      <c r="ALH618"/>
      <c r="ALI618"/>
      <c r="ALJ618"/>
      <c r="ALK618"/>
      <c r="ALL618"/>
      <c r="ALM618"/>
      <c r="ALN618"/>
      <c r="ALO618"/>
      <c r="ALP618"/>
      <c r="ALQ618"/>
      <c r="ALR618"/>
      <c r="ALS618"/>
      <c r="ALT618"/>
      <c r="ALU618"/>
      <c r="ALV618"/>
      <c r="ALW618"/>
      <c r="ALX618"/>
      <c r="ALY618"/>
      <c r="ALZ618"/>
      <c r="AMA618"/>
      <c r="AMB618"/>
      <c r="AMC618"/>
      <c r="AMD618"/>
      <c r="AME618"/>
      <c r="AMF618"/>
      <c r="AMG618"/>
      <c r="AMH618"/>
      <c r="AMI618"/>
      <c r="AMJ618"/>
    </row>
    <row r="619" spans="1:1024">
      <c r="A619" s="7" t="s">
        <v>623</v>
      </c>
      <c r="B619" s="7">
        <v>707444</v>
      </c>
      <c r="C619" s="11"/>
      <c r="D619" s="12">
        <v>0</v>
      </c>
      <c r="E619" s="7">
        <f>VLOOKUP(B619,Gesamtstunden_26!B:I,8,0)</f>
        <v>5.5</v>
      </c>
      <c r="F619" s="13">
        <f t="shared" si="9"/>
        <v>-5.5</v>
      </c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  <c r="AV619" s="11"/>
      <c r="AW619" s="11"/>
      <c r="AX619" s="11"/>
      <c r="AY619" s="11"/>
      <c r="AZ619" s="11"/>
      <c r="BA619" s="11"/>
      <c r="BB619" s="11"/>
      <c r="BC619" s="11"/>
      <c r="BD619" s="11"/>
      <c r="BE619" s="11"/>
      <c r="BF619" s="11"/>
      <c r="BG619" s="11"/>
      <c r="BH619" s="11"/>
      <c r="BI619" s="11"/>
      <c r="BJ619" s="11"/>
      <c r="BK619" s="11"/>
      <c r="BL619" s="11"/>
      <c r="BM619" s="11"/>
      <c r="BN619" s="11"/>
      <c r="BO619" s="11"/>
      <c r="BP619" s="11"/>
      <c r="BQ619" s="11"/>
      <c r="BR619" s="11"/>
      <c r="BS619" s="11"/>
      <c r="BT619" s="11"/>
      <c r="BU619" s="11"/>
      <c r="BV619" s="11"/>
      <c r="BW619" s="11"/>
      <c r="BX619" s="11"/>
      <c r="BY619" s="11"/>
      <c r="BZ619" s="11"/>
      <c r="CA619" s="11"/>
      <c r="CB619" s="11"/>
      <c r="CC619" s="11"/>
      <c r="CD619" s="11"/>
      <c r="CE619" s="11"/>
      <c r="CF619" s="11"/>
      <c r="CG619" s="11"/>
      <c r="CH619" s="11"/>
      <c r="CI619" s="11"/>
      <c r="CJ619" s="11"/>
      <c r="CK619" s="11"/>
      <c r="CL619" s="11"/>
      <c r="CM619" s="11"/>
      <c r="CN619" s="11"/>
      <c r="CO619" s="11"/>
      <c r="CP619" s="11"/>
      <c r="CQ619" s="11"/>
      <c r="CR619" s="11"/>
      <c r="CS619" s="11"/>
      <c r="CT619" s="11"/>
      <c r="CU619" s="11"/>
      <c r="CV619" s="11"/>
      <c r="CW619" s="11"/>
      <c r="CX619" s="11"/>
      <c r="CY619" s="11"/>
      <c r="CZ619" s="11"/>
      <c r="DA619" s="11"/>
      <c r="DB619" s="11"/>
      <c r="DC619" s="11"/>
      <c r="DD619" s="11"/>
      <c r="DE619" s="11"/>
      <c r="DF619" s="11"/>
      <c r="DG619" s="11"/>
      <c r="DH619" s="11"/>
      <c r="DI619" s="11"/>
      <c r="DJ619" s="11"/>
      <c r="DK619" s="11"/>
      <c r="DL619" s="11"/>
      <c r="DM619" s="11"/>
      <c r="DN619" s="11"/>
      <c r="DO619" s="11"/>
      <c r="DP619" s="11"/>
      <c r="DQ619" s="11"/>
      <c r="DR619" s="11"/>
      <c r="DS619" s="11"/>
      <c r="DT619" s="11"/>
      <c r="DU619" s="11"/>
      <c r="DV619" s="11"/>
      <c r="DW619" s="11"/>
      <c r="DX619" s="11"/>
      <c r="DY619" s="11"/>
      <c r="DZ619" s="11"/>
      <c r="EA619" s="11"/>
      <c r="EB619" s="11"/>
      <c r="EC619" s="11"/>
      <c r="ED619" s="11"/>
      <c r="EE619" s="11"/>
      <c r="EF619" s="11"/>
      <c r="EG619" s="11"/>
      <c r="EH619" s="11"/>
      <c r="EI619" s="11"/>
      <c r="EJ619" s="11"/>
      <c r="EK619" s="11"/>
      <c r="EL619" s="11"/>
      <c r="EM619" s="11"/>
      <c r="EN619" s="11"/>
      <c r="EO619" s="11"/>
      <c r="EP619" s="11"/>
      <c r="EQ619" s="11"/>
      <c r="ER619" s="11"/>
      <c r="ES619" s="11"/>
      <c r="ET619" s="11"/>
      <c r="EU619" s="11"/>
      <c r="EV619" s="11"/>
      <c r="EW619" s="11"/>
      <c r="EX619" s="11"/>
      <c r="EY619" s="11"/>
      <c r="EZ619" s="11"/>
      <c r="FA619" s="11"/>
      <c r="FB619" s="11"/>
      <c r="FC619" s="11"/>
      <c r="FD619" s="11"/>
      <c r="FE619" s="11"/>
      <c r="FF619" s="11"/>
      <c r="FG619" s="11"/>
      <c r="FH619" s="11"/>
      <c r="FI619" s="11"/>
      <c r="FJ619" s="11"/>
      <c r="FK619" s="11"/>
      <c r="FL619" s="11"/>
      <c r="FM619" s="11"/>
      <c r="FN619" s="11"/>
      <c r="FO619" s="11"/>
      <c r="FP619" s="11"/>
      <c r="FQ619" s="11"/>
      <c r="FR619" s="11"/>
      <c r="FS619" s="11"/>
      <c r="FT619" s="11"/>
      <c r="FU619" s="11"/>
      <c r="FV619" s="11"/>
      <c r="FW619" s="11"/>
      <c r="FX619" s="11"/>
      <c r="FY619" s="11"/>
      <c r="FZ619" s="11"/>
      <c r="GA619" s="11"/>
      <c r="GB619" s="11"/>
      <c r="GC619" s="11"/>
      <c r="GD619" s="11"/>
      <c r="GE619" s="11"/>
      <c r="GF619" s="11"/>
      <c r="GG619" s="11"/>
      <c r="GH619" s="11"/>
      <c r="GI619" s="11"/>
      <c r="GJ619" s="11"/>
      <c r="GK619" s="11"/>
      <c r="GL619" s="11"/>
      <c r="GM619" s="11"/>
      <c r="GN619" s="11"/>
      <c r="GO619" s="11"/>
      <c r="GP619" s="11"/>
      <c r="GQ619" s="11"/>
      <c r="GR619" s="11"/>
      <c r="GS619" s="11"/>
      <c r="GT619" s="11"/>
      <c r="GU619" s="11"/>
      <c r="GV619" s="11"/>
      <c r="GW619" s="11"/>
      <c r="GX619" s="11"/>
      <c r="GY619" s="11"/>
      <c r="GZ619" s="11"/>
      <c r="HA619" s="11"/>
      <c r="HB619" s="11"/>
      <c r="HC619" s="11"/>
      <c r="HD619" s="11"/>
      <c r="HE619" s="11"/>
      <c r="HF619" s="11"/>
      <c r="HG619" s="11"/>
      <c r="HH619" s="11"/>
      <c r="HI619" s="11"/>
      <c r="HJ619" s="11"/>
      <c r="HK619" s="11"/>
      <c r="HL619" s="11"/>
      <c r="HM619" s="11"/>
      <c r="HN619" s="11"/>
      <c r="HO619" s="11"/>
      <c r="HP619" s="11"/>
      <c r="HQ619" s="11"/>
      <c r="HR619" s="11"/>
      <c r="HS619" s="11"/>
      <c r="HT619" s="11"/>
      <c r="HU619" s="11"/>
      <c r="HV619" s="11"/>
      <c r="HW619" s="11"/>
      <c r="HX619" s="11"/>
      <c r="HY619" s="11"/>
      <c r="HZ619" s="11"/>
      <c r="IA619" s="11"/>
      <c r="IB619" s="11"/>
      <c r="IC619" s="11"/>
      <c r="ID619" s="11"/>
      <c r="IE619" s="11"/>
      <c r="IF619" s="11"/>
      <c r="IG619" s="11"/>
      <c r="IH619" s="11"/>
      <c r="II619" s="11"/>
      <c r="IJ619" s="11"/>
      <c r="IK619" s="11"/>
      <c r="IL619" s="11"/>
      <c r="IM619" s="11"/>
      <c r="IN619" s="11"/>
      <c r="IO619" s="11"/>
      <c r="IP619" s="11"/>
      <c r="IQ619" s="11"/>
      <c r="IR619" s="11"/>
      <c r="IS619" s="11"/>
      <c r="IT619" s="11"/>
      <c r="IU619" s="11"/>
      <c r="IV619" s="11"/>
      <c r="IW619" s="11"/>
      <c r="IX619" s="11"/>
      <c r="IY619" s="11"/>
      <c r="IZ619" s="11"/>
      <c r="JA619" s="11"/>
      <c r="JB619" s="11"/>
      <c r="JC619" s="11"/>
      <c r="JD619" s="11"/>
      <c r="JE619" s="11"/>
      <c r="JF619" s="11"/>
      <c r="JG619" s="11"/>
      <c r="JH619" s="11"/>
      <c r="JI619" s="11"/>
      <c r="JJ619" s="11"/>
      <c r="JK619" s="11"/>
      <c r="JL619" s="11"/>
      <c r="JM619" s="11"/>
      <c r="JN619" s="11"/>
      <c r="JO619" s="11"/>
      <c r="JP619" s="11"/>
      <c r="JQ619" s="11"/>
      <c r="JR619" s="11"/>
      <c r="JS619" s="11"/>
      <c r="JT619" s="11"/>
      <c r="JU619" s="11"/>
      <c r="JV619" s="11"/>
      <c r="JW619" s="11"/>
      <c r="JX619" s="11"/>
      <c r="JY619" s="11"/>
      <c r="JZ619" s="11"/>
      <c r="KA619" s="11"/>
      <c r="KB619" s="11"/>
      <c r="KC619" s="11"/>
      <c r="KD619" s="11"/>
      <c r="KE619" s="11"/>
      <c r="KF619" s="11"/>
      <c r="KG619" s="11"/>
      <c r="KH619" s="11"/>
      <c r="KI619" s="11"/>
      <c r="KJ619" s="11"/>
      <c r="KK619" s="11"/>
      <c r="KL619" s="11"/>
      <c r="KM619" s="11"/>
      <c r="KN619" s="11"/>
      <c r="KO619" s="11"/>
      <c r="KP619" s="11"/>
      <c r="KQ619" s="11"/>
      <c r="KR619" s="11"/>
      <c r="KS619" s="11"/>
      <c r="KT619" s="11"/>
      <c r="KU619" s="11"/>
      <c r="KV619" s="11"/>
      <c r="KW619" s="11"/>
      <c r="KX619" s="11"/>
      <c r="KY619" s="11"/>
      <c r="KZ619" s="11"/>
      <c r="LA619" s="11"/>
      <c r="LB619" s="11"/>
      <c r="LC619" s="11"/>
      <c r="LD619" s="11"/>
      <c r="LE619" s="11"/>
      <c r="LF619" s="11"/>
      <c r="LG619" s="11"/>
      <c r="LH619" s="11"/>
      <c r="LI619" s="11"/>
      <c r="LJ619" s="11"/>
      <c r="LK619" s="11"/>
      <c r="LL619" s="11"/>
      <c r="LM619" s="11"/>
      <c r="LN619" s="11"/>
      <c r="LO619" s="11"/>
      <c r="LP619" s="11"/>
      <c r="LQ619" s="11"/>
      <c r="LR619" s="11"/>
      <c r="LS619" s="11"/>
      <c r="LT619" s="11"/>
      <c r="LU619" s="11"/>
      <c r="LV619" s="11"/>
      <c r="LW619" s="11"/>
      <c r="LX619" s="11"/>
      <c r="LY619" s="11"/>
      <c r="LZ619" s="11"/>
      <c r="MA619" s="11"/>
      <c r="MB619" s="11"/>
      <c r="MC619" s="11"/>
      <c r="MD619" s="11"/>
      <c r="ME619" s="11"/>
      <c r="MF619" s="11"/>
      <c r="MG619" s="11"/>
      <c r="MH619" s="11"/>
      <c r="MI619" s="11"/>
      <c r="MJ619" s="11"/>
      <c r="MK619" s="11"/>
      <c r="ML619" s="11"/>
      <c r="MM619" s="11"/>
      <c r="MN619" s="11"/>
      <c r="MO619" s="11"/>
      <c r="MP619" s="11"/>
      <c r="MQ619" s="11"/>
      <c r="MR619" s="11"/>
      <c r="MS619" s="11"/>
      <c r="MT619" s="11"/>
      <c r="MU619" s="11"/>
      <c r="MV619" s="11"/>
      <c r="MW619" s="11"/>
      <c r="MX619" s="11"/>
      <c r="MY619" s="11"/>
      <c r="MZ619" s="11"/>
      <c r="NA619" s="11"/>
      <c r="NB619" s="11"/>
      <c r="NC619" s="11"/>
      <c r="ND619" s="11"/>
      <c r="NE619" s="11"/>
      <c r="NF619" s="11"/>
      <c r="NG619" s="11"/>
      <c r="NH619" s="11"/>
      <c r="NI619" s="11"/>
      <c r="NJ619" s="11"/>
      <c r="NK619" s="11"/>
      <c r="NL619" s="11"/>
      <c r="NM619" s="11"/>
      <c r="NN619" s="11"/>
      <c r="NO619" s="11"/>
      <c r="NP619" s="11"/>
      <c r="NQ619" s="11"/>
      <c r="NR619" s="11"/>
      <c r="NS619" s="11"/>
      <c r="NT619" s="11"/>
      <c r="NU619" s="11"/>
      <c r="NV619" s="11"/>
      <c r="NW619" s="11"/>
      <c r="NX619" s="11"/>
      <c r="NY619" s="11"/>
      <c r="NZ619" s="11"/>
      <c r="OA619" s="11"/>
      <c r="OB619" s="11"/>
      <c r="OC619" s="11"/>
      <c r="OD619" s="11"/>
      <c r="OE619" s="11"/>
      <c r="OF619" s="11"/>
      <c r="OG619" s="11"/>
      <c r="OH619" s="11"/>
      <c r="OI619" s="11"/>
      <c r="OJ619" s="11"/>
      <c r="OK619" s="11"/>
      <c r="OL619" s="11"/>
      <c r="OM619" s="11"/>
      <c r="ON619" s="11"/>
      <c r="OO619" s="11"/>
      <c r="OP619" s="11"/>
      <c r="OQ619" s="11"/>
      <c r="OR619" s="11"/>
      <c r="OS619" s="11"/>
      <c r="OT619" s="11"/>
      <c r="OU619" s="11"/>
      <c r="OV619" s="11"/>
      <c r="OW619" s="11"/>
      <c r="OX619" s="11"/>
      <c r="OY619" s="11"/>
      <c r="OZ619" s="11"/>
      <c r="PA619" s="11"/>
      <c r="PB619" s="11"/>
      <c r="PC619" s="11"/>
      <c r="PD619" s="11"/>
      <c r="PE619" s="11"/>
      <c r="PF619" s="11"/>
      <c r="PG619" s="11"/>
      <c r="PH619" s="11"/>
      <c r="PI619" s="11"/>
      <c r="PJ619" s="11"/>
      <c r="PK619" s="11"/>
      <c r="PL619" s="11"/>
      <c r="PM619" s="11"/>
      <c r="PN619" s="11"/>
      <c r="PO619" s="11"/>
      <c r="PP619" s="11"/>
      <c r="PQ619" s="11"/>
      <c r="PR619" s="11"/>
      <c r="PS619" s="11"/>
      <c r="PT619" s="11"/>
      <c r="PU619" s="11"/>
      <c r="PV619" s="11"/>
      <c r="PW619" s="11"/>
      <c r="PX619" s="11"/>
      <c r="PY619" s="11"/>
      <c r="PZ619" s="11"/>
      <c r="QA619" s="11"/>
      <c r="QB619" s="11"/>
      <c r="QC619" s="11"/>
      <c r="QD619" s="11"/>
      <c r="QE619" s="11"/>
      <c r="QF619" s="11"/>
      <c r="QG619" s="11"/>
      <c r="QH619" s="11"/>
      <c r="QI619" s="11"/>
      <c r="QJ619" s="11"/>
      <c r="QK619" s="11"/>
      <c r="QL619" s="11"/>
      <c r="QM619" s="11"/>
      <c r="QN619" s="11"/>
      <c r="QO619" s="11"/>
      <c r="QP619" s="11"/>
      <c r="QQ619" s="11"/>
      <c r="QR619" s="11"/>
      <c r="QS619" s="11"/>
      <c r="QT619" s="11"/>
      <c r="QU619" s="11"/>
      <c r="QV619" s="11"/>
      <c r="QW619" s="11"/>
      <c r="QX619" s="11"/>
      <c r="QY619" s="11"/>
      <c r="QZ619" s="11"/>
      <c r="RA619" s="11"/>
      <c r="RB619" s="11"/>
      <c r="RC619" s="11"/>
      <c r="RD619" s="11"/>
      <c r="RE619" s="11"/>
      <c r="RF619" s="11"/>
      <c r="RG619" s="11"/>
      <c r="RH619" s="11"/>
      <c r="RI619" s="11"/>
      <c r="RJ619" s="11"/>
      <c r="RK619" s="11"/>
      <c r="RL619" s="11"/>
      <c r="RM619" s="11"/>
      <c r="RN619" s="11"/>
      <c r="RO619" s="11"/>
      <c r="RP619" s="11"/>
      <c r="RQ619" s="11"/>
      <c r="RR619" s="11"/>
      <c r="RS619" s="11"/>
      <c r="RT619" s="11"/>
      <c r="RU619" s="11"/>
      <c r="RV619" s="11"/>
      <c r="RW619" s="11"/>
      <c r="RX619" s="11"/>
      <c r="RY619" s="11"/>
      <c r="RZ619" s="11"/>
      <c r="SA619" s="11"/>
      <c r="SB619" s="11"/>
      <c r="SC619" s="11"/>
      <c r="SD619" s="11"/>
      <c r="SE619" s="11"/>
      <c r="SF619" s="11"/>
      <c r="SG619" s="11"/>
      <c r="SH619" s="11"/>
      <c r="SI619" s="11"/>
      <c r="SJ619" s="11"/>
      <c r="SK619" s="11"/>
      <c r="SL619" s="11"/>
      <c r="SM619" s="11"/>
      <c r="SN619" s="11"/>
      <c r="SO619" s="11"/>
      <c r="SP619" s="11"/>
      <c r="SQ619" s="11"/>
      <c r="SR619" s="11"/>
      <c r="SS619" s="11"/>
      <c r="ST619" s="11"/>
      <c r="SU619" s="11"/>
      <c r="SV619" s="11"/>
      <c r="SW619" s="11"/>
      <c r="SX619" s="11"/>
      <c r="SY619" s="11"/>
      <c r="SZ619" s="11"/>
      <c r="TA619" s="11"/>
      <c r="TB619" s="11"/>
      <c r="TC619" s="11"/>
      <c r="TD619" s="11"/>
      <c r="TE619" s="11"/>
      <c r="TF619" s="11"/>
      <c r="TG619" s="11"/>
      <c r="TH619" s="11"/>
      <c r="TI619" s="11"/>
      <c r="TJ619" s="11"/>
      <c r="TK619" s="11"/>
      <c r="TL619" s="11"/>
      <c r="TM619" s="11"/>
      <c r="TN619" s="11"/>
      <c r="TO619" s="11"/>
      <c r="TP619" s="11"/>
      <c r="TQ619" s="11"/>
      <c r="TR619" s="11"/>
      <c r="TS619" s="11"/>
      <c r="TT619" s="11"/>
      <c r="TU619" s="11"/>
      <c r="TV619" s="11"/>
      <c r="TW619" s="11"/>
      <c r="TX619" s="11"/>
      <c r="TY619" s="11"/>
      <c r="TZ619" s="11"/>
      <c r="UA619" s="11"/>
      <c r="UB619" s="11"/>
      <c r="UC619" s="11"/>
      <c r="UD619" s="11"/>
      <c r="UE619" s="11"/>
      <c r="UF619" s="11"/>
      <c r="UG619" s="11"/>
      <c r="UH619" s="11"/>
      <c r="UI619" s="11"/>
      <c r="UJ619" s="11"/>
      <c r="UK619" s="11"/>
      <c r="UL619" s="11"/>
      <c r="UM619" s="11"/>
      <c r="UN619" s="11"/>
      <c r="UO619" s="11"/>
      <c r="UP619" s="11"/>
      <c r="UQ619" s="11"/>
      <c r="UR619" s="11"/>
      <c r="US619" s="11"/>
      <c r="UT619" s="11"/>
      <c r="UU619" s="11"/>
      <c r="UV619" s="11"/>
      <c r="UW619" s="11"/>
      <c r="UX619" s="11"/>
      <c r="UY619" s="11"/>
      <c r="UZ619" s="11"/>
      <c r="VA619" s="11"/>
      <c r="VB619" s="11"/>
      <c r="VC619" s="11"/>
      <c r="VD619" s="11"/>
      <c r="VE619" s="11"/>
      <c r="VF619" s="11"/>
      <c r="VG619" s="11"/>
      <c r="VH619" s="11"/>
      <c r="VI619" s="11"/>
      <c r="VJ619" s="11"/>
      <c r="VK619" s="11"/>
      <c r="VL619" s="11"/>
      <c r="VM619" s="11"/>
      <c r="VN619" s="11"/>
      <c r="VO619" s="11"/>
      <c r="VP619" s="11"/>
      <c r="VQ619" s="11"/>
      <c r="VR619" s="11"/>
      <c r="VS619" s="11"/>
      <c r="VT619" s="11"/>
      <c r="VU619" s="11"/>
      <c r="VV619" s="11"/>
      <c r="VW619" s="11"/>
      <c r="VX619" s="11"/>
      <c r="VY619" s="11"/>
      <c r="VZ619" s="11"/>
      <c r="WA619" s="11"/>
      <c r="WB619" s="11"/>
      <c r="WC619" s="11"/>
      <c r="WD619" s="11"/>
      <c r="WE619" s="11"/>
      <c r="WF619" s="11"/>
      <c r="WG619" s="11"/>
      <c r="WH619" s="11"/>
      <c r="WI619" s="11"/>
      <c r="WJ619" s="11"/>
      <c r="WK619" s="11"/>
      <c r="WL619" s="11"/>
      <c r="WM619" s="11"/>
      <c r="WN619" s="11"/>
      <c r="WO619" s="11"/>
      <c r="WP619" s="11"/>
      <c r="WQ619" s="11"/>
      <c r="WR619" s="11"/>
      <c r="WS619" s="11"/>
      <c r="WT619" s="11"/>
      <c r="WU619" s="11"/>
      <c r="WV619" s="11"/>
      <c r="WW619" s="11"/>
      <c r="WX619" s="11"/>
      <c r="WY619" s="11"/>
      <c r="WZ619" s="11"/>
      <c r="XA619" s="11"/>
      <c r="XB619" s="11"/>
      <c r="XC619" s="11"/>
      <c r="XD619" s="11"/>
      <c r="XE619" s="11"/>
      <c r="XF619" s="11"/>
      <c r="XG619" s="11"/>
      <c r="XH619" s="11"/>
      <c r="XI619" s="11"/>
      <c r="XJ619" s="11"/>
      <c r="XK619" s="11"/>
      <c r="XL619" s="11"/>
      <c r="XM619" s="11"/>
      <c r="XN619" s="11"/>
      <c r="XO619" s="11"/>
      <c r="XP619" s="11"/>
      <c r="XQ619" s="11"/>
      <c r="XR619" s="11"/>
      <c r="XS619" s="11"/>
      <c r="XT619" s="11"/>
      <c r="XU619" s="11"/>
      <c r="XV619" s="11"/>
      <c r="XW619" s="11"/>
      <c r="XX619" s="11"/>
      <c r="XY619" s="11"/>
      <c r="XZ619" s="11"/>
      <c r="YA619" s="11"/>
      <c r="YB619" s="11"/>
      <c r="YC619" s="11"/>
      <c r="YD619" s="11"/>
      <c r="YE619" s="11"/>
      <c r="YF619" s="11"/>
      <c r="YG619" s="11"/>
      <c r="YH619" s="11"/>
      <c r="YI619" s="11"/>
      <c r="YJ619" s="11"/>
      <c r="YK619" s="11"/>
      <c r="YL619" s="11"/>
      <c r="YM619" s="11"/>
      <c r="YN619" s="11"/>
      <c r="YO619" s="11"/>
      <c r="YP619" s="11"/>
      <c r="YQ619" s="11"/>
      <c r="YR619" s="11"/>
      <c r="YS619" s="11"/>
      <c r="YT619" s="11"/>
      <c r="YU619" s="11"/>
      <c r="YV619" s="11"/>
      <c r="YW619" s="11"/>
      <c r="YX619" s="11"/>
      <c r="YY619" s="11"/>
      <c r="YZ619" s="11"/>
      <c r="ZA619" s="11"/>
      <c r="ZB619" s="11"/>
      <c r="ZC619" s="11"/>
      <c r="ZD619" s="11"/>
      <c r="ZE619" s="11"/>
      <c r="ZF619" s="11"/>
      <c r="ZG619" s="11"/>
      <c r="ZH619" s="11"/>
      <c r="ZI619" s="11"/>
      <c r="ZJ619" s="11"/>
      <c r="ZK619" s="11"/>
      <c r="ZL619" s="11"/>
      <c r="ZM619" s="11"/>
      <c r="ZN619" s="11"/>
      <c r="ZO619" s="11"/>
      <c r="ZP619" s="11"/>
      <c r="ZQ619" s="11"/>
      <c r="ZR619" s="11"/>
      <c r="ZS619" s="11"/>
      <c r="ZT619" s="11"/>
      <c r="ZU619" s="11"/>
      <c r="ZV619" s="11"/>
      <c r="ZW619" s="11"/>
      <c r="ZX619" s="11"/>
      <c r="ZY619" s="11"/>
      <c r="ZZ619" s="11"/>
      <c r="AAA619" s="11"/>
      <c r="AAB619" s="11"/>
      <c r="AAC619" s="11"/>
      <c r="AAD619" s="11"/>
      <c r="AAE619" s="11"/>
      <c r="AAF619" s="11"/>
      <c r="AAG619" s="11"/>
      <c r="AAH619" s="11"/>
      <c r="AAI619" s="11"/>
      <c r="AAJ619" s="11"/>
      <c r="AAK619" s="11"/>
      <c r="AAL619" s="11"/>
      <c r="AAM619" s="11"/>
      <c r="AAN619" s="11"/>
      <c r="AAO619" s="11"/>
      <c r="AAP619" s="11"/>
      <c r="AAQ619" s="11"/>
      <c r="AAR619" s="11"/>
      <c r="AAS619" s="11"/>
      <c r="AAT619" s="11"/>
      <c r="AAU619" s="11"/>
      <c r="AAV619" s="11"/>
      <c r="AAW619" s="11"/>
      <c r="AAX619" s="11"/>
      <c r="AAY619" s="11"/>
      <c r="AAZ619" s="11"/>
      <c r="ABA619" s="11"/>
      <c r="ABB619" s="11"/>
      <c r="ABC619" s="11"/>
      <c r="ABD619" s="11"/>
      <c r="ABE619" s="11"/>
      <c r="ABF619" s="11"/>
      <c r="ABG619" s="11"/>
      <c r="ABH619" s="11"/>
      <c r="ABI619" s="11"/>
      <c r="ABJ619" s="11"/>
      <c r="ABK619" s="11"/>
      <c r="ABL619" s="11"/>
      <c r="ABM619" s="11"/>
      <c r="ABN619" s="11"/>
      <c r="ABO619" s="11"/>
      <c r="ABP619" s="11"/>
      <c r="ABQ619" s="11"/>
      <c r="ABR619" s="11"/>
      <c r="ABS619" s="11"/>
      <c r="ABT619" s="11"/>
      <c r="ABU619" s="11"/>
      <c r="ABV619" s="11"/>
      <c r="ABW619" s="11"/>
      <c r="ABX619" s="11"/>
      <c r="ABY619" s="11"/>
      <c r="ABZ619" s="11"/>
      <c r="ACA619" s="11"/>
      <c r="ACB619" s="11"/>
      <c r="ACC619" s="11"/>
      <c r="ACD619" s="11"/>
      <c r="ACE619" s="11"/>
      <c r="ACF619" s="11"/>
      <c r="ACG619" s="11"/>
      <c r="ACH619" s="11"/>
      <c r="ACI619" s="11"/>
      <c r="ACJ619" s="11"/>
      <c r="ACK619" s="11"/>
      <c r="ACL619" s="11"/>
      <c r="ACM619" s="11"/>
      <c r="ACN619" s="11"/>
      <c r="ACO619" s="11"/>
      <c r="ACP619" s="11"/>
      <c r="ACQ619" s="11"/>
      <c r="ACR619" s="11"/>
      <c r="ACS619" s="11"/>
      <c r="ACT619" s="11"/>
      <c r="ACU619" s="11"/>
      <c r="ACV619" s="11"/>
      <c r="ACW619" s="11"/>
      <c r="ACX619" s="11"/>
      <c r="ACY619" s="11"/>
      <c r="ACZ619" s="11"/>
      <c r="ADA619" s="11"/>
      <c r="ADB619" s="11"/>
      <c r="ADC619" s="11"/>
      <c r="ADD619" s="11"/>
      <c r="ADE619" s="11"/>
      <c r="ADF619" s="11"/>
      <c r="ADG619" s="11"/>
      <c r="ADH619" s="11"/>
      <c r="ADI619" s="11"/>
      <c r="ADJ619" s="11"/>
      <c r="ADK619" s="11"/>
      <c r="ADL619" s="11"/>
      <c r="ADM619" s="11"/>
      <c r="ADN619" s="11"/>
      <c r="ADO619" s="11"/>
      <c r="ADP619" s="11"/>
      <c r="ADQ619" s="11"/>
      <c r="ADR619" s="11"/>
      <c r="ADS619" s="11"/>
      <c r="ADT619" s="11"/>
      <c r="ADU619" s="11"/>
      <c r="ADV619" s="11"/>
      <c r="ADW619" s="11"/>
      <c r="ADX619" s="11"/>
      <c r="ADY619" s="11"/>
      <c r="ADZ619" s="11"/>
      <c r="AEA619" s="11"/>
      <c r="AEB619" s="11"/>
      <c r="AEC619" s="11"/>
      <c r="AED619" s="11"/>
      <c r="AEE619" s="11"/>
      <c r="AEF619" s="11"/>
      <c r="AEG619" s="11"/>
      <c r="AEH619" s="11"/>
      <c r="AEI619" s="11"/>
      <c r="AEJ619" s="11"/>
      <c r="AEK619" s="11"/>
      <c r="AEL619" s="11"/>
      <c r="AEM619" s="11"/>
      <c r="AEN619" s="11"/>
      <c r="AEO619" s="11"/>
      <c r="AEP619" s="11"/>
      <c r="AEQ619" s="11"/>
      <c r="AER619" s="11"/>
      <c r="AES619" s="11"/>
      <c r="AET619" s="11"/>
      <c r="AEU619" s="11"/>
      <c r="AEV619" s="11"/>
      <c r="AEW619" s="11"/>
      <c r="AEX619" s="11"/>
      <c r="AEY619" s="11"/>
      <c r="AEZ619" s="11"/>
      <c r="AFA619" s="11"/>
      <c r="AFB619" s="11"/>
      <c r="AFC619" s="11"/>
      <c r="AFD619" s="11"/>
      <c r="AFE619" s="11"/>
      <c r="AFF619" s="11"/>
      <c r="AFG619" s="11"/>
      <c r="AFH619" s="11"/>
      <c r="AFI619" s="11"/>
      <c r="AFJ619" s="11"/>
      <c r="AFK619" s="11"/>
      <c r="AFL619" s="11"/>
      <c r="AFM619" s="11"/>
      <c r="AFN619" s="11"/>
      <c r="AFO619" s="11"/>
      <c r="AFP619" s="11"/>
      <c r="AFQ619" s="11"/>
      <c r="AFR619" s="11"/>
      <c r="AFS619" s="11"/>
      <c r="AFT619" s="11"/>
      <c r="AFU619" s="11"/>
      <c r="AFV619" s="11"/>
      <c r="AFW619" s="11"/>
      <c r="AFX619" s="11"/>
      <c r="AFY619" s="11"/>
      <c r="AFZ619" s="11"/>
      <c r="AGA619" s="11"/>
      <c r="AGB619" s="11"/>
      <c r="AGC619" s="11"/>
      <c r="AGD619" s="11"/>
      <c r="AGE619" s="11"/>
      <c r="AGF619" s="11"/>
      <c r="AGG619" s="11"/>
      <c r="AGH619" s="11"/>
      <c r="AGI619" s="11"/>
      <c r="AGJ619" s="11"/>
      <c r="AGK619" s="11"/>
      <c r="AGL619" s="11"/>
      <c r="AGM619" s="11"/>
      <c r="AGN619" s="11"/>
      <c r="AGO619" s="11"/>
      <c r="AGP619" s="11"/>
      <c r="AGQ619" s="11"/>
      <c r="AGR619" s="11"/>
      <c r="AGS619" s="11"/>
      <c r="AGT619" s="11"/>
      <c r="AGU619" s="11"/>
      <c r="AGV619" s="11"/>
      <c r="AGW619" s="11"/>
      <c r="AGX619" s="11"/>
      <c r="AGY619" s="11"/>
      <c r="AGZ619" s="11"/>
      <c r="AHA619" s="11"/>
      <c r="AHB619" s="11"/>
      <c r="AHC619" s="11"/>
      <c r="AHD619" s="11"/>
      <c r="AHE619" s="11"/>
      <c r="AHF619" s="11"/>
      <c r="AHG619" s="11"/>
      <c r="AHH619" s="11"/>
      <c r="AHI619" s="11"/>
      <c r="AHJ619" s="11"/>
      <c r="AHK619" s="11"/>
      <c r="AHL619" s="11"/>
      <c r="AHM619" s="11"/>
      <c r="AHN619" s="11"/>
      <c r="AHO619" s="11"/>
      <c r="AHP619" s="11"/>
      <c r="AHQ619" s="11"/>
      <c r="AHR619" s="11"/>
      <c r="AHS619" s="11"/>
      <c r="AHT619" s="11"/>
      <c r="AHU619" s="11"/>
      <c r="AHV619" s="11"/>
      <c r="AHW619" s="11"/>
      <c r="AHX619" s="11"/>
      <c r="AHY619" s="11"/>
      <c r="AHZ619" s="11"/>
      <c r="AIA619" s="11"/>
      <c r="AIB619" s="11"/>
      <c r="AIC619" s="11"/>
      <c r="AID619" s="11"/>
      <c r="AIE619" s="11"/>
      <c r="AIF619" s="11"/>
      <c r="AIG619" s="11"/>
      <c r="AIH619" s="11"/>
      <c r="AII619" s="11"/>
      <c r="AIJ619" s="11"/>
      <c r="AIK619" s="11"/>
      <c r="AIL619" s="11"/>
      <c r="AIM619" s="11"/>
      <c r="AIN619" s="11"/>
      <c r="AIO619" s="11"/>
      <c r="AIP619" s="11"/>
      <c r="AIQ619" s="11"/>
      <c r="AIR619" s="11"/>
      <c r="AIS619" s="11"/>
      <c r="AIT619" s="11"/>
      <c r="AIU619" s="11"/>
      <c r="AIV619" s="11"/>
      <c r="AIW619" s="11"/>
      <c r="AIX619" s="11"/>
      <c r="AIY619" s="11"/>
      <c r="AIZ619" s="11"/>
      <c r="AJA619" s="11"/>
      <c r="AJB619" s="11"/>
      <c r="AJC619" s="11"/>
      <c r="AJD619" s="11"/>
      <c r="AJE619" s="11"/>
      <c r="AJF619" s="11"/>
      <c r="AJG619" s="11"/>
      <c r="AJH619" s="11"/>
      <c r="AJI619" s="11"/>
      <c r="AJJ619" s="11"/>
      <c r="AJK619" s="11"/>
      <c r="AJL619" s="11"/>
      <c r="AJM619" s="11"/>
      <c r="AJN619" s="11"/>
      <c r="AJO619" s="11"/>
      <c r="AJP619" s="11"/>
      <c r="AJQ619" s="11"/>
      <c r="AJR619" s="11"/>
      <c r="AJS619" s="11"/>
      <c r="AJT619" s="11"/>
      <c r="AJU619" s="11"/>
      <c r="AJV619" s="11"/>
      <c r="AJW619" s="11"/>
      <c r="AJX619" s="11"/>
      <c r="AJY619" s="11"/>
      <c r="AJZ619" s="11"/>
      <c r="AKA619" s="11"/>
      <c r="AKB619" s="11"/>
      <c r="AKC619" s="11"/>
      <c r="AKD619" s="11"/>
      <c r="AKE619" s="11"/>
      <c r="AKF619" s="11"/>
      <c r="AKG619" s="11"/>
      <c r="AKH619" s="11"/>
      <c r="AKI619" s="11"/>
      <c r="AKJ619" s="11"/>
      <c r="AKK619" s="11"/>
      <c r="AKL619" s="11"/>
      <c r="AKM619" s="11"/>
      <c r="AKN619" s="11"/>
      <c r="AKO619" s="11"/>
      <c r="AKP619" s="11"/>
      <c r="AKQ619" s="11"/>
      <c r="AKR619" s="11"/>
      <c r="AKS619" s="11"/>
      <c r="AKT619" s="11"/>
      <c r="AKU619" s="11"/>
      <c r="AKV619" s="11"/>
      <c r="AKW619" s="11"/>
      <c r="AKX619" s="11"/>
      <c r="AKY619" s="11"/>
      <c r="AKZ619" s="11"/>
      <c r="ALA619" s="11"/>
      <c r="ALB619" s="11"/>
      <c r="ALC619" s="11"/>
      <c r="ALD619" s="11"/>
      <c r="ALE619" s="11"/>
      <c r="ALF619" s="11"/>
      <c r="ALG619" s="11"/>
      <c r="ALH619" s="11"/>
      <c r="ALI619" s="11"/>
      <c r="ALJ619" s="11"/>
      <c r="ALK619" s="11"/>
      <c r="ALL619" s="11"/>
      <c r="ALM619" s="11"/>
      <c r="ALN619" s="11"/>
      <c r="ALO619" s="11"/>
      <c r="ALP619" s="11"/>
      <c r="ALQ619" s="11"/>
      <c r="ALR619" s="11"/>
      <c r="ALS619" s="11"/>
      <c r="ALT619" s="11"/>
      <c r="ALU619" s="11"/>
      <c r="ALV619" s="11"/>
      <c r="ALW619" s="11"/>
      <c r="ALX619" s="11"/>
      <c r="ALY619" s="11"/>
      <c r="ALZ619" s="11"/>
      <c r="AMA619" s="11"/>
      <c r="AMB619" s="11"/>
      <c r="AMC619" s="11"/>
      <c r="AMD619" s="11"/>
      <c r="AME619" s="11"/>
      <c r="AMF619" s="11"/>
      <c r="AMG619" s="11"/>
      <c r="AMH619" s="11"/>
      <c r="AMI619" s="11"/>
      <c r="AMJ619" s="11"/>
    </row>
    <row r="620" spans="1:1024">
      <c r="A620" s="8" t="s">
        <v>624</v>
      </c>
      <c r="B620" s="8">
        <v>114372</v>
      </c>
      <c r="D620" s="1">
        <v>12.3333333333333</v>
      </c>
      <c r="E620" s="8">
        <f>VLOOKUP(B620,Gesamtstunden_26!B:I,8,0)</f>
        <v>0</v>
      </c>
      <c r="F620" s="2">
        <f t="shared" si="9"/>
        <v>12.3333333333333</v>
      </c>
    </row>
    <row r="621" spans="1:1024">
      <c r="A621" s="8" t="s">
        <v>625</v>
      </c>
      <c r="B621" s="8">
        <v>903537</v>
      </c>
      <c r="D621" s="1">
        <v>3.1666666666666701</v>
      </c>
      <c r="E621" s="8">
        <f>VLOOKUP(B621,Gesamtstunden_26!B:I,8,0)</f>
        <v>0</v>
      </c>
      <c r="F621" s="2">
        <f t="shared" si="9"/>
        <v>3.1666666666666701</v>
      </c>
    </row>
    <row r="622" spans="1:1024">
      <c r="A622" s="10" t="s">
        <v>626</v>
      </c>
      <c r="B622" s="10">
        <v>910211</v>
      </c>
      <c r="D622" s="1">
        <v>0</v>
      </c>
      <c r="E622" s="8">
        <f>VLOOKUP(B622,Gesamtstunden_26!B:I,8,0)</f>
        <v>0</v>
      </c>
      <c r="F622" s="2">
        <f t="shared" si="9"/>
        <v>0</v>
      </c>
    </row>
    <row r="623" spans="1:1024">
      <c r="A623" s="8" t="s">
        <v>627</v>
      </c>
      <c r="B623" s="8">
        <v>708958</v>
      </c>
      <c r="D623" s="1">
        <v>12.5</v>
      </c>
      <c r="E623" s="8">
        <f>VLOOKUP(B623,Gesamtstunden_26!B:I,8,0)</f>
        <v>0</v>
      </c>
      <c r="F623" s="2">
        <f t="shared" si="9"/>
        <v>12.5</v>
      </c>
    </row>
    <row r="624" spans="1:1024">
      <c r="A624" s="8" t="s">
        <v>628</v>
      </c>
      <c r="B624" s="8">
        <v>681889</v>
      </c>
      <c r="D624" s="1">
        <v>15</v>
      </c>
      <c r="E624" s="8">
        <f>VLOOKUP(B624,Gesamtstunden_26!B:I,8,0)</f>
        <v>0</v>
      </c>
      <c r="F624" s="2">
        <f t="shared" si="9"/>
        <v>15</v>
      </c>
    </row>
    <row r="625" spans="1:1024" s="11" customFormat="1">
      <c r="A625" s="8" t="s">
        <v>629</v>
      </c>
      <c r="B625" s="8">
        <v>340901</v>
      </c>
      <c r="C625"/>
      <c r="D625" s="1">
        <v>0.66666666666666696</v>
      </c>
      <c r="E625" s="8">
        <f>VLOOKUP(B625,Gesamtstunden_26!B:I,8,0)</f>
        <v>0</v>
      </c>
      <c r="F625" s="2">
        <f t="shared" si="9"/>
        <v>0.66666666666666696</v>
      </c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  <c r="BR625"/>
      <c r="BS625"/>
      <c r="BT625"/>
      <c r="BU625"/>
      <c r="BV625"/>
      <c r="BW625"/>
      <c r="BX625"/>
      <c r="BY625"/>
      <c r="BZ625"/>
      <c r="CA625"/>
      <c r="CB625"/>
      <c r="CC625"/>
      <c r="CD625"/>
      <c r="CE625"/>
      <c r="CF625"/>
      <c r="CG625"/>
      <c r="CH625"/>
      <c r="CI625"/>
      <c r="CJ625"/>
      <c r="CK625"/>
      <c r="CL625"/>
      <c r="CM625"/>
      <c r="CN625"/>
      <c r="CO625"/>
      <c r="CP625"/>
      <c r="CQ625"/>
      <c r="CR625"/>
      <c r="CS625"/>
      <c r="CT625"/>
      <c r="CU625"/>
      <c r="CV625"/>
      <c r="CW625"/>
      <c r="CX625"/>
      <c r="CY625"/>
      <c r="CZ625"/>
      <c r="DA625"/>
      <c r="DB625"/>
      <c r="DC625"/>
      <c r="DD625"/>
      <c r="DE625"/>
      <c r="DF625"/>
      <c r="DG625"/>
      <c r="DH625"/>
      <c r="DI625"/>
      <c r="DJ625"/>
      <c r="DK625"/>
      <c r="DL625"/>
      <c r="DM625"/>
      <c r="DN625"/>
      <c r="DO625"/>
      <c r="DP625"/>
      <c r="DQ625"/>
      <c r="DR625"/>
      <c r="DS625"/>
      <c r="DT625"/>
      <c r="DU625"/>
      <c r="DV625"/>
      <c r="DW625"/>
      <c r="DX625"/>
      <c r="DY625"/>
      <c r="DZ625"/>
      <c r="EA625"/>
      <c r="EB625"/>
      <c r="EC625"/>
      <c r="ED625"/>
      <c r="EE625"/>
      <c r="EF625"/>
      <c r="EG625"/>
      <c r="EH625"/>
      <c r="EI625"/>
      <c r="EJ625"/>
      <c r="EK625"/>
      <c r="EL625"/>
      <c r="EM625"/>
      <c r="EN625"/>
      <c r="EO625"/>
      <c r="EP625"/>
      <c r="EQ625"/>
      <c r="ER625"/>
      <c r="ES625"/>
      <c r="ET625"/>
      <c r="EU625"/>
      <c r="EV625"/>
      <c r="EW625"/>
      <c r="EX625"/>
      <c r="EY625"/>
      <c r="EZ625"/>
      <c r="FA625"/>
      <c r="FB625"/>
      <c r="FC625"/>
      <c r="FD625"/>
      <c r="FE625"/>
      <c r="FF625"/>
      <c r="FG625"/>
      <c r="FH625"/>
      <c r="FI625"/>
      <c r="FJ625"/>
      <c r="FK625"/>
      <c r="FL625"/>
      <c r="FM625"/>
      <c r="FN625"/>
      <c r="FO625"/>
      <c r="FP625"/>
      <c r="FQ625"/>
      <c r="FR625"/>
      <c r="FS625"/>
      <c r="FT625"/>
      <c r="FU625"/>
      <c r="FV625"/>
      <c r="FW625"/>
      <c r="FX625"/>
      <c r="FY625"/>
      <c r="FZ625"/>
      <c r="GA625"/>
      <c r="GB625"/>
      <c r="GC625"/>
      <c r="GD625"/>
      <c r="GE625"/>
      <c r="GF625"/>
      <c r="GG625"/>
      <c r="GH625"/>
      <c r="GI625"/>
      <c r="GJ625"/>
      <c r="GK625"/>
      <c r="GL625"/>
      <c r="GM625"/>
      <c r="GN625"/>
      <c r="GO625"/>
      <c r="GP625"/>
      <c r="GQ625"/>
      <c r="GR625"/>
      <c r="GS625"/>
      <c r="GT625"/>
      <c r="GU625"/>
      <c r="GV625"/>
      <c r="GW625"/>
      <c r="GX625"/>
      <c r="GY625"/>
      <c r="GZ625"/>
      <c r="HA625"/>
      <c r="HB625"/>
      <c r="HC625"/>
      <c r="HD625"/>
      <c r="HE625"/>
      <c r="HF625"/>
      <c r="HG625"/>
      <c r="HH625"/>
      <c r="HI625"/>
      <c r="HJ625"/>
      <c r="HK625"/>
      <c r="HL625"/>
      <c r="HM625"/>
      <c r="HN625"/>
      <c r="HO625"/>
      <c r="HP625"/>
      <c r="HQ625"/>
      <c r="HR625"/>
      <c r="HS625"/>
      <c r="HT625"/>
      <c r="HU625"/>
      <c r="HV625"/>
      <c r="HW625"/>
      <c r="HX625"/>
      <c r="HY625"/>
      <c r="HZ625"/>
      <c r="IA625"/>
      <c r="IB625"/>
      <c r="IC625"/>
      <c r="ID625"/>
      <c r="IE625"/>
      <c r="IF625"/>
      <c r="IG625"/>
      <c r="IH625"/>
      <c r="II625"/>
      <c r="IJ625"/>
      <c r="IK625"/>
      <c r="IL625"/>
      <c r="IM625"/>
      <c r="IN625"/>
      <c r="IO625"/>
      <c r="IP625"/>
      <c r="IQ625"/>
      <c r="IR625"/>
      <c r="IS625"/>
      <c r="IT625"/>
      <c r="IU625"/>
      <c r="IV625"/>
      <c r="IW625"/>
      <c r="IX625"/>
      <c r="IY625"/>
      <c r="IZ625"/>
      <c r="JA625"/>
      <c r="JB625"/>
      <c r="JC625"/>
      <c r="JD625"/>
      <c r="JE625"/>
      <c r="JF625"/>
      <c r="JG625"/>
      <c r="JH625"/>
      <c r="JI625"/>
      <c r="JJ625"/>
      <c r="JK625"/>
      <c r="JL625"/>
      <c r="JM625"/>
      <c r="JN625"/>
      <c r="JO625"/>
      <c r="JP625"/>
      <c r="JQ625"/>
      <c r="JR625"/>
      <c r="JS625"/>
      <c r="JT625"/>
      <c r="JU625"/>
      <c r="JV625"/>
      <c r="JW625"/>
      <c r="JX625"/>
      <c r="JY625"/>
      <c r="JZ625"/>
      <c r="KA625"/>
      <c r="KB625"/>
      <c r="KC625"/>
      <c r="KD625"/>
      <c r="KE625"/>
      <c r="KF625"/>
      <c r="KG625"/>
      <c r="KH625"/>
      <c r="KI625"/>
      <c r="KJ625"/>
      <c r="KK625"/>
      <c r="KL625"/>
      <c r="KM625"/>
      <c r="KN625"/>
      <c r="KO625"/>
      <c r="KP625"/>
      <c r="KQ625"/>
      <c r="KR625"/>
      <c r="KS625"/>
      <c r="KT625"/>
      <c r="KU625"/>
      <c r="KV625"/>
      <c r="KW625"/>
      <c r="KX625"/>
      <c r="KY625"/>
      <c r="KZ625"/>
      <c r="LA625"/>
      <c r="LB625"/>
      <c r="LC625"/>
      <c r="LD625"/>
      <c r="LE625"/>
      <c r="LF625"/>
      <c r="LG625"/>
      <c r="LH625"/>
      <c r="LI625"/>
      <c r="LJ625"/>
      <c r="LK625"/>
      <c r="LL625"/>
      <c r="LM625"/>
      <c r="LN625"/>
      <c r="LO625"/>
      <c r="LP625"/>
      <c r="LQ625"/>
      <c r="LR625"/>
      <c r="LS625"/>
      <c r="LT625"/>
      <c r="LU625"/>
      <c r="LV625"/>
      <c r="LW625"/>
      <c r="LX625"/>
      <c r="LY625"/>
      <c r="LZ625"/>
      <c r="MA625"/>
      <c r="MB625"/>
      <c r="MC625"/>
      <c r="MD625"/>
      <c r="ME625"/>
      <c r="MF625"/>
      <c r="MG625"/>
      <c r="MH625"/>
      <c r="MI625"/>
      <c r="MJ625"/>
      <c r="MK625"/>
      <c r="ML625"/>
      <c r="MM625"/>
      <c r="MN625"/>
      <c r="MO625"/>
      <c r="MP625"/>
      <c r="MQ625"/>
      <c r="MR625"/>
      <c r="MS625"/>
      <c r="MT625"/>
      <c r="MU625"/>
      <c r="MV625"/>
      <c r="MW625"/>
      <c r="MX625"/>
      <c r="MY625"/>
      <c r="MZ625"/>
      <c r="NA625"/>
      <c r="NB625"/>
      <c r="NC625"/>
      <c r="ND625"/>
      <c r="NE625"/>
      <c r="NF625"/>
      <c r="NG625"/>
      <c r="NH625"/>
      <c r="NI625"/>
      <c r="NJ625"/>
      <c r="NK625"/>
      <c r="NL625"/>
      <c r="NM625"/>
      <c r="NN625"/>
      <c r="NO625"/>
      <c r="NP625"/>
      <c r="NQ625"/>
      <c r="NR625"/>
      <c r="NS625"/>
      <c r="NT625"/>
      <c r="NU625"/>
      <c r="NV625"/>
      <c r="NW625"/>
      <c r="NX625"/>
      <c r="NY625"/>
      <c r="NZ625"/>
      <c r="OA625"/>
      <c r="OB625"/>
      <c r="OC625"/>
      <c r="OD625"/>
      <c r="OE625"/>
      <c r="OF625"/>
      <c r="OG625"/>
      <c r="OH625"/>
      <c r="OI625"/>
      <c r="OJ625"/>
      <c r="OK625"/>
      <c r="OL625"/>
      <c r="OM625"/>
      <c r="ON625"/>
      <c r="OO625"/>
      <c r="OP625"/>
      <c r="OQ625"/>
      <c r="OR625"/>
      <c r="OS625"/>
      <c r="OT625"/>
      <c r="OU625"/>
      <c r="OV625"/>
      <c r="OW625"/>
      <c r="OX625"/>
      <c r="OY625"/>
      <c r="OZ625"/>
      <c r="PA625"/>
      <c r="PB625"/>
      <c r="PC625"/>
      <c r="PD625"/>
      <c r="PE625"/>
      <c r="PF625"/>
      <c r="PG625"/>
      <c r="PH625"/>
      <c r="PI625"/>
      <c r="PJ625"/>
      <c r="PK625"/>
      <c r="PL625"/>
      <c r="PM625"/>
      <c r="PN625"/>
      <c r="PO625"/>
      <c r="PP625"/>
      <c r="PQ625"/>
      <c r="PR625"/>
      <c r="PS625"/>
      <c r="PT625"/>
      <c r="PU625"/>
      <c r="PV625"/>
      <c r="PW625"/>
      <c r="PX625"/>
      <c r="PY625"/>
      <c r="PZ625"/>
      <c r="QA625"/>
      <c r="QB625"/>
      <c r="QC625"/>
      <c r="QD625"/>
      <c r="QE625"/>
      <c r="QF625"/>
      <c r="QG625"/>
      <c r="QH625"/>
      <c r="QI625"/>
      <c r="QJ625"/>
      <c r="QK625"/>
      <c r="QL625"/>
      <c r="QM625"/>
      <c r="QN625"/>
      <c r="QO625"/>
      <c r="QP625"/>
      <c r="QQ625"/>
      <c r="QR625"/>
      <c r="QS625"/>
      <c r="QT625"/>
      <c r="QU625"/>
      <c r="QV625"/>
      <c r="QW625"/>
      <c r="QX625"/>
      <c r="QY625"/>
      <c r="QZ625"/>
      <c r="RA625"/>
      <c r="RB625"/>
      <c r="RC625"/>
      <c r="RD625"/>
      <c r="RE625"/>
      <c r="RF625"/>
      <c r="RG625"/>
      <c r="RH625"/>
      <c r="RI625"/>
      <c r="RJ625"/>
      <c r="RK625"/>
      <c r="RL625"/>
      <c r="RM625"/>
      <c r="RN625"/>
      <c r="RO625"/>
      <c r="RP625"/>
      <c r="RQ625"/>
      <c r="RR625"/>
      <c r="RS625"/>
      <c r="RT625"/>
      <c r="RU625"/>
      <c r="RV625"/>
      <c r="RW625"/>
      <c r="RX625"/>
      <c r="RY625"/>
      <c r="RZ625"/>
      <c r="SA625"/>
      <c r="SB625"/>
      <c r="SC625"/>
      <c r="SD625"/>
      <c r="SE625"/>
      <c r="SF625"/>
      <c r="SG625"/>
      <c r="SH625"/>
      <c r="SI625"/>
      <c r="SJ625"/>
      <c r="SK625"/>
      <c r="SL625"/>
      <c r="SM625"/>
      <c r="SN625"/>
      <c r="SO625"/>
      <c r="SP625"/>
      <c r="SQ625"/>
      <c r="SR625"/>
      <c r="SS625"/>
      <c r="ST625"/>
      <c r="SU625"/>
      <c r="SV625"/>
      <c r="SW625"/>
      <c r="SX625"/>
      <c r="SY625"/>
      <c r="SZ625"/>
      <c r="TA625"/>
      <c r="TB625"/>
      <c r="TC625"/>
      <c r="TD625"/>
      <c r="TE625"/>
      <c r="TF625"/>
      <c r="TG625"/>
      <c r="TH625"/>
      <c r="TI625"/>
      <c r="TJ625"/>
      <c r="TK625"/>
      <c r="TL625"/>
      <c r="TM625"/>
      <c r="TN625"/>
      <c r="TO625"/>
      <c r="TP625"/>
      <c r="TQ625"/>
      <c r="TR625"/>
      <c r="TS625"/>
      <c r="TT625"/>
      <c r="TU625"/>
      <c r="TV625"/>
      <c r="TW625"/>
      <c r="TX625"/>
      <c r="TY625"/>
      <c r="TZ625"/>
      <c r="UA625"/>
      <c r="UB625"/>
      <c r="UC625"/>
      <c r="UD625"/>
      <c r="UE625"/>
      <c r="UF625"/>
      <c r="UG625"/>
      <c r="UH625"/>
      <c r="UI625"/>
      <c r="UJ625"/>
      <c r="UK625"/>
      <c r="UL625"/>
      <c r="UM625"/>
      <c r="UN625"/>
      <c r="UO625"/>
      <c r="UP625"/>
      <c r="UQ625"/>
      <c r="UR625"/>
      <c r="US625"/>
      <c r="UT625"/>
      <c r="UU625"/>
      <c r="UV625"/>
      <c r="UW625"/>
      <c r="UX625"/>
      <c r="UY625"/>
      <c r="UZ625"/>
      <c r="VA625"/>
      <c r="VB625"/>
      <c r="VC625"/>
      <c r="VD625"/>
      <c r="VE625"/>
      <c r="VF625"/>
      <c r="VG625"/>
      <c r="VH625"/>
      <c r="VI625"/>
      <c r="VJ625"/>
      <c r="VK625"/>
      <c r="VL625"/>
      <c r="VM625"/>
      <c r="VN625"/>
      <c r="VO625"/>
      <c r="VP625"/>
      <c r="VQ625"/>
      <c r="VR625"/>
      <c r="VS625"/>
      <c r="VT625"/>
      <c r="VU625"/>
      <c r="VV625"/>
      <c r="VW625"/>
      <c r="VX625"/>
      <c r="VY625"/>
      <c r="VZ625"/>
      <c r="WA625"/>
      <c r="WB625"/>
      <c r="WC625"/>
      <c r="WD625"/>
      <c r="WE625"/>
      <c r="WF625"/>
      <c r="WG625"/>
      <c r="WH625"/>
      <c r="WI625"/>
      <c r="WJ625"/>
      <c r="WK625"/>
      <c r="WL625"/>
      <c r="WM625"/>
      <c r="WN625"/>
      <c r="WO625"/>
      <c r="WP625"/>
      <c r="WQ625"/>
      <c r="WR625"/>
      <c r="WS625"/>
      <c r="WT625"/>
      <c r="WU625"/>
      <c r="WV625"/>
      <c r="WW625"/>
      <c r="WX625"/>
      <c r="WY625"/>
      <c r="WZ625"/>
      <c r="XA625"/>
      <c r="XB625"/>
      <c r="XC625"/>
      <c r="XD625"/>
      <c r="XE625"/>
      <c r="XF625"/>
      <c r="XG625"/>
      <c r="XH625"/>
      <c r="XI625"/>
      <c r="XJ625"/>
      <c r="XK625"/>
      <c r="XL625"/>
      <c r="XM625"/>
      <c r="XN625"/>
      <c r="XO625"/>
      <c r="XP625"/>
      <c r="XQ625"/>
      <c r="XR625"/>
      <c r="XS625"/>
      <c r="XT625"/>
      <c r="XU625"/>
      <c r="XV625"/>
      <c r="XW625"/>
      <c r="XX625"/>
      <c r="XY625"/>
      <c r="XZ625"/>
      <c r="YA625"/>
      <c r="YB625"/>
      <c r="YC625"/>
      <c r="YD625"/>
      <c r="YE625"/>
      <c r="YF625"/>
      <c r="YG625"/>
      <c r="YH625"/>
      <c r="YI625"/>
      <c r="YJ625"/>
      <c r="YK625"/>
      <c r="YL625"/>
      <c r="YM625"/>
      <c r="YN625"/>
      <c r="YO625"/>
      <c r="YP625"/>
      <c r="YQ625"/>
      <c r="YR625"/>
      <c r="YS625"/>
      <c r="YT625"/>
      <c r="YU625"/>
      <c r="YV625"/>
      <c r="YW625"/>
      <c r="YX625"/>
      <c r="YY625"/>
      <c r="YZ625"/>
      <c r="ZA625"/>
      <c r="ZB625"/>
      <c r="ZC625"/>
      <c r="ZD625"/>
      <c r="ZE625"/>
      <c r="ZF625"/>
      <c r="ZG625"/>
      <c r="ZH625"/>
      <c r="ZI625"/>
      <c r="ZJ625"/>
      <c r="ZK625"/>
      <c r="ZL625"/>
      <c r="ZM625"/>
      <c r="ZN625"/>
      <c r="ZO625"/>
      <c r="ZP625"/>
      <c r="ZQ625"/>
      <c r="ZR625"/>
      <c r="ZS625"/>
      <c r="ZT625"/>
      <c r="ZU625"/>
      <c r="ZV625"/>
      <c r="ZW625"/>
      <c r="ZX625"/>
      <c r="ZY625"/>
      <c r="ZZ625"/>
      <c r="AAA625"/>
      <c r="AAB625"/>
      <c r="AAC625"/>
      <c r="AAD625"/>
      <c r="AAE625"/>
      <c r="AAF625"/>
      <c r="AAG625"/>
      <c r="AAH625"/>
      <c r="AAI625"/>
      <c r="AAJ625"/>
      <c r="AAK625"/>
      <c r="AAL625"/>
      <c r="AAM625"/>
      <c r="AAN625"/>
      <c r="AAO625"/>
      <c r="AAP625"/>
      <c r="AAQ625"/>
      <c r="AAR625"/>
      <c r="AAS625"/>
      <c r="AAT625"/>
      <c r="AAU625"/>
      <c r="AAV625"/>
      <c r="AAW625"/>
      <c r="AAX625"/>
      <c r="AAY625"/>
      <c r="AAZ625"/>
      <c r="ABA625"/>
      <c r="ABB625"/>
      <c r="ABC625"/>
      <c r="ABD625"/>
      <c r="ABE625"/>
      <c r="ABF625"/>
      <c r="ABG625"/>
      <c r="ABH625"/>
      <c r="ABI625"/>
      <c r="ABJ625"/>
      <c r="ABK625"/>
      <c r="ABL625"/>
      <c r="ABM625"/>
      <c r="ABN625"/>
      <c r="ABO625"/>
      <c r="ABP625"/>
      <c r="ABQ625"/>
      <c r="ABR625"/>
      <c r="ABS625"/>
      <c r="ABT625"/>
      <c r="ABU625"/>
      <c r="ABV625"/>
      <c r="ABW625"/>
      <c r="ABX625"/>
      <c r="ABY625"/>
      <c r="ABZ625"/>
      <c r="ACA625"/>
      <c r="ACB625"/>
      <c r="ACC625"/>
      <c r="ACD625"/>
      <c r="ACE625"/>
      <c r="ACF625"/>
      <c r="ACG625"/>
      <c r="ACH625"/>
      <c r="ACI625"/>
      <c r="ACJ625"/>
      <c r="ACK625"/>
      <c r="ACL625"/>
      <c r="ACM625"/>
      <c r="ACN625"/>
      <c r="ACO625"/>
      <c r="ACP625"/>
      <c r="ACQ625"/>
      <c r="ACR625"/>
      <c r="ACS625"/>
      <c r="ACT625"/>
      <c r="ACU625"/>
      <c r="ACV625"/>
      <c r="ACW625"/>
      <c r="ACX625"/>
      <c r="ACY625"/>
      <c r="ACZ625"/>
      <c r="ADA625"/>
      <c r="ADB625"/>
      <c r="ADC625"/>
      <c r="ADD625"/>
      <c r="ADE625"/>
      <c r="ADF625"/>
      <c r="ADG625"/>
      <c r="ADH625"/>
      <c r="ADI625"/>
      <c r="ADJ625"/>
      <c r="ADK625"/>
      <c r="ADL625"/>
      <c r="ADM625"/>
      <c r="ADN625"/>
      <c r="ADO625"/>
      <c r="ADP625"/>
      <c r="ADQ625"/>
      <c r="ADR625"/>
      <c r="ADS625"/>
      <c r="ADT625"/>
      <c r="ADU625"/>
      <c r="ADV625"/>
      <c r="ADW625"/>
      <c r="ADX625"/>
      <c r="ADY625"/>
      <c r="ADZ625"/>
      <c r="AEA625"/>
      <c r="AEB625"/>
      <c r="AEC625"/>
      <c r="AED625"/>
      <c r="AEE625"/>
      <c r="AEF625"/>
      <c r="AEG625"/>
      <c r="AEH625"/>
      <c r="AEI625"/>
      <c r="AEJ625"/>
      <c r="AEK625"/>
      <c r="AEL625"/>
      <c r="AEM625"/>
      <c r="AEN625"/>
      <c r="AEO625"/>
      <c r="AEP625"/>
      <c r="AEQ625"/>
      <c r="AER625"/>
      <c r="AES625"/>
      <c r="AET625"/>
      <c r="AEU625"/>
      <c r="AEV625"/>
      <c r="AEW625"/>
      <c r="AEX625"/>
      <c r="AEY625"/>
      <c r="AEZ625"/>
      <c r="AFA625"/>
      <c r="AFB625"/>
      <c r="AFC625"/>
      <c r="AFD625"/>
      <c r="AFE625"/>
      <c r="AFF625"/>
      <c r="AFG625"/>
      <c r="AFH625"/>
      <c r="AFI625"/>
      <c r="AFJ625"/>
      <c r="AFK625"/>
      <c r="AFL625"/>
      <c r="AFM625"/>
      <c r="AFN625"/>
      <c r="AFO625"/>
      <c r="AFP625"/>
      <c r="AFQ625"/>
      <c r="AFR625"/>
      <c r="AFS625"/>
      <c r="AFT625"/>
      <c r="AFU625"/>
      <c r="AFV625"/>
      <c r="AFW625"/>
      <c r="AFX625"/>
      <c r="AFY625"/>
      <c r="AFZ625"/>
      <c r="AGA625"/>
      <c r="AGB625"/>
      <c r="AGC625"/>
      <c r="AGD625"/>
      <c r="AGE625"/>
      <c r="AGF625"/>
      <c r="AGG625"/>
      <c r="AGH625"/>
      <c r="AGI625"/>
      <c r="AGJ625"/>
      <c r="AGK625"/>
      <c r="AGL625"/>
      <c r="AGM625"/>
      <c r="AGN625"/>
      <c r="AGO625"/>
      <c r="AGP625"/>
      <c r="AGQ625"/>
      <c r="AGR625"/>
      <c r="AGS625"/>
      <c r="AGT625"/>
      <c r="AGU625"/>
      <c r="AGV625"/>
      <c r="AGW625"/>
      <c r="AGX625"/>
      <c r="AGY625"/>
      <c r="AGZ625"/>
      <c r="AHA625"/>
      <c r="AHB625"/>
      <c r="AHC625"/>
      <c r="AHD625"/>
      <c r="AHE625"/>
      <c r="AHF625"/>
      <c r="AHG625"/>
      <c r="AHH625"/>
      <c r="AHI625"/>
      <c r="AHJ625"/>
      <c r="AHK625"/>
      <c r="AHL625"/>
      <c r="AHM625"/>
      <c r="AHN625"/>
      <c r="AHO625"/>
      <c r="AHP625"/>
      <c r="AHQ625"/>
      <c r="AHR625"/>
      <c r="AHS625"/>
      <c r="AHT625"/>
      <c r="AHU625"/>
      <c r="AHV625"/>
      <c r="AHW625"/>
      <c r="AHX625"/>
      <c r="AHY625"/>
      <c r="AHZ625"/>
      <c r="AIA625"/>
      <c r="AIB625"/>
      <c r="AIC625"/>
      <c r="AID625"/>
      <c r="AIE625"/>
      <c r="AIF625"/>
      <c r="AIG625"/>
      <c r="AIH625"/>
      <c r="AII625"/>
      <c r="AIJ625"/>
      <c r="AIK625"/>
      <c r="AIL625"/>
      <c r="AIM625"/>
      <c r="AIN625"/>
      <c r="AIO625"/>
      <c r="AIP625"/>
      <c r="AIQ625"/>
      <c r="AIR625"/>
      <c r="AIS625"/>
      <c r="AIT625"/>
      <c r="AIU625"/>
      <c r="AIV625"/>
      <c r="AIW625"/>
      <c r="AIX625"/>
      <c r="AIY625"/>
      <c r="AIZ625"/>
      <c r="AJA625"/>
      <c r="AJB625"/>
      <c r="AJC625"/>
      <c r="AJD625"/>
      <c r="AJE625"/>
      <c r="AJF625"/>
      <c r="AJG625"/>
      <c r="AJH625"/>
      <c r="AJI625"/>
      <c r="AJJ625"/>
      <c r="AJK625"/>
      <c r="AJL625"/>
      <c r="AJM625"/>
      <c r="AJN625"/>
      <c r="AJO625"/>
      <c r="AJP625"/>
      <c r="AJQ625"/>
      <c r="AJR625"/>
      <c r="AJS625"/>
      <c r="AJT625"/>
      <c r="AJU625"/>
      <c r="AJV625"/>
      <c r="AJW625"/>
      <c r="AJX625"/>
      <c r="AJY625"/>
      <c r="AJZ625"/>
      <c r="AKA625"/>
      <c r="AKB625"/>
      <c r="AKC625"/>
      <c r="AKD625"/>
      <c r="AKE625"/>
      <c r="AKF625"/>
      <c r="AKG625"/>
      <c r="AKH625"/>
      <c r="AKI625"/>
      <c r="AKJ625"/>
      <c r="AKK625"/>
      <c r="AKL625"/>
      <c r="AKM625"/>
      <c r="AKN625"/>
      <c r="AKO625"/>
      <c r="AKP625"/>
      <c r="AKQ625"/>
      <c r="AKR625"/>
      <c r="AKS625"/>
      <c r="AKT625"/>
      <c r="AKU625"/>
      <c r="AKV625"/>
      <c r="AKW625"/>
      <c r="AKX625"/>
      <c r="AKY625"/>
      <c r="AKZ625"/>
      <c r="ALA625"/>
      <c r="ALB625"/>
      <c r="ALC625"/>
      <c r="ALD625"/>
      <c r="ALE625"/>
      <c r="ALF625"/>
      <c r="ALG625"/>
      <c r="ALH625"/>
      <c r="ALI625"/>
      <c r="ALJ625"/>
      <c r="ALK625"/>
      <c r="ALL625"/>
      <c r="ALM625"/>
      <c r="ALN625"/>
      <c r="ALO625"/>
      <c r="ALP625"/>
      <c r="ALQ625"/>
      <c r="ALR625"/>
      <c r="ALS625"/>
      <c r="ALT625"/>
      <c r="ALU625"/>
      <c r="ALV625"/>
      <c r="ALW625"/>
      <c r="ALX625"/>
      <c r="ALY625"/>
      <c r="ALZ625"/>
      <c r="AMA625"/>
      <c r="AMB625"/>
      <c r="AMC625"/>
      <c r="AMD625"/>
      <c r="AME625"/>
      <c r="AMF625"/>
      <c r="AMG625"/>
      <c r="AMH625"/>
      <c r="AMI625"/>
      <c r="AMJ625"/>
    </row>
    <row r="626" spans="1:1024">
      <c r="A626" s="7" t="s">
        <v>630</v>
      </c>
      <c r="B626" s="7">
        <v>574333</v>
      </c>
      <c r="C626" s="11"/>
      <c r="D626" s="12">
        <v>1.6666666666666701</v>
      </c>
      <c r="E626" s="7">
        <f>VLOOKUP(B626,Gesamtstunden_26!B:I,8,0)</f>
        <v>5</v>
      </c>
      <c r="F626" s="13">
        <f t="shared" si="9"/>
        <v>-3.3333333333333299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11"/>
      <c r="AV626" s="11"/>
      <c r="AW626" s="11"/>
      <c r="AX626" s="11"/>
      <c r="AY626" s="11"/>
      <c r="AZ626" s="11"/>
      <c r="BA626" s="11"/>
      <c r="BB626" s="11"/>
      <c r="BC626" s="11"/>
      <c r="BD626" s="11"/>
      <c r="BE626" s="11"/>
      <c r="BF626" s="11"/>
      <c r="BG626" s="11"/>
      <c r="BH626" s="11"/>
      <c r="BI626" s="11"/>
      <c r="BJ626" s="11"/>
      <c r="BK626" s="11"/>
      <c r="BL626" s="11"/>
      <c r="BM626" s="11"/>
      <c r="BN626" s="11"/>
      <c r="BO626" s="11"/>
      <c r="BP626" s="11"/>
      <c r="BQ626" s="11"/>
      <c r="BR626" s="11"/>
      <c r="BS626" s="11"/>
      <c r="BT626" s="11"/>
      <c r="BU626" s="11"/>
      <c r="BV626" s="11"/>
      <c r="BW626" s="11"/>
      <c r="BX626" s="11"/>
      <c r="BY626" s="11"/>
      <c r="BZ626" s="11"/>
      <c r="CA626" s="11"/>
      <c r="CB626" s="11"/>
      <c r="CC626" s="11"/>
      <c r="CD626" s="11"/>
      <c r="CE626" s="11"/>
      <c r="CF626" s="11"/>
      <c r="CG626" s="11"/>
      <c r="CH626" s="11"/>
      <c r="CI626" s="11"/>
      <c r="CJ626" s="11"/>
      <c r="CK626" s="11"/>
      <c r="CL626" s="11"/>
      <c r="CM626" s="11"/>
      <c r="CN626" s="11"/>
      <c r="CO626" s="11"/>
      <c r="CP626" s="11"/>
      <c r="CQ626" s="11"/>
      <c r="CR626" s="11"/>
      <c r="CS626" s="11"/>
      <c r="CT626" s="11"/>
      <c r="CU626" s="11"/>
      <c r="CV626" s="11"/>
      <c r="CW626" s="11"/>
      <c r="CX626" s="11"/>
      <c r="CY626" s="11"/>
      <c r="CZ626" s="11"/>
      <c r="DA626" s="11"/>
      <c r="DB626" s="11"/>
      <c r="DC626" s="11"/>
      <c r="DD626" s="11"/>
      <c r="DE626" s="11"/>
      <c r="DF626" s="11"/>
      <c r="DG626" s="11"/>
      <c r="DH626" s="11"/>
      <c r="DI626" s="11"/>
      <c r="DJ626" s="11"/>
      <c r="DK626" s="11"/>
      <c r="DL626" s="11"/>
      <c r="DM626" s="11"/>
      <c r="DN626" s="11"/>
      <c r="DO626" s="11"/>
      <c r="DP626" s="11"/>
      <c r="DQ626" s="11"/>
      <c r="DR626" s="11"/>
      <c r="DS626" s="11"/>
      <c r="DT626" s="11"/>
      <c r="DU626" s="11"/>
      <c r="DV626" s="11"/>
      <c r="DW626" s="11"/>
      <c r="DX626" s="11"/>
      <c r="DY626" s="11"/>
      <c r="DZ626" s="11"/>
      <c r="EA626" s="11"/>
      <c r="EB626" s="11"/>
      <c r="EC626" s="11"/>
      <c r="ED626" s="11"/>
      <c r="EE626" s="11"/>
      <c r="EF626" s="11"/>
      <c r="EG626" s="11"/>
      <c r="EH626" s="11"/>
      <c r="EI626" s="11"/>
      <c r="EJ626" s="11"/>
      <c r="EK626" s="11"/>
      <c r="EL626" s="11"/>
      <c r="EM626" s="11"/>
      <c r="EN626" s="11"/>
      <c r="EO626" s="11"/>
      <c r="EP626" s="11"/>
      <c r="EQ626" s="11"/>
      <c r="ER626" s="11"/>
      <c r="ES626" s="11"/>
      <c r="ET626" s="11"/>
      <c r="EU626" s="11"/>
      <c r="EV626" s="11"/>
      <c r="EW626" s="11"/>
      <c r="EX626" s="11"/>
      <c r="EY626" s="11"/>
      <c r="EZ626" s="11"/>
      <c r="FA626" s="11"/>
      <c r="FB626" s="11"/>
      <c r="FC626" s="11"/>
      <c r="FD626" s="11"/>
      <c r="FE626" s="11"/>
      <c r="FF626" s="11"/>
      <c r="FG626" s="11"/>
      <c r="FH626" s="11"/>
      <c r="FI626" s="11"/>
      <c r="FJ626" s="11"/>
      <c r="FK626" s="11"/>
      <c r="FL626" s="11"/>
      <c r="FM626" s="11"/>
      <c r="FN626" s="11"/>
      <c r="FO626" s="11"/>
      <c r="FP626" s="11"/>
      <c r="FQ626" s="11"/>
      <c r="FR626" s="11"/>
      <c r="FS626" s="11"/>
      <c r="FT626" s="11"/>
      <c r="FU626" s="11"/>
      <c r="FV626" s="11"/>
      <c r="FW626" s="11"/>
      <c r="FX626" s="11"/>
      <c r="FY626" s="11"/>
      <c r="FZ626" s="11"/>
      <c r="GA626" s="11"/>
      <c r="GB626" s="11"/>
      <c r="GC626" s="11"/>
      <c r="GD626" s="11"/>
      <c r="GE626" s="11"/>
      <c r="GF626" s="11"/>
      <c r="GG626" s="11"/>
      <c r="GH626" s="11"/>
      <c r="GI626" s="11"/>
      <c r="GJ626" s="11"/>
      <c r="GK626" s="11"/>
      <c r="GL626" s="11"/>
      <c r="GM626" s="11"/>
      <c r="GN626" s="11"/>
      <c r="GO626" s="11"/>
      <c r="GP626" s="11"/>
      <c r="GQ626" s="11"/>
      <c r="GR626" s="11"/>
      <c r="GS626" s="11"/>
      <c r="GT626" s="11"/>
      <c r="GU626" s="11"/>
      <c r="GV626" s="11"/>
      <c r="GW626" s="11"/>
      <c r="GX626" s="11"/>
      <c r="GY626" s="11"/>
      <c r="GZ626" s="11"/>
      <c r="HA626" s="11"/>
      <c r="HB626" s="11"/>
      <c r="HC626" s="11"/>
      <c r="HD626" s="11"/>
      <c r="HE626" s="11"/>
      <c r="HF626" s="11"/>
      <c r="HG626" s="11"/>
      <c r="HH626" s="11"/>
      <c r="HI626" s="11"/>
      <c r="HJ626" s="11"/>
      <c r="HK626" s="11"/>
      <c r="HL626" s="11"/>
      <c r="HM626" s="11"/>
      <c r="HN626" s="11"/>
      <c r="HO626" s="11"/>
      <c r="HP626" s="11"/>
      <c r="HQ626" s="11"/>
      <c r="HR626" s="11"/>
      <c r="HS626" s="11"/>
      <c r="HT626" s="11"/>
      <c r="HU626" s="11"/>
      <c r="HV626" s="11"/>
      <c r="HW626" s="11"/>
      <c r="HX626" s="11"/>
      <c r="HY626" s="11"/>
      <c r="HZ626" s="11"/>
      <c r="IA626" s="11"/>
      <c r="IB626" s="11"/>
      <c r="IC626" s="11"/>
      <c r="ID626" s="11"/>
      <c r="IE626" s="11"/>
      <c r="IF626" s="11"/>
      <c r="IG626" s="11"/>
      <c r="IH626" s="11"/>
      <c r="II626" s="11"/>
      <c r="IJ626" s="11"/>
      <c r="IK626" s="11"/>
      <c r="IL626" s="11"/>
      <c r="IM626" s="11"/>
      <c r="IN626" s="11"/>
      <c r="IO626" s="11"/>
      <c r="IP626" s="11"/>
      <c r="IQ626" s="11"/>
      <c r="IR626" s="11"/>
      <c r="IS626" s="11"/>
      <c r="IT626" s="11"/>
      <c r="IU626" s="11"/>
      <c r="IV626" s="11"/>
      <c r="IW626" s="11"/>
      <c r="IX626" s="11"/>
      <c r="IY626" s="11"/>
      <c r="IZ626" s="11"/>
      <c r="JA626" s="11"/>
      <c r="JB626" s="11"/>
      <c r="JC626" s="11"/>
      <c r="JD626" s="11"/>
      <c r="JE626" s="11"/>
      <c r="JF626" s="11"/>
      <c r="JG626" s="11"/>
      <c r="JH626" s="11"/>
      <c r="JI626" s="11"/>
      <c r="JJ626" s="11"/>
      <c r="JK626" s="11"/>
      <c r="JL626" s="11"/>
      <c r="JM626" s="11"/>
      <c r="JN626" s="11"/>
      <c r="JO626" s="11"/>
      <c r="JP626" s="11"/>
      <c r="JQ626" s="11"/>
      <c r="JR626" s="11"/>
      <c r="JS626" s="11"/>
      <c r="JT626" s="11"/>
      <c r="JU626" s="11"/>
      <c r="JV626" s="11"/>
      <c r="JW626" s="11"/>
      <c r="JX626" s="11"/>
      <c r="JY626" s="11"/>
      <c r="JZ626" s="11"/>
      <c r="KA626" s="11"/>
      <c r="KB626" s="11"/>
      <c r="KC626" s="11"/>
      <c r="KD626" s="11"/>
      <c r="KE626" s="11"/>
      <c r="KF626" s="11"/>
      <c r="KG626" s="11"/>
      <c r="KH626" s="11"/>
      <c r="KI626" s="11"/>
      <c r="KJ626" s="11"/>
      <c r="KK626" s="11"/>
      <c r="KL626" s="11"/>
      <c r="KM626" s="11"/>
      <c r="KN626" s="11"/>
      <c r="KO626" s="11"/>
      <c r="KP626" s="11"/>
      <c r="KQ626" s="11"/>
      <c r="KR626" s="11"/>
      <c r="KS626" s="11"/>
      <c r="KT626" s="11"/>
      <c r="KU626" s="11"/>
      <c r="KV626" s="11"/>
      <c r="KW626" s="11"/>
      <c r="KX626" s="11"/>
      <c r="KY626" s="11"/>
      <c r="KZ626" s="11"/>
      <c r="LA626" s="11"/>
      <c r="LB626" s="11"/>
      <c r="LC626" s="11"/>
      <c r="LD626" s="11"/>
      <c r="LE626" s="11"/>
      <c r="LF626" s="11"/>
      <c r="LG626" s="11"/>
      <c r="LH626" s="11"/>
      <c r="LI626" s="11"/>
      <c r="LJ626" s="11"/>
      <c r="LK626" s="11"/>
      <c r="LL626" s="11"/>
      <c r="LM626" s="11"/>
      <c r="LN626" s="11"/>
      <c r="LO626" s="11"/>
      <c r="LP626" s="11"/>
      <c r="LQ626" s="11"/>
      <c r="LR626" s="11"/>
      <c r="LS626" s="11"/>
      <c r="LT626" s="11"/>
      <c r="LU626" s="11"/>
      <c r="LV626" s="11"/>
      <c r="LW626" s="11"/>
      <c r="LX626" s="11"/>
      <c r="LY626" s="11"/>
      <c r="LZ626" s="11"/>
      <c r="MA626" s="11"/>
      <c r="MB626" s="11"/>
      <c r="MC626" s="11"/>
      <c r="MD626" s="11"/>
      <c r="ME626" s="11"/>
      <c r="MF626" s="11"/>
      <c r="MG626" s="11"/>
      <c r="MH626" s="11"/>
      <c r="MI626" s="11"/>
      <c r="MJ626" s="11"/>
      <c r="MK626" s="11"/>
      <c r="ML626" s="11"/>
      <c r="MM626" s="11"/>
      <c r="MN626" s="11"/>
      <c r="MO626" s="11"/>
      <c r="MP626" s="11"/>
      <c r="MQ626" s="11"/>
      <c r="MR626" s="11"/>
      <c r="MS626" s="11"/>
      <c r="MT626" s="11"/>
      <c r="MU626" s="11"/>
      <c r="MV626" s="11"/>
      <c r="MW626" s="11"/>
      <c r="MX626" s="11"/>
      <c r="MY626" s="11"/>
      <c r="MZ626" s="11"/>
      <c r="NA626" s="11"/>
      <c r="NB626" s="11"/>
      <c r="NC626" s="11"/>
      <c r="ND626" s="11"/>
      <c r="NE626" s="11"/>
      <c r="NF626" s="11"/>
      <c r="NG626" s="11"/>
      <c r="NH626" s="11"/>
      <c r="NI626" s="11"/>
      <c r="NJ626" s="11"/>
      <c r="NK626" s="11"/>
      <c r="NL626" s="11"/>
      <c r="NM626" s="11"/>
      <c r="NN626" s="11"/>
      <c r="NO626" s="11"/>
      <c r="NP626" s="11"/>
      <c r="NQ626" s="11"/>
      <c r="NR626" s="11"/>
      <c r="NS626" s="11"/>
      <c r="NT626" s="11"/>
      <c r="NU626" s="11"/>
      <c r="NV626" s="11"/>
      <c r="NW626" s="11"/>
      <c r="NX626" s="11"/>
      <c r="NY626" s="11"/>
      <c r="NZ626" s="11"/>
      <c r="OA626" s="11"/>
      <c r="OB626" s="11"/>
      <c r="OC626" s="11"/>
      <c r="OD626" s="11"/>
      <c r="OE626" s="11"/>
      <c r="OF626" s="11"/>
      <c r="OG626" s="11"/>
      <c r="OH626" s="11"/>
      <c r="OI626" s="11"/>
      <c r="OJ626" s="11"/>
      <c r="OK626" s="11"/>
      <c r="OL626" s="11"/>
      <c r="OM626" s="11"/>
      <c r="ON626" s="11"/>
      <c r="OO626" s="11"/>
      <c r="OP626" s="11"/>
      <c r="OQ626" s="11"/>
      <c r="OR626" s="11"/>
      <c r="OS626" s="11"/>
      <c r="OT626" s="11"/>
      <c r="OU626" s="11"/>
      <c r="OV626" s="11"/>
      <c r="OW626" s="11"/>
      <c r="OX626" s="11"/>
      <c r="OY626" s="11"/>
      <c r="OZ626" s="11"/>
      <c r="PA626" s="11"/>
      <c r="PB626" s="11"/>
      <c r="PC626" s="11"/>
      <c r="PD626" s="11"/>
      <c r="PE626" s="11"/>
      <c r="PF626" s="11"/>
      <c r="PG626" s="11"/>
      <c r="PH626" s="11"/>
      <c r="PI626" s="11"/>
      <c r="PJ626" s="11"/>
      <c r="PK626" s="11"/>
      <c r="PL626" s="11"/>
      <c r="PM626" s="11"/>
      <c r="PN626" s="11"/>
      <c r="PO626" s="11"/>
      <c r="PP626" s="11"/>
      <c r="PQ626" s="11"/>
      <c r="PR626" s="11"/>
      <c r="PS626" s="11"/>
      <c r="PT626" s="11"/>
      <c r="PU626" s="11"/>
      <c r="PV626" s="11"/>
      <c r="PW626" s="11"/>
      <c r="PX626" s="11"/>
      <c r="PY626" s="11"/>
      <c r="PZ626" s="11"/>
      <c r="QA626" s="11"/>
      <c r="QB626" s="11"/>
      <c r="QC626" s="11"/>
      <c r="QD626" s="11"/>
      <c r="QE626" s="11"/>
      <c r="QF626" s="11"/>
      <c r="QG626" s="11"/>
      <c r="QH626" s="11"/>
      <c r="QI626" s="11"/>
      <c r="QJ626" s="11"/>
      <c r="QK626" s="11"/>
      <c r="QL626" s="11"/>
      <c r="QM626" s="11"/>
      <c r="QN626" s="11"/>
      <c r="QO626" s="11"/>
      <c r="QP626" s="11"/>
      <c r="QQ626" s="11"/>
      <c r="QR626" s="11"/>
      <c r="QS626" s="11"/>
      <c r="QT626" s="11"/>
      <c r="QU626" s="11"/>
      <c r="QV626" s="11"/>
      <c r="QW626" s="11"/>
      <c r="QX626" s="11"/>
      <c r="QY626" s="11"/>
      <c r="QZ626" s="11"/>
      <c r="RA626" s="11"/>
      <c r="RB626" s="11"/>
      <c r="RC626" s="11"/>
      <c r="RD626" s="11"/>
      <c r="RE626" s="11"/>
      <c r="RF626" s="11"/>
      <c r="RG626" s="11"/>
      <c r="RH626" s="11"/>
      <c r="RI626" s="11"/>
      <c r="RJ626" s="11"/>
      <c r="RK626" s="11"/>
      <c r="RL626" s="11"/>
      <c r="RM626" s="11"/>
      <c r="RN626" s="11"/>
      <c r="RO626" s="11"/>
      <c r="RP626" s="11"/>
      <c r="RQ626" s="11"/>
      <c r="RR626" s="11"/>
      <c r="RS626" s="11"/>
      <c r="RT626" s="11"/>
      <c r="RU626" s="11"/>
      <c r="RV626" s="11"/>
      <c r="RW626" s="11"/>
      <c r="RX626" s="11"/>
      <c r="RY626" s="11"/>
      <c r="RZ626" s="11"/>
      <c r="SA626" s="11"/>
      <c r="SB626" s="11"/>
      <c r="SC626" s="11"/>
      <c r="SD626" s="11"/>
      <c r="SE626" s="11"/>
      <c r="SF626" s="11"/>
      <c r="SG626" s="11"/>
      <c r="SH626" s="11"/>
      <c r="SI626" s="11"/>
      <c r="SJ626" s="11"/>
      <c r="SK626" s="11"/>
      <c r="SL626" s="11"/>
      <c r="SM626" s="11"/>
      <c r="SN626" s="11"/>
      <c r="SO626" s="11"/>
      <c r="SP626" s="11"/>
      <c r="SQ626" s="11"/>
      <c r="SR626" s="11"/>
      <c r="SS626" s="11"/>
      <c r="ST626" s="11"/>
      <c r="SU626" s="11"/>
      <c r="SV626" s="11"/>
      <c r="SW626" s="11"/>
      <c r="SX626" s="11"/>
      <c r="SY626" s="11"/>
      <c r="SZ626" s="11"/>
      <c r="TA626" s="11"/>
      <c r="TB626" s="11"/>
      <c r="TC626" s="11"/>
      <c r="TD626" s="11"/>
      <c r="TE626" s="11"/>
      <c r="TF626" s="11"/>
      <c r="TG626" s="11"/>
      <c r="TH626" s="11"/>
      <c r="TI626" s="11"/>
      <c r="TJ626" s="11"/>
      <c r="TK626" s="11"/>
      <c r="TL626" s="11"/>
      <c r="TM626" s="11"/>
      <c r="TN626" s="11"/>
      <c r="TO626" s="11"/>
      <c r="TP626" s="11"/>
      <c r="TQ626" s="11"/>
      <c r="TR626" s="11"/>
      <c r="TS626" s="11"/>
      <c r="TT626" s="11"/>
      <c r="TU626" s="11"/>
      <c r="TV626" s="11"/>
      <c r="TW626" s="11"/>
      <c r="TX626" s="11"/>
      <c r="TY626" s="11"/>
      <c r="TZ626" s="11"/>
      <c r="UA626" s="11"/>
      <c r="UB626" s="11"/>
      <c r="UC626" s="11"/>
      <c r="UD626" s="11"/>
      <c r="UE626" s="11"/>
      <c r="UF626" s="11"/>
      <c r="UG626" s="11"/>
      <c r="UH626" s="11"/>
      <c r="UI626" s="11"/>
      <c r="UJ626" s="11"/>
      <c r="UK626" s="11"/>
      <c r="UL626" s="11"/>
      <c r="UM626" s="11"/>
      <c r="UN626" s="11"/>
      <c r="UO626" s="11"/>
      <c r="UP626" s="11"/>
      <c r="UQ626" s="11"/>
      <c r="UR626" s="11"/>
      <c r="US626" s="11"/>
      <c r="UT626" s="11"/>
      <c r="UU626" s="11"/>
      <c r="UV626" s="11"/>
      <c r="UW626" s="11"/>
      <c r="UX626" s="11"/>
      <c r="UY626" s="11"/>
      <c r="UZ626" s="11"/>
      <c r="VA626" s="11"/>
      <c r="VB626" s="11"/>
      <c r="VC626" s="11"/>
      <c r="VD626" s="11"/>
      <c r="VE626" s="11"/>
      <c r="VF626" s="11"/>
      <c r="VG626" s="11"/>
      <c r="VH626" s="11"/>
      <c r="VI626" s="11"/>
      <c r="VJ626" s="11"/>
      <c r="VK626" s="11"/>
      <c r="VL626" s="11"/>
      <c r="VM626" s="11"/>
      <c r="VN626" s="11"/>
      <c r="VO626" s="11"/>
      <c r="VP626" s="11"/>
      <c r="VQ626" s="11"/>
      <c r="VR626" s="11"/>
      <c r="VS626" s="11"/>
      <c r="VT626" s="11"/>
      <c r="VU626" s="11"/>
      <c r="VV626" s="11"/>
      <c r="VW626" s="11"/>
      <c r="VX626" s="11"/>
      <c r="VY626" s="11"/>
      <c r="VZ626" s="11"/>
      <c r="WA626" s="11"/>
      <c r="WB626" s="11"/>
      <c r="WC626" s="11"/>
      <c r="WD626" s="11"/>
      <c r="WE626" s="11"/>
      <c r="WF626" s="11"/>
      <c r="WG626" s="11"/>
      <c r="WH626" s="11"/>
      <c r="WI626" s="11"/>
      <c r="WJ626" s="11"/>
      <c r="WK626" s="11"/>
      <c r="WL626" s="11"/>
      <c r="WM626" s="11"/>
      <c r="WN626" s="11"/>
      <c r="WO626" s="11"/>
      <c r="WP626" s="11"/>
      <c r="WQ626" s="11"/>
      <c r="WR626" s="11"/>
      <c r="WS626" s="11"/>
      <c r="WT626" s="11"/>
      <c r="WU626" s="11"/>
      <c r="WV626" s="11"/>
      <c r="WW626" s="11"/>
      <c r="WX626" s="11"/>
      <c r="WY626" s="11"/>
      <c r="WZ626" s="11"/>
      <c r="XA626" s="11"/>
      <c r="XB626" s="11"/>
      <c r="XC626" s="11"/>
      <c r="XD626" s="11"/>
      <c r="XE626" s="11"/>
      <c r="XF626" s="11"/>
      <c r="XG626" s="11"/>
      <c r="XH626" s="11"/>
      <c r="XI626" s="11"/>
      <c r="XJ626" s="11"/>
      <c r="XK626" s="11"/>
      <c r="XL626" s="11"/>
      <c r="XM626" s="11"/>
      <c r="XN626" s="11"/>
      <c r="XO626" s="11"/>
      <c r="XP626" s="11"/>
      <c r="XQ626" s="11"/>
      <c r="XR626" s="11"/>
      <c r="XS626" s="11"/>
      <c r="XT626" s="11"/>
      <c r="XU626" s="11"/>
      <c r="XV626" s="11"/>
      <c r="XW626" s="11"/>
      <c r="XX626" s="11"/>
      <c r="XY626" s="11"/>
      <c r="XZ626" s="11"/>
      <c r="YA626" s="11"/>
      <c r="YB626" s="11"/>
      <c r="YC626" s="11"/>
      <c r="YD626" s="11"/>
      <c r="YE626" s="11"/>
      <c r="YF626" s="11"/>
      <c r="YG626" s="11"/>
      <c r="YH626" s="11"/>
      <c r="YI626" s="11"/>
      <c r="YJ626" s="11"/>
      <c r="YK626" s="11"/>
      <c r="YL626" s="11"/>
      <c r="YM626" s="11"/>
      <c r="YN626" s="11"/>
      <c r="YO626" s="11"/>
      <c r="YP626" s="11"/>
      <c r="YQ626" s="11"/>
      <c r="YR626" s="11"/>
      <c r="YS626" s="11"/>
      <c r="YT626" s="11"/>
      <c r="YU626" s="11"/>
      <c r="YV626" s="11"/>
      <c r="YW626" s="11"/>
      <c r="YX626" s="11"/>
      <c r="YY626" s="11"/>
      <c r="YZ626" s="11"/>
      <c r="ZA626" s="11"/>
      <c r="ZB626" s="11"/>
      <c r="ZC626" s="11"/>
      <c r="ZD626" s="11"/>
      <c r="ZE626" s="11"/>
      <c r="ZF626" s="11"/>
      <c r="ZG626" s="11"/>
      <c r="ZH626" s="11"/>
      <c r="ZI626" s="11"/>
      <c r="ZJ626" s="11"/>
      <c r="ZK626" s="11"/>
      <c r="ZL626" s="11"/>
      <c r="ZM626" s="11"/>
      <c r="ZN626" s="11"/>
      <c r="ZO626" s="11"/>
      <c r="ZP626" s="11"/>
      <c r="ZQ626" s="11"/>
      <c r="ZR626" s="11"/>
      <c r="ZS626" s="11"/>
      <c r="ZT626" s="11"/>
      <c r="ZU626" s="11"/>
      <c r="ZV626" s="11"/>
      <c r="ZW626" s="11"/>
      <c r="ZX626" s="11"/>
      <c r="ZY626" s="11"/>
      <c r="ZZ626" s="11"/>
      <c r="AAA626" s="11"/>
      <c r="AAB626" s="11"/>
      <c r="AAC626" s="11"/>
      <c r="AAD626" s="11"/>
      <c r="AAE626" s="11"/>
      <c r="AAF626" s="11"/>
      <c r="AAG626" s="11"/>
      <c r="AAH626" s="11"/>
      <c r="AAI626" s="11"/>
      <c r="AAJ626" s="11"/>
      <c r="AAK626" s="11"/>
      <c r="AAL626" s="11"/>
      <c r="AAM626" s="11"/>
      <c r="AAN626" s="11"/>
      <c r="AAO626" s="11"/>
      <c r="AAP626" s="11"/>
      <c r="AAQ626" s="11"/>
      <c r="AAR626" s="11"/>
      <c r="AAS626" s="11"/>
      <c r="AAT626" s="11"/>
      <c r="AAU626" s="11"/>
      <c r="AAV626" s="11"/>
      <c r="AAW626" s="11"/>
      <c r="AAX626" s="11"/>
      <c r="AAY626" s="11"/>
      <c r="AAZ626" s="11"/>
      <c r="ABA626" s="11"/>
      <c r="ABB626" s="11"/>
      <c r="ABC626" s="11"/>
      <c r="ABD626" s="11"/>
      <c r="ABE626" s="11"/>
      <c r="ABF626" s="11"/>
      <c r="ABG626" s="11"/>
      <c r="ABH626" s="11"/>
      <c r="ABI626" s="11"/>
      <c r="ABJ626" s="11"/>
      <c r="ABK626" s="11"/>
      <c r="ABL626" s="11"/>
      <c r="ABM626" s="11"/>
      <c r="ABN626" s="11"/>
      <c r="ABO626" s="11"/>
      <c r="ABP626" s="11"/>
      <c r="ABQ626" s="11"/>
      <c r="ABR626" s="11"/>
      <c r="ABS626" s="11"/>
      <c r="ABT626" s="11"/>
      <c r="ABU626" s="11"/>
      <c r="ABV626" s="11"/>
      <c r="ABW626" s="11"/>
      <c r="ABX626" s="11"/>
      <c r="ABY626" s="11"/>
      <c r="ABZ626" s="11"/>
      <c r="ACA626" s="11"/>
      <c r="ACB626" s="11"/>
      <c r="ACC626" s="11"/>
      <c r="ACD626" s="11"/>
      <c r="ACE626" s="11"/>
      <c r="ACF626" s="11"/>
      <c r="ACG626" s="11"/>
      <c r="ACH626" s="11"/>
      <c r="ACI626" s="11"/>
      <c r="ACJ626" s="11"/>
      <c r="ACK626" s="11"/>
      <c r="ACL626" s="11"/>
      <c r="ACM626" s="11"/>
      <c r="ACN626" s="11"/>
      <c r="ACO626" s="11"/>
      <c r="ACP626" s="11"/>
      <c r="ACQ626" s="11"/>
      <c r="ACR626" s="11"/>
      <c r="ACS626" s="11"/>
      <c r="ACT626" s="11"/>
      <c r="ACU626" s="11"/>
      <c r="ACV626" s="11"/>
      <c r="ACW626" s="11"/>
      <c r="ACX626" s="11"/>
      <c r="ACY626" s="11"/>
      <c r="ACZ626" s="11"/>
      <c r="ADA626" s="11"/>
      <c r="ADB626" s="11"/>
      <c r="ADC626" s="11"/>
      <c r="ADD626" s="11"/>
      <c r="ADE626" s="11"/>
      <c r="ADF626" s="11"/>
      <c r="ADG626" s="11"/>
      <c r="ADH626" s="11"/>
      <c r="ADI626" s="11"/>
      <c r="ADJ626" s="11"/>
      <c r="ADK626" s="11"/>
      <c r="ADL626" s="11"/>
      <c r="ADM626" s="11"/>
      <c r="ADN626" s="11"/>
      <c r="ADO626" s="11"/>
      <c r="ADP626" s="11"/>
      <c r="ADQ626" s="11"/>
      <c r="ADR626" s="11"/>
      <c r="ADS626" s="11"/>
      <c r="ADT626" s="11"/>
      <c r="ADU626" s="11"/>
      <c r="ADV626" s="11"/>
      <c r="ADW626" s="11"/>
      <c r="ADX626" s="11"/>
      <c r="ADY626" s="11"/>
      <c r="ADZ626" s="11"/>
      <c r="AEA626" s="11"/>
      <c r="AEB626" s="11"/>
      <c r="AEC626" s="11"/>
      <c r="AED626" s="11"/>
      <c r="AEE626" s="11"/>
      <c r="AEF626" s="11"/>
      <c r="AEG626" s="11"/>
      <c r="AEH626" s="11"/>
      <c r="AEI626" s="11"/>
      <c r="AEJ626" s="11"/>
      <c r="AEK626" s="11"/>
      <c r="AEL626" s="11"/>
      <c r="AEM626" s="11"/>
      <c r="AEN626" s="11"/>
      <c r="AEO626" s="11"/>
      <c r="AEP626" s="11"/>
      <c r="AEQ626" s="11"/>
      <c r="AER626" s="11"/>
      <c r="AES626" s="11"/>
      <c r="AET626" s="11"/>
      <c r="AEU626" s="11"/>
      <c r="AEV626" s="11"/>
      <c r="AEW626" s="11"/>
      <c r="AEX626" s="11"/>
      <c r="AEY626" s="11"/>
      <c r="AEZ626" s="11"/>
      <c r="AFA626" s="11"/>
      <c r="AFB626" s="11"/>
      <c r="AFC626" s="11"/>
      <c r="AFD626" s="11"/>
      <c r="AFE626" s="11"/>
      <c r="AFF626" s="11"/>
      <c r="AFG626" s="11"/>
      <c r="AFH626" s="11"/>
      <c r="AFI626" s="11"/>
      <c r="AFJ626" s="11"/>
      <c r="AFK626" s="11"/>
      <c r="AFL626" s="11"/>
      <c r="AFM626" s="11"/>
      <c r="AFN626" s="11"/>
      <c r="AFO626" s="11"/>
      <c r="AFP626" s="11"/>
      <c r="AFQ626" s="11"/>
      <c r="AFR626" s="11"/>
      <c r="AFS626" s="11"/>
      <c r="AFT626" s="11"/>
      <c r="AFU626" s="11"/>
      <c r="AFV626" s="11"/>
      <c r="AFW626" s="11"/>
      <c r="AFX626" s="11"/>
      <c r="AFY626" s="11"/>
      <c r="AFZ626" s="11"/>
      <c r="AGA626" s="11"/>
      <c r="AGB626" s="11"/>
      <c r="AGC626" s="11"/>
      <c r="AGD626" s="11"/>
      <c r="AGE626" s="11"/>
      <c r="AGF626" s="11"/>
      <c r="AGG626" s="11"/>
      <c r="AGH626" s="11"/>
      <c r="AGI626" s="11"/>
      <c r="AGJ626" s="11"/>
      <c r="AGK626" s="11"/>
      <c r="AGL626" s="11"/>
      <c r="AGM626" s="11"/>
      <c r="AGN626" s="11"/>
      <c r="AGO626" s="11"/>
      <c r="AGP626" s="11"/>
      <c r="AGQ626" s="11"/>
      <c r="AGR626" s="11"/>
      <c r="AGS626" s="11"/>
      <c r="AGT626" s="11"/>
      <c r="AGU626" s="11"/>
      <c r="AGV626" s="11"/>
      <c r="AGW626" s="11"/>
      <c r="AGX626" s="11"/>
      <c r="AGY626" s="11"/>
      <c r="AGZ626" s="11"/>
      <c r="AHA626" s="11"/>
      <c r="AHB626" s="11"/>
      <c r="AHC626" s="11"/>
      <c r="AHD626" s="11"/>
      <c r="AHE626" s="11"/>
      <c r="AHF626" s="11"/>
      <c r="AHG626" s="11"/>
      <c r="AHH626" s="11"/>
      <c r="AHI626" s="11"/>
      <c r="AHJ626" s="11"/>
      <c r="AHK626" s="11"/>
      <c r="AHL626" s="11"/>
      <c r="AHM626" s="11"/>
      <c r="AHN626" s="11"/>
      <c r="AHO626" s="11"/>
      <c r="AHP626" s="11"/>
      <c r="AHQ626" s="11"/>
      <c r="AHR626" s="11"/>
      <c r="AHS626" s="11"/>
      <c r="AHT626" s="11"/>
      <c r="AHU626" s="11"/>
      <c r="AHV626" s="11"/>
      <c r="AHW626" s="11"/>
      <c r="AHX626" s="11"/>
      <c r="AHY626" s="11"/>
      <c r="AHZ626" s="11"/>
      <c r="AIA626" s="11"/>
      <c r="AIB626" s="11"/>
      <c r="AIC626" s="11"/>
      <c r="AID626" s="11"/>
      <c r="AIE626" s="11"/>
      <c r="AIF626" s="11"/>
      <c r="AIG626" s="11"/>
      <c r="AIH626" s="11"/>
      <c r="AII626" s="11"/>
      <c r="AIJ626" s="11"/>
      <c r="AIK626" s="11"/>
      <c r="AIL626" s="11"/>
      <c r="AIM626" s="11"/>
      <c r="AIN626" s="11"/>
      <c r="AIO626" s="11"/>
      <c r="AIP626" s="11"/>
      <c r="AIQ626" s="11"/>
      <c r="AIR626" s="11"/>
      <c r="AIS626" s="11"/>
      <c r="AIT626" s="11"/>
      <c r="AIU626" s="11"/>
      <c r="AIV626" s="11"/>
      <c r="AIW626" s="11"/>
      <c r="AIX626" s="11"/>
      <c r="AIY626" s="11"/>
      <c r="AIZ626" s="11"/>
      <c r="AJA626" s="11"/>
      <c r="AJB626" s="11"/>
      <c r="AJC626" s="11"/>
      <c r="AJD626" s="11"/>
      <c r="AJE626" s="11"/>
      <c r="AJF626" s="11"/>
      <c r="AJG626" s="11"/>
      <c r="AJH626" s="11"/>
      <c r="AJI626" s="11"/>
      <c r="AJJ626" s="11"/>
      <c r="AJK626" s="11"/>
      <c r="AJL626" s="11"/>
      <c r="AJM626" s="11"/>
      <c r="AJN626" s="11"/>
      <c r="AJO626" s="11"/>
      <c r="AJP626" s="11"/>
      <c r="AJQ626" s="11"/>
      <c r="AJR626" s="11"/>
      <c r="AJS626" s="11"/>
      <c r="AJT626" s="11"/>
      <c r="AJU626" s="11"/>
      <c r="AJV626" s="11"/>
      <c r="AJW626" s="11"/>
      <c r="AJX626" s="11"/>
      <c r="AJY626" s="11"/>
      <c r="AJZ626" s="11"/>
      <c r="AKA626" s="11"/>
      <c r="AKB626" s="11"/>
      <c r="AKC626" s="11"/>
      <c r="AKD626" s="11"/>
      <c r="AKE626" s="11"/>
      <c r="AKF626" s="11"/>
      <c r="AKG626" s="11"/>
      <c r="AKH626" s="11"/>
      <c r="AKI626" s="11"/>
      <c r="AKJ626" s="11"/>
      <c r="AKK626" s="11"/>
      <c r="AKL626" s="11"/>
      <c r="AKM626" s="11"/>
      <c r="AKN626" s="11"/>
      <c r="AKO626" s="11"/>
      <c r="AKP626" s="11"/>
      <c r="AKQ626" s="11"/>
      <c r="AKR626" s="11"/>
      <c r="AKS626" s="11"/>
      <c r="AKT626" s="11"/>
      <c r="AKU626" s="11"/>
      <c r="AKV626" s="11"/>
      <c r="AKW626" s="11"/>
      <c r="AKX626" s="11"/>
      <c r="AKY626" s="11"/>
      <c r="AKZ626" s="11"/>
      <c r="ALA626" s="11"/>
      <c r="ALB626" s="11"/>
      <c r="ALC626" s="11"/>
      <c r="ALD626" s="11"/>
      <c r="ALE626" s="11"/>
      <c r="ALF626" s="11"/>
      <c r="ALG626" s="11"/>
      <c r="ALH626" s="11"/>
      <c r="ALI626" s="11"/>
      <c r="ALJ626" s="11"/>
      <c r="ALK626" s="11"/>
      <c r="ALL626" s="11"/>
      <c r="ALM626" s="11"/>
      <c r="ALN626" s="11"/>
      <c r="ALO626" s="11"/>
      <c r="ALP626" s="11"/>
      <c r="ALQ626" s="11"/>
      <c r="ALR626" s="11"/>
      <c r="ALS626" s="11"/>
      <c r="ALT626" s="11"/>
      <c r="ALU626" s="11"/>
      <c r="ALV626" s="11"/>
      <c r="ALW626" s="11"/>
      <c r="ALX626" s="11"/>
      <c r="ALY626" s="11"/>
      <c r="ALZ626" s="11"/>
      <c r="AMA626" s="11"/>
      <c r="AMB626" s="11"/>
      <c r="AMC626" s="11"/>
      <c r="AMD626" s="11"/>
      <c r="AME626" s="11"/>
      <c r="AMF626" s="11"/>
      <c r="AMG626" s="11"/>
      <c r="AMH626" s="11"/>
      <c r="AMI626" s="11"/>
      <c r="AMJ626" s="11"/>
    </row>
    <row r="627" spans="1:1024">
      <c r="A627" s="7" t="s">
        <v>631</v>
      </c>
      <c r="B627" s="7">
        <v>459115</v>
      </c>
      <c r="D627" s="1">
        <v>0</v>
      </c>
      <c r="E627" s="8">
        <f>VLOOKUP(B627,Gesamtstunden_26!B:I,8,0)</f>
        <v>4.166666666666667</v>
      </c>
      <c r="F627" s="2">
        <f t="shared" si="9"/>
        <v>-4.166666666666667</v>
      </c>
    </row>
    <row r="628" spans="1:1024">
      <c r="A628" s="10" t="s">
        <v>632</v>
      </c>
      <c r="B628" s="10">
        <v>269049</v>
      </c>
      <c r="D628" s="1">
        <v>0</v>
      </c>
      <c r="E628" s="8">
        <f>VLOOKUP(B628,Gesamtstunden_26!B:I,8,0)</f>
        <v>5.666666666666667</v>
      </c>
      <c r="F628" s="2">
        <f t="shared" si="9"/>
        <v>-5.666666666666667</v>
      </c>
    </row>
    <row r="629" spans="1:1024">
      <c r="A629" s="8" t="s">
        <v>633</v>
      </c>
      <c r="B629" s="8">
        <v>746677</v>
      </c>
      <c r="D629" s="1">
        <v>14</v>
      </c>
      <c r="E629" s="8">
        <f>VLOOKUP(B629,Gesamtstunden_26!B:I,8,0)</f>
        <v>0</v>
      </c>
      <c r="F629" s="2">
        <f t="shared" si="9"/>
        <v>14</v>
      </c>
    </row>
    <row r="630" spans="1:1024" ht="27.6">
      <c r="A630" s="8" t="s">
        <v>634</v>
      </c>
      <c r="B630" s="8">
        <v>109211</v>
      </c>
      <c r="D630" s="1">
        <v>14.5</v>
      </c>
      <c r="E630" s="8">
        <f>VLOOKUP(B630,Gesamtstunden_26!B:I,8,0)</f>
        <v>0</v>
      </c>
      <c r="F630" s="2">
        <f t="shared" si="9"/>
        <v>14.5</v>
      </c>
    </row>
    <row r="631" spans="1:1024" s="11" customFormat="1">
      <c r="A631" s="8" t="s">
        <v>635</v>
      </c>
      <c r="B631" s="8">
        <v>766550</v>
      </c>
      <c r="C631"/>
      <c r="D631" s="1">
        <v>8</v>
      </c>
      <c r="E631" s="8">
        <f>VLOOKUP(B631,Gesamtstunden_26!B:I,8,0)</f>
        <v>0</v>
      </c>
      <c r="F631" s="2">
        <f t="shared" si="9"/>
        <v>8</v>
      </c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  <c r="BF631"/>
      <c r="BG631"/>
      <c r="BH631"/>
      <c r="BI631"/>
      <c r="BJ631"/>
      <c r="BK631"/>
      <c r="BL631"/>
      <c r="BM631"/>
      <c r="BN631"/>
      <c r="BO631"/>
      <c r="BP631"/>
      <c r="BQ631"/>
      <c r="BR631"/>
      <c r="BS631"/>
      <c r="BT631"/>
      <c r="BU631"/>
      <c r="BV631"/>
      <c r="BW631"/>
      <c r="BX631"/>
      <c r="BY631"/>
      <c r="BZ631"/>
      <c r="CA631"/>
      <c r="CB631"/>
      <c r="CC631"/>
      <c r="CD631"/>
      <c r="CE631"/>
      <c r="CF631"/>
      <c r="CG631"/>
      <c r="CH631"/>
      <c r="CI631"/>
      <c r="CJ631"/>
      <c r="CK631"/>
      <c r="CL631"/>
      <c r="CM631"/>
      <c r="CN631"/>
      <c r="CO631"/>
      <c r="CP631"/>
      <c r="CQ631"/>
      <c r="CR631"/>
      <c r="CS631"/>
      <c r="CT631"/>
      <c r="CU631"/>
      <c r="CV631"/>
      <c r="CW631"/>
      <c r="CX631"/>
      <c r="CY631"/>
      <c r="CZ631"/>
      <c r="DA631"/>
      <c r="DB631"/>
      <c r="DC631"/>
      <c r="DD631"/>
      <c r="DE631"/>
      <c r="DF631"/>
      <c r="DG631"/>
      <c r="DH631"/>
      <c r="DI631"/>
      <c r="DJ631"/>
      <c r="DK631"/>
      <c r="DL631"/>
      <c r="DM631"/>
      <c r="DN631"/>
      <c r="DO631"/>
      <c r="DP631"/>
      <c r="DQ631"/>
      <c r="DR631"/>
      <c r="DS631"/>
      <c r="DT631"/>
      <c r="DU631"/>
      <c r="DV631"/>
      <c r="DW631"/>
      <c r="DX631"/>
      <c r="DY631"/>
      <c r="DZ631"/>
      <c r="EA631"/>
      <c r="EB631"/>
      <c r="EC631"/>
      <c r="ED631"/>
      <c r="EE631"/>
      <c r="EF631"/>
      <c r="EG631"/>
      <c r="EH631"/>
      <c r="EI631"/>
      <c r="EJ631"/>
      <c r="EK631"/>
      <c r="EL631"/>
      <c r="EM631"/>
      <c r="EN631"/>
      <c r="EO631"/>
      <c r="EP631"/>
      <c r="EQ631"/>
      <c r="ER631"/>
      <c r="ES631"/>
      <c r="ET631"/>
      <c r="EU631"/>
      <c r="EV631"/>
      <c r="EW631"/>
      <c r="EX631"/>
      <c r="EY631"/>
      <c r="EZ631"/>
      <c r="FA631"/>
      <c r="FB631"/>
      <c r="FC631"/>
      <c r="FD631"/>
      <c r="FE631"/>
      <c r="FF631"/>
      <c r="FG631"/>
      <c r="FH631"/>
      <c r="FI631"/>
      <c r="FJ631"/>
      <c r="FK631"/>
      <c r="FL631"/>
      <c r="FM631"/>
      <c r="FN631"/>
      <c r="FO631"/>
      <c r="FP631"/>
      <c r="FQ631"/>
      <c r="FR631"/>
      <c r="FS631"/>
      <c r="FT631"/>
      <c r="FU631"/>
      <c r="FV631"/>
      <c r="FW631"/>
      <c r="FX631"/>
      <c r="FY631"/>
      <c r="FZ631"/>
      <c r="GA631"/>
      <c r="GB631"/>
      <c r="GC631"/>
      <c r="GD631"/>
      <c r="GE631"/>
      <c r="GF631"/>
      <c r="GG631"/>
      <c r="GH631"/>
      <c r="GI631"/>
      <c r="GJ631"/>
      <c r="GK631"/>
      <c r="GL631"/>
      <c r="GM631"/>
      <c r="GN631"/>
      <c r="GO631"/>
      <c r="GP631"/>
      <c r="GQ631"/>
      <c r="GR631"/>
      <c r="GS631"/>
      <c r="GT631"/>
      <c r="GU631"/>
      <c r="GV631"/>
      <c r="GW631"/>
      <c r="GX631"/>
      <c r="GY631"/>
      <c r="GZ631"/>
      <c r="HA631"/>
      <c r="HB631"/>
      <c r="HC631"/>
      <c r="HD631"/>
      <c r="HE631"/>
      <c r="HF631"/>
      <c r="HG631"/>
      <c r="HH631"/>
      <c r="HI631"/>
      <c r="HJ631"/>
      <c r="HK631"/>
      <c r="HL631"/>
      <c r="HM631"/>
      <c r="HN631"/>
      <c r="HO631"/>
      <c r="HP631"/>
      <c r="HQ631"/>
      <c r="HR631"/>
      <c r="HS631"/>
      <c r="HT631"/>
      <c r="HU631"/>
      <c r="HV631"/>
      <c r="HW631"/>
      <c r="HX631"/>
      <c r="HY631"/>
      <c r="HZ631"/>
      <c r="IA631"/>
      <c r="IB631"/>
      <c r="IC631"/>
      <c r="ID631"/>
      <c r="IE631"/>
      <c r="IF631"/>
      <c r="IG631"/>
      <c r="IH631"/>
      <c r="II631"/>
      <c r="IJ631"/>
      <c r="IK631"/>
      <c r="IL631"/>
      <c r="IM631"/>
      <c r="IN631"/>
      <c r="IO631"/>
      <c r="IP631"/>
      <c r="IQ631"/>
      <c r="IR631"/>
      <c r="IS631"/>
      <c r="IT631"/>
      <c r="IU631"/>
      <c r="IV631"/>
      <c r="IW631"/>
      <c r="IX631"/>
      <c r="IY631"/>
      <c r="IZ631"/>
      <c r="JA631"/>
      <c r="JB631"/>
      <c r="JC631"/>
      <c r="JD631"/>
      <c r="JE631"/>
      <c r="JF631"/>
      <c r="JG631"/>
      <c r="JH631"/>
      <c r="JI631"/>
      <c r="JJ631"/>
      <c r="JK631"/>
      <c r="JL631"/>
      <c r="JM631"/>
      <c r="JN631"/>
      <c r="JO631"/>
      <c r="JP631"/>
      <c r="JQ631"/>
      <c r="JR631"/>
      <c r="JS631"/>
      <c r="JT631"/>
      <c r="JU631"/>
      <c r="JV631"/>
      <c r="JW631"/>
      <c r="JX631"/>
      <c r="JY631"/>
      <c r="JZ631"/>
      <c r="KA631"/>
      <c r="KB631"/>
      <c r="KC631"/>
      <c r="KD631"/>
      <c r="KE631"/>
      <c r="KF631"/>
      <c r="KG631"/>
      <c r="KH631"/>
      <c r="KI631"/>
      <c r="KJ631"/>
      <c r="KK631"/>
      <c r="KL631"/>
      <c r="KM631"/>
      <c r="KN631"/>
      <c r="KO631"/>
      <c r="KP631"/>
      <c r="KQ631"/>
      <c r="KR631"/>
      <c r="KS631"/>
      <c r="KT631"/>
      <c r="KU631"/>
      <c r="KV631"/>
      <c r="KW631"/>
      <c r="KX631"/>
      <c r="KY631"/>
      <c r="KZ631"/>
      <c r="LA631"/>
      <c r="LB631"/>
      <c r="LC631"/>
      <c r="LD631"/>
      <c r="LE631"/>
      <c r="LF631"/>
      <c r="LG631"/>
      <c r="LH631"/>
      <c r="LI631"/>
      <c r="LJ631"/>
      <c r="LK631"/>
      <c r="LL631"/>
      <c r="LM631"/>
      <c r="LN631"/>
      <c r="LO631"/>
      <c r="LP631"/>
      <c r="LQ631"/>
      <c r="LR631"/>
      <c r="LS631"/>
      <c r="LT631"/>
      <c r="LU631"/>
      <c r="LV631"/>
      <c r="LW631"/>
      <c r="LX631"/>
      <c r="LY631"/>
      <c r="LZ631"/>
      <c r="MA631"/>
      <c r="MB631"/>
      <c r="MC631"/>
      <c r="MD631"/>
      <c r="ME631"/>
      <c r="MF631"/>
      <c r="MG631"/>
      <c r="MH631"/>
      <c r="MI631"/>
      <c r="MJ631"/>
      <c r="MK631"/>
      <c r="ML631"/>
      <c r="MM631"/>
      <c r="MN631"/>
      <c r="MO631"/>
      <c r="MP631"/>
      <c r="MQ631"/>
      <c r="MR631"/>
      <c r="MS631"/>
      <c r="MT631"/>
      <c r="MU631"/>
      <c r="MV631"/>
      <c r="MW631"/>
      <c r="MX631"/>
      <c r="MY631"/>
      <c r="MZ631"/>
      <c r="NA631"/>
      <c r="NB631"/>
      <c r="NC631"/>
      <c r="ND631"/>
      <c r="NE631"/>
      <c r="NF631"/>
      <c r="NG631"/>
      <c r="NH631"/>
      <c r="NI631"/>
      <c r="NJ631"/>
      <c r="NK631"/>
      <c r="NL631"/>
      <c r="NM631"/>
      <c r="NN631"/>
      <c r="NO631"/>
      <c r="NP631"/>
      <c r="NQ631"/>
      <c r="NR631"/>
      <c r="NS631"/>
      <c r="NT631"/>
      <c r="NU631"/>
      <c r="NV631"/>
      <c r="NW631"/>
      <c r="NX631"/>
      <c r="NY631"/>
      <c r="NZ631"/>
      <c r="OA631"/>
      <c r="OB631"/>
      <c r="OC631"/>
      <c r="OD631"/>
      <c r="OE631"/>
      <c r="OF631"/>
      <c r="OG631"/>
      <c r="OH631"/>
      <c r="OI631"/>
      <c r="OJ631"/>
      <c r="OK631"/>
      <c r="OL631"/>
      <c r="OM631"/>
      <c r="ON631"/>
      <c r="OO631"/>
      <c r="OP631"/>
      <c r="OQ631"/>
      <c r="OR631"/>
      <c r="OS631"/>
      <c r="OT631"/>
      <c r="OU631"/>
      <c r="OV631"/>
      <c r="OW631"/>
      <c r="OX631"/>
      <c r="OY631"/>
      <c r="OZ631"/>
      <c r="PA631"/>
      <c r="PB631"/>
      <c r="PC631"/>
      <c r="PD631"/>
      <c r="PE631"/>
      <c r="PF631"/>
      <c r="PG631"/>
      <c r="PH631"/>
      <c r="PI631"/>
      <c r="PJ631"/>
      <c r="PK631"/>
      <c r="PL631"/>
      <c r="PM631"/>
      <c r="PN631"/>
      <c r="PO631"/>
      <c r="PP631"/>
      <c r="PQ631"/>
      <c r="PR631"/>
      <c r="PS631"/>
      <c r="PT631"/>
      <c r="PU631"/>
      <c r="PV631"/>
      <c r="PW631"/>
      <c r="PX631"/>
      <c r="PY631"/>
      <c r="PZ631"/>
      <c r="QA631"/>
      <c r="QB631"/>
      <c r="QC631"/>
      <c r="QD631"/>
      <c r="QE631"/>
      <c r="QF631"/>
      <c r="QG631"/>
      <c r="QH631"/>
      <c r="QI631"/>
      <c r="QJ631"/>
      <c r="QK631"/>
      <c r="QL631"/>
      <c r="QM631"/>
      <c r="QN631"/>
      <c r="QO631"/>
      <c r="QP631"/>
      <c r="QQ631"/>
      <c r="QR631"/>
      <c r="QS631"/>
      <c r="QT631"/>
      <c r="QU631"/>
      <c r="QV631"/>
      <c r="QW631"/>
      <c r="QX631"/>
      <c r="QY631"/>
      <c r="QZ631"/>
      <c r="RA631"/>
      <c r="RB631"/>
      <c r="RC631"/>
      <c r="RD631"/>
      <c r="RE631"/>
      <c r="RF631"/>
      <c r="RG631"/>
      <c r="RH631"/>
      <c r="RI631"/>
      <c r="RJ631"/>
      <c r="RK631"/>
      <c r="RL631"/>
      <c r="RM631"/>
      <c r="RN631"/>
      <c r="RO631"/>
      <c r="RP631"/>
      <c r="RQ631"/>
      <c r="RR631"/>
      <c r="RS631"/>
      <c r="RT631"/>
      <c r="RU631"/>
      <c r="RV631"/>
      <c r="RW631"/>
      <c r="RX631"/>
      <c r="RY631"/>
      <c r="RZ631"/>
      <c r="SA631"/>
      <c r="SB631"/>
      <c r="SC631"/>
      <c r="SD631"/>
      <c r="SE631"/>
      <c r="SF631"/>
      <c r="SG631"/>
      <c r="SH631"/>
      <c r="SI631"/>
      <c r="SJ631"/>
      <c r="SK631"/>
      <c r="SL631"/>
      <c r="SM631"/>
      <c r="SN631"/>
      <c r="SO631"/>
      <c r="SP631"/>
      <c r="SQ631"/>
      <c r="SR631"/>
      <c r="SS631"/>
      <c r="ST631"/>
      <c r="SU631"/>
      <c r="SV631"/>
      <c r="SW631"/>
      <c r="SX631"/>
      <c r="SY631"/>
      <c r="SZ631"/>
      <c r="TA631"/>
      <c r="TB631"/>
      <c r="TC631"/>
      <c r="TD631"/>
      <c r="TE631"/>
      <c r="TF631"/>
      <c r="TG631"/>
      <c r="TH631"/>
      <c r="TI631"/>
      <c r="TJ631"/>
      <c r="TK631"/>
      <c r="TL631"/>
      <c r="TM631"/>
      <c r="TN631"/>
      <c r="TO631"/>
      <c r="TP631"/>
      <c r="TQ631"/>
      <c r="TR631"/>
      <c r="TS631"/>
      <c r="TT631"/>
      <c r="TU631"/>
      <c r="TV631"/>
      <c r="TW631"/>
      <c r="TX631"/>
      <c r="TY631"/>
      <c r="TZ631"/>
      <c r="UA631"/>
      <c r="UB631"/>
      <c r="UC631"/>
      <c r="UD631"/>
      <c r="UE631"/>
      <c r="UF631"/>
      <c r="UG631"/>
      <c r="UH631"/>
      <c r="UI631"/>
      <c r="UJ631"/>
      <c r="UK631"/>
      <c r="UL631"/>
      <c r="UM631"/>
      <c r="UN631"/>
      <c r="UO631"/>
      <c r="UP631"/>
      <c r="UQ631"/>
      <c r="UR631"/>
      <c r="US631"/>
      <c r="UT631"/>
      <c r="UU631"/>
      <c r="UV631"/>
      <c r="UW631"/>
      <c r="UX631"/>
      <c r="UY631"/>
      <c r="UZ631"/>
      <c r="VA631"/>
      <c r="VB631"/>
      <c r="VC631"/>
      <c r="VD631"/>
      <c r="VE631"/>
      <c r="VF631"/>
      <c r="VG631"/>
      <c r="VH631"/>
      <c r="VI631"/>
      <c r="VJ631"/>
      <c r="VK631"/>
      <c r="VL631"/>
      <c r="VM631"/>
      <c r="VN631"/>
      <c r="VO631"/>
      <c r="VP631"/>
      <c r="VQ631"/>
      <c r="VR631"/>
      <c r="VS631"/>
      <c r="VT631"/>
      <c r="VU631"/>
      <c r="VV631"/>
      <c r="VW631"/>
      <c r="VX631"/>
      <c r="VY631"/>
      <c r="VZ631"/>
      <c r="WA631"/>
      <c r="WB631"/>
      <c r="WC631"/>
      <c r="WD631"/>
      <c r="WE631"/>
      <c r="WF631"/>
      <c r="WG631"/>
      <c r="WH631"/>
      <c r="WI631"/>
      <c r="WJ631"/>
      <c r="WK631"/>
      <c r="WL631"/>
      <c r="WM631"/>
      <c r="WN631"/>
      <c r="WO631"/>
      <c r="WP631"/>
      <c r="WQ631"/>
      <c r="WR631"/>
      <c r="WS631"/>
      <c r="WT631"/>
      <c r="WU631"/>
      <c r="WV631"/>
      <c r="WW631"/>
      <c r="WX631"/>
      <c r="WY631"/>
      <c r="WZ631"/>
      <c r="XA631"/>
      <c r="XB631"/>
      <c r="XC631"/>
      <c r="XD631"/>
      <c r="XE631"/>
      <c r="XF631"/>
      <c r="XG631"/>
      <c r="XH631"/>
      <c r="XI631"/>
      <c r="XJ631"/>
      <c r="XK631"/>
      <c r="XL631"/>
      <c r="XM631"/>
      <c r="XN631"/>
      <c r="XO631"/>
      <c r="XP631"/>
      <c r="XQ631"/>
      <c r="XR631"/>
      <c r="XS631"/>
      <c r="XT631"/>
      <c r="XU631"/>
      <c r="XV631"/>
      <c r="XW631"/>
      <c r="XX631"/>
      <c r="XY631"/>
      <c r="XZ631"/>
      <c r="YA631"/>
      <c r="YB631"/>
      <c r="YC631"/>
      <c r="YD631"/>
      <c r="YE631"/>
      <c r="YF631"/>
      <c r="YG631"/>
      <c r="YH631"/>
      <c r="YI631"/>
      <c r="YJ631"/>
      <c r="YK631"/>
      <c r="YL631"/>
      <c r="YM631"/>
      <c r="YN631"/>
      <c r="YO631"/>
      <c r="YP631"/>
      <c r="YQ631"/>
      <c r="YR631"/>
      <c r="YS631"/>
      <c r="YT631"/>
      <c r="YU631"/>
      <c r="YV631"/>
      <c r="YW631"/>
      <c r="YX631"/>
      <c r="YY631"/>
      <c r="YZ631"/>
      <c r="ZA631"/>
      <c r="ZB631"/>
      <c r="ZC631"/>
      <c r="ZD631"/>
      <c r="ZE631"/>
      <c r="ZF631"/>
      <c r="ZG631"/>
      <c r="ZH631"/>
      <c r="ZI631"/>
      <c r="ZJ631"/>
      <c r="ZK631"/>
      <c r="ZL631"/>
      <c r="ZM631"/>
      <c r="ZN631"/>
      <c r="ZO631"/>
      <c r="ZP631"/>
      <c r="ZQ631"/>
      <c r="ZR631"/>
      <c r="ZS631"/>
      <c r="ZT631"/>
      <c r="ZU631"/>
      <c r="ZV631"/>
      <c r="ZW631"/>
      <c r="ZX631"/>
      <c r="ZY631"/>
      <c r="ZZ631"/>
      <c r="AAA631"/>
      <c r="AAB631"/>
      <c r="AAC631"/>
      <c r="AAD631"/>
      <c r="AAE631"/>
      <c r="AAF631"/>
      <c r="AAG631"/>
      <c r="AAH631"/>
      <c r="AAI631"/>
      <c r="AAJ631"/>
      <c r="AAK631"/>
      <c r="AAL631"/>
      <c r="AAM631"/>
      <c r="AAN631"/>
      <c r="AAO631"/>
      <c r="AAP631"/>
      <c r="AAQ631"/>
      <c r="AAR631"/>
      <c r="AAS631"/>
      <c r="AAT631"/>
      <c r="AAU631"/>
      <c r="AAV631"/>
      <c r="AAW631"/>
      <c r="AAX631"/>
      <c r="AAY631"/>
      <c r="AAZ631"/>
      <c r="ABA631"/>
      <c r="ABB631"/>
      <c r="ABC631"/>
      <c r="ABD631"/>
      <c r="ABE631"/>
      <c r="ABF631"/>
      <c r="ABG631"/>
      <c r="ABH631"/>
      <c r="ABI631"/>
      <c r="ABJ631"/>
      <c r="ABK631"/>
      <c r="ABL631"/>
      <c r="ABM631"/>
      <c r="ABN631"/>
      <c r="ABO631"/>
      <c r="ABP631"/>
      <c r="ABQ631"/>
      <c r="ABR631"/>
      <c r="ABS631"/>
      <c r="ABT631"/>
      <c r="ABU631"/>
      <c r="ABV631"/>
      <c r="ABW631"/>
      <c r="ABX631"/>
      <c r="ABY631"/>
      <c r="ABZ631"/>
      <c r="ACA631"/>
      <c r="ACB631"/>
      <c r="ACC631"/>
      <c r="ACD631"/>
      <c r="ACE631"/>
      <c r="ACF631"/>
      <c r="ACG631"/>
      <c r="ACH631"/>
      <c r="ACI631"/>
      <c r="ACJ631"/>
      <c r="ACK631"/>
      <c r="ACL631"/>
      <c r="ACM631"/>
      <c r="ACN631"/>
      <c r="ACO631"/>
      <c r="ACP631"/>
      <c r="ACQ631"/>
      <c r="ACR631"/>
      <c r="ACS631"/>
      <c r="ACT631"/>
      <c r="ACU631"/>
      <c r="ACV631"/>
      <c r="ACW631"/>
      <c r="ACX631"/>
      <c r="ACY631"/>
      <c r="ACZ631"/>
      <c r="ADA631"/>
      <c r="ADB631"/>
      <c r="ADC631"/>
      <c r="ADD631"/>
      <c r="ADE631"/>
      <c r="ADF631"/>
      <c r="ADG631"/>
      <c r="ADH631"/>
      <c r="ADI631"/>
      <c r="ADJ631"/>
      <c r="ADK631"/>
      <c r="ADL631"/>
      <c r="ADM631"/>
      <c r="ADN631"/>
      <c r="ADO631"/>
      <c r="ADP631"/>
      <c r="ADQ631"/>
      <c r="ADR631"/>
      <c r="ADS631"/>
      <c r="ADT631"/>
      <c r="ADU631"/>
      <c r="ADV631"/>
      <c r="ADW631"/>
      <c r="ADX631"/>
      <c r="ADY631"/>
      <c r="ADZ631"/>
      <c r="AEA631"/>
      <c r="AEB631"/>
      <c r="AEC631"/>
      <c r="AED631"/>
      <c r="AEE631"/>
      <c r="AEF631"/>
      <c r="AEG631"/>
      <c r="AEH631"/>
      <c r="AEI631"/>
      <c r="AEJ631"/>
      <c r="AEK631"/>
      <c r="AEL631"/>
      <c r="AEM631"/>
      <c r="AEN631"/>
      <c r="AEO631"/>
      <c r="AEP631"/>
      <c r="AEQ631"/>
      <c r="AER631"/>
      <c r="AES631"/>
      <c r="AET631"/>
      <c r="AEU631"/>
      <c r="AEV631"/>
      <c r="AEW631"/>
      <c r="AEX631"/>
      <c r="AEY631"/>
      <c r="AEZ631"/>
      <c r="AFA631"/>
      <c r="AFB631"/>
      <c r="AFC631"/>
      <c r="AFD631"/>
      <c r="AFE631"/>
      <c r="AFF631"/>
      <c r="AFG631"/>
      <c r="AFH631"/>
      <c r="AFI631"/>
      <c r="AFJ631"/>
      <c r="AFK631"/>
      <c r="AFL631"/>
      <c r="AFM631"/>
      <c r="AFN631"/>
      <c r="AFO631"/>
      <c r="AFP631"/>
      <c r="AFQ631"/>
      <c r="AFR631"/>
      <c r="AFS631"/>
      <c r="AFT631"/>
      <c r="AFU631"/>
      <c r="AFV631"/>
      <c r="AFW631"/>
      <c r="AFX631"/>
      <c r="AFY631"/>
      <c r="AFZ631"/>
      <c r="AGA631"/>
      <c r="AGB631"/>
      <c r="AGC631"/>
      <c r="AGD631"/>
      <c r="AGE631"/>
      <c r="AGF631"/>
      <c r="AGG631"/>
      <c r="AGH631"/>
      <c r="AGI631"/>
      <c r="AGJ631"/>
      <c r="AGK631"/>
      <c r="AGL631"/>
      <c r="AGM631"/>
      <c r="AGN631"/>
      <c r="AGO631"/>
      <c r="AGP631"/>
      <c r="AGQ631"/>
      <c r="AGR631"/>
      <c r="AGS631"/>
      <c r="AGT631"/>
      <c r="AGU631"/>
      <c r="AGV631"/>
      <c r="AGW631"/>
      <c r="AGX631"/>
      <c r="AGY631"/>
      <c r="AGZ631"/>
      <c r="AHA631"/>
      <c r="AHB631"/>
      <c r="AHC631"/>
      <c r="AHD631"/>
      <c r="AHE631"/>
      <c r="AHF631"/>
      <c r="AHG631"/>
      <c r="AHH631"/>
      <c r="AHI631"/>
      <c r="AHJ631"/>
      <c r="AHK631"/>
      <c r="AHL631"/>
      <c r="AHM631"/>
      <c r="AHN631"/>
      <c r="AHO631"/>
      <c r="AHP631"/>
      <c r="AHQ631"/>
      <c r="AHR631"/>
      <c r="AHS631"/>
      <c r="AHT631"/>
      <c r="AHU631"/>
      <c r="AHV631"/>
      <c r="AHW631"/>
      <c r="AHX631"/>
      <c r="AHY631"/>
      <c r="AHZ631"/>
      <c r="AIA631"/>
      <c r="AIB631"/>
      <c r="AIC631"/>
      <c r="AID631"/>
      <c r="AIE631"/>
      <c r="AIF631"/>
      <c r="AIG631"/>
      <c r="AIH631"/>
      <c r="AII631"/>
      <c r="AIJ631"/>
      <c r="AIK631"/>
      <c r="AIL631"/>
      <c r="AIM631"/>
      <c r="AIN631"/>
      <c r="AIO631"/>
      <c r="AIP631"/>
      <c r="AIQ631"/>
      <c r="AIR631"/>
      <c r="AIS631"/>
      <c r="AIT631"/>
      <c r="AIU631"/>
      <c r="AIV631"/>
      <c r="AIW631"/>
      <c r="AIX631"/>
      <c r="AIY631"/>
      <c r="AIZ631"/>
      <c r="AJA631"/>
      <c r="AJB631"/>
      <c r="AJC631"/>
      <c r="AJD631"/>
      <c r="AJE631"/>
      <c r="AJF631"/>
      <c r="AJG631"/>
      <c r="AJH631"/>
      <c r="AJI631"/>
      <c r="AJJ631"/>
      <c r="AJK631"/>
      <c r="AJL631"/>
      <c r="AJM631"/>
      <c r="AJN631"/>
      <c r="AJO631"/>
      <c r="AJP631"/>
      <c r="AJQ631"/>
      <c r="AJR631"/>
      <c r="AJS631"/>
      <c r="AJT631"/>
      <c r="AJU631"/>
      <c r="AJV631"/>
      <c r="AJW631"/>
      <c r="AJX631"/>
      <c r="AJY631"/>
      <c r="AJZ631"/>
      <c r="AKA631"/>
      <c r="AKB631"/>
      <c r="AKC631"/>
      <c r="AKD631"/>
      <c r="AKE631"/>
      <c r="AKF631"/>
      <c r="AKG631"/>
      <c r="AKH631"/>
      <c r="AKI631"/>
      <c r="AKJ631"/>
      <c r="AKK631"/>
      <c r="AKL631"/>
      <c r="AKM631"/>
      <c r="AKN631"/>
      <c r="AKO631"/>
      <c r="AKP631"/>
      <c r="AKQ631"/>
      <c r="AKR631"/>
      <c r="AKS631"/>
      <c r="AKT631"/>
      <c r="AKU631"/>
      <c r="AKV631"/>
      <c r="AKW631"/>
      <c r="AKX631"/>
      <c r="AKY631"/>
      <c r="AKZ631"/>
      <c r="ALA631"/>
      <c r="ALB631"/>
      <c r="ALC631"/>
      <c r="ALD631"/>
      <c r="ALE631"/>
      <c r="ALF631"/>
      <c r="ALG631"/>
      <c r="ALH631"/>
      <c r="ALI631"/>
      <c r="ALJ631"/>
      <c r="ALK631"/>
      <c r="ALL631"/>
      <c r="ALM631"/>
      <c r="ALN631"/>
      <c r="ALO631"/>
      <c r="ALP631"/>
      <c r="ALQ631"/>
      <c r="ALR631"/>
      <c r="ALS631"/>
      <c r="ALT631"/>
      <c r="ALU631"/>
      <c r="ALV631"/>
      <c r="ALW631"/>
      <c r="ALX631"/>
      <c r="ALY631"/>
      <c r="ALZ631"/>
      <c r="AMA631"/>
      <c r="AMB631"/>
      <c r="AMC631"/>
      <c r="AMD631"/>
      <c r="AME631"/>
      <c r="AMF631"/>
      <c r="AMG631"/>
      <c r="AMH631"/>
      <c r="AMI631"/>
      <c r="AMJ631"/>
    </row>
    <row r="632" spans="1:1024">
      <c r="A632" s="7" t="s">
        <v>636</v>
      </c>
      <c r="B632" s="7">
        <v>182669</v>
      </c>
      <c r="C632" s="11"/>
      <c r="D632" s="12">
        <v>6</v>
      </c>
      <c r="E632" s="7">
        <f>VLOOKUP(B632,Gesamtstunden_26!B:I,8,0)</f>
        <v>6</v>
      </c>
      <c r="F632" s="13">
        <f t="shared" si="9"/>
        <v>0</v>
      </c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  <c r="AV632" s="11"/>
      <c r="AW632" s="11"/>
      <c r="AX632" s="11"/>
      <c r="AY632" s="11"/>
      <c r="AZ632" s="11"/>
      <c r="BA632" s="11"/>
      <c r="BB632" s="11"/>
      <c r="BC632" s="11"/>
      <c r="BD632" s="11"/>
      <c r="BE632" s="11"/>
      <c r="BF632" s="11"/>
      <c r="BG632" s="11"/>
      <c r="BH632" s="11"/>
      <c r="BI632" s="11"/>
      <c r="BJ632" s="11"/>
      <c r="BK632" s="11"/>
      <c r="BL632" s="11"/>
      <c r="BM632" s="11"/>
      <c r="BN632" s="11"/>
      <c r="BO632" s="11"/>
      <c r="BP632" s="11"/>
      <c r="BQ632" s="11"/>
      <c r="BR632" s="11"/>
      <c r="BS632" s="11"/>
      <c r="BT632" s="11"/>
      <c r="BU632" s="11"/>
      <c r="BV632" s="11"/>
      <c r="BW632" s="11"/>
      <c r="BX632" s="11"/>
      <c r="BY632" s="11"/>
      <c r="BZ632" s="11"/>
      <c r="CA632" s="11"/>
      <c r="CB632" s="11"/>
      <c r="CC632" s="11"/>
      <c r="CD632" s="11"/>
      <c r="CE632" s="11"/>
      <c r="CF632" s="11"/>
      <c r="CG632" s="11"/>
      <c r="CH632" s="11"/>
      <c r="CI632" s="11"/>
      <c r="CJ632" s="11"/>
      <c r="CK632" s="11"/>
      <c r="CL632" s="11"/>
      <c r="CM632" s="11"/>
      <c r="CN632" s="11"/>
      <c r="CO632" s="11"/>
      <c r="CP632" s="11"/>
      <c r="CQ632" s="11"/>
      <c r="CR632" s="11"/>
      <c r="CS632" s="11"/>
      <c r="CT632" s="11"/>
      <c r="CU632" s="11"/>
      <c r="CV632" s="11"/>
      <c r="CW632" s="11"/>
      <c r="CX632" s="11"/>
      <c r="CY632" s="11"/>
      <c r="CZ632" s="11"/>
      <c r="DA632" s="11"/>
      <c r="DB632" s="11"/>
      <c r="DC632" s="11"/>
      <c r="DD632" s="11"/>
      <c r="DE632" s="11"/>
      <c r="DF632" s="11"/>
      <c r="DG632" s="11"/>
      <c r="DH632" s="11"/>
      <c r="DI632" s="11"/>
      <c r="DJ632" s="11"/>
      <c r="DK632" s="11"/>
      <c r="DL632" s="11"/>
      <c r="DM632" s="11"/>
      <c r="DN632" s="11"/>
      <c r="DO632" s="11"/>
      <c r="DP632" s="11"/>
      <c r="DQ632" s="11"/>
      <c r="DR632" s="11"/>
      <c r="DS632" s="11"/>
      <c r="DT632" s="11"/>
      <c r="DU632" s="11"/>
      <c r="DV632" s="11"/>
      <c r="DW632" s="11"/>
      <c r="DX632" s="11"/>
      <c r="DY632" s="11"/>
      <c r="DZ632" s="11"/>
      <c r="EA632" s="11"/>
      <c r="EB632" s="11"/>
      <c r="EC632" s="11"/>
      <c r="ED632" s="11"/>
      <c r="EE632" s="11"/>
      <c r="EF632" s="11"/>
      <c r="EG632" s="11"/>
      <c r="EH632" s="11"/>
      <c r="EI632" s="11"/>
      <c r="EJ632" s="11"/>
      <c r="EK632" s="11"/>
      <c r="EL632" s="11"/>
      <c r="EM632" s="11"/>
      <c r="EN632" s="11"/>
      <c r="EO632" s="11"/>
      <c r="EP632" s="11"/>
      <c r="EQ632" s="11"/>
      <c r="ER632" s="11"/>
      <c r="ES632" s="11"/>
      <c r="ET632" s="11"/>
      <c r="EU632" s="11"/>
      <c r="EV632" s="11"/>
      <c r="EW632" s="11"/>
      <c r="EX632" s="11"/>
      <c r="EY632" s="11"/>
      <c r="EZ632" s="11"/>
      <c r="FA632" s="11"/>
      <c r="FB632" s="11"/>
      <c r="FC632" s="11"/>
      <c r="FD632" s="11"/>
      <c r="FE632" s="11"/>
      <c r="FF632" s="11"/>
      <c r="FG632" s="11"/>
      <c r="FH632" s="11"/>
      <c r="FI632" s="11"/>
      <c r="FJ632" s="11"/>
      <c r="FK632" s="11"/>
      <c r="FL632" s="11"/>
      <c r="FM632" s="11"/>
      <c r="FN632" s="11"/>
      <c r="FO632" s="11"/>
      <c r="FP632" s="11"/>
      <c r="FQ632" s="11"/>
      <c r="FR632" s="11"/>
      <c r="FS632" s="11"/>
      <c r="FT632" s="11"/>
      <c r="FU632" s="11"/>
      <c r="FV632" s="11"/>
      <c r="FW632" s="11"/>
      <c r="FX632" s="11"/>
      <c r="FY632" s="11"/>
      <c r="FZ632" s="11"/>
      <c r="GA632" s="11"/>
      <c r="GB632" s="11"/>
      <c r="GC632" s="11"/>
      <c r="GD632" s="11"/>
      <c r="GE632" s="11"/>
      <c r="GF632" s="11"/>
      <c r="GG632" s="11"/>
      <c r="GH632" s="11"/>
      <c r="GI632" s="11"/>
      <c r="GJ632" s="11"/>
      <c r="GK632" s="11"/>
      <c r="GL632" s="11"/>
      <c r="GM632" s="11"/>
      <c r="GN632" s="11"/>
      <c r="GO632" s="11"/>
      <c r="GP632" s="11"/>
      <c r="GQ632" s="11"/>
      <c r="GR632" s="11"/>
      <c r="GS632" s="11"/>
      <c r="GT632" s="11"/>
      <c r="GU632" s="11"/>
      <c r="GV632" s="11"/>
      <c r="GW632" s="11"/>
      <c r="GX632" s="11"/>
      <c r="GY632" s="11"/>
      <c r="GZ632" s="11"/>
      <c r="HA632" s="11"/>
      <c r="HB632" s="11"/>
      <c r="HC632" s="11"/>
      <c r="HD632" s="11"/>
      <c r="HE632" s="11"/>
      <c r="HF632" s="11"/>
      <c r="HG632" s="11"/>
      <c r="HH632" s="11"/>
      <c r="HI632" s="11"/>
      <c r="HJ632" s="11"/>
      <c r="HK632" s="11"/>
      <c r="HL632" s="11"/>
      <c r="HM632" s="11"/>
      <c r="HN632" s="11"/>
      <c r="HO632" s="11"/>
      <c r="HP632" s="11"/>
      <c r="HQ632" s="11"/>
      <c r="HR632" s="11"/>
      <c r="HS632" s="11"/>
      <c r="HT632" s="11"/>
      <c r="HU632" s="11"/>
      <c r="HV632" s="11"/>
      <c r="HW632" s="11"/>
      <c r="HX632" s="11"/>
      <c r="HY632" s="11"/>
      <c r="HZ632" s="11"/>
      <c r="IA632" s="11"/>
      <c r="IB632" s="11"/>
      <c r="IC632" s="11"/>
      <c r="ID632" s="11"/>
      <c r="IE632" s="11"/>
      <c r="IF632" s="11"/>
      <c r="IG632" s="11"/>
      <c r="IH632" s="11"/>
      <c r="II632" s="11"/>
      <c r="IJ632" s="11"/>
      <c r="IK632" s="11"/>
      <c r="IL632" s="11"/>
      <c r="IM632" s="11"/>
      <c r="IN632" s="11"/>
      <c r="IO632" s="11"/>
      <c r="IP632" s="11"/>
      <c r="IQ632" s="11"/>
      <c r="IR632" s="11"/>
      <c r="IS632" s="11"/>
      <c r="IT632" s="11"/>
      <c r="IU632" s="11"/>
      <c r="IV632" s="11"/>
      <c r="IW632" s="11"/>
      <c r="IX632" s="11"/>
      <c r="IY632" s="11"/>
      <c r="IZ632" s="11"/>
      <c r="JA632" s="11"/>
      <c r="JB632" s="11"/>
      <c r="JC632" s="11"/>
      <c r="JD632" s="11"/>
      <c r="JE632" s="11"/>
      <c r="JF632" s="11"/>
      <c r="JG632" s="11"/>
      <c r="JH632" s="11"/>
      <c r="JI632" s="11"/>
      <c r="JJ632" s="11"/>
      <c r="JK632" s="11"/>
      <c r="JL632" s="11"/>
      <c r="JM632" s="11"/>
      <c r="JN632" s="11"/>
      <c r="JO632" s="11"/>
      <c r="JP632" s="11"/>
      <c r="JQ632" s="11"/>
      <c r="JR632" s="11"/>
      <c r="JS632" s="11"/>
      <c r="JT632" s="11"/>
      <c r="JU632" s="11"/>
      <c r="JV632" s="11"/>
      <c r="JW632" s="11"/>
      <c r="JX632" s="11"/>
      <c r="JY632" s="11"/>
      <c r="JZ632" s="11"/>
      <c r="KA632" s="11"/>
      <c r="KB632" s="11"/>
      <c r="KC632" s="11"/>
      <c r="KD632" s="11"/>
      <c r="KE632" s="11"/>
      <c r="KF632" s="11"/>
      <c r="KG632" s="11"/>
      <c r="KH632" s="11"/>
      <c r="KI632" s="11"/>
      <c r="KJ632" s="11"/>
      <c r="KK632" s="11"/>
      <c r="KL632" s="11"/>
      <c r="KM632" s="11"/>
      <c r="KN632" s="11"/>
      <c r="KO632" s="11"/>
      <c r="KP632" s="11"/>
      <c r="KQ632" s="11"/>
      <c r="KR632" s="11"/>
      <c r="KS632" s="11"/>
      <c r="KT632" s="11"/>
      <c r="KU632" s="11"/>
      <c r="KV632" s="11"/>
      <c r="KW632" s="11"/>
      <c r="KX632" s="11"/>
      <c r="KY632" s="11"/>
      <c r="KZ632" s="11"/>
      <c r="LA632" s="11"/>
      <c r="LB632" s="11"/>
      <c r="LC632" s="11"/>
      <c r="LD632" s="11"/>
      <c r="LE632" s="11"/>
      <c r="LF632" s="11"/>
      <c r="LG632" s="11"/>
      <c r="LH632" s="11"/>
      <c r="LI632" s="11"/>
      <c r="LJ632" s="11"/>
      <c r="LK632" s="11"/>
      <c r="LL632" s="11"/>
      <c r="LM632" s="11"/>
      <c r="LN632" s="11"/>
      <c r="LO632" s="11"/>
      <c r="LP632" s="11"/>
      <c r="LQ632" s="11"/>
      <c r="LR632" s="11"/>
      <c r="LS632" s="11"/>
      <c r="LT632" s="11"/>
      <c r="LU632" s="11"/>
      <c r="LV632" s="11"/>
      <c r="LW632" s="11"/>
      <c r="LX632" s="11"/>
      <c r="LY632" s="11"/>
      <c r="LZ632" s="11"/>
      <c r="MA632" s="11"/>
      <c r="MB632" s="11"/>
      <c r="MC632" s="11"/>
      <c r="MD632" s="11"/>
      <c r="ME632" s="11"/>
      <c r="MF632" s="11"/>
      <c r="MG632" s="11"/>
      <c r="MH632" s="11"/>
      <c r="MI632" s="11"/>
      <c r="MJ632" s="11"/>
      <c r="MK632" s="11"/>
      <c r="ML632" s="11"/>
      <c r="MM632" s="11"/>
      <c r="MN632" s="11"/>
      <c r="MO632" s="11"/>
      <c r="MP632" s="11"/>
      <c r="MQ632" s="11"/>
      <c r="MR632" s="11"/>
      <c r="MS632" s="11"/>
      <c r="MT632" s="11"/>
      <c r="MU632" s="11"/>
      <c r="MV632" s="11"/>
      <c r="MW632" s="11"/>
      <c r="MX632" s="11"/>
      <c r="MY632" s="11"/>
      <c r="MZ632" s="11"/>
      <c r="NA632" s="11"/>
      <c r="NB632" s="11"/>
      <c r="NC632" s="11"/>
      <c r="ND632" s="11"/>
      <c r="NE632" s="11"/>
      <c r="NF632" s="11"/>
      <c r="NG632" s="11"/>
      <c r="NH632" s="11"/>
      <c r="NI632" s="11"/>
      <c r="NJ632" s="11"/>
      <c r="NK632" s="11"/>
      <c r="NL632" s="11"/>
      <c r="NM632" s="11"/>
      <c r="NN632" s="11"/>
      <c r="NO632" s="11"/>
      <c r="NP632" s="11"/>
      <c r="NQ632" s="11"/>
      <c r="NR632" s="11"/>
      <c r="NS632" s="11"/>
      <c r="NT632" s="11"/>
      <c r="NU632" s="11"/>
      <c r="NV632" s="11"/>
      <c r="NW632" s="11"/>
      <c r="NX632" s="11"/>
      <c r="NY632" s="11"/>
      <c r="NZ632" s="11"/>
      <c r="OA632" s="11"/>
      <c r="OB632" s="11"/>
      <c r="OC632" s="11"/>
      <c r="OD632" s="11"/>
      <c r="OE632" s="11"/>
      <c r="OF632" s="11"/>
      <c r="OG632" s="11"/>
      <c r="OH632" s="11"/>
      <c r="OI632" s="11"/>
      <c r="OJ632" s="11"/>
      <c r="OK632" s="11"/>
      <c r="OL632" s="11"/>
      <c r="OM632" s="11"/>
      <c r="ON632" s="11"/>
      <c r="OO632" s="11"/>
      <c r="OP632" s="11"/>
      <c r="OQ632" s="11"/>
      <c r="OR632" s="11"/>
      <c r="OS632" s="11"/>
      <c r="OT632" s="11"/>
      <c r="OU632" s="11"/>
      <c r="OV632" s="11"/>
      <c r="OW632" s="11"/>
      <c r="OX632" s="11"/>
      <c r="OY632" s="11"/>
      <c r="OZ632" s="11"/>
      <c r="PA632" s="11"/>
      <c r="PB632" s="11"/>
      <c r="PC632" s="11"/>
      <c r="PD632" s="11"/>
      <c r="PE632" s="11"/>
      <c r="PF632" s="11"/>
      <c r="PG632" s="11"/>
      <c r="PH632" s="11"/>
      <c r="PI632" s="11"/>
      <c r="PJ632" s="11"/>
      <c r="PK632" s="11"/>
      <c r="PL632" s="11"/>
      <c r="PM632" s="11"/>
      <c r="PN632" s="11"/>
      <c r="PO632" s="11"/>
      <c r="PP632" s="11"/>
      <c r="PQ632" s="11"/>
      <c r="PR632" s="11"/>
      <c r="PS632" s="11"/>
      <c r="PT632" s="11"/>
      <c r="PU632" s="11"/>
      <c r="PV632" s="11"/>
      <c r="PW632" s="11"/>
      <c r="PX632" s="11"/>
      <c r="PY632" s="11"/>
      <c r="PZ632" s="11"/>
      <c r="QA632" s="11"/>
      <c r="QB632" s="11"/>
      <c r="QC632" s="11"/>
      <c r="QD632" s="11"/>
      <c r="QE632" s="11"/>
      <c r="QF632" s="11"/>
      <c r="QG632" s="11"/>
      <c r="QH632" s="11"/>
      <c r="QI632" s="11"/>
      <c r="QJ632" s="11"/>
      <c r="QK632" s="11"/>
      <c r="QL632" s="11"/>
      <c r="QM632" s="11"/>
      <c r="QN632" s="11"/>
      <c r="QO632" s="11"/>
      <c r="QP632" s="11"/>
      <c r="QQ632" s="11"/>
      <c r="QR632" s="11"/>
      <c r="QS632" s="11"/>
      <c r="QT632" s="11"/>
      <c r="QU632" s="11"/>
      <c r="QV632" s="11"/>
      <c r="QW632" s="11"/>
      <c r="QX632" s="11"/>
      <c r="QY632" s="11"/>
      <c r="QZ632" s="11"/>
      <c r="RA632" s="11"/>
      <c r="RB632" s="11"/>
      <c r="RC632" s="11"/>
      <c r="RD632" s="11"/>
      <c r="RE632" s="11"/>
      <c r="RF632" s="11"/>
      <c r="RG632" s="11"/>
      <c r="RH632" s="11"/>
      <c r="RI632" s="11"/>
      <c r="RJ632" s="11"/>
      <c r="RK632" s="11"/>
      <c r="RL632" s="11"/>
      <c r="RM632" s="11"/>
      <c r="RN632" s="11"/>
      <c r="RO632" s="11"/>
      <c r="RP632" s="11"/>
      <c r="RQ632" s="11"/>
      <c r="RR632" s="11"/>
      <c r="RS632" s="11"/>
      <c r="RT632" s="11"/>
      <c r="RU632" s="11"/>
      <c r="RV632" s="11"/>
      <c r="RW632" s="11"/>
      <c r="RX632" s="11"/>
      <c r="RY632" s="11"/>
      <c r="RZ632" s="11"/>
      <c r="SA632" s="11"/>
      <c r="SB632" s="11"/>
      <c r="SC632" s="11"/>
      <c r="SD632" s="11"/>
      <c r="SE632" s="11"/>
      <c r="SF632" s="11"/>
      <c r="SG632" s="11"/>
      <c r="SH632" s="11"/>
      <c r="SI632" s="11"/>
      <c r="SJ632" s="11"/>
      <c r="SK632" s="11"/>
      <c r="SL632" s="11"/>
      <c r="SM632" s="11"/>
      <c r="SN632" s="11"/>
      <c r="SO632" s="11"/>
      <c r="SP632" s="11"/>
      <c r="SQ632" s="11"/>
      <c r="SR632" s="11"/>
      <c r="SS632" s="11"/>
      <c r="ST632" s="11"/>
      <c r="SU632" s="11"/>
      <c r="SV632" s="11"/>
      <c r="SW632" s="11"/>
      <c r="SX632" s="11"/>
      <c r="SY632" s="11"/>
      <c r="SZ632" s="11"/>
      <c r="TA632" s="11"/>
      <c r="TB632" s="11"/>
      <c r="TC632" s="11"/>
      <c r="TD632" s="11"/>
      <c r="TE632" s="11"/>
      <c r="TF632" s="11"/>
      <c r="TG632" s="11"/>
      <c r="TH632" s="11"/>
      <c r="TI632" s="11"/>
      <c r="TJ632" s="11"/>
      <c r="TK632" s="11"/>
      <c r="TL632" s="11"/>
      <c r="TM632" s="11"/>
      <c r="TN632" s="11"/>
      <c r="TO632" s="11"/>
      <c r="TP632" s="11"/>
      <c r="TQ632" s="11"/>
      <c r="TR632" s="11"/>
      <c r="TS632" s="11"/>
      <c r="TT632" s="11"/>
      <c r="TU632" s="11"/>
      <c r="TV632" s="11"/>
      <c r="TW632" s="11"/>
      <c r="TX632" s="11"/>
      <c r="TY632" s="11"/>
      <c r="TZ632" s="11"/>
      <c r="UA632" s="11"/>
      <c r="UB632" s="11"/>
      <c r="UC632" s="11"/>
      <c r="UD632" s="11"/>
      <c r="UE632" s="11"/>
      <c r="UF632" s="11"/>
      <c r="UG632" s="11"/>
      <c r="UH632" s="11"/>
      <c r="UI632" s="11"/>
      <c r="UJ632" s="11"/>
      <c r="UK632" s="11"/>
      <c r="UL632" s="11"/>
      <c r="UM632" s="11"/>
      <c r="UN632" s="11"/>
      <c r="UO632" s="11"/>
      <c r="UP632" s="11"/>
      <c r="UQ632" s="11"/>
      <c r="UR632" s="11"/>
      <c r="US632" s="11"/>
      <c r="UT632" s="11"/>
      <c r="UU632" s="11"/>
      <c r="UV632" s="11"/>
      <c r="UW632" s="11"/>
      <c r="UX632" s="11"/>
      <c r="UY632" s="11"/>
      <c r="UZ632" s="11"/>
      <c r="VA632" s="11"/>
      <c r="VB632" s="11"/>
      <c r="VC632" s="11"/>
      <c r="VD632" s="11"/>
      <c r="VE632" s="11"/>
      <c r="VF632" s="11"/>
      <c r="VG632" s="11"/>
      <c r="VH632" s="11"/>
      <c r="VI632" s="11"/>
      <c r="VJ632" s="11"/>
      <c r="VK632" s="11"/>
      <c r="VL632" s="11"/>
      <c r="VM632" s="11"/>
      <c r="VN632" s="11"/>
      <c r="VO632" s="11"/>
      <c r="VP632" s="11"/>
      <c r="VQ632" s="11"/>
      <c r="VR632" s="11"/>
      <c r="VS632" s="11"/>
      <c r="VT632" s="11"/>
      <c r="VU632" s="11"/>
      <c r="VV632" s="11"/>
      <c r="VW632" s="11"/>
      <c r="VX632" s="11"/>
      <c r="VY632" s="11"/>
      <c r="VZ632" s="11"/>
      <c r="WA632" s="11"/>
      <c r="WB632" s="11"/>
      <c r="WC632" s="11"/>
      <c r="WD632" s="11"/>
      <c r="WE632" s="11"/>
      <c r="WF632" s="11"/>
      <c r="WG632" s="11"/>
      <c r="WH632" s="11"/>
      <c r="WI632" s="11"/>
      <c r="WJ632" s="11"/>
      <c r="WK632" s="11"/>
      <c r="WL632" s="11"/>
      <c r="WM632" s="11"/>
      <c r="WN632" s="11"/>
      <c r="WO632" s="11"/>
      <c r="WP632" s="11"/>
      <c r="WQ632" s="11"/>
      <c r="WR632" s="11"/>
      <c r="WS632" s="11"/>
      <c r="WT632" s="11"/>
      <c r="WU632" s="11"/>
      <c r="WV632" s="11"/>
      <c r="WW632" s="11"/>
      <c r="WX632" s="11"/>
      <c r="WY632" s="11"/>
      <c r="WZ632" s="11"/>
      <c r="XA632" s="11"/>
      <c r="XB632" s="11"/>
      <c r="XC632" s="11"/>
      <c r="XD632" s="11"/>
      <c r="XE632" s="11"/>
      <c r="XF632" s="11"/>
      <c r="XG632" s="11"/>
      <c r="XH632" s="11"/>
      <c r="XI632" s="11"/>
      <c r="XJ632" s="11"/>
      <c r="XK632" s="11"/>
      <c r="XL632" s="11"/>
      <c r="XM632" s="11"/>
      <c r="XN632" s="11"/>
      <c r="XO632" s="11"/>
      <c r="XP632" s="11"/>
      <c r="XQ632" s="11"/>
      <c r="XR632" s="11"/>
      <c r="XS632" s="11"/>
      <c r="XT632" s="11"/>
      <c r="XU632" s="11"/>
      <c r="XV632" s="11"/>
      <c r="XW632" s="11"/>
      <c r="XX632" s="11"/>
      <c r="XY632" s="11"/>
      <c r="XZ632" s="11"/>
      <c r="YA632" s="11"/>
      <c r="YB632" s="11"/>
      <c r="YC632" s="11"/>
      <c r="YD632" s="11"/>
      <c r="YE632" s="11"/>
      <c r="YF632" s="11"/>
      <c r="YG632" s="11"/>
      <c r="YH632" s="11"/>
      <c r="YI632" s="11"/>
      <c r="YJ632" s="11"/>
      <c r="YK632" s="11"/>
      <c r="YL632" s="11"/>
      <c r="YM632" s="11"/>
      <c r="YN632" s="11"/>
      <c r="YO632" s="11"/>
      <c r="YP632" s="11"/>
      <c r="YQ632" s="11"/>
      <c r="YR632" s="11"/>
      <c r="YS632" s="11"/>
      <c r="YT632" s="11"/>
      <c r="YU632" s="11"/>
      <c r="YV632" s="11"/>
      <c r="YW632" s="11"/>
      <c r="YX632" s="11"/>
      <c r="YY632" s="11"/>
      <c r="YZ632" s="11"/>
      <c r="ZA632" s="11"/>
      <c r="ZB632" s="11"/>
      <c r="ZC632" s="11"/>
      <c r="ZD632" s="11"/>
      <c r="ZE632" s="11"/>
      <c r="ZF632" s="11"/>
      <c r="ZG632" s="11"/>
      <c r="ZH632" s="11"/>
      <c r="ZI632" s="11"/>
      <c r="ZJ632" s="11"/>
      <c r="ZK632" s="11"/>
      <c r="ZL632" s="11"/>
      <c r="ZM632" s="11"/>
      <c r="ZN632" s="11"/>
      <c r="ZO632" s="11"/>
      <c r="ZP632" s="11"/>
      <c r="ZQ632" s="11"/>
      <c r="ZR632" s="11"/>
      <c r="ZS632" s="11"/>
      <c r="ZT632" s="11"/>
      <c r="ZU632" s="11"/>
      <c r="ZV632" s="11"/>
      <c r="ZW632" s="11"/>
      <c r="ZX632" s="11"/>
      <c r="ZY632" s="11"/>
      <c r="ZZ632" s="11"/>
      <c r="AAA632" s="11"/>
      <c r="AAB632" s="11"/>
      <c r="AAC632" s="11"/>
      <c r="AAD632" s="11"/>
      <c r="AAE632" s="11"/>
      <c r="AAF632" s="11"/>
      <c r="AAG632" s="11"/>
      <c r="AAH632" s="11"/>
      <c r="AAI632" s="11"/>
      <c r="AAJ632" s="11"/>
      <c r="AAK632" s="11"/>
      <c r="AAL632" s="11"/>
      <c r="AAM632" s="11"/>
      <c r="AAN632" s="11"/>
      <c r="AAO632" s="11"/>
      <c r="AAP632" s="11"/>
      <c r="AAQ632" s="11"/>
      <c r="AAR632" s="11"/>
      <c r="AAS632" s="11"/>
      <c r="AAT632" s="11"/>
      <c r="AAU632" s="11"/>
      <c r="AAV632" s="11"/>
      <c r="AAW632" s="11"/>
      <c r="AAX632" s="11"/>
      <c r="AAY632" s="11"/>
      <c r="AAZ632" s="11"/>
      <c r="ABA632" s="11"/>
      <c r="ABB632" s="11"/>
      <c r="ABC632" s="11"/>
      <c r="ABD632" s="11"/>
      <c r="ABE632" s="11"/>
      <c r="ABF632" s="11"/>
      <c r="ABG632" s="11"/>
      <c r="ABH632" s="11"/>
      <c r="ABI632" s="11"/>
      <c r="ABJ632" s="11"/>
      <c r="ABK632" s="11"/>
      <c r="ABL632" s="11"/>
      <c r="ABM632" s="11"/>
      <c r="ABN632" s="11"/>
      <c r="ABO632" s="11"/>
      <c r="ABP632" s="11"/>
      <c r="ABQ632" s="11"/>
      <c r="ABR632" s="11"/>
      <c r="ABS632" s="11"/>
      <c r="ABT632" s="11"/>
      <c r="ABU632" s="11"/>
      <c r="ABV632" s="11"/>
      <c r="ABW632" s="11"/>
      <c r="ABX632" s="11"/>
      <c r="ABY632" s="11"/>
      <c r="ABZ632" s="11"/>
      <c r="ACA632" s="11"/>
      <c r="ACB632" s="11"/>
      <c r="ACC632" s="11"/>
      <c r="ACD632" s="11"/>
      <c r="ACE632" s="11"/>
      <c r="ACF632" s="11"/>
      <c r="ACG632" s="11"/>
      <c r="ACH632" s="11"/>
      <c r="ACI632" s="11"/>
      <c r="ACJ632" s="11"/>
      <c r="ACK632" s="11"/>
      <c r="ACL632" s="11"/>
      <c r="ACM632" s="11"/>
      <c r="ACN632" s="11"/>
      <c r="ACO632" s="11"/>
      <c r="ACP632" s="11"/>
      <c r="ACQ632" s="11"/>
      <c r="ACR632" s="11"/>
      <c r="ACS632" s="11"/>
      <c r="ACT632" s="11"/>
      <c r="ACU632" s="11"/>
      <c r="ACV632" s="11"/>
      <c r="ACW632" s="11"/>
      <c r="ACX632" s="11"/>
      <c r="ACY632" s="11"/>
      <c r="ACZ632" s="11"/>
      <c r="ADA632" s="11"/>
      <c r="ADB632" s="11"/>
      <c r="ADC632" s="11"/>
      <c r="ADD632" s="11"/>
      <c r="ADE632" s="11"/>
      <c r="ADF632" s="11"/>
      <c r="ADG632" s="11"/>
      <c r="ADH632" s="11"/>
      <c r="ADI632" s="11"/>
      <c r="ADJ632" s="11"/>
      <c r="ADK632" s="11"/>
      <c r="ADL632" s="11"/>
      <c r="ADM632" s="11"/>
      <c r="ADN632" s="11"/>
      <c r="ADO632" s="11"/>
      <c r="ADP632" s="11"/>
      <c r="ADQ632" s="11"/>
      <c r="ADR632" s="11"/>
      <c r="ADS632" s="11"/>
      <c r="ADT632" s="11"/>
      <c r="ADU632" s="11"/>
      <c r="ADV632" s="11"/>
      <c r="ADW632" s="11"/>
      <c r="ADX632" s="11"/>
      <c r="ADY632" s="11"/>
      <c r="ADZ632" s="11"/>
      <c r="AEA632" s="11"/>
      <c r="AEB632" s="11"/>
      <c r="AEC632" s="11"/>
      <c r="AED632" s="11"/>
      <c r="AEE632" s="11"/>
      <c r="AEF632" s="11"/>
      <c r="AEG632" s="11"/>
      <c r="AEH632" s="11"/>
      <c r="AEI632" s="11"/>
      <c r="AEJ632" s="11"/>
      <c r="AEK632" s="11"/>
      <c r="AEL632" s="11"/>
      <c r="AEM632" s="11"/>
      <c r="AEN632" s="11"/>
      <c r="AEO632" s="11"/>
      <c r="AEP632" s="11"/>
      <c r="AEQ632" s="11"/>
      <c r="AER632" s="11"/>
      <c r="AES632" s="11"/>
      <c r="AET632" s="11"/>
      <c r="AEU632" s="11"/>
      <c r="AEV632" s="11"/>
      <c r="AEW632" s="11"/>
      <c r="AEX632" s="11"/>
      <c r="AEY632" s="11"/>
      <c r="AEZ632" s="11"/>
      <c r="AFA632" s="11"/>
      <c r="AFB632" s="11"/>
      <c r="AFC632" s="11"/>
      <c r="AFD632" s="11"/>
      <c r="AFE632" s="11"/>
      <c r="AFF632" s="11"/>
      <c r="AFG632" s="11"/>
      <c r="AFH632" s="11"/>
      <c r="AFI632" s="11"/>
      <c r="AFJ632" s="11"/>
      <c r="AFK632" s="11"/>
      <c r="AFL632" s="11"/>
      <c r="AFM632" s="11"/>
      <c r="AFN632" s="11"/>
      <c r="AFO632" s="11"/>
      <c r="AFP632" s="11"/>
      <c r="AFQ632" s="11"/>
      <c r="AFR632" s="11"/>
      <c r="AFS632" s="11"/>
      <c r="AFT632" s="11"/>
      <c r="AFU632" s="11"/>
      <c r="AFV632" s="11"/>
      <c r="AFW632" s="11"/>
      <c r="AFX632" s="11"/>
      <c r="AFY632" s="11"/>
      <c r="AFZ632" s="11"/>
      <c r="AGA632" s="11"/>
      <c r="AGB632" s="11"/>
      <c r="AGC632" s="11"/>
      <c r="AGD632" s="11"/>
      <c r="AGE632" s="11"/>
      <c r="AGF632" s="11"/>
      <c r="AGG632" s="11"/>
      <c r="AGH632" s="11"/>
      <c r="AGI632" s="11"/>
      <c r="AGJ632" s="11"/>
      <c r="AGK632" s="11"/>
      <c r="AGL632" s="11"/>
      <c r="AGM632" s="11"/>
      <c r="AGN632" s="11"/>
      <c r="AGO632" s="11"/>
      <c r="AGP632" s="11"/>
      <c r="AGQ632" s="11"/>
      <c r="AGR632" s="11"/>
      <c r="AGS632" s="11"/>
      <c r="AGT632" s="11"/>
      <c r="AGU632" s="11"/>
      <c r="AGV632" s="11"/>
      <c r="AGW632" s="11"/>
      <c r="AGX632" s="11"/>
      <c r="AGY632" s="11"/>
      <c r="AGZ632" s="11"/>
      <c r="AHA632" s="11"/>
      <c r="AHB632" s="11"/>
      <c r="AHC632" s="11"/>
      <c r="AHD632" s="11"/>
      <c r="AHE632" s="11"/>
      <c r="AHF632" s="11"/>
      <c r="AHG632" s="11"/>
      <c r="AHH632" s="11"/>
      <c r="AHI632" s="11"/>
      <c r="AHJ632" s="11"/>
      <c r="AHK632" s="11"/>
      <c r="AHL632" s="11"/>
      <c r="AHM632" s="11"/>
      <c r="AHN632" s="11"/>
      <c r="AHO632" s="11"/>
      <c r="AHP632" s="11"/>
      <c r="AHQ632" s="11"/>
      <c r="AHR632" s="11"/>
      <c r="AHS632" s="11"/>
      <c r="AHT632" s="11"/>
      <c r="AHU632" s="11"/>
      <c r="AHV632" s="11"/>
      <c r="AHW632" s="11"/>
      <c r="AHX632" s="11"/>
      <c r="AHY632" s="11"/>
      <c r="AHZ632" s="11"/>
      <c r="AIA632" s="11"/>
      <c r="AIB632" s="11"/>
      <c r="AIC632" s="11"/>
      <c r="AID632" s="11"/>
      <c r="AIE632" s="11"/>
      <c r="AIF632" s="11"/>
      <c r="AIG632" s="11"/>
      <c r="AIH632" s="11"/>
      <c r="AII632" s="11"/>
      <c r="AIJ632" s="11"/>
      <c r="AIK632" s="11"/>
      <c r="AIL632" s="11"/>
      <c r="AIM632" s="11"/>
      <c r="AIN632" s="11"/>
      <c r="AIO632" s="11"/>
      <c r="AIP632" s="11"/>
      <c r="AIQ632" s="11"/>
      <c r="AIR632" s="11"/>
      <c r="AIS632" s="11"/>
      <c r="AIT632" s="11"/>
      <c r="AIU632" s="11"/>
      <c r="AIV632" s="11"/>
      <c r="AIW632" s="11"/>
      <c r="AIX632" s="11"/>
      <c r="AIY632" s="11"/>
      <c r="AIZ632" s="11"/>
      <c r="AJA632" s="11"/>
      <c r="AJB632" s="11"/>
      <c r="AJC632" s="11"/>
      <c r="AJD632" s="11"/>
      <c r="AJE632" s="11"/>
      <c r="AJF632" s="11"/>
      <c r="AJG632" s="11"/>
      <c r="AJH632" s="11"/>
      <c r="AJI632" s="11"/>
      <c r="AJJ632" s="11"/>
      <c r="AJK632" s="11"/>
      <c r="AJL632" s="11"/>
      <c r="AJM632" s="11"/>
      <c r="AJN632" s="11"/>
      <c r="AJO632" s="11"/>
      <c r="AJP632" s="11"/>
      <c r="AJQ632" s="11"/>
      <c r="AJR632" s="11"/>
      <c r="AJS632" s="11"/>
      <c r="AJT632" s="11"/>
      <c r="AJU632" s="11"/>
      <c r="AJV632" s="11"/>
      <c r="AJW632" s="11"/>
      <c r="AJX632" s="11"/>
      <c r="AJY632" s="11"/>
      <c r="AJZ632" s="11"/>
      <c r="AKA632" s="11"/>
      <c r="AKB632" s="11"/>
      <c r="AKC632" s="11"/>
      <c r="AKD632" s="11"/>
      <c r="AKE632" s="11"/>
      <c r="AKF632" s="11"/>
      <c r="AKG632" s="11"/>
      <c r="AKH632" s="11"/>
      <c r="AKI632" s="11"/>
      <c r="AKJ632" s="11"/>
      <c r="AKK632" s="11"/>
      <c r="AKL632" s="11"/>
      <c r="AKM632" s="11"/>
      <c r="AKN632" s="11"/>
      <c r="AKO632" s="11"/>
      <c r="AKP632" s="11"/>
      <c r="AKQ632" s="11"/>
      <c r="AKR632" s="11"/>
      <c r="AKS632" s="11"/>
      <c r="AKT632" s="11"/>
      <c r="AKU632" s="11"/>
      <c r="AKV632" s="11"/>
      <c r="AKW632" s="11"/>
      <c r="AKX632" s="11"/>
      <c r="AKY632" s="11"/>
      <c r="AKZ632" s="11"/>
      <c r="ALA632" s="11"/>
      <c r="ALB632" s="11"/>
      <c r="ALC632" s="11"/>
      <c r="ALD632" s="11"/>
      <c r="ALE632" s="11"/>
      <c r="ALF632" s="11"/>
      <c r="ALG632" s="11"/>
      <c r="ALH632" s="11"/>
      <c r="ALI632" s="11"/>
      <c r="ALJ632" s="11"/>
      <c r="ALK632" s="11"/>
      <c r="ALL632" s="11"/>
      <c r="ALM632" s="11"/>
      <c r="ALN632" s="11"/>
      <c r="ALO632" s="11"/>
      <c r="ALP632" s="11"/>
      <c r="ALQ632" s="11"/>
      <c r="ALR632" s="11"/>
      <c r="ALS632" s="11"/>
      <c r="ALT632" s="11"/>
      <c r="ALU632" s="11"/>
      <c r="ALV632" s="11"/>
      <c r="ALW632" s="11"/>
      <c r="ALX632" s="11"/>
      <c r="ALY632" s="11"/>
      <c r="ALZ632" s="11"/>
      <c r="AMA632" s="11"/>
      <c r="AMB632" s="11"/>
      <c r="AMC632" s="11"/>
      <c r="AMD632" s="11"/>
      <c r="AME632" s="11"/>
      <c r="AMF632" s="11"/>
      <c r="AMG632" s="11"/>
      <c r="AMH632" s="11"/>
      <c r="AMI632" s="11"/>
      <c r="AMJ632" s="11"/>
    </row>
    <row r="633" spans="1:1024" ht="27.6">
      <c r="A633" s="7" t="s">
        <v>637</v>
      </c>
      <c r="B633" s="7">
        <v>159731</v>
      </c>
      <c r="D633" s="1">
        <v>0</v>
      </c>
      <c r="E633" s="8">
        <f>VLOOKUP(B633,Gesamtstunden_26!B:I,8,0)</f>
        <v>0</v>
      </c>
      <c r="F633" s="2">
        <f t="shared" si="9"/>
        <v>0</v>
      </c>
    </row>
    <row r="634" spans="1:1024">
      <c r="A634" s="8" t="s">
        <v>638</v>
      </c>
      <c r="B634" s="8">
        <v>391937</v>
      </c>
      <c r="D634" s="1">
        <v>12.5</v>
      </c>
      <c r="E634" s="8">
        <f>VLOOKUP(B634,Gesamtstunden_26!B:I,8,0)</f>
        <v>0</v>
      </c>
      <c r="F634" s="2">
        <f t="shared" si="9"/>
        <v>12.5</v>
      </c>
    </row>
    <row r="635" spans="1:1024">
      <c r="A635" s="8" t="s">
        <v>639</v>
      </c>
      <c r="B635" s="8">
        <v>407981</v>
      </c>
      <c r="D635" s="1">
        <v>10.67</v>
      </c>
      <c r="E635" s="8">
        <f>VLOOKUP(B635,Gesamtstunden_26!B:I,8,0)</f>
        <v>0</v>
      </c>
      <c r="F635" s="2">
        <f t="shared" si="9"/>
        <v>10.67</v>
      </c>
    </row>
    <row r="636" spans="1:1024">
      <c r="A636" t="s">
        <v>640</v>
      </c>
      <c r="B636">
        <v>860818</v>
      </c>
      <c r="D636" s="1">
        <v>2</v>
      </c>
      <c r="E636" s="8">
        <f>VLOOKUP(B636,Gesamtstunden_26!B:I,8,0)</f>
        <v>1</v>
      </c>
      <c r="F636" s="2">
        <f t="shared" si="9"/>
        <v>1</v>
      </c>
    </row>
    <row r="637" spans="1:1024">
      <c r="A637" s="10" t="s">
        <v>641</v>
      </c>
      <c r="B637" s="10">
        <v>927192</v>
      </c>
      <c r="D637" s="1">
        <v>0</v>
      </c>
      <c r="E637" s="8">
        <f>VLOOKUP(B637,Gesamtstunden_26!B:I,8,0)</f>
        <v>2</v>
      </c>
      <c r="F637" s="2">
        <f t="shared" si="9"/>
        <v>-2</v>
      </c>
    </row>
    <row r="638" spans="1:1024">
      <c r="A638" s="8" t="s">
        <v>642</v>
      </c>
      <c r="B638" s="8">
        <v>702766</v>
      </c>
      <c r="D638" s="1">
        <v>9.6733333333333302</v>
      </c>
      <c r="E638" s="8">
        <f>VLOOKUP(B638,Gesamtstunden_26!B:I,8,0)</f>
        <v>0</v>
      </c>
      <c r="F638" s="2">
        <f t="shared" si="9"/>
        <v>9.6733333333333302</v>
      </c>
    </row>
    <row r="639" spans="1:1024">
      <c r="A639" s="7" t="s">
        <v>643</v>
      </c>
      <c r="B639" s="7">
        <v>900440</v>
      </c>
      <c r="D639" s="1">
        <v>0</v>
      </c>
      <c r="E639" s="8">
        <f>VLOOKUP(B639,Gesamtstunden_26!B:I,8,0)</f>
        <v>2</v>
      </c>
      <c r="F639" s="2">
        <f t="shared" si="9"/>
        <v>-2</v>
      </c>
    </row>
    <row r="640" spans="1:1024">
      <c r="A640" s="10" t="s">
        <v>644</v>
      </c>
      <c r="B640" s="10">
        <v>252695</v>
      </c>
      <c r="D640" s="1">
        <v>0</v>
      </c>
      <c r="E640" s="8">
        <f>VLOOKUP(B640,Gesamtstunden_26!B:I,8,0)</f>
        <v>0</v>
      </c>
      <c r="F640" s="2">
        <f t="shared" si="9"/>
        <v>0</v>
      </c>
    </row>
    <row r="641" spans="1:6">
      <c r="A641" s="10" t="s">
        <v>645</v>
      </c>
      <c r="B641" s="10">
        <v>220820</v>
      </c>
      <c r="D641" s="1">
        <v>0</v>
      </c>
      <c r="E641" s="8">
        <f>VLOOKUP(B641,Gesamtstunden_26!B:I,8,0)</f>
        <v>0.66666666666666663</v>
      </c>
      <c r="F641" s="2">
        <f t="shared" si="9"/>
        <v>-0.66666666666666663</v>
      </c>
    </row>
    <row r="642" spans="1:6">
      <c r="A642" s="7" t="s">
        <v>646</v>
      </c>
      <c r="B642" s="7">
        <v>440768</v>
      </c>
      <c r="D642" s="1">
        <v>0</v>
      </c>
      <c r="E642" s="8">
        <f>VLOOKUP(B642,Gesamtstunden_26!B:I,8,0)</f>
        <v>4.5</v>
      </c>
      <c r="F642" s="2">
        <f t="shared" ref="F642:F705" si="10">D642-E642</f>
        <v>-4.5</v>
      </c>
    </row>
    <row r="643" spans="1:6" ht="27.6">
      <c r="A643" s="10" t="s">
        <v>647</v>
      </c>
      <c r="B643" s="10">
        <v>802419</v>
      </c>
      <c r="D643" s="1">
        <v>0</v>
      </c>
      <c r="E643" s="8">
        <f>VLOOKUP(B643,Gesamtstunden_26!B:I,8,0)</f>
        <v>5.333333333333333</v>
      </c>
      <c r="F643" s="2">
        <f t="shared" si="10"/>
        <v>-5.333333333333333</v>
      </c>
    </row>
    <row r="644" spans="1:6" ht="27.6">
      <c r="A644" s="10" t="s">
        <v>648</v>
      </c>
      <c r="B644" s="10">
        <v>935971</v>
      </c>
      <c r="D644" s="1">
        <v>0</v>
      </c>
      <c r="E644" s="8">
        <f>VLOOKUP(B644,Gesamtstunden_26!B:I,8,0)</f>
        <v>1.3333333333333333</v>
      </c>
      <c r="F644" s="2">
        <f t="shared" si="10"/>
        <v>-1.3333333333333333</v>
      </c>
    </row>
    <row r="645" spans="1:6">
      <c r="A645" s="8" t="s">
        <v>649</v>
      </c>
      <c r="B645" s="8">
        <v>596303</v>
      </c>
      <c r="D645" s="1">
        <v>11.0033333333333</v>
      </c>
      <c r="E645" s="8">
        <f>VLOOKUP(B645,Gesamtstunden_26!B:I,8,0)</f>
        <v>0</v>
      </c>
      <c r="F645" s="2">
        <f t="shared" si="10"/>
        <v>11.0033333333333</v>
      </c>
    </row>
    <row r="646" spans="1:6">
      <c r="A646" s="10" t="s">
        <v>650</v>
      </c>
      <c r="B646" s="10">
        <v>724884</v>
      </c>
      <c r="D646" s="1">
        <v>0</v>
      </c>
      <c r="E646" s="8">
        <f>VLOOKUP(B646,Gesamtstunden_26!B:I,8,0)</f>
        <v>1.8333333333333333</v>
      </c>
      <c r="F646" s="2">
        <f t="shared" si="10"/>
        <v>-1.8333333333333333</v>
      </c>
    </row>
    <row r="647" spans="1:6">
      <c r="A647" s="10" t="s">
        <v>651</v>
      </c>
      <c r="B647" s="10">
        <v>322700</v>
      </c>
      <c r="D647" s="1">
        <v>0</v>
      </c>
      <c r="E647" s="8">
        <f>VLOOKUP(B647,Gesamtstunden_26!B:I,8,0)</f>
        <v>0.66666666666666663</v>
      </c>
      <c r="F647" s="2">
        <f t="shared" si="10"/>
        <v>-0.66666666666666663</v>
      </c>
    </row>
    <row r="648" spans="1:6">
      <c r="A648" s="7" t="s">
        <v>652</v>
      </c>
      <c r="B648" s="7">
        <v>396121</v>
      </c>
      <c r="D648" s="1">
        <v>0</v>
      </c>
      <c r="E648" s="8">
        <f>VLOOKUP(B648,Gesamtstunden_26!B:I,8,0)</f>
        <v>0</v>
      </c>
      <c r="F648" s="2">
        <f t="shared" si="10"/>
        <v>0</v>
      </c>
    </row>
    <row r="649" spans="1:6">
      <c r="A649" s="10" t="s">
        <v>653</v>
      </c>
      <c r="B649" s="10">
        <v>373149</v>
      </c>
      <c r="D649" s="1">
        <v>0</v>
      </c>
      <c r="E649" s="8">
        <f>VLOOKUP(B649,Gesamtstunden_26!B:I,8,0)</f>
        <v>4.3333333333333339</v>
      </c>
      <c r="F649" s="2">
        <f t="shared" si="10"/>
        <v>-4.3333333333333339</v>
      </c>
    </row>
    <row r="650" spans="1:6">
      <c r="A650" s="8" t="s">
        <v>654</v>
      </c>
      <c r="B650" s="8">
        <v>696390</v>
      </c>
      <c r="D650" s="1">
        <v>3.5</v>
      </c>
      <c r="E650" s="8">
        <f>VLOOKUP(B650,Gesamtstunden_26!B:I,8,0)</f>
        <v>0</v>
      </c>
      <c r="F650" s="2">
        <f t="shared" si="10"/>
        <v>3.5</v>
      </c>
    </row>
    <row r="651" spans="1:6">
      <c r="A651" s="15" t="s">
        <v>655</v>
      </c>
      <c r="B651" s="15">
        <v>9184</v>
      </c>
      <c r="D651" s="1">
        <v>0</v>
      </c>
      <c r="E651" s="8">
        <f>VLOOKUP(B651,Gesamtstunden_26!B:I,8,0)</f>
        <v>1.6666666666666667</v>
      </c>
      <c r="F651" s="2">
        <f t="shared" si="10"/>
        <v>-1.6666666666666667</v>
      </c>
    </row>
    <row r="652" spans="1:6">
      <c r="A652" s="17" t="s">
        <v>656</v>
      </c>
      <c r="B652" s="17">
        <v>277668</v>
      </c>
      <c r="D652" s="1">
        <v>0</v>
      </c>
      <c r="E652" s="8">
        <f>VLOOKUP(B652,Gesamtstunden_26!B:I,8,0)</f>
        <v>3.3333333333333335</v>
      </c>
      <c r="F652" s="2">
        <f t="shared" si="10"/>
        <v>-3.3333333333333335</v>
      </c>
    </row>
    <row r="653" spans="1:6">
      <c r="A653" s="8" t="s">
        <v>657</v>
      </c>
      <c r="B653" s="8">
        <v>370739</v>
      </c>
      <c r="D653" s="1">
        <v>11</v>
      </c>
      <c r="E653" s="8">
        <f>VLOOKUP(B653,Gesamtstunden_26!B:I,8,0)</f>
        <v>0</v>
      </c>
      <c r="F653" s="2">
        <f t="shared" si="10"/>
        <v>11</v>
      </c>
    </row>
    <row r="654" spans="1:6">
      <c r="A654" s="10" t="s">
        <v>658</v>
      </c>
      <c r="B654" s="10">
        <v>423716</v>
      </c>
      <c r="D654" s="1">
        <v>0</v>
      </c>
      <c r="E654" s="8">
        <f>VLOOKUP(B654,Gesamtstunden_26!B:I,8,0)</f>
        <v>0</v>
      </c>
      <c r="F654" s="2">
        <f t="shared" si="10"/>
        <v>0</v>
      </c>
    </row>
    <row r="655" spans="1:6">
      <c r="A655" s="7" t="s">
        <v>659</v>
      </c>
      <c r="B655" s="7">
        <v>394635</v>
      </c>
      <c r="D655" s="1">
        <v>0</v>
      </c>
      <c r="E655" s="8">
        <f>VLOOKUP(B655,Gesamtstunden_26!B:I,8,0)</f>
        <v>7</v>
      </c>
      <c r="F655" s="2">
        <f t="shared" si="10"/>
        <v>-7</v>
      </c>
    </row>
    <row r="656" spans="1:6">
      <c r="A656" s="8" t="s">
        <v>660</v>
      </c>
      <c r="B656" s="8">
        <v>920008</v>
      </c>
      <c r="D656" s="1">
        <v>3</v>
      </c>
      <c r="E656" s="8">
        <f>VLOOKUP(B656,Gesamtstunden_26!B:I,8,0)</f>
        <v>2.3333333333333335</v>
      </c>
      <c r="F656" s="2">
        <f t="shared" si="10"/>
        <v>0.66666666666666652</v>
      </c>
    </row>
    <row r="657" spans="1:1024">
      <c r="A657" s="7" t="s">
        <v>661</v>
      </c>
      <c r="B657" s="7">
        <v>368256</v>
      </c>
      <c r="D657" s="1">
        <v>0</v>
      </c>
      <c r="E657" s="8">
        <f>VLOOKUP(B657,Gesamtstunden_26!B:I,8,0)</f>
        <v>5</v>
      </c>
      <c r="F657" s="2">
        <f t="shared" si="10"/>
        <v>-5</v>
      </c>
    </row>
    <row r="658" spans="1:1024">
      <c r="A658" s="8" t="s">
        <v>662</v>
      </c>
      <c r="B658" s="8">
        <v>514940</v>
      </c>
      <c r="D658" s="1">
        <v>1.5</v>
      </c>
      <c r="E658" s="8">
        <f>VLOOKUP(B658,Gesamtstunden_26!B:I,8,0)</f>
        <v>0</v>
      </c>
      <c r="F658" s="2">
        <f t="shared" si="10"/>
        <v>1.5</v>
      </c>
    </row>
    <row r="659" spans="1:1024">
      <c r="A659" s="7" t="s">
        <v>663</v>
      </c>
      <c r="B659" s="7">
        <v>923674</v>
      </c>
      <c r="D659" s="1">
        <v>0</v>
      </c>
      <c r="E659" s="8">
        <f>VLOOKUP(B659,Gesamtstunden_26!B:I,8,0)</f>
        <v>3.3333333333333335</v>
      </c>
      <c r="F659" s="2">
        <f t="shared" si="10"/>
        <v>-3.3333333333333335</v>
      </c>
    </row>
    <row r="660" spans="1:1024">
      <c r="A660" s="8" t="s">
        <v>664</v>
      </c>
      <c r="B660" s="8">
        <v>280681</v>
      </c>
      <c r="D660" s="1">
        <v>9</v>
      </c>
      <c r="E660" s="8">
        <f>VLOOKUP(B660,Gesamtstunden_26!B:I,8,0)</f>
        <v>0</v>
      </c>
      <c r="F660" s="2">
        <f t="shared" si="10"/>
        <v>9</v>
      </c>
    </row>
    <row r="661" spans="1:1024" s="11" customFormat="1">
      <c r="A661" s="8" t="s">
        <v>665</v>
      </c>
      <c r="B661" s="8">
        <v>577220</v>
      </c>
      <c r="C661"/>
      <c r="D661" s="1">
        <v>0.83333333333333304</v>
      </c>
      <c r="E661" s="8">
        <f>VLOOKUP(B661,Gesamtstunden_26!B:I,8,0)</f>
        <v>1</v>
      </c>
      <c r="F661" s="2">
        <f t="shared" si="10"/>
        <v>-0.16666666666666696</v>
      </c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/>
      <c r="BE661"/>
      <c r="BF661"/>
      <c r="BG661"/>
      <c r="BH661"/>
      <c r="BI661"/>
      <c r="BJ661"/>
      <c r="BK661"/>
      <c r="BL661"/>
      <c r="BM661"/>
      <c r="BN661"/>
      <c r="BO661"/>
      <c r="BP661"/>
      <c r="BQ661"/>
      <c r="BR661"/>
      <c r="BS661"/>
      <c r="BT661"/>
      <c r="BU661"/>
      <c r="BV661"/>
      <c r="BW661"/>
      <c r="BX661"/>
      <c r="BY661"/>
      <c r="BZ661"/>
      <c r="CA661"/>
      <c r="CB661"/>
      <c r="CC661"/>
      <c r="CD661"/>
      <c r="CE661"/>
      <c r="CF661"/>
      <c r="CG661"/>
      <c r="CH661"/>
      <c r="CI661"/>
      <c r="CJ661"/>
      <c r="CK661"/>
      <c r="CL661"/>
      <c r="CM661"/>
      <c r="CN661"/>
      <c r="CO661"/>
      <c r="CP661"/>
      <c r="CQ661"/>
      <c r="CR661"/>
      <c r="CS661"/>
      <c r="CT661"/>
      <c r="CU661"/>
      <c r="CV661"/>
      <c r="CW661"/>
      <c r="CX661"/>
      <c r="CY661"/>
      <c r="CZ661"/>
      <c r="DA661"/>
      <c r="DB661"/>
      <c r="DC661"/>
      <c r="DD661"/>
      <c r="DE661"/>
      <c r="DF661"/>
      <c r="DG661"/>
      <c r="DH661"/>
      <c r="DI661"/>
      <c r="DJ661"/>
      <c r="DK661"/>
      <c r="DL661"/>
      <c r="DM661"/>
      <c r="DN661"/>
      <c r="DO661"/>
      <c r="DP661"/>
      <c r="DQ661"/>
      <c r="DR661"/>
      <c r="DS661"/>
      <c r="DT661"/>
      <c r="DU661"/>
      <c r="DV661"/>
      <c r="DW661"/>
      <c r="DX661"/>
      <c r="DY661"/>
      <c r="DZ661"/>
      <c r="EA661"/>
      <c r="EB661"/>
      <c r="EC661"/>
      <c r="ED661"/>
      <c r="EE661"/>
      <c r="EF661"/>
      <c r="EG661"/>
      <c r="EH661"/>
      <c r="EI661"/>
      <c r="EJ661"/>
      <c r="EK661"/>
      <c r="EL661"/>
      <c r="EM661"/>
      <c r="EN661"/>
      <c r="EO661"/>
      <c r="EP661"/>
      <c r="EQ661"/>
      <c r="ER661"/>
      <c r="ES661"/>
      <c r="ET661"/>
      <c r="EU661"/>
      <c r="EV661"/>
      <c r="EW661"/>
      <c r="EX661"/>
      <c r="EY661"/>
      <c r="EZ661"/>
      <c r="FA661"/>
      <c r="FB661"/>
      <c r="FC661"/>
      <c r="FD661"/>
      <c r="FE661"/>
      <c r="FF661"/>
      <c r="FG661"/>
      <c r="FH661"/>
      <c r="FI661"/>
      <c r="FJ661"/>
      <c r="FK661"/>
      <c r="FL661"/>
      <c r="FM661"/>
      <c r="FN661"/>
      <c r="FO661"/>
      <c r="FP661"/>
      <c r="FQ661"/>
      <c r="FR661"/>
      <c r="FS661"/>
      <c r="FT661"/>
      <c r="FU661"/>
      <c r="FV661"/>
      <c r="FW661"/>
      <c r="FX661"/>
      <c r="FY661"/>
      <c r="FZ661"/>
      <c r="GA661"/>
      <c r="GB661"/>
      <c r="GC661"/>
      <c r="GD661"/>
      <c r="GE661"/>
      <c r="GF661"/>
      <c r="GG661"/>
      <c r="GH661"/>
      <c r="GI661"/>
      <c r="GJ661"/>
      <c r="GK661"/>
      <c r="GL661"/>
      <c r="GM661"/>
      <c r="GN661"/>
      <c r="GO661"/>
      <c r="GP661"/>
      <c r="GQ661"/>
      <c r="GR661"/>
      <c r="GS661"/>
      <c r="GT661"/>
      <c r="GU661"/>
      <c r="GV661"/>
      <c r="GW661"/>
      <c r="GX661"/>
      <c r="GY661"/>
      <c r="GZ661"/>
      <c r="HA661"/>
      <c r="HB661"/>
      <c r="HC661"/>
      <c r="HD661"/>
      <c r="HE661"/>
      <c r="HF661"/>
      <c r="HG661"/>
      <c r="HH661"/>
      <c r="HI661"/>
      <c r="HJ661"/>
      <c r="HK661"/>
      <c r="HL661"/>
      <c r="HM661"/>
      <c r="HN661"/>
      <c r="HO661"/>
      <c r="HP661"/>
      <c r="HQ661"/>
      <c r="HR661"/>
      <c r="HS661"/>
      <c r="HT661"/>
      <c r="HU661"/>
      <c r="HV661"/>
      <c r="HW661"/>
      <c r="HX661"/>
      <c r="HY661"/>
      <c r="HZ661"/>
      <c r="IA661"/>
      <c r="IB661"/>
      <c r="IC661"/>
      <c r="ID661"/>
      <c r="IE661"/>
      <c r="IF661"/>
      <c r="IG661"/>
      <c r="IH661"/>
      <c r="II661"/>
      <c r="IJ661"/>
      <c r="IK661"/>
      <c r="IL661"/>
      <c r="IM661"/>
      <c r="IN661"/>
      <c r="IO661"/>
      <c r="IP661"/>
      <c r="IQ661"/>
      <c r="IR661"/>
      <c r="IS661"/>
      <c r="IT661"/>
      <c r="IU661"/>
      <c r="IV661"/>
      <c r="IW661"/>
      <c r="IX661"/>
      <c r="IY661"/>
      <c r="IZ661"/>
      <c r="JA661"/>
      <c r="JB661"/>
      <c r="JC661"/>
      <c r="JD661"/>
      <c r="JE661"/>
      <c r="JF661"/>
      <c r="JG661"/>
      <c r="JH661"/>
      <c r="JI661"/>
      <c r="JJ661"/>
      <c r="JK661"/>
      <c r="JL661"/>
      <c r="JM661"/>
      <c r="JN661"/>
      <c r="JO661"/>
      <c r="JP661"/>
      <c r="JQ661"/>
      <c r="JR661"/>
      <c r="JS661"/>
      <c r="JT661"/>
      <c r="JU661"/>
      <c r="JV661"/>
      <c r="JW661"/>
      <c r="JX661"/>
      <c r="JY661"/>
      <c r="JZ661"/>
      <c r="KA661"/>
      <c r="KB661"/>
      <c r="KC661"/>
      <c r="KD661"/>
      <c r="KE661"/>
      <c r="KF661"/>
      <c r="KG661"/>
      <c r="KH661"/>
      <c r="KI661"/>
      <c r="KJ661"/>
      <c r="KK661"/>
      <c r="KL661"/>
      <c r="KM661"/>
      <c r="KN661"/>
      <c r="KO661"/>
      <c r="KP661"/>
      <c r="KQ661"/>
      <c r="KR661"/>
      <c r="KS661"/>
      <c r="KT661"/>
      <c r="KU661"/>
      <c r="KV661"/>
      <c r="KW661"/>
      <c r="KX661"/>
      <c r="KY661"/>
      <c r="KZ661"/>
      <c r="LA661"/>
      <c r="LB661"/>
      <c r="LC661"/>
      <c r="LD661"/>
      <c r="LE661"/>
      <c r="LF661"/>
      <c r="LG661"/>
      <c r="LH661"/>
      <c r="LI661"/>
      <c r="LJ661"/>
      <c r="LK661"/>
      <c r="LL661"/>
      <c r="LM661"/>
      <c r="LN661"/>
      <c r="LO661"/>
      <c r="LP661"/>
      <c r="LQ661"/>
      <c r="LR661"/>
      <c r="LS661"/>
      <c r="LT661"/>
      <c r="LU661"/>
      <c r="LV661"/>
      <c r="LW661"/>
      <c r="LX661"/>
      <c r="LY661"/>
      <c r="LZ661"/>
      <c r="MA661"/>
      <c r="MB661"/>
      <c r="MC661"/>
      <c r="MD661"/>
      <c r="ME661"/>
      <c r="MF661"/>
      <c r="MG661"/>
      <c r="MH661"/>
      <c r="MI661"/>
      <c r="MJ661"/>
      <c r="MK661"/>
      <c r="ML661"/>
      <c r="MM661"/>
      <c r="MN661"/>
      <c r="MO661"/>
      <c r="MP661"/>
      <c r="MQ661"/>
      <c r="MR661"/>
      <c r="MS661"/>
      <c r="MT661"/>
      <c r="MU661"/>
      <c r="MV661"/>
      <c r="MW661"/>
      <c r="MX661"/>
      <c r="MY661"/>
      <c r="MZ661"/>
      <c r="NA661"/>
      <c r="NB661"/>
      <c r="NC661"/>
      <c r="ND661"/>
      <c r="NE661"/>
      <c r="NF661"/>
      <c r="NG661"/>
      <c r="NH661"/>
      <c r="NI661"/>
      <c r="NJ661"/>
      <c r="NK661"/>
      <c r="NL661"/>
      <c r="NM661"/>
      <c r="NN661"/>
      <c r="NO661"/>
      <c r="NP661"/>
      <c r="NQ661"/>
      <c r="NR661"/>
      <c r="NS661"/>
      <c r="NT661"/>
      <c r="NU661"/>
      <c r="NV661"/>
      <c r="NW661"/>
      <c r="NX661"/>
      <c r="NY661"/>
      <c r="NZ661"/>
      <c r="OA661"/>
      <c r="OB661"/>
      <c r="OC661"/>
      <c r="OD661"/>
      <c r="OE661"/>
      <c r="OF661"/>
      <c r="OG661"/>
      <c r="OH661"/>
      <c r="OI661"/>
      <c r="OJ661"/>
      <c r="OK661"/>
      <c r="OL661"/>
      <c r="OM661"/>
      <c r="ON661"/>
      <c r="OO661"/>
      <c r="OP661"/>
      <c r="OQ661"/>
      <c r="OR661"/>
      <c r="OS661"/>
      <c r="OT661"/>
      <c r="OU661"/>
      <c r="OV661"/>
      <c r="OW661"/>
      <c r="OX661"/>
      <c r="OY661"/>
      <c r="OZ661"/>
      <c r="PA661"/>
      <c r="PB661"/>
      <c r="PC661"/>
      <c r="PD661"/>
      <c r="PE661"/>
      <c r="PF661"/>
      <c r="PG661"/>
      <c r="PH661"/>
      <c r="PI661"/>
      <c r="PJ661"/>
      <c r="PK661"/>
      <c r="PL661"/>
      <c r="PM661"/>
      <c r="PN661"/>
      <c r="PO661"/>
      <c r="PP661"/>
      <c r="PQ661"/>
      <c r="PR661"/>
      <c r="PS661"/>
      <c r="PT661"/>
      <c r="PU661"/>
      <c r="PV661"/>
      <c r="PW661"/>
      <c r="PX661"/>
      <c r="PY661"/>
      <c r="PZ661"/>
      <c r="QA661"/>
      <c r="QB661"/>
      <c r="QC661"/>
      <c r="QD661"/>
      <c r="QE661"/>
      <c r="QF661"/>
      <c r="QG661"/>
      <c r="QH661"/>
      <c r="QI661"/>
      <c r="QJ661"/>
      <c r="QK661"/>
      <c r="QL661"/>
      <c r="QM661"/>
      <c r="QN661"/>
      <c r="QO661"/>
      <c r="QP661"/>
      <c r="QQ661"/>
      <c r="QR661"/>
      <c r="QS661"/>
      <c r="QT661"/>
      <c r="QU661"/>
      <c r="QV661"/>
      <c r="QW661"/>
      <c r="QX661"/>
      <c r="QY661"/>
      <c r="QZ661"/>
      <c r="RA661"/>
      <c r="RB661"/>
      <c r="RC661"/>
      <c r="RD661"/>
      <c r="RE661"/>
      <c r="RF661"/>
      <c r="RG661"/>
      <c r="RH661"/>
      <c r="RI661"/>
      <c r="RJ661"/>
      <c r="RK661"/>
      <c r="RL661"/>
      <c r="RM661"/>
      <c r="RN661"/>
      <c r="RO661"/>
      <c r="RP661"/>
      <c r="RQ661"/>
      <c r="RR661"/>
      <c r="RS661"/>
      <c r="RT661"/>
      <c r="RU661"/>
      <c r="RV661"/>
      <c r="RW661"/>
      <c r="RX661"/>
      <c r="RY661"/>
      <c r="RZ661"/>
      <c r="SA661"/>
      <c r="SB661"/>
      <c r="SC661"/>
      <c r="SD661"/>
      <c r="SE661"/>
      <c r="SF661"/>
      <c r="SG661"/>
      <c r="SH661"/>
      <c r="SI661"/>
      <c r="SJ661"/>
      <c r="SK661"/>
      <c r="SL661"/>
      <c r="SM661"/>
      <c r="SN661"/>
      <c r="SO661"/>
      <c r="SP661"/>
      <c r="SQ661"/>
      <c r="SR661"/>
      <c r="SS661"/>
      <c r="ST661"/>
      <c r="SU661"/>
      <c r="SV661"/>
      <c r="SW661"/>
      <c r="SX661"/>
      <c r="SY661"/>
      <c r="SZ661"/>
      <c r="TA661"/>
      <c r="TB661"/>
      <c r="TC661"/>
      <c r="TD661"/>
      <c r="TE661"/>
      <c r="TF661"/>
      <c r="TG661"/>
      <c r="TH661"/>
      <c r="TI661"/>
      <c r="TJ661"/>
      <c r="TK661"/>
      <c r="TL661"/>
      <c r="TM661"/>
      <c r="TN661"/>
      <c r="TO661"/>
      <c r="TP661"/>
      <c r="TQ661"/>
      <c r="TR661"/>
      <c r="TS661"/>
      <c r="TT661"/>
      <c r="TU661"/>
      <c r="TV661"/>
      <c r="TW661"/>
      <c r="TX661"/>
      <c r="TY661"/>
      <c r="TZ661"/>
      <c r="UA661"/>
      <c r="UB661"/>
      <c r="UC661"/>
      <c r="UD661"/>
      <c r="UE661"/>
      <c r="UF661"/>
      <c r="UG661"/>
      <c r="UH661"/>
      <c r="UI661"/>
      <c r="UJ661"/>
      <c r="UK661"/>
      <c r="UL661"/>
      <c r="UM661"/>
      <c r="UN661"/>
      <c r="UO661"/>
      <c r="UP661"/>
      <c r="UQ661"/>
      <c r="UR661"/>
      <c r="US661"/>
      <c r="UT661"/>
      <c r="UU661"/>
      <c r="UV661"/>
      <c r="UW661"/>
      <c r="UX661"/>
      <c r="UY661"/>
      <c r="UZ661"/>
      <c r="VA661"/>
      <c r="VB661"/>
      <c r="VC661"/>
      <c r="VD661"/>
      <c r="VE661"/>
      <c r="VF661"/>
      <c r="VG661"/>
      <c r="VH661"/>
      <c r="VI661"/>
      <c r="VJ661"/>
      <c r="VK661"/>
      <c r="VL661"/>
      <c r="VM661"/>
      <c r="VN661"/>
      <c r="VO661"/>
      <c r="VP661"/>
      <c r="VQ661"/>
      <c r="VR661"/>
      <c r="VS661"/>
      <c r="VT661"/>
      <c r="VU661"/>
      <c r="VV661"/>
      <c r="VW661"/>
      <c r="VX661"/>
      <c r="VY661"/>
      <c r="VZ661"/>
      <c r="WA661"/>
      <c r="WB661"/>
      <c r="WC661"/>
      <c r="WD661"/>
      <c r="WE661"/>
      <c r="WF661"/>
      <c r="WG661"/>
      <c r="WH661"/>
      <c r="WI661"/>
      <c r="WJ661"/>
      <c r="WK661"/>
      <c r="WL661"/>
      <c r="WM661"/>
      <c r="WN661"/>
      <c r="WO661"/>
      <c r="WP661"/>
      <c r="WQ661"/>
      <c r="WR661"/>
      <c r="WS661"/>
      <c r="WT661"/>
      <c r="WU661"/>
      <c r="WV661"/>
      <c r="WW661"/>
      <c r="WX661"/>
      <c r="WY661"/>
      <c r="WZ661"/>
      <c r="XA661"/>
      <c r="XB661"/>
      <c r="XC661"/>
      <c r="XD661"/>
      <c r="XE661"/>
      <c r="XF661"/>
      <c r="XG661"/>
      <c r="XH661"/>
      <c r="XI661"/>
      <c r="XJ661"/>
      <c r="XK661"/>
      <c r="XL661"/>
      <c r="XM661"/>
      <c r="XN661"/>
      <c r="XO661"/>
      <c r="XP661"/>
      <c r="XQ661"/>
      <c r="XR661"/>
      <c r="XS661"/>
      <c r="XT661"/>
      <c r="XU661"/>
      <c r="XV661"/>
      <c r="XW661"/>
      <c r="XX661"/>
      <c r="XY661"/>
      <c r="XZ661"/>
      <c r="YA661"/>
      <c r="YB661"/>
      <c r="YC661"/>
      <c r="YD661"/>
      <c r="YE661"/>
      <c r="YF661"/>
      <c r="YG661"/>
      <c r="YH661"/>
      <c r="YI661"/>
      <c r="YJ661"/>
      <c r="YK661"/>
      <c r="YL661"/>
      <c r="YM661"/>
      <c r="YN661"/>
      <c r="YO661"/>
      <c r="YP661"/>
      <c r="YQ661"/>
      <c r="YR661"/>
      <c r="YS661"/>
      <c r="YT661"/>
      <c r="YU661"/>
      <c r="YV661"/>
      <c r="YW661"/>
      <c r="YX661"/>
      <c r="YY661"/>
      <c r="YZ661"/>
      <c r="ZA661"/>
      <c r="ZB661"/>
      <c r="ZC661"/>
      <c r="ZD661"/>
      <c r="ZE661"/>
      <c r="ZF661"/>
      <c r="ZG661"/>
      <c r="ZH661"/>
      <c r="ZI661"/>
      <c r="ZJ661"/>
      <c r="ZK661"/>
      <c r="ZL661"/>
      <c r="ZM661"/>
      <c r="ZN661"/>
      <c r="ZO661"/>
      <c r="ZP661"/>
      <c r="ZQ661"/>
      <c r="ZR661"/>
      <c r="ZS661"/>
      <c r="ZT661"/>
      <c r="ZU661"/>
      <c r="ZV661"/>
      <c r="ZW661"/>
      <c r="ZX661"/>
      <c r="ZY661"/>
      <c r="ZZ661"/>
      <c r="AAA661"/>
      <c r="AAB661"/>
      <c r="AAC661"/>
      <c r="AAD661"/>
      <c r="AAE661"/>
      <c r="AAF661"/>
      <c r="AAG661"/>
      <c r="AAH661"/>
      <c r="AAI661"/>
      <c r="AAJ661"/>
      <c r="AAK661"/>
      <c r="AAL661"/>
      <c r="AAM661"/>
      <c r="AAN661"/>
      <c r="AAO661"/>
      <c r="AAP661"/>
      <c r="AAQ661"/>
      <c r="AAR661"/>
      <c r="AAS661"/>
      <c r="AAT661"/>
      <c r="AAU661"/>
      <c r="AAV661"/>
      <c r="AAW661"/>
      <c r="AAX661"/>
      <c r="AAY661"/>
      <c r="AAZ661"/>
      <c r="ABA661"/>
      <c r="ABB661"/>
      <c r="ABC661"/>
      <c r="ABD661"/>
      <c r="ABE661"/>
      <c r="ABF661"/>
      <c r="ABG661"/>
      <c r="ABH661"/>
      <c r="ABI661"/>
      <c r="ABJ661"/>
      <c r="ABK661"/>
      <c r="ABL661"/>
      <c r="ABM661"/>
      <c r="ABN661"/>
      <c r="ABO661"/>
      <c r="ABP661"/>
      <c r="ABQ661"/>
      <c r="ABR661"/>
      <c r="ABS661"/>
      <c r="ABT661"/>
      <c r="ABU661"/>
      <c r="ABV661"/>
      <c r="ABW661"/>
      <c r="ABX661"/>
      <c r="ABY661"/>
      <c r="ABZ661"/>
      <c r="ACA661"/>
      <c r="ACB661"/>
      <c r="ACC661"/>
      <c r="ACD661"/>
      <c r="ACE661"/>
      <c r="ACF661"/>
      <c r="ACG661"/>
      <c r="ACH661"/>
      <c r="ACI661"/>
      <c r="ACJ661"/>
      <c r="ACK661"/>
      <c r="ACL661"/>
      <c r="ACM661"/>
      <c r="ACN661"/>
      <c r="ACO661"/>
      <c r="ACP661"/>
      <c r="ACQ661"/>
      <c r="ACR661"/>
      <c r="ACS661"/>
      <c r="ACT661"/>
      <c r="ACU661"/>
      <c r="ACV661"/>
      <c r="ACW661"/>
      <c r="ACX661"/>
      <c r="ACY661"/>
      <c r="ACZ661"/>
      <c r="ADA661"/>
      <c r="ADB661"/>
      <c r="ADC661"/>
      <c r="ADD661"/>
      <c r="ADE661"/>
      <c r="ADF661"/>
      <c r="ADG661"/>
      <c r="ADH661"/>
      <c r="ADI661"/>
      <c r="ADJ661"/>
      <c r="ADK661"/>
      <c r="ADL661"/>
      <c r="ADM661"/>
      <c r="ADN661"/>
      <c r="ADO661"/>
      <c r="ADP661"/>
      <c r="ADQ661"/>
      <c r="ADR661"/>
      <c r="ADS661"/>
      <c r="ADT661"/>
      <c r="ADU661"/>
      <c r="ADV661"/>
      <c r="ADW661"/>
      <c r="ADX661"/>
      <c r="ADY661"/>
      <c r="ADZ661"/>
      <c r="AEA661"/>
      <c r="AEB661"/>
      <c r="AEC661"/>
      <c r="AED661"/>
      <c r="AEE661"/>
      <c r="AEF661"/>
      <c r="AEG661"/>
      <c r="AEH661"/>
      <c r="AEI661"/>
      <c r="AEJ661"/>
      <c r="AEK661"/>
      <c r="AEL661"/>
      <c r="AEM661"/>
      <c r="AEN661"/>
      <c r="AEO661"/>
      <c r="AEP661"/>
      <c r="AEQ661"/>
      <c r="AER661"/>
      <c r="AES661"/>
      <c r="AET661"/>
      <c r="AEU661"/>
      <c r="AEV661"/>
      <c r="AEW661"/>
      <c r="AEX661"/>
      <c r="AEY661"/>
      <c r="AEZ661"/>
      <c r="AFA661"/>
      <c r="AFB661"/>
      <c r="AFC661"/>
      <c r="AFD661"/>
      <c r="AFE661"/>
      <c r="AFF661"/>
      <c r="AFG661"/>
      <c r="AFH661"/>
      <c r="AFI661"/>
      <c r="AFJ661"/>
      <c r="AFK661"/>
      <c r="AFL661"/>
      <c r="AFM661"/>
      <c r="AFN661"/>
      <c r="AFO661"/>
      <c r="AFP661"/>
      <c r="AFQ661"/>
      <c r="AFR661"/>
      <c r="AFS661"/>
      <c r="AFT661"/>
      <c r="AFU661"/>
      <c r="AFV661"/>
      <c r="AFW661"/>
      <c r="AFX661"/>
      <c r="AFY661"/>
      <c r="AFZ661"/>
      <c r="AGA661"/>
      <c r="AGB661"/>
      <c r="AGC661"/>
      <c r="AGD661"/>
      <c r="AGE661"/>
      <c r="AGF661"/>
      <c r="AGG661"/>
      <c r="AGH661"/>
      <c r="AGI661"/>
      <c r="AGJ661"/>
      <c r="AGK661"/>
      <c r="AGL661"/>
      <c r="AGM661"/>
      <c r="AGN661"/>
      <c r="AGO661"/>
      <c r="AGP661"/>
      <c r="AGQ661"/>
      <c r="AGR661"/>
      <c r="AGS661"/>
      <c r="AGT661"/>
      <c r="AGU661"/>
      <c r="AGV661"/>
      <c r="AGW661"/>
      <c r="AGX661"/>
      <c r="AGY661"/>
      <c r="AGZ661"/>
      <c r="AHA661"/>
      <c r="AHB661"/>
      <c r="AHC661"/>
      <c r="AHD661"/>
      <c r="AHE661"/>
      <c r="AHF661"/>
      <c r="AHG661"/>
      <c r="AHH661"/>
      <c r="AHI661"/>
      <c r="AHJ661"/>
      <c r="AHK661"/>
      <c r="AHL661"/>
      <c r="AHM661"/>
      <c r="AHN661"/>
      <c r="AHO661"/>
      <c r="AHP661"/>
      <c r="AHQ661"/>
      <c r="AHR661"/>
      <c r="AHS661"/>
      <c r="AHT661"/>
      <c r="AHU661"/>
      <c r="AHV661"/>
      <c r="AHW661"/>
      <c r="AHX661"/>
      <c r="AHY661"/>
      <c r="AHZ661"/>
      <c r="AIA661"/>
      <c r="AIB661"/>
      <c r="AIC661"/>
      <c r="AID661"/>
      <c r="AIE661"/>
      <c r="AIF661"/>
      <c r="AIG661"/>
      <c r="AIH661"/>
      <c r="AII661"/>
      <c r="AIJ661"/>
      <c r="AIK661"/>
      <c r="AIL661"/>
      <c r="AIM661"/>
      <c r="AIN661"/>
      <c r="AIO661"/>
      <c r="AIP661"/>
      <c r="AIQ661"/>
      <c r="AIR661"/>
      <c r="AIS661"/>
      <c r="AIT661"/>
      <c r="AIU661"/>
      <c r="AIV661"/>
      <c r="AIW661"/>
      <c r="AIX661"/>
      <c r="AIY661"/>
      <c r="AIZ661"/>
      <c r="AJA661"/>
      <c r="AJB661"/>
      <c r="AJC661"/>
      <c r="AJD661"/>
      <c r="AJE661"/>
      <c r="AJF661"/>
      <c r="AJG661"/>
      <c r="AJH661"/>
      <c r="AJI661"/>
      <c r="AJJ661"/>
      <c r="AJK661"/>
      <c r="AJL661"/>
      <c r="AJM661"/>
      <c r="AJN661"/>
      <c r="AJO661"/>
      <c r="AJP661"/>
      <c r="AJQ661"/>
      <c r="AJR661"/>
      <c r="AJS661"/>
      <c r="AJT661"/>
      <c r="AJU661"/>
      <c r="AJV661"/>
      <c r="AJW661"/>
      <c r="AJX661"/>
      <c r="AJY661"/>
      <c r="AJZ661"/>
      <c r="AKA661"/>
      <c r="AKB661"/>
      <c r="AKC661"/>
      <c r="AKD661"/>
      <c r="AKE661"/>
      <c r="AKF661"/>
      <c r="AKG661"/>
      <c r="AKH661"/>
      <c r="AKI661"/>
      <c r="AKJ661"/>
      <c r="AKK661"/>
      <c r="AKL661"/>
      <c r="AKM661"/>
      <c r="AKN661"/>
      <c r="AKO661"/>
      <c r="AKP661"/>
      <c r="AKQ661"/>
      <c r="AKR661"/>
      <c r="AKS661"/>
      <c r="AKT661"/>
      <c r="AKU661"/>
      <c r="AKV661"/>
      <c r="AKW661"/>
      <c r="AKX661"/>
      <c r="AKY661"/>
      <c r="AKZ661"/>
      <c r="ALA661"/>
      <c r="ALB661"/>
      <c r="ALC661"/>
      <c r="ALD661"/>
      <c r="ALE661"/>
      <c r="ALF661"/>
      <c r="ALG661"/>
      <c r="ALH661"/>
      <c r="ALI661"/>
      <c r="ALJ661"/>
      <c r="ALK661"/>
      <c r="ALL661"/>
      <c r="ALM661"/>
      <c r="ALN661"/>
      <c r="ALO661"/>
      <c r="ALP661"/>
      <c r="ALQ661"/>
      <c r="ALR661"/>
      <c r="ALS661"/>
      <c r="ALT661"/>
      <c r="ALU661"/>
      <c r="ALV661"/>
      <c r="ALW661"/>
      <c r="ALX661"/>
      <c r="ALY661"/>
      <c r="ALZ661"/>
      <c r="AMA661"/>
      <c r="AMB661"/>
      <c r="AMC661"/>
      <c r="AMD661"/>
      <c r="AME661"/>
      <c r="AMF661"/>
      <c r="AMG661"/>
      <c r="AMH661"/>
      <c r="AMI661"/>
      <c r="AMJ661"/>
    </row>
    <row r="662" spans="1:1024" ht="27.6">
      <c r="A662" s="7" t="s">
        <v>666</v>
      </c>
      <c r="B662" s="7">
        <v>689981</v>
      </c>
      <c r="C662" s="11"/>
      <c r="D662" s="12">
        <v>0.34333333333333299</v>
      </c>
      <c r="E662" s="7">
        <f>VLOOKUP(B662,Gesamtstunden_26!B:I,8,0)</f>
        <v>4.333333333333333</v>
      </c>
      <c r="F662" s="13">
        <f t="shared" si="10"/>
        <v>-3.99</v>
      </c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  <c r="AS662" s="11"/>
      <c r="AT662" s="11"/>
      <c r="AU662" s="11"/>
      <c r="AV662" s="11"/>
      <c r="AW662" s="11"/>
      <c r="AX662" s="11"/>
      <c r="AY662" s="11"/>
      <c r="AZ662" s="11"/>
      <c r="BA662" s="11"/>
      <c r="BB662" s="11"/>
      <c r="BC662" s="11"/>
      <c r="BD662" s="11"/>
      <c r="BE662" s="11"/>
      <c r="BF662" s="11"/>
      <c r="BG662" s="11"/>
      <c r="BH662" s="11"/>
      <c r="BI662" s="11"/>
      <c r="BJ662" s="11"/>
      <c r="BK662" s="11"/>
      <c r="BL662" s="11"/>
      <c r="BM662" s="11"/>
      <c r="BN662" s="11"/>
      <c r="BO662" s="11"/>
      <c r="BP662" s="11"/>
      <c r="BQ662" s="11"/>
      <c r="BR662" s="11"/>
      <c r="BS662" s="11"/>
      <c r="BT662" s="11"/>
      <c r="BU662" s="11"/>
      <c r="BV662" s="11"/>
      <c r="BW662" s="11"/>
      <c r="BX662" s="11"/>
      <c r="BY662" s="11"/>
      <c r="BZ662" s="11"/>
      <c r="CA662" s="11"/>
      <c r="CB662" s="11"/>
      <c r="CC662" s="11"/>
      <c r="CD662" s="11"/>
      <c r="CE662" s="11"/>
      <c r="CF662" s="11"/>
      <c r="CG662" s="11"/>
      <c r="CH662" s="11"/>
      <c r="CI662" s="11"/>
      <c r="CJ662" s="11"/>
      <c r="CK662" s="11"/>
      <c r="CL662" s="11"/>
      <c r="CM662" s="11"/>
      <c r="CN662" s="11"/>
      <c r="CO662" s="11"/>
      <c r="CP662" s="11"/>
      <c r="CQ662" s="11"/>
      <c r="CR662" s="11"/>
      <c r="CS662" s="11"/>
      <c r="CT662" s="11"/>
      <c r="CU662" s="11"/>
      <c r="CV662" s="11"/>
      <c r="CW662" s="11"/>
      <c r="CX662" s="11"/>
      <c r="CY662" s="11"/>
      <c r="CZ662" s="11"/>
      <c r="DA662" s="11"/>
      <c r="DB662" s="11"/>
      <c r="DC662" s="11"/>
      <c r="DD662" s="11"/>
      <c r="DE662" s="11"/>
      <c r="DF662" s="11"/>
      <c r="DG662" s="11"/>
      <c r="DH662" s="11"/>
      <c r="DI662" s="11"/>
      <c r="DJ662" s="11"/>
      <c r="DK662" s="11"/>
      <c r="DL662" s="11"/>
      <c r="DM662" s="11"/>
      <c r="DN662" s="11"/>
      <c r="DO662" s="11"/>
      <c r="DP662" s="11"/>
      <c r="DQ662" s="11"/>
      <c r="DR662" s="11"/>
      <c r="DS662" s="11"/>
      <c r="DT662" s="11"/>
      <c r="DU662" s="11"/>
      <c r="DV662" s="11"/>
      <c r="DW662" s="11"/>
      <c r="DX662" s="11"/>
      <c r="DY662" s="11"/>
      <c r="DZ662" s="11"/>
      <c r="EA662" s="11"/>
      <c r="EB662" s="11"/>
      <c r="EC662" s="11"/>
      <c r="ED662" s="11"/>
      <c r="EE662" s="11"/>
      <c r="EF662" s="11"/>
      <c r="EG662" s="11"/>
      <c r="EH662" s="11"/>
      <c r="EI662" s="11"/>
      <c r="EJ662" s="11"/>
      <c r="EK662" s="11"/>
      <c r="EL662" s="11"/>
      <c r="EM662" s="11"/>
      <c r="EN662" s="11"/>
      <c r="EO662" s="11"/>
      <c r="EP662" s="11"/>
      <c r="EQ662" s="11"/>
      <c r="ER662" s="11"/>
      <c r="ES662" s="11"/>
      <c r="ET662" s="11"/>
      <c r="EU662" s="11"/>
      <c r="EV662" s="11"/>
      <c r="EW662" s="11"/>
      <c r="EX662" s="11"/>
      <c r="EY662" s="11"/>
      <c r="EZ662" s="11"/>
      <c r="FA662" s="11"/>
      <c r="FB662" s="11"/>
      <c r="FC662" s="11"/>
      <c r="FD662" s="11"/>
      <c r="FE662" s="11"/>
      <c r="FF662" s="11"/>
      <c r="FG662" s="11"/>
      <c r="FH662" s="11"/>
      <c r="FI662" s="11"/>
      <c r="FJ662" s="11"/>
      <c r="FK662" s="11"/>
      <c r="FL662" s="11"/>
      <c r="FM662" s="11"/>
      <c r="FN662" s="11"/>
      <c r="FO662" s="11"/>
      <c r="FP662" s="11"/>
      <c r="FQ662" s="11"/>
      <c r="FR662" s="11"/>
      <c r="FS662" s="11"/>
      <c r="FT662" s="11"/>
      <c r="FU662" s="11"/>
      <c r="FV662" s="11"/>
      <c r="FW662" s="11"/>
      <c r="FX662" s="11"/>
      <c r="FY662" s="11"/>
      <c r="FZ662" s="11"/>
      <c r="GA662" s="11"/>
      <c r="GB662" s="11"/>
      <c r="GC662" s="11"/>
      <c r="GD662" s="11"/>
      <c r="GE662" s="11"/>
      <c r="GF662" s="11"/>
      <c r="GG662" s="11"/>
      <c r="GH662" s="11"/>
      <c r="GI662" s="11"/>
      <c r="GJ662" s="11"/>
      <c r="GK662" s="11"/>
      <c r="GL662" s="11"/>
      <c r="GM662" s="11"/>
      <c r="GN662" s="11"/>
      <c r="GO662" s="11"/>
      <c r="GP662" s="11"/>
      <c r="GQ662" s="11"/>
      <c r="GR662" s="11"/>
      <c r="GS662" s="11"/>
      <c r="GT662" s="11"/>
      <c r="GU662" s="11"/>
      <c r="GV662" s="11"/>
      <c r="GW662" s="11"/>
      <c r="GX662" s="11"/>
      <c r="GY662" s="11"/>
      <c r="GZ662" s="11"/>
      <c r="HA662" s="11"/>
      <c r="HB662" s="11"/>
      <c r="HC662" s="11"/>
      <c r="HD662" s="11"/>
      <c r="HE662" s="11"/>
      <c r="HF662" s="11"/>
      <c r="HG662" s="11"/>
      <c r="HH662" s="11"/>
      <c r="HI662" s="11"/>
      <c r="HJ662" s="11"/>
      <c r="HK662" s="11"/>
      <c r="HL662" s="11"/>
      <c r="HM662" s="11"/>
      <c r="HN662" s="11"/>
      <c r="HO662" s="11"/>
      <c r="HP662" s="11"/>
      <c r="HQ662" s="11"/>
      <c r="HR662" s="11"/>
      <c r="HS662" s="11"/>
      <c r="HT662" s="11"/>
      <c r="HU662" s="11"/>
      <c r="HV662" s="11"/>
      <c r="HW662" s="11"/>
      <c r="HX662" s="11"/>
      <c r="HY662" s="11"/>
      <c r="HZ662" s="11"/>
      <c r="IA662" s="11"/>
      <c r="IB662" s="11"/>
      <c r="IC662" s="11"/>
      <c r="ID662" s="11"/>
      <c r="IE662" s="11"/>
      <c r="IF662" s="11"/>
      <c r="IG662" s="11"/>
      <c r="IH662" s="11"/>
      <c r="II662" s="11"/>
      <c r="IJ662" s="11"/>
      <c r="IK662" s="11"/>
      <c r="IL662" s="11"/>
      <c r="IM662" s="11"/>
      <c r="IN662" s="11"/>
      <c r="IO662" s="11"/>
      <c r="IP662" s="11"/>
      <c r="IQ662" s="11"/>
      <c r="IR662" s="11"/>
      <c r="IS662" s="11"/>
      <c r="IT662" s="11"/>
      <c r="IU662" s="11"/>
      <c r="IV662" s="11"/>
      <c r="IW662" s="11"/>
      <c r="IX662" s="11"/>
      <c r="IY662" s="11"/>
      <c r="IZ662" s="11"/>
      <c r="JA662" s="11"/>
      <c r="JB662" s="11"/>
      <c r="JC662" s="11"/>
      <c r="JD662" s="11"/>
      <c r="JE662" s="11"/>
      <c r="JF662" s="11"/>
      <c r="JG662" s="11"/>
      <c r="JH662" s="11"/>
      <c r="JI662" s="11"/>
      <c r="JJ662" s="11"/>
      <c r="JK662" s="11"/>
      <c r="JL662" s="11"/>
      <c r="JM662" s="11"/>
      <c r="JN662" s="11"/>
      <c r="JO662" s="11"/>
      <c r="JP662" s="11"/>
      <c r="JQ662" s="11"/>
      <c r="JR662" s="11"/>
      <c r="JS662" s="11"/>
      <c r="JT662" s="11"/>
      <c r="JU662" s="11"/>
      <c r="JV662" s="11"/>
      <c r="JW662" s="11"/>
      <c r="JX662" s="11"/>
      <c r="JY662" s="11"/>
      <c r="JZ662" s="11"/>
      <c r="KA662" s="11"/>
      <c r="KB662" s="11"/>
      <c r="KC662" s="11"/>
      <c r="KD662" s="11"/>
      <c r="KE662" s="11"/>
      <c r="KF662" s="11"/>
      <c r="KG662" s="11"/>
      <c r="KH662" s="11"/>
      <c r="KI662" s="11"/>
      <c r="KJ662" s="11"/>
      <c r="KK662" s="11"/>
      <c r="KL662" s="11"/>
      <c r="KM662" s="11"/>
      <c r="KN662" s="11"/>
      <c r="KO662" s="11"/>
      <c r="KP662" s="11"/>
      <c r="KQ662" s="11"/>
      <c r="KR662" s="11"/>
      <c r="KS662" s="11"/>
      <c r="KT662" s="11"/>
      <c r="KU662" s="11"/>
      <c r="KV662" s="11"/>
      <c r="KW662" s="11"/>
      <c r="KX662" s="11"/>
      <c r="KY662" s="11"/>
      <c r="KZ662" s="11"/>
      <c r="LA662" s="11"/>
      <c r="LB662" s="11"/>
      <c r="LC662" s="11"/>
      <c r="LD662" s="11"/>
      <c r="LE662" s="11"/>
      <c r="LF662" s="11"/>
      <c r="LG662" s="11"/>
      <c r="LH662" s="11"/>
      <c r="LI662" s="11"/>
      <c r="LJ662" s="11"/>
      <c r="LK662" s="11"/>
      <c r="LL662" s="11"/>
      <c r="LM662" s="11"/>
      <c r="LN662" s="11"/>
      <c r="LO662" s="11"/>
      <c r="LP662" s="11"/>
      <c r="LQ662" s="11"/>
      <c r="LR662" s="11"/>
      <c r="LS662" s="11"/>
      <c r="LT662" s="11"/>
      <c r="LU662" s="11"/>
      <c r="LV662" s="11"/>
      <c r="LW662" s="11"/>
      <c r="LX662" s="11"/>
      <c r="LY662" s="11"/>
      <c r="LZ662" s="11"/>
      <c r="MA662" s="11"/>
      <c r="MB662" s="11"/>
      <c r="MC662" s="11"/>
      <c r="MD662" s="11"/>
      <c r="ME662" s="11"/>
      <c r="MF662" s="11"/>
      <c r="MG662" s="11"/>
      <c r="MH662" s="11"/>
      <c r="MI662" s="11"/>
      <c r="MJ662" s="11"/>
      <c r="MK662" s="11"/>
      <c r="ML662" s="11"/>
      <c r="MM662" s="11"/>
      <c r="MN662" s="11"/>
      <c r="MO662" s="11"/>
      <c r="MP662" s="11"/>
      <c r="MQ662" s="11"/>
      <c r="MR662" s="11"/>
      <c r="MS662" s="11"/>
      <c r="MT662" s="11"/>
      <c r="MU662" s="11"/>
      <c r="MV662" s="11"/>
      <c r="MW662" s="11"/>
      <c r="MX662" s="11"/>
      <c r="MY662" s="11"/>
      <c r="MZ662" s="11"/>
      <c r="NA662" s="11"/>
      <c r="NB662" s="11"/>
      <c r="NC662" s="11"/>
      <c r="ND662" s="11"/>
      <c r="NE662" s="11"/>
      <c r="NF662" s="11"/>
      <c r="NG662" s="11"/>
      <c r="NH662" s="11"/>
      <c r="NI662" s="11"/>
      <c r="NJ662" s="11"/>
      <c r="NK662" s="11"/>
      <c r="NL662" s="11"/>
      <c r="NM662" s="11"/>
      <c r="NN662" s="11"/>
      <c r="NO662" s="11"/>
      <c r="NP662" s="11"/>
      <c r="NQ662" s="11"/>
      <c r="NR662" s="11"/>
      <c r="NS662" s="11"/>
      <c r="NT662" s="11"/>
      <c r="NU662" s="11"/>
      <c r="NV662" s="11"/>
      <c r="NW662" s="11"/>
      <c r="NX662" s="11"/>
      <c r="NY662" s="11"/>
      <c r="NZ662" s="11"/>
      <c r="OA662" s="11"/>
      <c r="OB662" s="11"/>
      <c r="OC662" s="11"/>
      <c r="OD662" s="11"/>
      <c r="OE662" s="11"/>
      <c r="OF662" s="11"/>
      <c r="OG662" s="11"/>
      <c r="OH662" s="11"/>
      <c r="OI662" s="11"/>
      <c r="OJ662" s="11"/>
      <c r="OK662" s="11"/>
      <c r="OL662" s="11"/>
      <c r="OM662" s="11"/>
      <c r="ON662" s="11"/>
      <c r="OO662" s="11"/>
      <c r="OP662" s="11"/>
      <c r="OQ662" s="11"/>
      <c r="OR662" s="11"/>
      <c r="OS662" s="11"/>
      <c r="OT662" s="11"/>
      <c r="OU662" s="11"/>
      <c r="OV662" s="11"/>
      <c r="OW662" s="11"/>
      <c r="OX662" s="11"/>
      <c r="OY662" s="11"/>
      <c r="OZ662" s="11"/>
      <c r="PA662" s="11"/>
      <c r="PB662" s="11"/>
      <c r="PC662" s="11"/>
      <c r="PD662" s="11"/>
      <c r="PE662" s="11"/>
      <c r="PF662" s="11"/>
      <c r="PG662" s="11"/>
      <c r="PH662" s="11"/>
      <c r="PI662" s="11"/>
      <c r="PJ662" s="11"/>
      <c r="PK662" s="11"/>
      <c r="PL662" s="11"/>
      <c r="PM662" s="11"/>
      <c r="PN662" s="11"/>
      <c r="PO662" s="11"/>
      <c r="PP662" s="11"/>
      <c r="PQ662" s="11"/>
      <c r="PR662" s="11"/>
      <c r="PS662" s="11"/>
      <c r="PT662" s="11"/>
      <c r="PU662" s="11"/>
      <c r="PV662" s="11"/>
      <c r="PW662" s="11"/>
      <c r="PX662" s="11"/>
      <c r="PY662" s="11"/>
      <c r="PZ662" s="11"/>
      <c r="QA662" s="11"/>
      <c r="QB662" s="11"/>
      <c r="QC662" s="11"/>
      <c r="QD662" s="11"/>
      <c r="QE662" s="11"/>
      <c r="QF662" s="11"/>
      <c r="QG662" s="11"/>
      <c r="QH662" s="11"/>
      <c r="QI662" s="11"/>
      <c r="QJ662" s="11"/>
      <c r="QK662" s="11"/>
      <c r="QL662" s="11"/>
      <c r="QM662" s="11"/>
      <c r="QN662" s="11"/>
      <c r="QO662" s="11"/>
      <c r="QP662" s="11"/>
      <c r="QQ662" s="11"/>
      <c r="QR662" s="11"/>
      <c r="QS662" s="11"/>
      <c r="QT662" s="11"/>
      <c r="QU662" s="11"/>
      <c r="QV662" s="11"/>
      <c r="QW662" s="11"/>
      <c r="QX662" s="11"/>
      <c r="QY662" s="11"/>
      <c r="QZ662" s="11"/>
      <c r="RA662" s="11"/>
      <c r="RB662" s="11"/>
      <c r="RC662" s="11"/>
      <c r="RD662" s="11"/>
      <c r="RE662" s="11"/>
      <c r="RF662" s="11"/>
      <c r="RG662" s="11"/>
      <c r="RH662" s="11"/>
      <c r="RI662" s="11"/>
      <c r="RJ662" s="11"/>
      <c r="RK662" s="11"/>
      <c r="RL662" s="11"/>
      <c r="RM662" s="11"/>
      <c r="RN662" s="11"/>
      <c r="RO662" s="11"/>
      <c r="RP662" s="11"/>
      <c r="RQ662" s="11"/>
      <c r="RR662" s="11"/>
      <c r="RS662" s="11"/>
      <c r="RT662" s="11"/>
      <c r="RU662" s="11"/>
      <c r="RV662" s="11"/>
      <c r="RW662" s="11"/>
      <c r="RX662" s="11"/>
      <c r="RY662" s="11"/>
      <c r="RZ662" s="11"/>
      <c r="SA662" s="11"/>
      <c r="SB662" s="11"/>
      <c r="SC662" s="11"/>
      <c r="SD662" s="11"/>
      <c r="SE662" s="11"/>
      <c r="SF662" s="11"/>
      <c r="SG662" s="11"/>
      <c r="SH662" s="11"/>
      <c r="SI662" s="11"/>
      <c r="SJ662" s="11"/>
      <c r="SK662" s="11"/>
      <c r="SL662" s="11"/>
      <c r="SM662" s="11"/>
      <c r="SN662" s="11"/>
      <c r="SO662" s="11"/>
      <c r="SP662" s="11"/>
      <c r="SQ662" s="11"/>
      <c r="SR662" s="11"/>
      <c r="SS662" s="11"/>
      <c r="ST662" s="11"/>
      <c r="SU662" s="11"/>
      <c r="SV662" s="11"/>
      <c r="SW662" s="11"/>
      <c r="SX662" s="11"/>
      <c r="SY662" s="11"/>
      <c r="SZ662" s="11"/>
      <c r="TA662" s="11"/>
      <c r="TB662" s="11"/>
      <c r="TC662" s="11"/>
      <c r="TD662" s="11"/>
      <c r="TE662" s="11"/>
      <c r="TF662" s="11"/>
      <c r="TG662" s="11"/>
      <c r="TH662" s="11"/>
      <c r="TI662" s="11"/>
      <c r="TJ662" s="11"/>
      <c r="TK662" s="11"/>
      <c r="TL662" s="11"/>
      <c r="TM662" s="11"/>
      <c r="TN662" s="11"/>
      <c r="TO662" s="11"/>
      <c r="TP662" s="11"/>
      <c r="TQ662" s="11"/>
      <c r="TR662" s="11"/>
      <c r="TS662" s="11"/>
      <c r="TT662" s="11"/>
      <c r="TU662" s="11"/>
      <c r="TV662" s="11"/>
      <c r="TW662" s="11"/>
      <c r="TX662" s="11"/>
      <c r="TY662" s="11"/>
      <c r="TZ662" s="11"/>
      <c r="UA662" s="11"/>
      <c r="UB662" s="11"/>
      <c r="UC662" s="11"/>
      <c r="UD662" s="11"/>
      <c r="UE662" s="11"/>
      <c r="UF662" s="11"/>
      <c r="UG662" s="11"/>
      <c r="UH662" s="11"/>
      <c r="UI662" s="11"/>
      <c r="UJ662" s="11"/>
      <c r="UK662" s="11"/>
      <c r="UL662" s="11"/>
      <c r="UM662" s="11"/>
      <c r="UN662" s="11"/>
      <c r="UO662" s="11"/>
      <c r="UP662" s="11"/>
      <c r="UQ662" s="11"/>
      <c r="UR662" s="11"/>
      <c r="US662" s="11"/>
      <c r="UT662" s="11"/>
      <c r="UU662" s="11"/>
      <c r="UV662" s="11"/>
      <c r="UW662" s="11"/>
      <c r="UX662" s="11"/>
      <c r="UY662" s="11"/>
      <c r="UZ662" s="11"/>
      <c r="VA662" s="11"/>
      <c r="VB662" s="11"/>
      <c r="VC662" s="11"/>
      <c r="VD662" s="11"/>
      <c r="VE662" s="11"/>
      <c r="VF662" s="11"/>
      <c r="VG662" s="11"/>
      <c r="VH662" s="11"/>
      <c r="VI662" s="11"/>
      <c r="VJ662" s="11"/>
      <c r="VK662" s="11"/>
      <c r="VL662" s="11"/>
      <c r="VM662" s="11"/>
      <c r="VN662" s="11"/>
      <c r="VO662" s="11"/>
      <c r="VP662" s="11"/>
      <c r="VQ662" s="11"/>
      <c r="VR662" s="11"/>
      <c r="VS662" s="11"/>
      <c r="VT662" s="11"/>
      <c r="VU662" s="11"/>
      <c r="VV662" s="11"/>
      <c r="VW662" s="11"/>
      <c r="VX662" s="11"/>
      <c r="VY662" s="11"/>
      <c r="VZ662" s="11"/>
      <c r="WA662" s="11"/>
      <c r="WB662" s="11"/>
      <c r="WC662" s="11"/>
      <c r="WD662" s="11"/>
      <c r="WE662" s="11"/>
      <c r="WF662" s="11"/>
      <c r="WG662" s="11"/>
      <c r="WH662" s="11"/>
      <c r="WI662" s="11"/>
      <c r="WJ662" s="11"/>
      <c r="WK662" s="11"/>
      <c r="WL662" s="11"/>
      <c r="WM662" s="11"/>
      <c r="WN662" s="11"/>
      <c r="WO662" s="11"/>
      <c r="WP662" s="11"/>
      <c r="WQ662" s="11"/>
      <c r="WR662" s="11"/>
      <c r="WS662" s="11"/>
      <c r="WT662" s="11"/>
      <c r="WU662" s="11"/>
      <c r="WV662" s="11"/>
      <c r="WW662" s="11"/>
      <c r="WX662" s="11"/>
      <c r="WY662" s="11"/>
      <c r="WZ662" s="11"/>
      <c r="XA662" s="11"/>
      <c r="XB662" s="11"/>
      <c r="XC662" s="11"/>
      <c r="XD662" s="11"/>
      <c r="XE662" s="11"/>
      <c r="XF662" s="11"/>
      <c r="XG662" s="11"/>
      <c r="XH662" s="11"/>
      <c r="XI662" s="11"/>
      <c r="XJ662" s="11"/>
      <c r="XK662" s="11"/>
      <c r="XL662" s="11"/>
      <c r="XM662" s="11"/>
      <c r="XN662" s="11"/>
      <c r="XO662" s="11"/>
      <c r="XP662" s="11"/>
      <c r="XQ662" s="11"/>
      <c r="XR662" s="11"/>
      <c r="XS662" s="11"/>
      <c r="XT662" s="11"/>
      <c r="XU662" s="11"/>
      <c r="XV662" s="11"/>
      <c r="XW662" s="11"/>
      <c r="XX662" s="11"/>
      <c r="XY662" s="11"/>
      <c r="XZ662" s="11"/>
      <c r="YA662" s="11"/>
      <c r="YB662" s="11"/>
      <c r="YC662" s="11"/>
      <c r="YD662" s="11"/>
      <c r="YE662" s="11"/>
      <c r="YF662" s="11"/>
      <c r="YG662" s="11"/>
      <c r="YH662" s="11"/>
      <c r="YI662" s="11"/>
      <c r="YJ662" s="11"/>
      <c r="YK662" s="11"/>
      <c r="YL662" s="11"/>
      <c r="YM662" s="11"/>
      <c r="YN662" s="11"/>
      <c r="YO662" s="11"/>
      <c r="YP662" s="11"/>
      <c r="YQ662" s="11"/>
      <c r="YR662" s="11"/>
      <c r="YS662" s="11"/>
      <c r="YT662" s="11"/>
      <c r="YU662" s="11"/>
      <c r="YV662" s="11"/>
      <c r="YW662" s="11"/>
      <c r="YX662" s="11"/>
      <c r="YY662" s="11"/>
      <c r="YZ662" s="11"/>
      <c r="ZA662" s="11"/>
      <c r="ZB662" s="11"/>
      <c r="ZC662" s="11"/>
      <c r="ZD662" s="11"/>
      <c r="ZE662" s="11"/>
      <c r="ZF662" s="11"/>
      <c r="ZG662" s="11"/>
      <c r="ZH662" s="11"/>
      <c r="ZI662" s="11"/>
      <c r="ZJ662" s="11"/>
      <c r="ZK662" s="11"/>
      <c r="ZL662" s="11"/>
      <c r="ZM662" s="11"/>
      <c r="ZN662" s="11"/>
      <c r="ZO662" s="11"/>
      <c r="ZP662" s="11"/>
      <c r="ZQ662" s="11"/>
      <c r="ZR662" s="11"/>
      <c r="ZS662" s="11"/>
      <c r="ZT662" s="11"/>
      <c r="ZU662" s="11"/>
      <c r="ZV662" s="11"/>
      <c r="ZW662" s="11"/>
      <c r="ZX662" s="11"/>
      <c r="ZY662" s="11"/>
      <c r="ZZ662" s="11"/>
      <c r="AAA662" s="11"/>
      <c r="AAB662" s="11"/>
      <c r="AAC662" s="11"/>
      <c r="AAD662" s="11"/>
      <c r="AAE662" s="11"/>
      <c r="AAF662" s="11"/>
      <c r="AAG662" s="11"/>
      <c r="AAH662" s="11"/>
      <c r="AAI662" s="11"/>
      <c r="AAJ662" s="11"/>
      <c r="AAK662" s="11"/>
      <c r="AAL662" s="11"/>
      <c r="AAM662" s="11"/>
      <c r="AAN662" s="11"/>
      <c r="AAO662" s="11"/>
      <c r="AAP662" s="11"/>
      <c r="AAQ662" s="11"/>
      <c r="AAR662" s="11"/>
      <c r="AAS662" s="11"/>
      <c r="AAT662" s="11"/>
      <c r="AAU662" s="11"/>
      <c r="AAV662" s="11"/>
      <c r="AAW662" s="11"/>
      <c r="AAX662" s="11"/>
      <c r="AAY662" s="11"/>
      <c r="AAZ662" s="11"/>
      <c r="ABA662" s="11"/>
      <c r="ABB662" s="11"/>
      <c r="ABC662" s="11"/>
      <c r="ABD662" s="11"/>
      <c r="ABE662" s="11"/>
      <c r="ABF662" s="11"/>
      <c r="ABG662" s="11"/>
      <c r="ABH662" s="11"/>
      <c r="ABI662" s="11"/>
      <c r="ABJ662" s="11"/>
      <c r="ABK662" s="11"/>
      <c r="ABL662" s="11"/>
      <c r="ABM662" s="11"/>
      <c r="ABN662" s="11"/>
      <c r="ABO662" s="11"/>
      <c r="ABP662" s="11"/>
      <c r="ABQ662" s="11"/>
      <c r="ABR662" s="11"/>
      <c r="ABS662" s="11"/>
      <c r="ABT662" s="11"/>
      <c r="ABU662" s="11"/>
      <c r="ABV662" s="11"/>
      <c r="ABW662" s="11"/>
      <c r="ABX662" s="11"/>
      <c r="ABY662" s="11"/>
      <c r="ABZ662" s="11"/>
      <c r="ACA662" s="11"/>
      <c r="ACB662" s="11"/>
      <c r="ACC662" s="11"/>
      <c r="ACD662" s="11"/>
      <c r="ACE662" s="11"/>
      <c r="ACF662" s="11"/>
      <c r="ACG662" s="11"/>
      <c r="ACH662" s="11"/>
      <c r="ACI662" s="11"/>
      <c r="ACJ662" s="11"/>
      <c r="ACK662" s="11"/>
      <c r="ACL662" s="11"/>
      <c r="ACM662" s="11"/>
      <c r="ACN662" s="11"/>
      <c r="ACO662" s="11"/>
      <c r="ACP662" s="11"/>
      <c r="ACQ662" s="11"/>
      <c r="ACR662" s="11"/>
      <c r="ACS662" s="11"/>
      <c r="ACT662" s="11"/>
      <c r="ACU662" s="11"/>
      <c r="ACV662" s="11"/>
      <c r="ACW662" s="11"/>
      <c r="ACX662" s="11"/>
      <c r="ACY662" s="11"/>
      <c r="ACZ662" s="11"/>
      <c r="ADA662" s="11"/>
      <c r="ADB662" s="11"/>
      <c r="ADC662" s="11"/>
      <c r="ADD662" s="11"/>
      <c r="ADE662" s="11"/>
      <c r="ADF662" s="11"/>
      <c r="ADG662" s="11"/>
      <c r="ADH662" s="11"/>
      <c r="ADI662" s="11"/>
      <c r="ADJ662" s="11"/>
      <c r="ADK662" s="11"/>
      <c r="ADL662" s="11"/>
      <c r="ADM662" s="11"/>
      <c r="ADN662" s="11"/>
      <c r="ADO662" s="11"/>
      <c r="ADP662" s="11"/>
      <c r="ADQ662" s="11"/>
      <c r="ADR662" s="11"/>
      <c r="ADS662" s="11"/>
      <c r="ADT662" s="11"/>
      <c r="ADU662" s="11"/>
      <c r="ADV662" s="11"/>
      <c r="ADW662" s="11"/>
      <c r="ADX662" s="11"/>
      <c r="ADY662" s="11"/>
      <c r="ADZ662" s="11"/>
      <c r="AEA662" s="11"/>
      <c r="AEB662" s="11"/>
      <c r="AEC662" s="11"/>
      <c r="AED662" s="11"/>
      <c r="AEE662" s="11"/>
      <c r="AEF662" s="11"/>
      <c r="AEG662" s="11"/>
      <c r="AEH662" s="11"/>
      <c r="AEI662" s="11"/>
      <c r="AEJ662" s="11"/>
      <c r="AEK662" s="11"/>
      <c r="AEL662" s="11"/>
      <c r="AEM662" s="11"/>
      <c r="AEN662" s="11"/>
      <c r="AEO662" s="11"/>
      <c r="AEP662" s="11"/>
      <c r="AEQ662" s="11"/>
      <c r="AER662" s="11"/>
      <c r="AES662" s="11"/>
      <c r="AET662" s="11"/>
      <c r="AEU662" s="11"/>
      <c r="AEV662" s="11"/>
      <c r="AEW662" s="11"/>
      <c r="AEX662" s="11"/>
      <c r="AEY662" s="11"/>
      <c r="AEZ662" s="11"/>
      <c r="AFA662" s="11"/>
      <c r="AFB662" s="11"/>
      <c r="AFC662" s="11"/>
      <c r="AFD662" s="11"/>
      <c r="AFE662" s="11"/>
      <c r="AFF662" s="11"/>
      <c r="AFG662" s="11"/>
      <c r="AFH662" s="11"/>
      <c r="AFI662" s="11"/>
      <c r="AFJ662" s="11"/>
      <c r="AFK662" s="11"/>
      <c r="AFL662" s="11"/>
      <c r="AFM662" s="11"/>
      <c r="AFN662" s="11"/>
      <c r="AFO662" s="11"/>
      <c r="AFP662" s="11"/>
      <c r="AFQ662" s="11"/>
      <c r="AFR662" s="11"/>
      <c r="AFS662" s="11"/>
      <c r="AFT662" s="11"/>
      <c r="AFU662" s="11"/>
      <c r="AFV662" s="11"/>
      <c r="AFW662" s="11"/>
      <c r="AFX662" s="11"/>
      <c r="AFY662" s="11"/>
      <c r="AFZ662" s="11"/>
      <c r="AGA662" s="11"/>
      <c r="AGB662" s="11"/>
      <c r="AGC662" s="11"/>
      <c r="AGD662" s="11"/>
      <c r="AGE662" s="11"/>
      <c r="AGF662" s="11"/>
      <c r="AGG662" s="11"/>
      <c r="AGH662" s="11"/>
      <c r="AGI662" s="11"/>
      <c r="AGJ662" s="11"/>
      <c r="AGK662" s="11"/>
      <c r="AGL662" s="11"/>
      <c r="AGM662" s="11"/>
      <c r="AGN662" s="11"/>
      <c r="AGO662" s="11"/>
      <c r="AGP662" s="11"/>
      <c r="AGQ662" s="11"/>
      <c r="AGR662" s="11"/>
      <c r="AGS662" s="11"/>
      <c r="AGT662" s="11"/>
      <c r="AGU662" s="11"/>
      <c r="AGV662" s="11"/>
      <c r="AGW662" s="11"/>
      <c r="AGX662" s="11"/>
      <c r="AGY662" s="11"/>
      <c r="AGZ662" s="11"/>
      <c r="AHA662" s="11"/>
      <c r="AHB662" s="11"/>
      <c r="AHC662" s="11"/>
      <c r="AHD662" s="11"/>
      <c r="AHE662" s="11"/>
      <c r="AHF662" s="11"/>
      <c r="AHG662" s="11"/>
      <c r="AHH662" s="11"/>
      <c r="AHI662" s="11"/>
      <c r="AHJ662" s="11"/>
      <c r="AHK662" s="11"/>
      <c r="AHL662" s="11"/>
      <c r="AHM662" s="11"/>
      <c r="AHN662" s="11"/>
      <c r="AHO662" s="11"/>
      <c r="AHP662" s="11"/>
      <c r="AHQ662" s="11"/>
      <c r="AHR662" s="11"/>
      <c r="AHS662" s="11"/>
      <c r="AHT662" s="11"/>
      <c r="AHU662" s="11"/>
      <c r="AHV662" s="11"/>
      <c r="AHW662" s="11"/>
      <c r="AHX662" s="11"/>
      <c r="AHY662" s="11"/>
      <c r="AHZ662" s="11"/>
      <c r="AIA662" s="11"/>
      <c r="AIB662" s="11"/>
      <c r="AIC662" s="11"/>
      <c r="AID662" s="11"/>
      <c r="AIE662" s="11"/>
      <c r="AIF662" s="11"/>
      <c r="AIG662" s="11"/>
      <c r="AIH662" s="11"/>
      <c r="AII662" s="11"/>
      <c r="AIJ662" s="11"/>
      <c r="AIK662" s="11"/>
      <c r="AIL662" s="11"/>
      <c r="AIM662" s="11"/>
      <c r="AIN662" s="11"/>
      <c r="AIO662" s="11"/>
      <c r="AIP662" s="11"/>
      <c r="AIQ662" s="11"/>
      <c r="AIR662" s="11"/>
      <c r="AIS662" s="11"/>
      <c r="AIT662" s="11"/>
      <c r="AIU662" s="11"/>
      <c r="AIV662" s="11"/>
      <c r="AIW662" s="11"/>
      <c r="AIX662" s="11"/>
      <c r="AIY662" s="11"/>
      <c r="AIZ662" s="11"/>
      <c r="AJA662" s="11"/>
      <c r="AJB662" s="11"/>
      <c r="AJC662" s="11"/>
      <c r="AJD662" s="11"/>
      <c r="AJE662" s="11"/>
      <c r="AJF662" s="11"/>
      <c r="AJG662" s="11"/>
      <c r="AJH662" s="11"/>
      <c r="AJI662" s="11"/>
      <c r="AJJ662" s="11"/>
      <c r="AJK662" s="11"/>
      <c r="AJL662" s="11"/>
      <c r="AJM662" s="11"/>
      <c r="AJN662" s="11"/>
      <c r="AJO662" s="11"/>
      <c r="AJP662" s="11"/>
      <c r="AJQ662" s="11"/>
      <c r="AJR662" s="11"/>
      <c r="AJS662" s="11"/>
      <c r="AJT662" s="11"/>
      <c r="AJU662" s="11"/>
      <c r="AJV662" s="11"/>
      <c r="AJW662" s="11"/>
      <c r="AJX662" s="11"/>
      <c r="AJY662" s="11"/>
      <c r="AJZ662" s="11"/>
      <c r="AKA662" s="11"/>
      <c r="AKB662" s="11"/>
      <c r="AKC662" s="11"/>
      <c r="AKD662" s="11"/>
      <c r="AKE662" s="11"/>
      <c r="AKF662" s="11"/>
      <c r="AKG662" s="11"/>
      <c r="AKH662" s="11"/>
      <c r="AKI662" s="11"/>
      <c r="AKJ662" s="11"/>
      <c r="AKK662" s="11"/>
      <c r="AKL662" s="11"/>
      <c r="AKM662" s="11"/>
      <c r="AKN662" s="11"/>
      <c r="AKO662" s="11"/>
      <c r="AKP662" s="11"/>
      <c r="AKQ662" s="11"/>
      <c r="AKR662" s="11"/>
      <c r="AKS662" s="11"/>
      <c r="AKT662" s="11"/>
      <c r="AKU662" s="11"/>
      <c r="AKV662" s="11"/>
      <c r="AKW662" s="11"/>
      <c r="AKX662" s="11"/>
      <c r="AKY662" s="11"/>
      <c r="AKZ662" s="11"/>
      <c r="ALA662" s="11"/>
      <c r="ALB662" s="11"/>
      <c r="ALC662" s="11"/>
      <c r="ALD662" s="11"/>
      <c r="ALE662" s="11"/>
      <c r="ALF662" s="11"/>
      <c r="ALG662" s="11"/>
      <c r="ALH662" s="11"/>
      <c r="ALI662" s="11"/>
      <c r="ALJ662" s="11"/>
      <c r="ALK662" s="11"/>
      <c r="ALL662" s="11"/>
      <c r="ALM662" s="11"/>
      <c r="ALN662" s="11"/>
      <c r="ALO662" s="11"/>
      <c r="ALP662" s="11"/>
      <c r="ALQ662" s="11"/>
      <c r="ALR662" s="11"/>
      <c r="ALS662" s="11"/>
      <c r="ALT662" s="11"/>
      <c r="ALU662" s="11"/>
      <c r="ALV662" s="11"/>
      <c r="ALW662" s="11"/>
      <c r="ALX662" s="11"/>
      <c r="ALY662" s="11"/>
      <c r="ALZ662" s="11"/>
      <c r="AMA662" s="11"/>
      <c r="AMB662" s="11"/>
      <c r="AMC662" s="11"/>
      <c r="AMD662" s="11"/>
      <c r="AME662" s="11"/>
      <c r="AMF662" s="11"/>
      <c r="AMG662" s="11"/>
      <c r="AMH662" s="11"/>
      <c r="AMI662" s="11"/>
      <c r="AMJ662" s="11"/>
    </row>
    <row r="663" spans="1:1024" ht="27.6">
      <c r="A663" s="10" t="s">
        <v>667</v>
      </c>
      <c r="B663" s="10">
        <v>367133</v>
      </c>
      <c r="D663" s="1">
        <v>0</v>
      </c>
      <c r="E663" s="8">
        <f>VLOOKUP(B663,Gesamtstunden_26!B:I,8,0)</f>
        <v>1.6666666666666667</v>
      </c>
      <c r="F663" s="2">
        <f t="shared" si="10"/>
        <v>-1.6666666666666667</v>
      </c>
    </row>
    <row r="664" spans="1:1024">
      <c r="A664" s="8" t="s">
        <v>668</v>
      </c>
      <c r="B664" s="8">
        <v>562034</v>
      </c>
      <c r="D664" s="1">
        <v>1.5</v>
      </c>
      <c r="E664" s="8">
        <f>VLOOKUP(B664,Gesamtstunden_26!B:I,8,0)</f>
        <v>0</v>
      </c>
      <c r="F664" s="2">
        <f t="shared" si="10"/>
        <v>1.5</v>
      </c>
    </row>
    <row r="665" spans="1:1024">
      <c r="A665" s="8" t="s">
        <v>669</v>
      </c>
      <c r="B665" s="8">
        <v>771510</v>
      </c>
      <c r="D665" s="1">
        <v>9</v>
      </c>
      <c r="E665" s="8">
        <f>VLOOKUP(B665,Gesamtstunden_26!B:I,8,0)</f>
        <v>0</v>
      </c>
      <c r="F665" s="2">
        <f t="shared" si="10"/>
        <v>9</v>
      </c>
    </row>
    <row r="666" spans="1:1024">
      <c r="A666" s="8" t="s">
        <v>670</v>
      </c>
      <c r="B666" s="8">
        <v>348749</v>
      </c>
      <c r="D666" s="1">
        <v>13.34</v>
      </c>
      <c r="E666" s="8">
        <f>VLOOKUP(B666,Gesamtstunden_26!B:I,8,0)</f>
        <v>0</v>
      </c>
      <c r="F666" s="2">
        <f t="shared" si="10"/>
        <v>13.34</v>
      </c>
    </row>
    <row r="667" spans="1:1024" ht="27.6">
      <c r="A667" s="7" t="s">
        <v>671</v>
      </c>
      <c r="B667" s="7">
        <v>194270</v>
      </c>
      <c r="D667" s="1">
        <v>0</v>
      </c>
      <c r="E667" s="8">
        <f>VLOOKUP(B667,Gesamtstunden_26!B:I,8,0)</f>
        <v>0.5</v>
      </c>
      <c r="F667" s="2">
        <f t="shared" si="10"/>
        <v>-0.5</v>
      </c>
    </row>
    <row r="668" spans="1:1024" s="11" customFormat="1" ht="55.2">
      <c r="A668" s="7" t="s">
        <v>672</v>
      </c>
      <c r="B668" s="7">
        <v>610944</v>
      </c>
      <c r="C668"/>
      <c r="D668" s="1">
        <v>0</v>
      </c>
      <c r="E668" s="8">
        <f>VLOOKUP(B668,Gesamtstunden_26!B:I,8,0)</f>
        <v>6.166666666666667</v>
      </c>
      <c r="F668" s="2">
        <f t="shared" si="10"/>
        <v>-6.166666666666667</v>
      </c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/>
      <c r="BD668"/>
      <c r="BE668"/>
      <c r="BF668"/>
      <c r="BG668"/>
      <c r="BH668"/>
      <c r="BI668"/>
      <c r="BJ668"/>
      <c r="BK668"/>
      <c r="BL668"/>
      <c r="BM668"/>
      <c r="BN668"/>
      <c r="BO668"/>
      <c r="BP668"/>
      <c r="BQ668"/>
      <c r="BR668"/>
      <c r="BS668"/>
      <c r="BT668"/>
      <c r="BU668"/>
      <c r="BV668"/>
      <c r="BW668"/>
      <c r="BX668"/>
      <c r="BY668"/>
      <c r="BZ668"/>
      <c r="CA668"/>
      <c r="CB668"/>
      <c r="CC668"/>
      <c r="CD668"/>
      <c r="CE668"/>
      <c r="CF668"/>
      <c r="CG668"/>
      <c r="CH668"/>
      <c r="CI668"/>
      <c r="CJ668"/>
      <c r="CK668"/>
      <c r="CL668"/>
      <c r="CM668"/>
      <c r="CN668"/>
      <c r="CO668"/>
      <c r="CP668"/>
      <c r="CQ668"/>
      <c r="CR668"/>
      <c r="CS668"/>
      <c r="CT668"/>
      <c r="CU668"/>
      <c r="CV668"/>
      <c r="CW668"/>
      <c r="CX668"/>
      <c r="CY668"/>
      <c r="CZ668"/>
      <c r="DA668"/>
      <c r="DB668"/>
      <c r="DC668"/>
      <c r="DD668"/>
      <c r="DE668"/>
      <c r="DF668"/>
      <c r="DG668"/>
      <c r="DH668"/>
      <c r="DI668"/>
      <c r="DJ668"/>
      <c r="DK668"/>
      <c r="DL668"/>
      <c r="DM668"/>
      <c r="DN668"/>
      <c r="DO668"/>
      <c r="DP668"/>
      <c r="DQ668"/>
      <c r="DR668"/>
      <c r="DS668"/>
      <c r="DT668"/>
      <c r="DU668"/>
      <c r="DV668"/>
      <c r="DW668"/>
      <c r="DX668"/>
      <c r="DY668"/>
      <c r="DZ668"/>
      <c r="EA668"/>
      <c r="EB668"/>
      <c r="EC668"/>
      <c r="ED668"/>
      <c r="EE668"/>
      <c r="EF668"/>
      <c r="EG668"/>
      <c r="EH668"/>
      <c r="EI668"/>
      <c r="EJ668"/>
      <c r="EK668"/>
      <c r="EL668"/>
      <c r="EM668"/>
      <c r="EN668"/>
      <c r="EO668"/>
      <c r="EP668"/>
      <c r="EQ668"/>
      <c r="ER668"/>
      <c r="ES668"/>
      <c r="ET668"/>
      <c r="EU668"/>
      <c r="EV668"/>
      <c r="EW668"/>
      <c r="EX668"/>
      <c r="EY668"/>
      <c r="EZ668"/>
      <c r="FA668"/>
      <c r="FB668"/>
      <c r="FC668"/>
      <c r="FD668"/>
      <c r="FE668"/>
      <c r="FF668"/>
      <c r="FG668"/>
      <c r="FH668"/>
      <c r="FI668"/>
      <c r="FJ668"/>
      <c r="FK668"/>
      <c r="FL668"/>
      <c r="FM668"/>
      <c r="FN668"/>
      <c r="FO668"/>
      <c r="FP668"/>
      <c r="FQ668"/>
      <c r="FR668"/>
      <c r="FS668"/>
      <c r="FT668"/>
      <c r="FU668"/>
      <c r="FV668"/>
      <c r="FW668"/>
      <c r="FX668"/>
      <c r="FY668"/>
      <c r="FZ668"/>
      <c r="GA668"/>
      <c r="GB668"/>
      <c r="GC668"/>
      <c r="GD668"/>
      <c r="GE668"/>
      <c r="GF668"/>
      <c r="GG668"/>
      <c r="GH668"/>
      <c r="GI668"/>
      <c r="GJ668"/>
      <c r="GK668"/>
      <c r="GL668"/>
      <c r="GM668"/>
      <c r="GN668"/>
      <c r="GO668"/>
      <c r="GP668"/>
      <c r="GQ668"/>
      <c r="GR668"/>
      <c r="GS668"/>
      <c r="GT668"/>
      <c r="GU668"/>
      <c r="GV668"/>
      <c r="GW668"/>
      <c r="GX668"/>
      <c r="GY668"/>
      <c r="GZ668"/>
      <c r="HA668"/>
      <c r="HB668"/>
      <c r="HC668"/>
      <c r="HD668"/>
      <c r="HE668"/>
      <c r="HF668"/>
      <c r="HG668"/>
      <c r="HH668"/>
      <c r="HI668"/>
      <c r="HJ668"/>
      <c r="HK668"/>
      <c r="HL668"/>
      <c r="HM668"/>
      <c r="HN668"/>
      <c r="HO668"/>
      <c r="HP668"/>
      <c r="HQ668"/>
      <c r="HR668"/>
      <c r="HS668"/>
      <c r="HT668"/>
      <c r="HU668"/>
      <c r="HV668"/>
      <c r="HW668"/>
      <c r="HX668"/>
      <c r="HY668"/>
      <c r="HZ668"/>
      <c r="IA668"/>
      <c r="IB668"/>
      <c r="IC668"/>
      <c r="ID668"/>
      <c r="IE668"/>
      <c r="IF668"/>
      <c r="IG668"/>
      <c r="IH668"/>
      <c r="II668"/>
      <c r="IJ668"/>
      <c r="IK668"/>
      <c r="IL668"/>
      <c r="IM668"/>
      <c r="IN668"/>
      <c r="IO668"/>
      <c r="IP668"/>
      <c r="IQ668"/>
      <c r="IR668"/>
      <c r="IS668"/>
      <c r="IT668"/>
      <c r="IU668"/>
      <c r="IV668"/>
      <c r="IW668"/>
      <c r="IX668"/>
      <c r="IY668"/>
      <c r="IZ668"/>
      <c r="JA668"/>
      <c r="JB668"/>
      <c r="JC668"/>
      <c r="JD668"/>
      <c r="JE668"/>
      <c r="JF668"/>
      <c r="JG668"/>
      <c r="JH668"/>
      <c r="JI668"/>
      <c r="JJ668"/>
      <c r="JK668"/>
      <c r="JL668"/>
      <c r="JM668"/>
      <c r="JN668"/>
      <c r="JO668"/>
      <c r="JP668"/>
      <c r="JQ668"/>
      <c r="JR668"/>
      <c r="JS668"/>
      <c r="JT668"/>
      <c r="JU668"/>
      <c r="JV668"/>
      <c r="JW668"/>
      <c r="JX668"/>
      <c r="JY668"/>
      <c r="JZ668"/>
      <c r="KA668"/>
      <c r="KB668"/>
      <c r="KC668"/>
      <c r="KD668"/>
      <c r="KE668"/>
      <c r="KF668"/>
      <c r="KG668"/>
      <c r="KH668"/>
      <c r="KI668"/>
      <c r="KJ668"/>
      <c r="KK668"/>
      <c r="KL668"/>
      <c r="KM668"/>
      <c r="KN668"/>
      <c r="KO668"/>
      <c r="KP668"/>
      <c r="KQ668"/>
      <c r="KR668"/>
      <c r="KS668"/>
      <c r="KT668"/>
      <c r="KU668"/>
      <c r="KV668"/>
      <c r="KW668"/>
      <c r="KX668"/>
      <c r="KY668"/>
      <c r="KZ668"/>
      <c r="LA668"/>
      <c r="LB668"/>
      <c r="LC668"/>
      <c r="LD668"/>
      <c r="LE668"/>
      <c r="LF668"/>
      <c r="LG668"/>
      <c r="LH668"/>
      <c r="LI668"/>
      <c r="LJ668"/>
      <c r="LK668"/>
      <c r="LL668"/>
      <c r="LM668"/>
      <c r="LN668"/>
      <c r="LO668"/>
      <c r="LP668"/>
      <c r="LQ668"/>
      <c r="LR668"/>
      <c r="LS668"/>
      <c r="LT668"/>
      <c r="LU668"/>
      <c r="LV668"/>
      <c r="LW668"/>
      <c r="LX668"/>
      <c r="LY668"/>
      <c r="LZ668"/>
      <c r="MA668"/>
      <c r="MB668"/>
      <c r="MC668"/>
      <c r="MD668"/>
      <c r="ME668"/>
      <c r="MF668"/>
      <c r="MG668"/>
      <c r="MH668"/>
      <c r="MI668"/>
      <c r="MJ668"/>
      <c r="MK668"/>
      <c r="ML668"/>
      <c r="MM668"/>
      <c r="MN668"/>
      <c r="MO668"/>
      <c r="MP668"/>
      <c r="MQ668"/>
      <c r="MR668"/>
      <c r="MS668"/>
      <c r="MT668"/>
      <c r="MU668"/>
      <c r="MV668"/>
      <c r="MW668"/>
      <c r="MX668"/>
      <c r="MY668"/>
      <c r="MZ668"/>
      <c r="NA668"/>
      <c r="NB668"/>
      <c r="NC668"/>
      <c r="ND668"/>
      <c r="NE668"/>
      <c r="NF668"/>
      <c r="NG668"/>
      <c r="NH668"/>
      <c r="NI668"/>
      <c r="NJ668"/>
      <c r="NK668"/>
      <c r="NL668"/>
      <c r="NM668"/>
      <c r="NN668"/>
      <c r="NO668"/>
      <c r="NP668"/>
      <c r="NQ668"/>
      <c r="NR668"/>
      <c r="NS668"/>
      <c r="NT668"/>
      <c r="NU668"/>
      <c r="NV668"/>
      <c r="NW668"/>
      <c r="NX668"/>
      <c r="NY668"/>
      <c r="NZ668"/>
      <c r="OA668"/>
      <c r="OB668"/>
      <c r="OC668"/>
      <c r="OD668"/>
      <c r="OE668"/>
      <c r="OF668"/>
      <c r="OG668"/>
      <c r="OH668"/>
      <c r="OI668"/>
      <c r="OJ668"/>
      <c r="OK668"/>
      <c r="OL668"/>
      <c r="OM668"/>
      <c r="ON668"/>
      <c r="OO668"/>
      <c r="OP668"/>
      <c r="OQ668"/>
      <c r="OR668"/>
      <c r="OS668"/>
      <c r="OT668"/>
      <c r="OU668"/>
      <c r="OV668"/>
      <c r="OW668"/>
      <c r="OX668"/>
      <c r="OY668"/>
      <c r="OZ668"/>
      <c r="PA668"/>
      <c r="PB668"/>
      <c r="PC668"/>
      <c r="PD668"/>
      <c r="PE668"/>
      <c r="PF668"/>
      <c r="PG668"/>
      <c r="PH668"/>
      <c r="PI668"/>
      <c r="PJ668"/>
      <c r="PK668"/>
      <c r="PL668"/>
      <c r="PM668"/>
      <c r="PN668"/>
      <c r="PO668"/>
      <c r="PP668"/>
      <c r="PQ668"/>
      <c r="PR668"/>
      <c r="PS668"/>
      <c r="PT668"/>
      <c r="PU668"/>
      <c r="PV668"/>
      <c r="PW668"/>
      <c r="PX668"/>
      <c r="PY668"/>
      <c r="PZ668"/>
      <c r="QA668"/>
      <c r="QB668"/>
      <c r="QC668"/>
      <c r="QD668"/>
      <c r="QE668"/>
      <c r="QF668"/>
      <c r="QG668"/>
      <c r="QH668"/>
      <c r="QI668"/>
      <c r="QJ668"/>
      <c r="QK668"/>
      <c r="QL668"/>
      <c r="QM668"/>
      <c r="QN668"/>
      <c r="QO668"/>
      <c r="QP668"/>
      <c r="QQ668"/>
      <c r="QR668"/>
      <c r="QS668"/>
      <c r="QT668"/>
      <c r="QU668"/>
      <c r="QV668"/>
      <c r="QW668"/>
      <c r="QX668"/>
      <c r="QY668"/>
      <c r="QZ668"/>
      <c r="RA668"/>
      <c r="RB668"/>
      <c r="RC668"/>
      <c r="RD668"/>
      <c r="RE668"/>
      <c r="RF668"/>
      <c r="RG668"/>
      <c r="RH668"/>
      <c r="RI668"/>
      <c r="RJ668"/>
      <c r="RK668"/>
      <c r="RL668"/>
      <c r="RM668"/>
      <c r="RN668"/>
      <c r="RO668"/>
      <c r="RP668"/>
      <c r="RQ668"/>
      <c r="RR668"/>
      <c r="RS668"/>
      <c r="RT668"/>
      <c r="RU668"/>
      <c r="RV668"/>
      <c r="RW668"/>
      <c r="RX668"/>
      <c r="RY668"/>
      <c r="RZ668"/>
      <c r="SA668"/>
      <c r="SB668"/>
      <c r="SC668"/>
      <c r="SD668"/>
      <c r="SE668"/>
      <c r="SF668"/>
      <c r="SG668"/>
      <c r="SH668"/>
      <c r="SI668"/>
      <c r="SJ668"/>
      <c r="SK668"/>
      <c r="SL668"/>
      <c r="SM668"/>
      <c r="SN668"/>
      <c r="SO668"/>
      <c r="SP668"/>
      <c r="SQ668"/>
      <c r="SR668"/>
      <c r="SS668"/>
      <c r="ST668"/>
      <c r="SU668"/>
      <c r="SV668"/>
      <c r="SW668"/>
      <c r="SX668"/>
      <c r="SY668"/>
      <c r="SZ668"/>
      <c r="TA668"/>
      <c r="TB668"/>
      <c r="TC668"/>
      <c r="TD668"/>
      <c r="TE668"/>
      <c r="TF668"/>
      <c r="TG668"/>
      <c r="TH668"/>
      <c r="TI668"/>
      <c r="TJ668"/>
      <c r="TK668"/>
      <c r="TL668"/>
      <c r="TM668"/>
      <c r="TN668"/>
      <c r="TO668"/>
      <c r="TP668"/>
      <c r="TQ668"/>
      <c r="TR668"/>
      <c r="TS668"/>
      <c r="TT668"/>
      <c r="TU668"/>
      <c r="TV668"/>
      <c r="TW668"/>
      <c r="TX668"/>
      <c r="TY668"/>
      <c r="TZ668"/>
      <c r="UA668"/>
      <c r="UB668"/>
      <c r="UC668"/>
      <c r="UD668"/>
      <c r="UE668"/>
      <c r="UF668"/>
      <c r="UG668"/>
      <c r="UH668"/>
      <c r="UI668"/>
      <c r="UJ668"/>
      <c r="UK668"/>
      <c r="UL668"/>
      <c r="UM668"/>
      <c r="UN668"/>
      <c r="UO668"/>
      <c r="UP668"/>
      <c r="UQ668"/>
      <c r="UR668"/>
      <c r="US668"/>
      <c r="UT668"/>
      <c r="UU668"/>
      <c r="UV668"/>
      <c r="UW668"/>
      <c r="UX668"/>
      <c r="UY668"/>
      <c r="UZ668"/>
      <c r="VA668"/>
      <c r="VB668"/>
      <c r="VC668"/>
      <c r="VD668"/>
      <c r="VE668"/>
      <c r="VF668"/>
      <c r="VG668"/>
      <c r="VH668"/>
      <c r="VI668"/>
      <c r="VJ668"/>
      <c r="VK668"/>
      <c r="VL668"/>
      <c r="VM668"/>
      <c r="VN668"/>
      <c r="VO668"/>
      <c r="VP668"/>
      <c r="VQ668"/>
      <c r="VR668"/>
      <c r="VS668"/>
      <c r="VT668"/>
      <c r="VU668"/>
      <c r="VV668"/>
      <c r="VW668"/>
      <c r="VX668"/>
      <c r="VY668"/>
      <c r="VZ668"/>
      <c r="WA668"/>
      <c r="WB668"/>
      <c r="WC668"/>
      <c r="WD668"/>
      <c r="WE668"/>
      <c r="WF668"/>
      <c r="WG668"/>
      <c r="WH668"/>
      <c r="WI668"/>
      <c r="WJ668"/>
      <c r="WK668"/>
      <c r="WL668"/>
      <c r="WM668"/>
      <c r="WN668"/>
      <c r="WO668"/>
      <c r="WP668"/>
      <c r="WQ668"/>
      <c r="WR668"/>
      <c r="WS668"/>
      <c r="WT668"/>
      <c r="WU668"/>
      <c r="WV668"/>
      <c r="WW668"/>
      <c r="WX668"/>
      <c r="WY668"/>
      <c r="WZ668"/>
      <c r="XA668"/>
      <c r="XB668"/>
      <c r="XC668"/>
      <c r="XD668"/>
      <c r="XE668"/>
      <c r="XF668"/>
      <c r="XG668"/>
      <c r="XH668"/>
      <c r="XI668"/>
      <c r="XJ668"/>
      <c r="XK668"/>
      <c r="XL668"/>
      <c r="XM668"/>
      <c r="XN668"/>
      <c r="XO668"/>
      <c r="XP668"/>
      <c r="XQ668"/>
      <c r="XR668"/>
      <c r="XS668"/>
      <c r="XT668"/>
      <c r="XU668"/>
      <c r="XV668"/>
      <c r="XW668"/>
      <c r="XX668"/>
      <c r="XY668"/>
      <c r="XZ668"/>
      <c r="YA668"/>
      <c r="YB668"/>
      <c r="YC668"/>
      <c r="YD668"/>
      <c r="YE668"/>
      <c r="YF668"/>
      <c r="YG668"/>
      <c r="YH668"/>
      <c r="YI668"/>
      <c r="YJ668"/>
      <c r="YK668"/>
      <c r="YL668"/>
      <c r="YM668"/>
      <c r="YN668"/>
      <c r="YO668"/>
      <c r="YP668"/>
      <c r="YQ668"/>
      <c r="YR668"/>
      <c r="YS668"/>
      <c r="YT668"/>
      <c r="YU668"/>
      <c r="YV668"/>
      <c r="YW668"/>
      <c r="YX668"/>
      <c r="YY668"/>
      <c r="YZ668"/>
      <c r="ZA668"/>
      <c r="ZB668"/>
      <c r="ZC668"/>
      <c r="ZD668"/>
      <c r="ZE668"/>
      <c r="ZF668"/>
      <c r="ZG668"/>
      <c r="ZH668"/>
      <c r="ZI668"/>
      <c r="ZJ668"/>
      <c r="ZK668"/>
      <c r="ZL668"/>
      <c r="ZM668"/>
      <c r="ZN668"/>
      <c r="ZO668"/>
      <c r="ZP668"/>
      <c r="ZQ668"/>
      <c r="ZR668"/>
      <c r="ZS668"/>
      <c r="ZT668"/>
      <c r="ZU668"/>
      <c r="ZV668"/>
      <c r="ZW668"/>
      <c r="ZX668"/>
      <c r="ZY668"/>
      <c r="ZZ668"/>
      <c r="AAA668"/>
      <c r="AAB668"/>
      <c r="AAC668"/>
      <c r="AAD668"/>
      <c r="AAE668"/>
      <c r="AAF668"/>
      <c r="AAG668"/>
      <c r="AAH668"/>
      <c r="AAI668"/>
      <c r="AAJ668"/>
      <c r="AAK668"/>
      <c r="AAL668"/>
      <c r="AAM668"/>
      <c r="AAN668"/>
      <c r="AAO668"/>
      <c r="AAP668"/>
      <c r="AAQ668"/>
      <c r="AAR668"/>
      <c r="AAS668"/>
      <c r="AAT668"/>
      <c r="AAU668"/>
      <c r="AAV668"/>
      <c r="AAW668"/>
      <c r="AAX668"/>
      <c r="AAY668"/>
      <c r="AAZ668"/>
      <c r="ABA668"/>
      <c r="ABB668"/>
      <c r="ABC668"/>
      <c r="ABD668"/>
      <c r="ABE668"/>
      <c r="ABF668"/>
      <c r="ABG668"/>
      <c r="ABH668"/>
      <c r="ABI668"/>
      <c r="ABJ668"/>
      <c r="ABK668"/>
      <c r="ABL668"/>
      <c r="ABM668"/>
      <c r="ABN668"/>
      <c r="ABO668"/>
      <c r="ABP668"/>
      <c r="ABQ668"/>
      <c r="ABR668"/>
      <c r="ABS668"/>
      <c r="ABT668"/>
      <c r="ABU668"/>
      <c r="ABV668"/>
      <c r="ABW668"/>
      <c r="ABX668"/>
      <c r="ABY668"/>
      <c r="ABZ668"/>
      <c r="ACA668"/>
      <c r="ACB668"/>
      <c r="ACC668"/>
      <c r="ACD668"/>
      <c r="ACE668"/>
      <c r="ACF668"/>
      <c r="ACG668"/>
      <c r="ACH668"/>
      <c r="ACI668"/>
      <c r="ACJ668"/>
      <c r="ACK668"/>
      <c r="ACL668"/>
      <c r="ACM668"/>
      <c r="ACN668"/>
      <c r="ACO668"/>
      <c r="ACP668"/>
      <c r="ACQ668"/>
      <c r="ACR668"/>
      <c r="ACS668"/>
      <c r="ACT668"/>
      <c r="ACU668"/>
      <c r="ACV668"/>
      <c r="ACW668"/>
      <c r="ACX668"/>
      <c r="ACY668"/>
      <c r="ACZ668"/>
      <c r="ADA668"/>
      <c r="ADB668"/>
      <c r="ADC668"/>
      <c r="ADD668"/>
      <c r="ADE668"/>
      <c r="ADF668"/>
      <c r="ADG668"/>
      <c r="ADH668"/>
      <c r="ADI668"/>
      <c r="ADJ668"/>
      <c r="ADK668"/>
      <c r="ADL668"/>
      <c r="ADM668"/>
      <c r="ADN668"/>
      <c r="ADO668"/>
      <c r="ADP668"/>
      <c r="ADQ668"/>
      <c r="ADR668"/>
      <c r="ADS668"/>
      <c r="ADT668"/>
      <c r="ADU668"/>
      <c r="ADV668"/>
      <c r="ADW668"/>
      <c r="ADX668"/>
      <c r="ADY668"/>
      <c r="ADZ668"/>
      <c r="AEA668"/>
      <c r="AEB668"/>
      <c r="AEC668"/>
      <c r="AED668"/>
      <c r="AEE668"/>
      <c r="AEF668"/>
      <c r="AEG668"/>
      <c r="AEH668"/>
      <c r="AEI668"/>
      <c r="AEJ668"/>
      <c r="AEK668"/>
      <c r="AEL668"/>
      <c r="AEM668"/>
      <c r="AEN668"/>
      <c r="AEO668"/>
      <c r="AEP668"/>
      <c r="AEQ668"/>
      <c r="AER668"/>
      <c r="AES668"/>
      <c r="AET668"/>
      <c r="AEU668"/>
      <c r="AEV668"/>
      <c r="AEW668"/>
      <c r="AEX668"/>
      <c r="AEY668"/>
      <c r="AEZ668"/>
      <c r="AFA668"/>
      <c r="AFB668"/>
      <c r="AFC668"/>
      <c r="AFD668"/>
      <c r="AFE668"/>
      <c r="AFF668"/>
      <c r="AFG668"/>
      <c r="AFH668"/>
      <c r="AFI668"/>
      <c r="AFJ668"/>
      <c r="AFK668"/>
      <c r="AFL668"/>
      <c r="AFM668"/>
      <c r="AFN668"/>
      <c r="AFO668"/>
      <c r="AFP668"/>
      <c r="AFQ668"/>
      <c r="AFR668"/>
      <c r="AFS668"/>
      <c r="AFT668"/>
      <c r="AFU668"/>
      <c r="AFV668"/>
      <c r="AFW668"/>
      <c r="AFX668"/>
      <c r="AFY668"/>
      <c r="AFZ668"/>
      <c r="AGA668"/>
      <c r="AGB668"/>
      <c r="AGC668"/>
      <c r="AGD668"/>
      <c r="AGE668"/>
      <c r="AGF668"/>
      <c r="AGG668"/>
      <c r="AGH668"/>
      <c r="AGI668"/>
      <c r="AGJ668"/>
      <c r="AGK668"/>
      <c r="AGL668"/>
      <c r="AGM668"/>
      <c r="AGN668"/>
      <c r="AGO668"/>
      <c r="AGP668"/>
      <c r="AGQ668"/>
      <c r="AGR668"/>
      <c r="AGS668"/>
      <c r="AGT668"/>
      <c r="AGU668"/>
      <c r="AGV668"/>
      <c r="AGW668"/>
      <c r="AGX668"/>
      <c r="AGY668"/>
      <c r="AGZ668"/>
      <c r="AHA668"/>
      <c r="AHB668"/>
      <c r="AHC668"/>
      <c r="AHD668"/>
      <c r="AHE668"/>
      <c r="AHF668"/>
      <c r="AHG668"/>
      <c r="AHH668"/>
      <c r="AHI668"/>
      <c r="AHJ668"/>
      <c r="AHK668"/>
      <c r="AHL668"/>
      <c r="AHM668"/>
      <c r="AHN668"/>
      <c r="AHO668"/>
      <c r="AHP668"/>
      <c r="AHQ668"/>
      <c r="AHR668"/>
      <c r="AHS668"/>
      <c r="AHT668"/>
      <c r="AHU668"/>
      <c r="AHV668"/>
      <c r="AHW668"/>
      <c r="AHX668"/>
      <c r="AHY668"/>
      <c r="AHZ668"/>
      <c r="AIA668"/>
      <c r="AIB668"/>
      <c r="AIC668"/>
      <c r="AID668"/>
      <c r="AIE668"/>
      <c r="AIF668"/>
      <c r="AIG668"/>
      <c r="AIH668"/>
      <c r="AII668"/>
      <c r="AIJ668"/>
      <c r="AIK668"/>
      <c r="AIL668"/>
      <c r="AIM668"/>
      <c r="AIN668"/>
      <c r="AIO668"/>
      <c r="AIP668"/>
      <c r="AIQ668"/>
      <c r="AIR668"/>
      <c r="AIS668"/>
      <c r="AIT668"/>
      <c r="AIU668"/>
      <c r="AIV668"/>
      <c r="AIW668"/>
      <c r="AIX668"/>
      <c r="AIY668"/>
      <c r="AIZ668"/>
      <c r="AJA668"/>
      <c r="AJB668"/>
      <c r="AJC668"/>
      <c r="AJD668"/>
      <c r="AJE668"/>
      <c r="AJF668"/>
      <c r="AJG668"/>
      <c r="AJH668"/>
      <c r="AJI668"/>
      <c r="AJJ668"/>
      <c r="AJK668"/>
      <c r="AJL668"/>
      <c r="AJM668"/>
      <c r="AJN668"/>
      <c r="AJO668"/>
      <c r="AJP668"/>
      <c r="AJQ668"/>
      <c r="AJR668"/>
      <c r="AJS668"/>
      <c r="AJT668"/>
      <c r="AJU668"/>
      <c r="AJV668"/>
      <c r="AJW668"/>
      <c r="AJX668"/>
      <c r="AJY668"/>
      <c r="AJZ668"/>
      <c r="AKA668"/>
      <c r="AKB668"/>
      <c r="AKC668"/>
      <c r="AKD668"/>
      <c r="AKE668"/>
      <c r="AKF668"/>
      <c r="AKG668"/>
      <c r="AKH668"/>
      <c r="AKI668"/>
      <c r="AKJ668"/>
      <c r="AKK668"/>
      <c r="AKL668"/>
      <c r="AKM668"/>
      <c r="AKN668"/>
      <c r="AKO668"/>
      <c r="AKP668"/>
      <c r="AKQ668"/>
      <c r="AKR668"/>
      <c r="AKS668"/>
      <c r="AKT668"/>
      <c r="AKU668"/>
      <c r="AKV668"/>
      <c r="AKW668"/>
      <c r="AKX668"/>
      <c r="AKY668"/>
      <c r="AKZ668"/>
      <c r="ALA668"/>
      <c r="ALB668"/>
      <c r="ALC668"/>
      <c r="ALD668"/>
      <c r="ALE668"/>
      <c r="ALF668"/>
      <c r="ALG668"/>
      <c r="ALH668"/>
      <c r="ALI668"/>
      <c r="ALJ668"/>
      <c r="ALK668"/>
      <c r="ALL668"/>
      <c r="ALM668"/>
      <c r="ALN668"/>
      <c r="ALO668"/>
      <c r="ALP668"/>
      <c r="ALQ668"/>
      <c r="ALR668"/>
      <c r="ALS668"/>
      <c r="ALT668"/>
      <c r="ALU668"/>
      <c r="ALV668"/>
      <c r="ALW668"/>
      <c r="ALX668"/>
      <c r="ALY668"/>
      <c r="ALZ668"/>
      <c r="AMA668"/>
      <c r="AMB668"/>
      <c r="AMC668"/>
      <c r="AMD668"/>
      <c r="AME668"/>
      <c r="AMF668"/>
      <c r="AMG668"/>
      <c r="AMH668"/>
      <c r="AMI668"/>
      <c r="AMJ668"/>
    </row>
    <row r="669" spans="1:1024">
      <c r="A669" s="7" t="s">
        <v>673</v>
      </c>
      <c r="B669" s="7">
        <v>585909</v>
      </c>
      <c r="C669" s="11"/>
      <c r="D669" s="12">
        <v>0.66666666666666696</v>
      </c>
      <c r="E669" s="7">
        <f>VLOOKUP(B669,Gesamtstunden_26!B:I,8,0)</f>
        <v>3.3333333333333335</v>
      </c>
      <c r="F669" s="13">
        <f t="shared" si="10"/>
        <v>-2.6666666666666665</v>
      </c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  <c r="AT669" s="11"/>
      <c r="AU669" s="11"/>
      <c r="AV669" s="11"/>
      <c r="AW669" s="11"/>
      <c r="AX669" s="11"/>
      <c r="AY669" s="11"/>
      <c r="AZ669" s="11"/>
      <c r="BA669" s="11"/>
      <c r="BB669" s="11"/>
      <c r="BC669" s="11"/>
      <c r="BD669" s="11"/>
      <c r="BE669" s="11"/>
      <c r="BF669" s="11"/>
      <c r="BG669" s="11"/>
      <c r="BH669" s="11"/>
      <c r="BI669" s="11"/>
      <c r="BJ669" s="11"/>
      <c r="BK669" s="11"/>
      <c r="BL669" s="11"/>
      <c r="BM669" s="11"/>
      <c r="BN669" s="11"/>
      <c r="BO669" s="11"/>
      <c r="BP669" s="11"/>
      <c r="BQ669" s="11"/>
      <c r="BR669" s="11"/>
      <c r="BS669" s="11"/>
      <c r="BT669" s="11"/>
      <c r="BU669" s="11"/>
      <c r="BV669" s="11"/>
      <c r="BW669" s="11"/>
      <c r="BX669" s="11"/>
      <c r="BY669" s="11"/>
      <c r="BZ669" s="11"/>
      <c r="CA669" s="11"/>
      <c r="CB669" s="11"/>
      <c r="CC669" s="11"/>
      <c r="CD669" s="11"/>
      <c r="CE669" s="11"/>
      <c r="CF669" s="11"/>
      <c r="CG669" s="11"/>
      <c r="CH669" s="11"/>
      <c r="CI669" s="11"/>
      <c r="CJ669" s="11"/>
      <c r="CK669" s="11"/>
      <c r="CL669" s="11"/>
      <c r="CM669" s="11"/>
      <c r="CN669" s="11"/>
      <c r="CO669" s="11"/>
      <c r="CP669" s="11"/>
      <c r="CQ669" s="11"/>
      <c r="CR669" s="11"/>
      <c r="CS669" s="11"/>
      <c r="CT669" s="11"/>
      <c r="CU669" s="11"/>
      <c r="CV669" s="11"/>
      <c r="CW669" s="11"/>
      <c r="CX669" s="11"/>
      <c r="CY669" s="11"/>
      <c r="CZ669" s="11"/>
      <c r="DA669" s="11"/>
      <c r="DB669" s="11"/>
      <c r="DC669" s="11"/>
      <c r="DD669" s="11"/>
      <c r="DE669" s="11"/>
      <c r="DF669" s="11"/>
      <c r="DG669" s="11"/>
      <c r="DH669" s="11"/>
      <c r="DI669" s="11"/>
      <c r="DJ669" s="11"/>
      <c r="DK669" s="11"/>
      <c r="DL669" s="11"/>
      <c r="DM669" s="11"/>
      <c r="DN669" s="11"/>
      <c r="DO669" s="11"/>
      <c r="DP669" s="11"/>
      <c r="DQ669" s="11"/>
      <c r="DR669" s="11"/>
      <c r="DS669" s="11"/>
      <c r="DT669" s="11"/>
      <c r="DU669" s="11"/>
      <c r="DV669" s="11"/>
      <c r="DW669" s="11"/>
      <c r="DX669" s="11"/>
      <c r="DY669" s="11"/>
      <c r="DZ669" s="11"/>
      <c r="EA669" s="11"/>
      <c r="EB669" s="11"/>
      <c r="EC669" s="11"/>
      <c r="ED669" s="11"/>
      <c r="EE669" s="11"/>
      <c r="EF669" s="11"/>
      <c r="EG669" s="11"/>
      <c r="EH669" s="11"/>
      <c r="EI669" s="11"/>
      <c r="EJ669" s="11"/>
      <c r="EK669" s="11"/>
      <c r="EL669" s="11"/>
      <c r="EM669" s="11"/>
      <c r="EN669" s="11"/>
      <c r="EO669" s="11"/>
      <c r="EP669" s="11"/>
      <c r="EQ669" s="11"/>
      <c r="ER669" s="11"/>
      <c r="ES669" s="11"/>
      <c r="ET669" s="11"/>
      <c r="EU669" s="11"/>
      <c r="EV669" s="11"/>
      <c r="EW669" s="11"/>
      <c r="EX669" s="11"/>
      <c r="EY669" s="11"/>
      <c r="EZ669" s="11"/>
      <c r="FA669" s="11"/>
      <c r="FB669" s="11"/>
      <c r="FC669" s="11"/>
      <c r="FD669" s="11"/>
      <c r="FE669" s="11"/>
      <c r="FF669" s="11"/>
      <c r="FG669" s="11"/>
      <c r="FH669" s="11"/>
      <c r="FI669" s="11"/>
      <c r="FJ669" s="11"/>
      <c r="FK669" s="11"/>
      <c r="FL669" s="11"/>
      <c r="FM669" s="11"/>
      <c r="FN669" s="11"/>
      <c r="FO669" s="11"/>
      <c r="FP669" s="11"/>
      <c r="FQ669" s="11"/>
      <c r="FR669" s="11"/>
      <c r="FS669" s="11"/>
      <c r="FT669" s="11"/>
      <c r="FU669" s="11"/>
      <c r="FV669" s="11"/>
      <c r="FW669" s="11"/>
      <c r="FX669" s="11"/>
      <c r="FY669" s="11"/>
      <c r="FZ669" s="11"/>
      <c r="GA669" s="11"/>
      <c r="GB669" s="11"/>
      <c r="GC669" s="11"/>
      <c r="GD669" s="11"/>
      <c r="GE669" s="11"/>
      <c r="GF669" s="11"/>
      <c r="GG669" s="11"/>
      <c r="GH669" s="11"/>
      <c r="GI669" s="11"/>
      <c r="GJ669" s="11"/>
      <c r="GK669" s="11"/>
      <c r="GL669" s="11"/>
      <c r="GM669" s="11"/>
      <c r="GN669" s="11"/>
      <c r="GO669" s="11"/>
      <c r="GP669" s="11"/>
      <c r="GQ669" s="11"/>
      <c r="GR669" s="11"/>
      <c r="GS669" s="11"/>
      <c r="GT669" s="11"/>
      <c r="GU669" s="11"/>
      <c r="GV669" s="11"/>
      <c r="GW669" s="11"/>
      <c r="GX669" s="11"/>
      <c r="GY669" s="11"/>
      <c r="GZ669" s="11"/>
      <c r="HA669" s="11"/>
      <c r="HB669" s="11"/>
      <c r="HC669" s="11"/>
      <c r="HD669" s="11"/>
      <c r="HE669" s="11"/>
      <c r="HF669" s="11"/>
      <c r="HG669" s="11"/>
      <c r="HH669" s="11"/>
      <c r="HI669" s="11"/>
      <c r="HJ669" s="11"/>
      <c r="HK669" s="11"/>
      <c r="HL669" s="11"/>
      <c r="HM669" s="11"/>
      <c r="HN669" s="11"/>
      <c r="HO669" s="11"/>
      <c r="HP669" s="11"/>
      <c r="HQ669" s="11"/>
      <c r="HR669" s="11"/>
      <c r="HS669" s="11"/>
      <c r="HT669" s="11"/>
      <c r="HU669" s="11"/>
      <c r="HV669" s="11"/>
      <c r="HW669" s="11"/>
      <c r="HX669" s="11"/>
      <c r="HY669" s="11"/>
      <c r="HZ669" s="11"/>
      <c r="IA669" s="11"/>
      <c r="IB669" s="11"/>
      <c r="IC669" s="11"/>
      <c r="ID669" s="11"/>
      <c r="IE669" s="11"/>
      <c r="IF669" s="11"/>
      <c r="IG669" s="11"/>
      <c r="IH669" s="11"/>
      <c r="II669" s="11"/>
      <c r="IJ669" s="11"/>
      <c r="IK669" s="11"/>
      <c r="IL669" s="11"/>
      <c r="IM669" s="11"/>
      <c r="IN669" s="11"/>
      <c r="IO669" s="11"/>
      <c r="IP669" s="11"/>
      <c r="IQ669" s="11"/>
      <c r="IR669" s="11"/>
      <c r="IS669" s="11"/>
      <c r="IT669" s="11"/>
      <c r="IU669" s="11"/>
      <c r="IV669" s="11"/>
      <c r="IW669" s="11"/>
      <c r="IX669" s="11"/>
      <c r="IY669" s="11"/>
      <c r="IZ669" s="11"/>
      <c r="JA669" s="11"/>
      <c r="JB669" s="11"/>
      <c r="JC669" s="11"/>
      <c r="JD669" s="11"/>
      <c r="JE669" s="11"/>
      <c r="JF669" s="11"/>
      <c r="JG669" s="11"/>
      <c r="JH669" s="11"/>
      <c r="JI669" s="11"/>
      <c r="JJ669" s="11"/>
      <c r="JK669" s="11"/>
      <c r="JL669" s="11"/>
      <c r="JM669" s="11"/>
      <c r="JN669" s="11"/>
      <c r="JO669" s="11"/>
      <c r="JP669" s="11"/>
      <c r="JQ669" s="11"/>
      <c r="JR669" s="11"/>
      <c r="JS669" s="11"/>
      <c r="JT669" s="11"/>
      <c r="JU669" s="11"/>
      <c r="JV669" s="11"/>
      <c r="JW669" s="11"/>
      <c r="JX669" s="11"/>
      <c r="JY669" s="11"/>
      <c r="JZ669" s="11"/>
      <c r="KA669" s="11"/>
      <c r="KB669" s="11"/>
      <c r="KC669" s="11"/>
      <c r="KD669" s="11"/>
      <c r="KE669" s="11"/>
      <c r="KF669" s="11"/>
      <c r="KG669" s="11"/>
      <c r="KH669" s="11"/>
      <c r="KI669" s="11"/>
      <c r="KJ669" s="11"/>
      <c r="KK669" s="11"/>
      <c r="KL669" s="11"/>
      <c r="KM669" s="11"/>
      <c r="KN669" s="11"/>
      <c r="KO669" s="11"/>
      <c r="KP669" s="11"/>
      <c r="KQ669" s="11"/>
      <c r="KR669" s="11"/>
      <c r="KS669" s="11"/>
      <c r="KT669" s="11"/>
      <c r="KU669" s="11"/>
      <c r="KV669" s="11"/>
      <c r="KW669" s="11"/>
      <c r="KX669" s="11"/>
      <c r="KY669" s="11"/>
      <c r="KZ669" s="11"/>
      <c r="LA669" s="11"/>
      <c r="LB669" s="11"/>
      <c r="LC669" s="11"/>
      <c r="LD669" s="11"/>
      <c r="LE669" s="11"/>
      <c r="LF669" s="11"/>
      <c r="LG669" s="11"/>
      <c r="LH669" s="11"/>
      <c r="LI669" s="11"/>
      <c r="LJ669" s="11"/>
      <c r="LK669" s="11"/>
      <c r="LL669" s="11"/>
      <c r="LM669" s="11"/>
      <c r="LN669" s="11"/>
      <c r="LO669" s="11"/>
      <c r="LP669" s="11"/>
      <c r="LQ669" s="11"/>
      <c r="LR669" s="11"/>
      <c r="LS669" s="11"/>
      <c r="LT669" s="11"/>
      <c r="LU669" s="11"/>
      <c r="LV669" s="11"/>
      <c r="LW669" s="11"/>
      <c r="LX669" s="11"/>
      <c r="LY669" s="11"/>
      <c r="LZ669" s="11"/>
      <c r="MA669" s="11"/>
      <c r="MB669" s="11"/>
      <c r="MC669" s="11"/>
      <c r="MD669" s="11"/>
      <c r="ME669" s="11"/>
      <c r="MF669" s="11"/>
      <c r="MG669" s="11"/>
      <c r="MH669" s="11"/>
      <c r="MI669" s="11"/>
      <c r="MJ669" s="11"/>
      <c r="MK669" s="11"/>
      <c r="ML669" s="11"/>
      <c r="MM669" s="11"/>
      <c r="MN669" s="11"/>
      <c r="MO669" s="11"/>
      <c r="MP669" s="11"/>
      <c r="MQ669" s="11"/>
      <c r="MR669" s="11"/>
      <c r="MS669" s="11"/>
      <c r="MT669" s="11"/>
      <c r="MU669" s="11"/>
      <c r="MV669" s="11"/>
      <c r="MW669" s="11"/>
      <c r="MX669" s="11"/>
      <c r="MY669" s="11"/>
      <c r="MZ669" s="11"/>
      <c r="NA669" s="11"/>
      <c r="NB669" s="11"/>
      <c r="NC669" s="11"/>
      <c r="ND669" s="11"/>
      <c r="NE669" s="11"/>
      <c r="NF669" s="11"/>
      <c r="NG669" s="11"/>
      <c r="NH669" s="11"/>
      <c r="NI669" s="11"/>
      <c r="NJ669" s="11"/>
      <c r="NK669" s="11"/>
      <c r="NL669" s="11"/>
      <c r="NM669" s="11"/>
      <c r="NN669" s="11"/>
      <c r="NO669" s="11"/>
      <c r="NP669" s="11"/>
      <c r="NQ669" s="11"/>
      <c r="NR669" s="11"/>
      <c r="NS669" s="11"/>
      <c r="NT669" s="11"/>
      <c r="NU669" s="11"/>
      <c r="NV669" s="11"/>
      <c r="NW669" s="11"/>
      <c r="NX669" s="11"/>
      <c r="NY669" s="11"/>
      <c r="NZ669" s="11"/>
      <c r="OA669" s="11"/>
      <c r="OB669" s="11"/>
      <c r="OC669" s="11"/>
      <c r="OD669" s="11"/>
      <c r="OE669" s="11"/>
      <c r="OF669" s="11"/>
      <c r="OG669" s="11"/>
      <c r="OH669" s="11"/>
      <c r="OI669" s="11"/>
      <c r="OJ669" s="11"/>
      <c r="OK669" s="11"/>
      <c r="OL669" s="11"/>
      <c r="OM669" s="11"/>
      <c r="ON669" s="11"/>
      <c r="OO669" s="11"/>
      <c r="OP669" s="11"/>
      <c r="OQ669" s="11"/>
      <c r="OR669" s="11"/>
      <c r="OS669" s="11"/>
      <c r="OT669" s="11"/>
      <c r="OU669" s="11"/>
      <c r="OV669" s="11"/>
      <c r="OW669" s="11"/>
      <c r="OX669" s="11"/>
      <c r="OY669" s="11"/>
      <c r="OZ669" s="11"/>
      <c r="PA669" s="11"/>
      <c r="PB669" s="11"/>
      <c r="PC669" s="11"/>
      <c r="PD669" s="11"/>
      <c r="PE669" s="11"/>
      <c r="PF669" s="11"/>
      <c r="PG669" s="11"/>
      <c r="PH669" s="11"/>
      <c r="PI669" s="11"/>
      <c r="PJ669" s="11"/>
      <c r="PK669" s="11"/>
      <c r="PL669" s="11"/>
      <c r="PM669" s="11"/>
      <c r="PN669" s="11"/>
      <c r="PO669" s="11"/>
      <c r="PP669" s="11"/>
      <c r="PQ669" s="11"/>
      <c r="PR669" s="11"/>
      <c r="PS669" s="11"/>
      <c r="PT669" s="11"/>
      <c r="PU669" s="11"/>
      <c r="PV669" s="11"/>
      <c r="PW669" s="11"/>
      <c r="PX669" s="11"/>
      <c r="PY669" s="11"/>
      <c r="PZ669" s="11"/>
      <c r="QA669" s="11"/>
      <c r="QB669" s="11"/>
      <c r="QC669" s="11"/>
      <c r="QD669" s="11"/>
      <c r="QE669" s="11"/>
      <c r="QF669" s="11"/>
      <c r="QG669" s="11"/>
      <c r="QH669" s="11"/>
      <c r="QI669" s="11"/>
      <c r="QJ669" s="11"/>
      <c r="QK669" s="11"/>
      <c r="QL669" s="11"/>
      <c r="QM669" s="11"/>
      <c r="QN669" s="11"/>
      <c r="QO669" s="11"/>
      <c r="QP669" s="11"/>
      <c r="QQ669" s="11"/>
      <c r="QR669" s="11"/>
      <c r="QS669" s="11"/>
      <c r="QT669" s="11"/>
      <c r="QU669" s="11"/>
      <c r="QV669" s="11"/>
      <c r="QW669" s="11"/>
      <c r="QX669" s="11"/>
      <c r="QY669" s="11"/>
      <c r="QZ669" s="11"/>
      <c r="RA669" s="11"/>
      <c r="RB669" s="11"/>
      <c r="RC669" s="11"/>
      <c r="RD669" s="11"/>
      <c r="RE669" s="11"/>
      <c r="RF669" s="11"/>
      <c r="RG669" s="11"/>
      <c r="RH669" s="11"/>
      <c r="RI669" s="11"/>
      <c r="RJ669" s="11"/>
      <c r="RK669" s="11"/>
      <c r="RL669" s="11"/>
      <c r="RM669" s="11"/>
      <c r="RN669" s="11"/>
      <c r="RO669" s="11"/>
      <c r="RP669" s="11"/>
      <c r="RQ669" s="11"/>
      <c r="RR669" s="11"/>
      <c r="RS669" s="11"/>
      <c r="RT669" s="11"/>
      <c r="RU669" s="11"/>
      <c r="RV669" s="11"/>
      <c r="RW669" s="11"/>
      <c r="RX669" s="11"/>
      <c r="RY669" s="11"/>
      <c r="RZ669" s="11"/>
      <c r="SA669" s="11"/>
      <c r="SB669" s="11"/>
      <c r="SC669" s="11"/>
      <c r="SD669" s="11"/>
      <c r="SE669" s="11"/>
      <c r="SF669" s="11"/>
      <c r="SG669" s="11"/>
      <c r="SH669" s="11"/>
      <c r="SI669" s="11"/>
      <c r="SJ669" s="11"/>
      <c r="SK669" s="11"/>
      <c r="SL669" s="11"/>
      <c r="SM669" s="11"/>
      <c r="SN669" s="11"/>
      <c r="SO669" s="11"/>
      <c r="SP669" s="11"/>
      <c r="SQ669" s="11"/>
      <c r="SR669" s="11"/>
      <c r="SS669" s="11"/>
      <c r="ST669" s="11"/>
      <c r="SU669" s="11"/>
      <c r="SV669" s="11"/>
      <c r="SW669" s="11"/>
      <c r="SX669" s="11"/>
      <c r="SY669" s="11"/>
      <c r="SZ669" s="11"/>
      <c r="TA669" s="11"/>
      <c r="TB669" s="11"/>
      <c r="TC669" s="11"/>
      <c r="TD669" s="11"/>
      <c r="TE669" s="11"/>
      <c r="TF669" s="11"/>
      <c r="TG669" s="11"/>
      <c r="TH669" s="11"/>
      <c r="TI669" s="11"/>
      <c r="TJ669" s="11"/>
      <c r="TK669" s="11"/>
      <c r="TL669" s="11"/>
      <c r="TM669" s="11"/>
      <c r="TN669" s="11"/>
      <c r="TO669" s="11"/>
      <c r="TP669" s="11"/>
      <c r="TQ669" s="11"/>
      <c r="TR669" s="11"/>
      <c r="TS669" s="11"/>
      <c r="TT669" s="11"/>
      <c r="TU669" s="11"/>
      <c r="TV669" s="11"/>
      <c r="TW669" s="11"/>
      <c r="TX669" s="11"/>
      <c r="TY669" s="11"/>
      <c r="TZ669" s="11"/>
      <c r="UA669" s="11"/>
      <c r="UB669" s="11"/>
      <c r="UC669" s="11"/>
      <c r="UD669" s="11"/>
      <c r="UE669" s="11"/>
      <c r="UF669" s="11"/>
      <c r="UG669" s="11"/>
      <c r="UH669" s="11"/>
      <c r="UI669" s="11"/>
      <c r="UJ669" s="11"/>
      <c r="UK669" s="11"/>
      <c r="UL669" s="11"/>
      <c r="UM669" s="11"/>
      <c r="UN669" s="11"/>
      <c r="UO669" s="11"/>
      <c r="UP669" s="11"/>
      <c r="UQ669" s="11"/>
      <c r="UR669" s="11"/>
      <c r="US669" s="11"/>
      <c r="UT669" s="11"/>
      <c r="UU669" s="11"/>
      <c r="UV669" s="11"/>
      <c r="UW669" s="11"/>
      <c r="UX669" s="11"/>
      <c r="UY669" s="11"/>
      <c r="UZ669" s="11"/>
      <c r="VA669" s="11"/>
      <c r="VB669" s="11"/>
      <c r="VC669" s="11"/>
      <c r="VD669" s="11"/>
      <c r="VE669" s="11"/>
      <c r="VF669" s="11"/>
      <c r="VG669" s="11"/>
      <c r="VH669" s="11"/>
      <c r="VI669" s="11"/>
      <c r="VJ669" s="11"/>
      <c r="VK669" s="11"/>
      <c r="VL669" s="11"/>
      <c r="VM669" s="11"/>
      <c r="VN669" s="11"/>
      <c r="VO669" s="11"/>
      <c r="VP669" s="11"/>
      <c r="VQ669" s="11"/>
      <c r="VR669" s="11"/>
      <c r="VS669" s="11"/>
      <c r="VT669" s="11"/>
      <c r="VU669" s="11"/>
      <c r="VV669" s="11"/>
      <c r="VW669" s="11"/>
      <c r="VX669" s="11"/>
      <c r="VY669" s="11"/>
      <c r="VZ669" s="11"/>
      <c r="WA669" s="11"/>
      <c r="WB669" s="11"/>
      <c r="WC669" s="11"/>
      <c r="WD669" s="11"/>
      <c r="WE669" s="11"/>
      <c r="WF669" s="11"/>
      <c r="WG669" s="11"/>
      <c r="WH669" s="11"/>
      <c r="WI669" s="11"/>
      <c r="WJ669" s="11"/>
      <c r="WK669" s="11"/>
      <c r="WL669" s="11"/>
      <c r="WM669" s="11"/>
      <c r="WN669" s="11"/>
      <c r="WO669" s="11"/>
      <c r="WP669" s="11"/>
      <c r="WQ669" s="11"/>
      <c r="WR669" s="11"/>
      <c r="WS669" s="11"/>
      <c r="WT669" s="11"/>
      <c r="WU669" s="11"/>
      <c r="WV669" s="11"/>
      <c r="WW669" s="11"/>
      <c r="WX669" s="11"/>
      <c r="WY669" s="11"/>
      <c r="WZ669" s="11"/>
      <c r="XA669" s="11"/>
      <c r="XB669" s="11"/>
      <c r="XC669" s="11"/>
      <c r="XD669" s="11"/>
      <c r="XE669" s="11"/>
      <c r="XF669" s="11"/>
      <c r="XG669" s="11"/>
      <c r="XH669" s="11"/>
      <c r="XI669" s="11"/>
      <c r="XJ669" s="11"/>
      <c r="XK669" s="11"/>
      <c r="XL669" s="11"/>
      <c r="XM669" s="11"/>
      <c r="XN669" s="11"/>
      <c r="XO669" s="11"/>
      <c r="XP669" s="11"/>
      <c r="XQ669" s="11"/>
      <c r="XR669" s="11"/>
      <c r="XS669" s="11"/>
      <c r="XT669" s="11"/>
      <c r="XU669" s="11"/>
      <c r="XV669" s="11"/>
      <c r="XW669" s="11"/>
      <c r="XX669" s="11"/>
      <c r="XY669" s="11"/>
      <c r="XZ669" s="11"/>
      <c r="YA669" s="11"/>
      <c r="YB669" s="11"/>
      <c r="YC669" s="11"/>
      <c r="YD669" s="11"/>
      <c r="YE669" s="11"/>
      <c r="YF669" s="11"/>
      <c r="YG669" s="11"/>
      <c r="YH669" s="11"/>
      <c r="YI669" s="11"/>
      <c r="YJ669" s="11"/>
      <c r="YK669" s="11"/>
      <c r="YL669" s="11"/>
      <c r="YM669" s="11"/>
      <c r="YN669" s="11"/>
      <c r="YO669" s="11"/>
      <c r="YP669" s="11"/>
      <c r="YQ669" s="11"/>
      <c r="YR669" s="11"/>
      <c r="YS669" s="11"/>
      <c r="YT669" s="11"/>
      <c r="YU669" s="11"/>
      <c r="YV669" s="11"/>
      <c r="YW669" s="11"/>
      <c r="YX669" s="11"/>
      <c r="YY669" s="11"/>
      <c r="YZ669" s="11"/>
      <c r="ZA669" s="11"/>
      <c r="ZB669" s="11"/>
      <c r="ZC669" s="11"/>
      <c r="ZD669" s="11"/>
      <c r="ZE669" s="11"/>
      <c r="ZF669" s="11"/>
      <c r="ZG669" s="11"/>
      <c r="ZH669" s="11"/>
      <c r="ZI669" s="11"/>
      <c r="ZJ669" s="11"/>
      <c r="ZK669" s="11"/>
      <c r="ZL669" s="11"/>
      <c r="ZM669" s="11"/>
      <c r="ZN669" s="11"/>
      <c r="ZO669" s="11"/>
      <c r="ZP669" s="11"/>
      <c r="ZQ669" s="11"/>
      <c r="ZR669" s="11"/>
      <c r="ZS669" s="11"/>
      <c r="ZT669" s="11"/>
      <c r="ZU669" s="11"/>
      <c r="ZV669" s="11"/>
      <c r="ZW669" s="11"/>
      <c r="ZX669" s="11"/>
      <c r="ZY669" s="11"/>
      <c r="ZZ669" s="11"/>
      <c r="AAA669" s="11"/>
      <c r="AAB669" s="11"/>
      <c r="AAC669" s="11"/>
      <c r="AAD669" s="11"/>
      <c r="AAE669" s="11"/>
      <c r="AAF669" s="11"/>
      <c r="AAG669" s="11"/>
      <c r="AAH669" s="11"/>
      <c r="AAI669" s="11"/>
      <c r="AAJ669" s="11"/>
      <c r="AAK669" s="11"/>
      <c r="AAL669" s="11"/>
      <c r="AAM669" s="11"/>
      <c r="AAN669" s="11"/>
      <c r="AAO669" s="11"/>
      <c r="AAP669" s="11"/>
      <c r="AAQ669" s="11"/>
      <c r="AAR669" s="11"/>
      <c r="AAS669" s="11"/>
      <c r="AAT669" s="11"/>
      <c r="AAU669" s="11"/>
      <c r="AAV669" s="11"/>
      <c r="AAW669" s="11"/>
      <c r="AAX669" s="11"/>
      <c r="AAY669" s="11"/>
      <c r="AAZ669" s="11"/>
      <c r="ABA669" s="11"/>
      <c r="ABB669" s="11"/>
      <c r="ABC669" s="11"/>
      <c r="ABD669" s="11"/>
      <c r="ABE669" s="11"/>
      <c r="ABF669" s="11"/>
      <c r="ABG669" s="11"/>
      <c r="ABH669" s="11"/>
      <c r="ABI669" s="11"/>
      <c r="ABJ669" s="11"/>
      <c r="ABK669" s="11"/>
      <c r="ABL669" s="11"/>
      <c r="ABM669" s="11"/>
      <c r="ABN669" s="11"/>
      <c r="ABO669" s="11"/>
      <c r="ABP669" s="11"/>
      <c r="ABQ669" s="11"/>
      <c r="ABR669" s="11"/>
      <c r="ABS669" s="11"/>
      <c r="ABT669" s="11"/>
      <c r="ABU669" s="11"/>
      <c r="ABV669" s="11"/>
      <c r="ABW669" s="11"/>
      <c r="ABX669" s="11"/>
      <c r="ABY669" s="11"/>
      <c r="ABZ669" s="11"/>
      <c r="ACA669" s="11"/>
      <c r="ACB669" s="11"/>
      <c r="ACC669" s="11"/>
      <c r="ACD669" s="11"/>
      <c r="ACE669" s="11"/>
      <c r="ACF669" s="11"/>
      <c r="ACG669" s="11"/>
      <c r="ACH669" s="11"/>
      <c r="ACI669" s="11"/>
      <c r="ACJ669" s="11"/>
      <c r="ACK669" s="11"/>
      <c r="ACL669" s="11"/>
      <c r="ACM669" s="11"/>
      <c r="ACN669" s="11"/>
      <c r="ACO669" s="11"/>
      <c r="ACP669" s="11"/>
      <c r="ACQ669" s="11"/>
      <c r="ACR669" s="11"/>
      <c r="ACS669" s="11"/>
      <c r="ACT669" s="11"/>
      <c r="ACU669" s="11"/>
      <c r="ACV669" s="11"/>
      <c r="ACW669" s="11"/>
      <c r="ACX669" s="11"/>
      <c r="ACY669" s="11"/>
      <c r="ACZ669" s="11"/>
      <c r="ADA669" s="11"/>
      <c r="ADB669" s="11"/>
      <c r="ADC669" s="11"/>
      <c r="ADD669" s="11"/>
      <c r="ADE669" s="11"/>
      <c r="ADF669" s="11"/>
      <c r="ADG669" s="11"/>
      <c r="ADH669" s="11"/>
      <c r="ADI669" s="11"/>
      <c r="ADJ669" s="11"/>
      <c r="ADK669" s="11"/>
      <c r="ADL669" s="11"/>
      <c r="ADM669" s="11"/>
      <c r="ADN669" s="11"/>
      <c r="ADO669" s="11"/>
      <c r="ADP669" s="11"/>
      <c r="ADQ669" s="11"/>
      <c r="ADR669" s="11"/>
      <c r="ADS669" s="11"/>
      <c r="ADT669" s="11"/>
      <c r="ADU669" s="11"/>
      <c r="ADV669" s="11"/>
      <c r="ADW669" s="11"/>
      <c r="ADX669" s="11"/>
      <c r="ADY669" s="11"/>
      <c r="ADZ669" s="11"/>
      <c r="AEA669" s="11"/>
      <c r="AEB669" s="11"/>
      <c r="AEC669" s="11"/>
      <c r="AED669" s="11"/>
      <c r="AEE669" s="11"/>
      <c r="AEF669" s="11"/>
      <c r="AEG669" s="11"/>
      <c r="AEH669" s="11"/>
      <c r="AEI669" s="11"/>
      <c r="AEJ669" s="11"/>
      <c r="AEK669" s="11"/>
      <c r="AEL669" s="11"/>
      <c r="AEM669" s="11"/>
      <c r="AEN669" s="11"/>
      <c r="AEO669" s="11"/>
      <c r="AEP669" s="11"/>
      <c r="AEQ669" s="11"/>
      <c r="AER669" s="11"/>
      <c r="AES669" s="11"/>
      <c r="AET669" s="11"/>
      <c r="AEU669" s="11"/>
      <c r="AEV669" s="11"/>
      <c r="AEW669" s="11"/>
      <c r="AEX669" s="11"/>
      <c r="AEY669" s="11"/>
      <c r="AEZ669" s="11"/>
      <c r="AFA669" s="11"/>
      <c r="AFB669" s="11"/>
      <c r="AFC669" s="11"/>
      <c r="AFD669" s="11"/>
      <c r="AFE669" s="11"/>
      <c r="AFF669" s="11"/>
      <c r="AFG669" s="11"/>
      <c r="AFH669" s="11"/>
      <c r="AFI669" s="11"/>
      <c r="AFJ669" s="11"/>
      <c r="AFK669" s="11"/>
      <c r="AFL669" s="11"/>
      <c r="AFM669" s="11"/>
      <c r="AFN669" s="11"/>
      <c r="AFO669" s="11"/>
      <c r="AFP669" s="11"/>
      <c r="AFQ669" s="11"/>
      <c r="AFR669" s="11"/>
      <c r="AFS669" s="11"/>
      <c r="AFT669" s="11"/>
      <c r="AFU669" s="11"/>
      <c r="AFV669" s="11"/>
      <c r="AFW669" s="11"/>
      <c r="AFX669" s="11"/>
      <c r="AFY669" s="11"/>
      <c r="AFZ669" s="11"/>
      <c r="AGA669" s="11"/>
      <c r="AGB669" s="11"/>
      <c r="AGC669" s="11"/>
      <c r="AGD669" s="11"/>
      <c r="AGE669" s="11"/>
      <c r="AGF669" s="11"/>
      <c r="AGG669" s="11"/>
      <c r="AGH669" s="11"/>
      <c r="AGI669" s="11"/>
      <c r="AGJ669" s="11"/>
      <c r="AGK669" s="11"/>
      <c r="AGL669" s="11"/>
      <c r="AGM669" s="11"/>
      <c r="AGN669" s="11"/>
      <c r="AGO669" s="11"/>
      <c r="AGP669" s="11"/>
      <c r="AGQ669" s="11"/>
      <c r="AGR669" s="11"/>
      <c r="AGS669" s="11"/>
      <c r="AGT669" s="11"/>
      <c r="AGU669" s="11"/>
      <c r="AGV669" s="11"/>
      <c r="AGW669" s="11"/>
      <c r="AGX669" s="11"/>
      <c r="AGY669" s="11"/>
      <c r="AGZ669" s="11"/>
      <c r="AHA669" s="11"/>
      <c r="AHB669" s="11"/>
      <c r="AHC669" s="11"/>
      <c r="AHD669" s="11"/>
      <c r="AHE669" s="11"/>
      <c r="AHF669" s="11"/>
      <c r="AHG669" s="11"/>
      <c r="AHH669" s="11"/>
      <c r="AHI669" s="11"/>
      <c r="AHJ669" s="11"/>
      <c r="AHK669" s="11"/>
      <c r="AHL669" s="11"/>
      <c r="AHM669" s="11"/>
      <c r="AHN669" s="11"/>
      <c r="AHO669" s="11"/>
      <c r="AHP669" s="11"/>
      <c r="AHQ669" s="11"/>
      <c r="AHR669" s="11"/>
      <c r="AHS669" s="11"/>
      <c r="AHT669" s="11"/>
      <c r="AHU669" s="11"/>
      <c r="AHV669" s="11"/>
      <c r="AHW669" s="11"/>
      <c r="AHX669" s="11"/>
      <c r="AHY669" s="11"/>
      <c r="AHZ669" s="11"/>
      <c r="AIA669" s="11"/>
      <c r="AIB669" s="11"/>
      <c r="AIC669" s="11"/>
      <c r="AID669" s="11"/>
      <c r="AIE669" s="11"/>
      <c r="AIF669" s="11"/>
      <c r="AIG669" s="11"/>
      <c r="AIH669" s="11"/>
      <c r="AII669" s="11"/>
      <c r="AIJ669" s="11"/>
      <c r="AIK669" s="11"/>
      <c r="AIL669" s="11"/>
      <c r="AIM669" s="11"/>
      <c r="AIN669" s="11"/>
      <c r="AIO669" s="11"/>
      <c r="AIP669" s="11"/>
      <c r="AIQ669" s="11"/>
      <c r="AIR669" s="11"/>
      <c r="AIS669" s="11"/>
      <c r="AIT669" s="11"/>
      <c r="AIU669" s="11"/>
      <c r="AIV669" s="11"/>
      <c r="AIW669" s="11"/>
      <c r="AIX669" s="11"/>
      <c r="AIY669" s="11"/>
      <c r="AIZ669" s="11"/>
      <c r="AJA669" s="11"/>
      <c r="AJB669" s="11"/>
      <c r="AJC669" s="11"/>
      <c r="AJD669" s="11"/>
      <c r="AJE669" s="11"/>
      <c r="AJF669" s="11"/>
      <c r="AJG669" s="11"/>
      <c r="AJH669" s="11"/>
      <c r="AJI669" s="11"/>
      <c r="AJJ669" s="11"/>
      <c r="AJK669" s="11"/>
      <c r="AJL669" s="11"/>
      <c r="AJM669" s="11"/>
      <c r="AJN669" s="11"/>
      <c r="AJO669" s="11"/>
      <c r="AJP669" s="11"/>
      <c r="AJQ669" s="11"/>
      <c r="AJR669" s="11"/>
      <c r="AJS669" s="11"/>
      <c r="AJT669" s="11"/>
      <c r="AJU669" s="11"/>
      <c r="AJV669" s="11"/>
      <c r="AJW669" s="11"/>
      <c r="AJX669" s="11"/>
      <c r="AJY669" s="11"/>
      <c r="AJZ669" s="11"/>
      <c r="AKA669" s="11"/>
      <c r="AKB669" s="11"/>
      <c r="AKC669" s="11"/>
      <c r="AKD669" s="11"/>
      <c r="AKE669" s="11"/>
      <c r="AKF669" s="11"/>
      <c r="AKG669" s="11"/>
      <c r="AKH669" s="11"/>
      <c r="AKI669" s="11"/>
      <c r="AKJ669" s="11"/>
      <c r="AKK669" s="11"/>
      <c r="AKL669" s="11"/>
      <c r="AKM669" s="11"/>
      <c r="AKN669" s="11"/>
      <c r="AKO669" s="11"/>
      <c r="AKP669" s="11"/>
      <c r="AKQ669" s="11"/>
      <c r="AKR669" s="11"/>
      <c r="AKS669" s="11"/>
      <c r="AKT669" s="11"/>
      <c r="AKU669" s="11"/>
      <c r="AKV669" s="11"/>
      <c r="AKW669" s="11"/>
      <c r="AKX669" s="11"/>
      <c r="AKY669" s="11"/>
      <c r="AKZ669" s="11"/>
      <c r="ALA669" s="11"/>
      <c r="ALB669" s="11"/>
      <c r="ALC669" s="11"/>
      <c r="ALD669" s="11"/>
      <c r="ALE669" s="11"/>
      <c r="ALF669" s="11"/>
      <c r="ALG669" s="11"/>
      <c r="ALH669" s="11"/>
      <c r="ALI669" s="11"/>
      <c r="ALJ669" s="11"/>
      <c r="ALK669" s="11"/>
      <c r="ALL669" s="11"/>
      <c r="ALM669" s="11"/>
      <c r="ALN669" s="11"/>
      <c r="ALO669" s="11"/>
      <c r="ALP669" s="11"/>
      <c r="ALQ669" s="11"/>
      <c r="ALR669" s="11"/>
      <c r="ALS669" s="11"/>
      <c r="ALT669" s="11"/>
      <c r="ALU669" s="11"/>
      <c r="ALV669" s="11"/>
      <c r="ALW669" s="11"/>
      <c r="ALX669" s="11"/>
      <c r="ALY669" s="11"/>
      <c r="ALZ669" s="11"/>
      <c r="AMA669" s="11"/>
      <c r="AMB669" s="11"/>
      <c r="AMC669" s="11"/>
      <c r="AMD669" s="11"/>
      <c r="AME669" s="11"/>
      <c r="AMF669" s="11"/>
      <c r="AMG669" s="11"/>
      <c r="AMH669" s="11"/>
      <c r="AMI669" s="11"/>
      <c r="AMJ669" s="11"/>
    </row>
    <row r="670" spans="1:1024">
      <c r="A670" s="10" t="s">
        <v>674</v>
      </c>
      <c r="B670" s="10">
        <v>943909</v>
      </c>
      <c r="D670" s="1">
        <v>0</v>
      </c>
      <c r="E670" s="8">
        <f>VLOOKUP(B670,Gesamtstunden_26!B:I,8,0)</f>
        <v>5.1666666666666661</v>
      </c>
      <c r="F670" s="2">
        <f t="shared" si="10"/>
        <v>-5.1666666666666661</v>
      </c>
    </row>
    <row r="671" spans="1:1024">
      <c r="A671" s="8" t="s">
        <v>675</v>
      </c>
      <c r="B671" s="8">
        <v>327161</v>
      </c>
      <c r="D671" s="1">
        <v>15.5</v>
      </c>
      <c r="E671" s="8">
        <f>VLOOKUP(B671,Gesamtstunden_26!B:I,8,0)</f>
        <v>0</v>
      </c>
      <c r="F671" s="2">
        <f t="shared" si="10"/>
        <v>15.5</v>
      </c>
    </row>
    <row r="672" spans="1:1024">
      <c r="A672" s="14" t="s">
        <v>676</v>
      </c>
      <c r="B672" s="14">
        <v>571761</v>
      </c>
      <c r="D672" s="1">
        <v>0</v>
      </c>
      <c r="E672" s="8">
        <f>VLOOKUP(B672,Gesamtstunden_26!B:I,8,0)</f>
        <v>0</v>
      </c>
      <c r="F672" s="2">
        <f t="shared" si="10"/>
        <v>0</v>
      </c>
    </row>
    <row r="673" spans="1:1024">
      <c r="A673" s="8" t="s">
        <v>677</v>
      </c>
      <c r="B673" s="8">
        <v>357040</v>
      </c>
      <c r="D673" s="1">
        <v>15.34</v>
      </c>
      <c r="E673" s="8">
        <f>VLOOKUP(B673,Gesamtstunden_26!B:I,8,0)</f>
        <v>0</v>
      </c>
      <c r="F673" s="2">
        <f t="shared" si="10"/>
        <v>15.34</v>
      </c>
    </row>
    <row r="674" spans="1:1024">
      <c r="A674" s="8" t="s">
        <v>678</v>
      </c>
      <c r="B674" s="8">
        <v>563635</v>
      </c>
      <c r="D674" s="1">
        <v>1.83666666666667</v>
      </c>
      <c r="E674" s="8">
        <f>VLOOKUP(B674,Gesamtstunden_26!B:I,8,0)</f>
        <v>1.3333333333333333</v>
      </c>
      <c r="F674" s="2">
        <f t="shared" si="10"/>
        <v>0.50333333333333674</v>
      </c>
    </row>
    <row r="675" spans="1:1024">
      <c r="A675" s="17" t="s">
        <v>679</v>
      </c>
      <c r="B675" s="17">
        <v>709830</v>
      </c>
      <c r="D675" s="1">
        <v>0</v>
      </c>
      <c r="E675" s="8">
        <f>VLOOKUP(B675,Gesamtstunden_26!B:I,8,0)</f>
        <v>3.3333333333333335</v>
      </c>
      <c r="F675" s="2">
        <f t="shared" si="10"/>
        <v>-3.3333333333333335</v>
      </c>
    </row>
    <row r="676" spans="1:1024">
      <c r="A676" s="10" t="s">
        <v>680</v>
      </c>
      <c r="B676" s="10">
        <v>421212</v>
      </c>
      <c r="D676" s="1">
        <v>0</v>
      </c>
      <c r="E676" s="8">
        <f>VLOOKUP(B676,Gesamtstunden_26!B:I,8,0)</f>
        <v>4.5</v>
      </c>
      <c r="F676" s="2">
        <f t="shared" si="10"/>
        <v>-4.5</v>
      </c>
    </row>
    <row r="677" spans="1:1024" s="11" customFormat="1">
      <c r="A677" s="8" t="s">
        <v>681</v>
      </c>
      <c r="B677" s="8">
        <v>418840</v>
      </c>
      <c r="C677"/>
      <c r="D677" s="1">
        <v>14</v>
      </c>
      <c r="E677" s="8">
        <f>VLOOKUP(B677,Gesamtstunden_26!B:I,8,0)</f>
        <v>0</v>
      </c>
      <c r="F677" s="2">
        <f t="shared" si="10"/>
        <v>14</v>
      </c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/>
      <c r="BE677"/>
      <c r="BF677"/>
      <c r="BG677"/>
      <c r="BH677"/>
      <c r="BI677"/>
      <c r="BJ677"/>
      <c r="BK677"/>
      <c r="BL677"/>
      <c r="BM677"/>
      <c r="BN677"/>
      <c r="BO677"/>
      <c r="BP677"/>
      <c r="BQ677"/>
      <c r="BR677"/>
      <c r="BS677"/>
      <c r="BT677"/>
      <c r="BU677"/>
      <c r="BV677"/>
      <c r="BW677"/>
      <c r="BX677"/>
      <c r="BY677"/>
      <c r="BZ677"/>
      <c r="CA677"/>
      <c r="CB677"/>
      <c r="CC677"/>
      <c r="CD677"/>
      <c r="CE677"/>
      <c r="CF677"/>
      <c r="CG677"/>
      <c r="CH677"/>
      <c r="CI677"/>
      <c r="CJ677"/>
      <c r="CK677"/>
      <c r="CL677"/>
      <c r="CM677"/>
      <c r="CN677"/>
      <c r="CO677"/>
      <c r="CP677"/>
      <c r="CQ677"/>
      <c r="CR677"/>
      <c r="CS677"/>
      <c r="CT677"/>
      <c r="CU677"/>
      <c r="CV677"/>
      <c r="CW677"/>
      <c r="CX677"/>
      <c r="CY677"/>
      <c r="CZ677"/>
      <c r="DA677"/>
      <c r="DB677"/>
      <c r="DC677"/>
      <c r="DD677"/>
      <c r="DE677"/>
      <c r="DF677"/>
      <c r="DG677"/>
      <c r="DH677"/>
      <c r="DI677"/>
      <c r="DJ677"/>
      <c r="DK677"/>
      <c r="DL677"/>
      <c r="DM677"/>
      <c r="DN677"/>
      <c r="DO677"/>
      <c r="DP677"/>
      <c r="DQ677"/>
      <c r="DR677"/>
      <c r="DS677"/>
      <c r="DT677"/>
      <c r="DU677"/>
      <c r="DV677"/>
      <c r="DW677"/>
      <c r="DX677"/>
      <c r="DY677"/>
      <c r="DZ677"/>
      <c r="EA677"/>
      <c r="EB677"/>
      <c r="EC677"/>
      <c r="ED677"/>
      <c r="EE677"/>
      <c r="EF677"/>
      <c r="EG677"/>
      <c r="EH677"/>
      <c r="EI677"/>
      <c r="EJ677"/>
      <c r="EK677"/>
      <c r="EL677"/>
      <c r="EM677"/>
      <c r="EN677"/>
      <c r="EO677"/>
      <c r="EP677"/>
      <c r="EQ677"/>
      <c r="ER677"/>
      <c r="ES677"/>
      <c r="ET677"/>
      <c r="EU677"/>
      <c r="EV677"/>
      <c r="EW677"/>
      <c r="EX677"/>
      <c r="EY677"/>
      <c r="EZ677"/>
      <c r="FA677"/>
      <c r="FB677"/>
      <c r="FC677"/>
      <c r="FD677"/>
      <c r="FE677"/>
      <c r="FF677"/>
      <c r="FG677"/>
      <c r="FH677"/>
      <c r="FI677"/>
      <c r="FJ677"/>
      <c r="FK677"/>
      <c r="FL677"/>
      <c r="FM677"/>
      <c r="FN677"/>
      <c r="FO677"/>
      <c r="FP677"/>
      <c r="FQ677"/>
      <c r="FR677"/>
      <c r="FS677"/>
      <c r="FT677"/>
      <c r="FU677"/>
      <c r="FV677"/>
      <c r="FW677"/>
      <c r="FX677"/>
      <c r="FY677"/>
      <c r="FZ677"/>
      <c r="GA677"/>
      <c r="GB677"/>
      <c r="GC677"/>
      <c r="GD677"/>
      <c r="GE677"/>
      <c r="GF677"/>
      <c r="GG677"/>
      <c r="GH677"/>
      <c r="GI677"/>
      <c r="GJ677"/>
      <c r="GK677"/>
      <c r="GL677"/>
      <c r="GM677"/>
      <c r="GN677"/>
      <c r="GO677"/>
      <c r="GP677"/>
      <c r="GQ677"/>
      <c r="GR677"/>
      <c r="GS677"/>
      <c r="GT677"/>
      <c r="GU677"/>
      <c r="GV677"/>
      <c r="GW677"/>
      <c r="GX677"/>
      <c r="GY677"/>
      <c r="GZ677"/>
      <c r="HA677"/>
      <c r="HB677"/>
      <c r="HC677"/>
      <c r="HD677"/>
      <c r="HE677"/>
      <c r="HF677"/>
      <c r="HG677"/>
      <c r="HH677"/>
      <c r="HI677"/>
      <c r="HJ677"/>
      <c r="HK677"/>
      <c r="HL677"/>
      <c r="HM677"/>
      <c r="HN677"/>
      <c r="HO677"/>
      <c r="HP677"/>
      <c r="HQ677"/>
      <c r="HR677"/>
      <c r="HS677"/>
      <c r="HT677"/>
      <c r="HU677"/>
      <c r="HV677"/>
      <c r="HW677"/>
      <c r="HX677"/>
      <c r="HY677"/>
      <c r="HZ677"/>
      <c r="IA677"/>
      <c r="IB677"/>
      <c r="IC677"/>
      <c r="ID677"/>
      <c r="IE677"/>
      <c r="IF677"/>
      <c r="IG677"/>
      <c r="IH677"/>
      <c r="II677"/>
      <c r="IJ677"/>
      <c r="IK677"/>
      <c r="IL677"/>
      <c r="IM677"/>
      <c r="IN677"/>
      <c r="IO677"/>
      <c r="IP677"/>
      <c r="IQ677"/>
      <c r="IR677"/>
      <c r="IS677"/>
      <c r="IT677"/>
      <c r="IU677"/>
      <c r="IV677"/>
      <c r="IW677"/>
      <c r="IX677"/>
      <c r="IY677"/>
      <c r="IZ677"/>
      <c r="JA677"/>
      <c r="JB677"/>
      <c r="JC677"/>
      <c r="JD677"/>
      <c r="JE677"/>
      <c r="JF677"/>
      <c r="JG677"/>
      <c r="JH677"/>
      <c r="JI677"/>
      <c r="JJ677"/>
      <c r="JK677"/>
      <c r="JL677"/>
      <c r="JM677"/>
      <c r="JN677"/>
      <c r="JO677"/>
      <c r="JP677"/>
      <c r="JQ677"/>
      <c r="JR677"/>
      <c r="JS677"/>
      <c r="JT677"/>
      <c r="JU677"/>
      <c r="JV677"/>
      <c r="JW677"/>
      <c r="JX677"/>
      <c r="JY677"/>
      <c r="JZ677"/>
      <c r="KA677"/>
      <c r="KB677"/>
      <c r="KC677"/>
      <c r="KD677"/>
      <c r="KE677"/>
      <c r="KF677"/>
      <c r="KG677"/>
      <c r="KH677"/>
      <c r="KI677"/>
      <c r="KJ677"/>
      <c r="KK677"/>
      <c r="KL677"/>
      <c r="KM677"/>
      <c r="KN677"/>
      <c r="KO677"/>
      <c r="KP677"/>
      <c r="KQ677"/>
      <c r="KR677"/>
      <c r="KS677"/>
      <c r="KT677"/>
      <c r="KU677"/>
      <c r="KV677"/>
      <c r="KW677"/>
      <c r="KX677"/>
      <c r="KY677"/>
      <c r="KZ677"/>
      <c r="LA677"/>
      <c r="LB677"/>
      <c r="LC677"/>
      <c r="LD677"/>
      <c r="LE677"/>
      <c r="LF677"/>
      <c r="LG677"/>
      <c r="LH677"/>
      <c r="LI677"/>
      <c r="LJ677"/>
      <c r="LK677"/>
      <c r="LL677"/>
      <c r="LM677"/>
      <c r="LN677"/>
      <c r="LO677"/>
      <c r="LP677"/>
      <c r="LQ677"/>
      <c r="LR677"/>
      <c r="LS677"/>
      <c r="LT677"/>
      <c r="LU677"/>
      <c r="LV677"/>
      <c r="LW677"/>
      <c r="LX677"/>
      <c r="LY677"/>
      <c r="LZ677"/>
      <c r="MA677"/>
      <c r="MB677"/>
      <c r="MC677"/>
      <c r="MD677"/>
      <c r="ME677"/>
      <c r="MF677"/>
      <c r="MG677"/>
      <c r="MH677"/>
      <c r="MI677"/>
      <c r="MJ677"/>
      <c r="MK677"/>
      <c r="ML677"/>
      <c r="MM677"/>
      <c r="MN677"/>
      <c r="MO677"/>
      <c r="MP677"/>
      <c r="MQ677"/>
      <c r="MR677"/>
      <c r="MS677"/>
      <c r="MT677"/>
      <c r="MU677"/>
      <c r="MV677"/>
      <c r="MW677"/>
      <c r="MX677"/>
      <c r="MY677"/>
      <c r="MZ677"/>
      <c r="NA677"/>
      <c r="NB677"/>
      <c r="NC677"/>
      <c r="ND677"/>
      <c r="NE677"/>
      <c r="NF677"/>
      <c r="NG677"/>
      <c r="NH677"/>
      <c r="NI677"/>
      <c r="NJ677"/>
      <c r="NK677"/>
      <c r="NL677"/>
      <c r="NM677"/>
      <c r="NN677"/>
      <c r="NO677"/>
      <c r="NP677"/>
      <c r="NQ677"/>
      <c r="NR677"/>
      <c r="NS677"/>
      <c r="NT677"/>
      <c r="NU677"/>
      <c r="NV677"/>
      <c r="NW677"/>
      <c r="NX677"/>
      <c r="NY677"/>
      <c r="NZ677"/>
      <c r="OA677"/>
      <c r="OB677"/>
      <c r="OC677"/>
      <c r="OD677"/>
      <c r="OE677"/>
      <c r="OF677"/>
      <c r="OG677"/>
      <c r="OH677"/>
      <c r="OI677"/>
      <c r="OJ677"/>
      <c r="OK677"/>
      <c r="OL677"/>
      <c r="OM677"/>
      <c r="ON677"/>
      <c r="OO677"/>
      <c r="OP677"/>
      <c r="OQ677"/>
      <c r="OR677"/>
      <c r="OS677"/>
      <c r="OT677"/>
      <c r="OU677"/>
      <c r="OV677"/>
      <c r="OW677"/>
      <c r="OX677"/>
      <c r="OY677"/>
      <c r="OZ677"/>
      <c r="PA677"/>
      <c r="PB677"/>
      <c r="PC677"/>
      <c r="PD677"/>
      <c r="PE677"/>
      <c r="PF677"/>
      <c r="PG677"/>
      <c r="PH677"/>
      <c r="PI677"/>
      <c r="PJ677"/>
      <c r="PK677"/>
      <c r="PL677"/>
      <c r="PM677"/>
      <c r="PN677"/>
      <c r="PO677"/>
      <c r="PP677"/>
      <c r="PQ677"/>
      <c r="PR677"/>
      <c r="PS677"/>
      <c r="PT677"/>
      <c r="PU677"/>
      <c r="PV677"/>
      <c r="PW677"/>
      <c r="PX677"/>
      <c r="PY677"/>
      <c r="PZ677"/>
      <c r="QA677"/>
      <c r="QB677"/>
      <c r="QC677"/>
      <c r="QD677"/>
      <c r="QE677"/>
      <c r="QF677"/>
      <c r="QG677"/>
      <c r="QH677"/>
      <c r="QI677"/>
      <c r="QJ677"/>
      <c r="QK677"/>
      <c r="QL677"/>
      <c r="QM677"/>
      <c r="QN677"/>
      <c r="QO677"/>
      <c r="QP677"/>
      <c r="QQ677"/>
      <c r="QR677"/>
      <c r="QS677"/>
      <c r="QT677"/>
      <c r="QU677"/>
      <c r="QV677"/>
      <c r="QW677"/>
      <c r="QX677"/>
      <c r="QY677"/>
      <c r="QZ677"/>
      <c r="RA677"/>
      <c r="RB677"/>
      <c r="RC677"/>
      <c r="RD677"/>
      <c r="RE677"/>
      <c r="RF677"/>
      <c r="RG677"/>
      <c r="RH677"/>
      <c r="RI677"/>
      <c r="RJ677"/>
      <c r="RK677"/>
      <c r="RL677"/>
      <c r="RM677"/>
      <c r="RN677"/>
      <c r="RO677"/>
      <c r="RP677"/>
      <c r="RQ677"/>
      <c r="RR677"/>
      <c r="RS677"/>
      <c r="RT677"/>
      <c r="RU677"/>
      <c r="RV677"/>
      <c r="RW677"/>
      <c r="RX677"/>
      <c r="RY677"/>
      <c r="RZ677"/>
      <c r="SA677"/>
      <c r="SB677"/>
      <c r="SC677"/>
      <c r="SD677"/>
      <c r="SE677"/>
      <c r="SF677"/>
      <c r="SG677"/>
      <c r="SH677"/>
      <c r="SI677"/>
      <c r="SJ677"/>
      <c r="SK677"/>
      <c r="SL677"/>
      <c r="SM677"/>
      <c r="SN677"/>
      <c r="SO677"/>
      <c r="SP677"/>
      <c r="SQ677"/>
      <c r="SR677"/>
      <c r="SS677"/>
      <c r="ST677"/>
      <c r="SU677"/>
      <c r="SV677"/>
      <c r="SW677"/>
      <c r="SX677"/>
      <c r="SY677"/>
      <c r="SZ677"/>
      <c r="TA677"/>
      <c r="TB677"/>
      <c r="TC677"/>
      <c r="TD677"/>
      <c r="TE677"/>
      <c r="TF677"/>
      <c r="TG677"/>
      <c r="TH677"/>
      <c r="TI677"/>
      <c r="TJ677"/>
      <c r="TK677"/>
      <c r="TL677"/>
      <c r="TM677"/>
      <c r="TN677"/>
      <c r="TO677"/>
      <c r="TP677"/>
      <c r="TQ677"/>
      <c r="TR677"/>
      <c r="TS677"/>
      <c r="TT677"/>
      <c r="TU677"/>
      <c r="TV677"/>
      <c r="TW677"/>
      <c r="TX677"/>
      <c r="TY677"/>
      <c r="TZ677"/>
      <c r="UA677"/>
      <c r="UB677"/>
      <c r="UC677"/>
      <c r="UD677"/>
      <c r="UE677"/>
      <c r="UF677"/>
      <c r="UG677"/>
      <c r="UH677"/>
      <c r="UI677"/>
      <c r="UJ677"/>
      <c r="UK677"/>
      <c r="UL677"/>
      <c r="UM677"/>
      <c r="UN677"/>
      <c r="UO677"/>
      <c r="UP677"/>
      <c r="UQ677"/>
      <c r="UR677"/>
      <c r="US677"/>
      <c r="UT677"/>
      <c r="UU677"/>
      <c r="UV677"/>
      <c r="UW677"/>
      <c r="UX677"/>
      <c r="UY677"/>
      <c r="UZ677"/>
      <c r="VA677"/>
      <c r="VB677"/>
      <c r="VC677"/>
      <c r="VD677"/>
      <c r="VE677"/>
      <c r="VF677"/>
      <c r="VG677"/>
      <c r="VH677"/>
      <c r="VI677"/>
      <c r="VJ677"/>
      <c r="VK677"/>
      <c r="VL677"/>
      <c r="VM677"/>
      <c r="VN677"/>
      <c r="VO677"/>
      <c r="VP677"/>
      <c r="VQ677"/>
      <c r="VR677"/>
      <c r="VS677"/>
      <c r="VT677"/>
      <c r="VU677"/>
      <c r="VV677"/>
      <c r="VW677"/>
      <c r="VX677"/>
      <c r="VY677"/>
      <c r="VZ677"/>
      <c r="WA677"/>
      <c r="WB677"/>
      <c r="WC677"/>
      <c r="WD677"/>
      <c r="WE677"/>
      <c r="WF677"/>
      <c r="WG677"/>
      <c r="WH677"/>
      <c r="WI677"/>
      <c r="WJ677"/>
      <c r="WK677"/>
      <c r="WL677"/>
      <c r="WM677"/>
      <c r="WN677"/>
      <c r="WO677"/>
      <c r="WP677"/>
      <c r="WQ677"/>
      <c r="WR677"/>
      <c r="WS677"/>
      <c r="WT677"/>
      <c r="WU677"/>
      <c r="WV677"/>
      <c r="WW677"/>
      <c r="WX677"/>
      <c r="WY677"/>
      <c r="WZ677"/>
      <c r="XA677"/>
      <c r="XB677"/>
      <c r="XC677"/>
      <c r="XD677"/>
      <c r="XE677"/>
      <c r="XF677"/>
      <c r="XG677"/>
      <c r="XH677"/>
      <c r="XI677"/>
      <c r="XJ677"/>
      <c r="XK677"/>
      <c r="XL677"/>
      <c r="XM677"/>
      <c r="XN677"/>
      <c r="XO677"/>
      <c r="XP677"/>
      <c r="XQ677"/>
      <c r="XR677"/>
      <c r="XS677"/>
      <c r="XT677"/>
      <c r="XU677"/>
      <c r="XV677"/>
      <c r="XW677"/>
      <c r="XX677"/>
      <c r="XY677"/>
      <c r="XZ677"/>
      <c r="YA677"/>
      <c r="YB677"/>
      <c r="YC677"/>
      <c r="YD677"/>
      <c r="YE677"/>
      <c r="YF677"/>
      <c r="YG677"/>
      <c r="YH677"/>
      <c r="YI677"/>
      <c r="YJ677"/>
      <c r="YK677"/>
      <c r="YL677"/>
      <c r="YM677"/>
      <c r="YN677"/>
      <c r="YO677"/>
      <c r="YP677"/>
      <c r="YQ677"/>
      <c r="YR677"/>
      <c r="YS677"/>
      <c r="YT677"/>
      <c r="YU677"/>
      <c r="YV677"/>
      <c r="YW677"/>
      <c r="YX677"/>
      <c r="YY677"/>
      <c r="YZ677"/>
      <c r="ZA677"/>
      <c r="ZB677"/>
      <c r="ZC677"/>
      <c r="ZD677"/>
      <c r="ZE677"/>
      <c r="ZF677"/>
      <c r="ZG677"/>
      <c r="ZH677"/>
      <c r="ZI677"/>
      <c r="ZJ677"/>
      <c r="ZK677"/>
      <c r="ZL677"/>
      <c r="ZM677"/>
      <c r="ZN677"/>
      <c r="ZO677"/>
      <c r="ZP677"/>
      <c r="ZQ677"/>
      <c r="ZR677"/>
      <c r="ZS677"/>
      <c r="ZT677"/>
      <c r="ZU677"/>
      <c r="ZV677"/>
      <c r="ZW677"/>
      <c r="ZX677"/>
      <c r="ZY677"/>
      <c r="ZZ677"/>
      <c r="AAA677"/>
      <c r="AAB677"/>
      <c r="AAC677"/>
      <c r="AAD677"/>
      <c r="AAE677"/>
      <c r="AAF677"/>
      <c r="AAG677"/>
      <c r="AAH677"/>
      <c r="AAI677"/>
      <c r="AAJ677"/>
      <c r="AAK677"/>
      <c r="AAL677"/>
      <c r="AAM677"/>
      <c r="AAN677"/>
      <c r="AAO677"/>
      <c r="AAP677"/>
      <c r="AAQ677"/>
      <c r="AAR677"/>
      <c r="AAS677"/>
      <c r="AAT677"/>
      <c r="AAU677"/>
      <c r="AAV677"/>
      <c r="AAW677"/>
      <c r="AAX677"/>
      <c r="AAY677"/>
      <c r="AAZ677"/>
      <c r="ABA677"/>
      <c r="ABB677"/>
      <c r="ABC677"/>
      <c r="ABD677"/>
      <c r="ABE677"/>
      <c r="ABF677"/>
      <c r="ABG677"/>
      <c r="ABH677"/>
      <c r="ABI677"/>
      <c r="ABJ677"/>
      <c r="ABK677"/>
      <c r="ABL677"/>
      <c r="ABM677"/>
      <c r="ABN677"/>
      <c r="ABO677"/>
      <c r="ABP677"/>
      <c r="ABQ677"/>
      <c r="ABR677"/>
      <c r="ABS677"/>
      <c r="ABT677"/>
      <c r="ABU677"/>
      <c r="ABV677"/>
      <c r="ABW677"/>
      <c r="ABX677"/>
      <c r="ABY677"/>
      <c r="ABZ677"/>
      <c r="ACA677"/>
      <c r="ACB677"/>
      <c r="ACC677"/>
      <c r="ACD677"/>
      <c r="ACE677"/>
      <c r="ACF677"/>
      <c r="ACG677"/>
      <c r="ACH677"/>
      <c r="ACI677"/>
      <c r="ACJ677"/>
      <c r="ACK677"/>
      <c r="ACL677"/>
      <c r="ACM677"/>
      <c r="ACN677"/>
      <c r="ACO677"/>
      <c r="ACP677"/>
      <c r="ACQ677"/>
      <c r="ACR677"/>
      <c r="ACS677"/>
      <c r="ACT677"/>
      <c r="ACU677"/>
      <c r="ACV677"/>
      <c r="ACW677"/>
      <c r="ACX677"/>
      <c r="ACY677"/>
      <c r="ACZ677"/>
      <c r="ADA677"/>
      <c r="ADB677"/>
      <c r="ADC677"/>
      <c r="ADD677"/>
      <c r="ADE677"/>
      <c r="ADF677"/>
      <c r="ADG677"/>
      <c r="ADH677"/>
      <c r="ADI677"/>
      <c r="ADJ677"/>
      <c r="ADK677"/>
      <c r="ADL677"/>
      <c r="ADM677"/>
      <c r="ADN677"/>
      <c r="ADO677"/>
      <c r="ADP677"/>
      <c r="ADQ677"/>
      <c r="ADR677"/>
      <c r="ADS677"/>
      <c r="ADT677"/>
      <c r="ADU677"/>
      <c r="ADV677"/>
      <c r="ADW677"/>
      <c r="ADX677"/>
      <c r="ADY677"/>
      <c r="ADZ677"/>
      <c r="AEA677"/>
      <c r="AEB677"/>
      <c r="AEC677"/>
      <c r="AED677"/>
      <c r="AEE677"/>
      <c r="AEF677"/>
      <c r="AEG677"/>
      <c r="AEH677"/>
      <c r="AEI677"/>
      <c r="AEJ677"/>
      <c r="AEK677"/>
      <c r="AEL677"/>
      <c r="AEM677"/>
      <c r="AEN677"/>
      <c r="AEO677"/>
      <c r="AEP677"/>
      <c r="AEQ677"/>
      <c r="AER677"/>
      <c r="AES677"/>
      <c r="AET677"/>
      <c r="AEU677"/>
      <c r="AEV677"/>
      <c r="AEW677"/>
      <c r="AEX677"/>
      <c r="AEY677"/>
      <c r="AEZ677"/>
      <c r="AFA677"/>
      <c r="AFB677"/>
      <c r="AFC677"/>
      <c r="AFD677"/>
      <c r="AFE677"/>
      <c r="AFF677"/>
      <c r="AFG677"/>
      <c r="AFH677"/>
      <c r="AFI677"/>
      <c r="AFJ677"/>
      <c r="AFK677"/>
      <c r="AFL677"/>
      <c r="AFM677"/>
      <c r="AFN677"/>
      <c r="AFO677"/>
      <c r="AFP677"/>
      <c r="AFQ677"/>
      <c r="AFR677"/>
      <c r="AFS677"/>
      <c r="AFT677"/>
      <c r="AFU677"/>
      <c r="AFV677"/>
      <c r="AFW677"/>
      <c r="AFX677"/>
      <c r="AFY677"/>
      <c r="AFZ677"/>
      <c r="AGA677"/>
      <c r="AGB677"/>
      <c r="AGC677"/>
      <c r="AGD677"/>
      <c r="AGE677"/>
      <c r="AGF677"/>
      <c r="AGG677"/>
      <c r="AGH677"/>
      <c r="AGI677"/>
      <c r="AGJ677"/>
      <c r="AGK677"/>
      <c r="AGL677"/>
      <c r="AGM677"/>
      <c r="AGN677"/>
      <c r="AGO677"/>
      <c r="AGP677"/>
      <c r="AGQ677"/>
      <c r="AGR677"/>
      <c r="AGS677"/>
      <c r="AGT677"/>
      <c r="AGU677"/>
      <c r="AGV677"/>
      <c r="AGW677"/>
      <c r="AGX677"/>
      <c r="AGY677"/>
      <c r="AGZ677"/>
      <c r="AHA677"/>
      <c r="AHB677"/>
      <c r="AHC677"/>
      <c r="AHD677"/>
      <c r="AHE677"/>
      <c r="AHF677"/>
      <c r="AHG677"/>
      <c r="AHH677"/>
      <c r="AHI677"/>
      <c r="AHJ677"/>
      <c r="AHK677"/>
      <c r="AHL677"/>
      <c r="AHM677"/>
      <c r="AHN677"/>
      <c r="AHO677"/>
      <c r="AHP677"/>
      <c r="AHQ677"/>
      <c r="AHR677"/>
      <c r="AHS677"/>
      <c r="AHT677"/>
      <c r="AHU677"/>
      <c r="AHV677"/>
      <c r="AHW677"/>
      <c r="AHX677"/>
      <c r="AHY677"/>
      <c r="AHZ677"/>
      <c r="AIA677"/>
      <c r="AIB677"/>
      <c r="AIC677"/>
      <c r="AID677"/>
      <c r="AIE677"/>
      <c r="AIF677"/>
      <c r="AIG677"/>
      <c r="AIH677"/>
      <c r="AII677"/>
      <c r="AIJ677"/>
      <c r="AIK677"/>
      <c r="AIL677"/>
      <c r="AIM677"/>
      <c r="AIN677"/>
      <c r="AIO677"/>
      <c r="AIP677"/>
      <c r="AIQ677"/>
      <c r="AIR677"/>
      <c r="AIS677"/>
      <c r="AIT677"/>
      <c r="AIU677"/>
      <c r="AIV677"/>
      <c r="AIW677"/>
      <c r="AIX677"/>
      <c r="AIY677"/>
      <c r="AIZ677"/>
      <c r="AJA677"/>
      <c r="AJB677"/>
      <c r="AJC677"/>
      <c r="AJD677"/>
      <c r="AJE677"/>
      <c r="AJF677"/>
      <c r="AJG677"/>
      <c r="AJH677"/>
      <c r="AJI677"/>
      <c r="AJJ677"/>
      <c r="AJK677"/>
      <c r="AJL677"/>
      <c r="AJM677"/>
      <c r="AJN677"/>
      <c r="AJO677"/>
      <c r="AJP677"/>
      <c r="AJQ677"/>
      <c r="AJR677"/>
      <c r="AJS677"/>
      <c r="AJT677"/>
      <c r="AJU677"/>
      <c r="AJV677"/>
      <c r="AJW677"/>
      <c r="AJX677"/>
      <c r="AJY677"/>
      <c r="AJZ677"/>
      <c r="AKA677"/>
      <c r="AKB677"/>
      <c r="AKC677"/>
      <c r="AKD677"/>
      <c r="AKE677"/>
      <c r="AKF677"/>
      <c r="AKG677"/>
      <c r="AKH677"/>
      <c r="AKI677"/>
      <c r="AKJ677"/>
      <c r="AKK677"/>
      <c r="AKL677"/>
      <c r="AKM677"/>
      <c r="AKN677"/>
      <c r="AKO677"/>
      <c r="AKP677"/>
      <c r="AKQ677"/>
      <c r="AKR677"/>
      <c r="AKS677"/>
      <c r="AKT677"/>
      <c r="AKU677"/>
      <c r="AKV677"/>
      <c r="AKW677"/>
      <c r="AKX677"/>
      <c r="AKY677"/>
      <c r="AKZ677"/>
      <c r="ALA677"/>
      <c r="ALB677"/>
      <c r="ALC677"/>
      <c r="ALD677"/>
      <c r="ALE677"/>
      <c r="ALF677"/>
      <c r="ALG677"/>
      <c r="ALH677"/>
      <c r="ALI677"/>
      <c r="ALJ677"/>
      <c r="ALK677"/>
      <c r="ALL677"/>
      <c r="ALM677"/>
      <c r="ALN677"/>
      <c r="ALO677"/>
      <c r="ALP677"/>
      <c r="ALQ677"/>
      <c r="ALR677"/>
      <c r="ALS677"/>
      <c r="ALT677"/>
      <c r="ALU677"/>
      <c r="ALV677"/>
      <c r="ALW677"/>
      <c r="ALX677"/>
      <c r="ALY677"/>
      <c r="ALZ677"/>
      <c r="AMA677"/>
      <c r="AMB677"/>
      <c r="AMC677"/>
      <c r="AMD677"/>
      <c r="AME677"/>
      <c r="AMF677"/>
      <c r="AMG677"/>
      <c r="AMH677"/>
      <c r="AMI677"/>
      <c r="AMJ677"/>
    </row>
    <row r="678" spans="1:1024">
      <c r="A678" s="7" t="s">
        <v>682</v>
      </c>
      <c r="B678" s="11">
        <v>411764</v>
      </c>
      <c r="C678" s="11"/>
      <c r="D678" s="12">
        <v>1</v>
      </c>
      <c r="E678" s="7">
        <f>VLOOKUP(B678,Gesamtstunden_26!B:I,8,0)</f>
        <v>1.6666666666666667</v>
      </c>
      <c r="F678" s="13">
        <f t="shared" si="10"/>
        <v>-0.66666666666666674</v>
      </c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  <c r="AS678" s="11"/>
      <c r="AT678" s="11"/>
      <c r="AU678" s="11"/>
      <c r="AV678" s="11"/>
      <c r="AW678" s="11"/>
      <c r="AX678" s="11"/>
      <c r="AY678" s="11"/>
      <c r="AZ678" s="11"/>
      <c r="BA678" s="11"/>
      <c r="BB678" s="11"/>
      <c r="BC678" s="11"/>
      <c r="BD678" s="11"/>
      <c r="BE678" s="11"/>
      <c r="BF678" s="11"/>
      <c r="BG678" s="11"/>
      <c r="BH678" s="11"/>
      <c r="BI678" s="11"/>
      <c r="BJ678" s="11"/>
      <c r="BK678" s="11"/>
      <c r="BL678" s="11"/>
      <c r="BM678" s="11"/>
      <c r="BN678" s="11"/>
      <c r="BO678" s="11"/>
      <c r="BP678" s="11"/>
      <c r="BQ678" s="11"/>
      <c r="BR678" s="11"/>
      <c r="BS678" s="11"/>
      <c r="BT678" s="11"/>
      <c r="BU678" s="11"/>
      <c r="BV678" s="11"/>
      <c r="BW678" s="11"/>
      <c r="BX678" s="11"/>
      <c r="BY678" s="11"/>
      <c r="BZ678" s="11"/>
      <c r="CA678" s="11"/>
      <c r="CB678" s="11"/>
      <c r="CC678" s="11"/>
      <c r="CD678" s="11"/>
      <c r="CE678" s="11"/>
      <c r="CF678" s="11"/>
      <c r="CG678" s="11"/>
      <c r="CH678" s="11"/>
      <c r="CI678" s="11"/>
      <c r="CJ678" s="11"/>
      <c r="CK678" s="11"/>
      <c r="CL678" s="11"/>
      <c r="CM678" s="11"/>
      <c r="CN678" s="11"/>
      <c r="CO678" s="11"/>
      <c r="CP678" s="11"/>
      <c r="CQ678" s="11"/>
      <c r="CR678" s="11"/>
      <c r="CS678" s="11"/>
      <c r="CT678" s="11"/>
      <c r="CU678" s="11"/>
      <c r="CV678" s="11"/>
      <c r="CW678" s="11"/>
      <c r="CX678" s="11"/>
      <c r="CY678" s="11"/>
      <c r="CZ678" s="11"/>
      <c r="DA678" s="11"/>
      <c r="DB678" s="11"/>
      <c r="DC678" s="11"/>
      <c r="DD678" s="11"/>
      <c r="DE678" s="11"/>
      <c r="DF678" s="11"/>
      <c r="DG678" s="11"/>
      <c r="DH678" s="11"/>
      <c r="DI678" s="11"/>
      <c r="DJ678" s="11"/>
      <c r="DK678" s="11"/>
      <c r="DL678" s="11"/>
      <c r="DM678" s="11"/>
      <c r="DN678" s="11"/>
      <c r="DO678" s="11"/>
      <c r="DP678" s="11"/>
      <c r="DQ678" s="11"/>
      <c r="DR678" s="11"/>
      <c r="DS678" s="11"/>
      <c r="DT678" s="11"/>
      <c r="DU678" s="11"/>
      <c r="DV678" s="11"/>
      <c r="DW678" s="11"/>
      <c r="DX678" s="11"/>
      <c r="DY678" s="11"/>
      <c r="DZ678" s="11"/>
      <c r="EA678" s="11"/>
      <c r="EB678" s="11"/>
      <c r="EC678" s="11"/>
      <c r="ED678" s="11"/>
      <c r="EE678" s="11"/>
      <c r="EF678" s="11"/>
      <c r="EG678" s="11"/>
      <c r="EH678" s="11"/>
      <c r="EI678" s="11"/>
      <c r="EJ678" s="11"/>
      <c r="EK678" s="11"/>
      <c r="EL678" s="11"/>
      <c r="EM678" s="11"/>
      <c r="EN678" s="11"/>
      <c r="EO678" s="11"/>
      <c r="EP678" s="11"/>
      <c r="EQ678" s="11"/>
      <c r="ER678" s="11"/>
      <c r="ES678" s="11"/>
      <c r="ET678" s="11"/>
      <c r="EU678" s="11"/>
      <c r="EV678" s="11"/>
      <c r="EW678" s="11"/>
      <c r="EX678" s="11"/>
      <c r="EY678" s="11"/>
      <c r="EZ678" s="11"/>
      <c r="FA678" s="11"/>
      <c r="FB678" s="11"/>
      <c r="FC678" s="11"/>
      <c r="FD678" s="11"/>
      <c r="FE678" s="11"/>
      <c r="FF678" s="11"/>
      <c r="FG678" s="11"/>
      <c r="FH678" s="11"/>
      <c r="FI678" s="11"/>
      <c r="FJ678" s="11"/>
      <c r="FK678" s="11"/>
      <c r="FL678" s="11"/>
      <c r="FM678" s="11"/>
      <c r="FN678" s="11"/>
      <c r="FO678" s="11"/>
      <c r="FP678" s="11"/>
      <c r="FQ678" s="11"/>
      <c r="FR678" s="11"/>
      <c r="FS678" s="11"/>
      <c r="FT678" s="11"/>
      <c r="FU678" s="11"/>
      <c r="FV678" s="11"/>
      <c r="FW678" s="11"/>
      <c r="FX678" s="11"/>
      <c r="FY678" s="11"/>
      <c r="FZ678" s="11"/>
      <c r="GA678" s="11"/>
      <c r="GB678" s="11"/>
      <c r="GC678" s="11"/>
      <c r="GD678" s="11"/>
      <c r="GE678" s="11"/>
      <c r="GF678" s="11"/>
      <c r="GG678" s="11"/>
      <c r="GH678" s="11"/>
      <c r="GI678" s="11"/>
      <c r="GJ678" s="11"/>
      <c r="GK678" s="11"/>
      <c r="GL678" s="11"/>
      <c r="GM678" s="11"/>
      <c r="GN678" s="11"/>
      <c r="GO678" s="11"/>
      <c r="GP678" s="11"/>
      <c r="GQ678" s="11"/>
      <c r="GR678" s="11"/>
      <c r="GS678" s="11"/>
      <c r="GT678" s="11"/>
      <c r="GU678" s="11"/>
      <c r="GV678" s="11"/>
      <c r="GW678" s="11"/>
      <c r="GX678" s="11"/>
      <c r="GY678" s="11"/>
      <c r="GZ678" s="11"/>
      <c r="HA678" s="11"/>
      <c r="HB678" s="11"/>
      <c r="HC678" s="11"/>
      <c r="HD678" s="11"/>
      <c r="HE678" s="11"/>
      <c r="HF678" s="11"/>
      <c r="HG678" s="11"/>
      <c r="HH678" s="11"/>
      <c r="HI678" s="11"/>
      <c r="HJ678" s="11"/>
      <c r="HK678" s="11"/>
      <c r="HL678" s="11"/>
      <c r="HM678" s="11"/>
      <c r="HN678" s="11"/>
      <c r="HO678" s="11"/>
      <c r="HP678" s="11"/>
      <c r="HQ678" s="11"/>
      <c r="HR678" s="11"/>
      <c r="HS678" s="11"/>
      <c r="HT678" s="11"/>
      <c r="HU678" s="11"/>
      <c r="HV678" s="11"/>
      <c r="HW678" s="11"/>
      <c r="HX678" s="11"/>
      <c r="HY678" s="11"/>
      <c r="HZ678" s="11"/>
      <c r="IA678" s="11"/>
      <c r="IB678" s="11"/>
      <c r="IC678" s="11"/>
      <c r="ID678" s="11"/>
      <c r="IE678" s="11"/>
      <c r="IF678" s="11"/>
      <c r="IG678" s="11"/>
      <c r="IH678" s="11"/>
      <c r="II678" s="11"/>
      <c r="IJ678" s="11"/>
      <c r="IK678" s="11"/>
      <c r="IL678" s="11"/>
      <c r="IM678" s="11"/>
      <c r="IN678" s="11"/>
      <c r="IO678" s="11"/>
      <c r="IP678" s="11"/>
      <c r="IQ678" s="11"/>
      <c r="IR678" s="11"/>
      <c r="IS678" s="11"/>
      <c r="IT678" s="11"/>
      <c r="IU678" s="11"/>
      <c r="IV678" s="11"/>
      <c r="IW678" s="11"/>
      <c r="IX678" s="11"/>
      <c r="IY678" s="11"/>
      <c r="IZ678" s="11"/>
      <c r="JA678" s="11"/>
      <c r="JB678" s="11"/>
      <c r="JC678" s="11"/>
      <c r="JD678" s="11"/>
      <c r="JE678" s="11"/>
      <c r="JF678" s="11"/>
      <c r="JG678" s="11"/>
      <c r="JH678" s="11"/>
      <c r="JI678" s="11"/>
      <c r="JJ678" s="11"/>
      <c r="JK678" s="11"/>
      <c r="JL678" s="11"/>
      <c r="JM678" s="11"/>
      <c r="JN678" s="11"/>
      <c r="JO678" s="11"/>
      <c r="JP678" s="11"/>
      <c r="JQ678" s="11"/>
      <c r="JR678" s="11"/>
      <c r="JS678" s="11"/>
      <c r="JT678" s="11"/>
      <c r="JU678" s="11"/>
      <c r="JV678" s="11"/>
      <c r="JW678" s="11"/>
      <c r="JX678" s="11"/>
      <c r="JY678" s="11"/>
      <c r="JZ678" s="11"/>
      <c r="KA678" s="11"/>
      <c r="KB678" s="11"/>
      <c r="KC678" s="11"/>
      <c r="KD678" s="11"/>
      <c r="KE678" s="11"/>
      <c r="KF678" s="11"/>
      <c r="KG678" s="11"/>
      <c r="KH678" s="11"/>
      <c r="KI678" s="11"/>
      <c r="KJ678" s="11"/>
      <c r="KK678" s="11"/>
      <c r="KL678" s="11"/>
      <c r="KM678" s="11"/>
      <c r="KN678" s="11"/>
      <c r="KO678" s="11"/>
      <c r="KP678" s="11"/>
      <c r="KQ678" s="11"/>
      <c r="KR678" s="11"/>
      <c r="KS678" s="11"/>
      <c r="KT678" s="11"/>
      <c r="KU678" s="11"/>
      <c r="KV678" s="11"/>
      <c r="KW678" s="11"/>
      <c r="KX678" s="11"/>
      <c r="KY678" s="11"/>
      <c r="KZ678" s="11"/>
      <c r="LA678" s="11"/>
      <c r="LB678" s="11"/>
      <c r="LC678" s="11"/>
      <c r="LD678" s="11"/>
      <c r="LE678" s="11"/>
      <c r="LF678" s="11"/>
      <c r="LG678" s="11"/>
      <c r="LH678" s="11"/>
      <c r="LI678" s="11"/>
      <c r="LJ678" s="11"/>
      <c r="LK678" s="11"/>
      <c r="LL678" s="11"/>
      <c r="LM678" s="11"/>
      <c r="LN678" s="11"/>
      <c r="LO678" s="11"/>
      <c r="LP678" s="11"/>
      <c r="LQ678" s="11"/>
      <c r="LR678" s="11"/>
      <c r="LS678" s="11"/>
      <c r="LT678" s="11"/>
      <c r="LU678" s="11"/>
      <c r="LV678" s="11"/>
      <c r="LW678" s="11"/>
      <c r="LX678" s="11"/>
      <c r="LY678" s="11"/>
      <c r="LZ678" s="11"/>
      <c r="MA678" s="11"/>
      <c r="MB678" s="11"/>
      <c r="MC678" s="11"/>
      <c r="MD678" s="11"/>
      <c r="ME678" s="11"/>
      <c r="MF678" s="11"/>
      <c r="MG678" s="11"/>
      <c r="MH678" s="11"/>
      <c r="MI678" s="11"/>
      <c r="MJ678" s="11"/>
      <c r="MK678" s="11"/>
      <c r="ML678" s="11"/>
      <c r="MM678" s="11"/>
      <c r="MN678" s="11"/>
      <c r="MO678" s="11"/>
      <c r="MP678" s="11"/>
      <c r="MQ678" s="11"/>
      <c r="MR678" s="11"/>
      <c r="MS678" s="11"/>
      <c r="MT678" s="11"/>
      <c r="MU678" s="11"/>
      <c r="MV678" s="11"/>
      <c r="MW678" s="11"/>
      <c r="MX678" s="11"/>
      <c r="MY678" s="11"/>
      <c r="MZ678" s="11"/>
      <c r="NA678" s="11"/>
      <c r="NB678" s="11"/>
      <c r="NC678" s="11"/>
      <c r="ND678" s="11"/>
      <c r="NE678" s="11"/>
      <c r="NF678" s="11"/>
      <c r="NG678" s="11"/>
      <c r="NH678" s="11"/>
      <c r="NI678" s="11"/>
      <c r="NJ678" s="11"/>
      <c r="NK678" s="11"/>
      <c r="NL678" s="11"/>
      <c r="NM678" s="11"/>
      <c r="NN678" s="11"/>
      <c r="NO678" s="11"/>
      <c r="NP678" s="11"/>
      <c r="NQ678" s="11"/>
      <c r="NR678" s="11"/>
      <c r="NS678" s="11"/>
      <c r="NT678" s="11"/>
      <c r="NU678" s="11"/>
      <c r="NV678" s="11"/>
      <c r="NW678" s="11"/>
      <c r="NX678" s="11"/>
      <c r="NY678" s="11"/>
      <c r="NZ678" s="11"/>
      <c r="OA678" s="11"/>
      <c r="OB678" s="11"/>
      <c r="OC678" s="11"/>
      <c r="OD678" s="11"/>
      <c r="OE678" s="11"/>
      <c r="OF678" s="11"/>
      <c r="OG678" s="11"/>
      <c r="OH678" s="11"/>
      <c r="OI678" s="11"/>
      <c r="OJ678" s="11"/>
      <c r="OK678" s="11"/>
      <c r="OL678" s="11"/>
      <c r="OM678" s="11"/>
      <c r="ON678" s="11"/>
      <c r="OO678" s="11"/>
      <c r="OP678" s="11"/>
      <c r="OQ678" s="11"/>
      <c r="OR678" s="11"/>
      <c r="OS678" s="11"/>
      <c r="OT678" s="11"/>
      <c r="OU678" s="11"/>
      <c r="OV678" s="11"/>
      <c r="OW678" s="11"/>
      <c r="OX678" s="11"/>
      <c r="OY678" s="11"/>
      <c r="OZ678" s="11"/>
      <c r="PA678" s="11"/>
      <c r="PB678" s="11"/>
      <c r="PC678" s="11"/>
      <c r="PD678" s="11"/>
      <c r="PE678" s="11"/>
      <c r="PF678" s="11"/>
      <c r="PG678" s="11"/>
      <c r="PH678" s="11"/>
      <c r="PI678" s="11"/>
      <c r="PJ678" s="11"/>
      <c r="PK678" s="11"/>
      <c r="PL678" s="11"/>
      <c r="PM678" s="11"/>
      <c r="PN678" s="11"/>
      <c r="PO678" s="11"/>
      <c r="PP678" s="11"/>
      <c r="PQ678" s="11"/>
      <c r="PR678" s="11"/>
      <c r="PS678" s="11"/>
      <c r="PT678" s="11"/>
      <c r="PU678" s="11"/>
      <c r="PV678" s="11"/>
      <c r="PW678" s="11"/>
      <c r="PX678" s="11"/>
      <c r="PY678" s="11"/>
      <c r="PZ678" s="11"/>
      <c r="QA678" s="11"/>
      <c r="QB678" s="11"/>
      <c r="QC678" s="11"/>
      <c r="QD678" s="11"/>
      <c r="QE678" s="11"/>
      <c r="QF678" s="11"/>
      <c r="QG678" s="11"/>
      <c r="QH678" s="11"/>
      <c r="QI678" s="11"/>
      <c r="QJ678" s="11"/>
      <c r="QK678" s="11"/>
      <c r="QL678" s="11"/>
      <c r="QM678" s="11"/>
      <c r="QN678" s="11"/>
      <c r="QO678" s="11"/>
      <c r="QP678" s="11"/>
      <c r="QQ678" s="11"/>
      <c r="QR678" s="11"/>
      <c r="QS678" s="11"/>
      <c r="QT678" s="11"/>
      <c r="QU678" s="11"/>
      <c r="QV678" s="11"/>
      <c r="QW678" s="11"/>
      <c r="QX678" s="11"/>
      <c r="QY678" s="11"/>
      <c r="QZ678" s="11"/>
      <c r="RA678" s="11"/>
      <c r="RB678" s="11"/>
      <c r="RC678" s="11"/>
      <c r="RD678" s="11"/>
      <c r="RE678" s="11"/>
      <c r="RF678" s="11"/>
      <c r="RG678" s="11"/>
      <c r="RH678" s="11"/>
      <c r="RI678" s="11"/>
      <c r="RJ678" s="11"/>
      <c r="RK678" s="11"/>
      <c r="RL678" s="11"/>
      <c r="RM678" s="11"/>
      <c r="RN678" s="11"/>
      <c r="RO678" s="11"/>
      <c r="RP678" s="11"/>
      <c r="RQ678" s="11"/>
      <c r="RR678" s="11"/>
      <c r="RS678" s="11"/>
      <c r="RT678" s="11"/>
      <c r="RU678" s="11"/>
      <c r="RV678" s="11"/>
      <c r="RW678" s="11"/>
      <c r="RX678" s="11"/>
      <c r="RY678" s="11"/>
      <c r="RZ678" s="11"/>
      <c r="SA678" s="11"/>
      <c r="SB678" s="11"/>
      <c r="SC678" s="11"/>
      <c r="SD678" s="11"/>
      <c r="SE678" s="11"/>
      <c r="SF678" s="11"/>
      <c r="SG678" s="11"/>
      <c r="SH678" s="11"/>
      <c r="SI678" s="11"/>
      <c r="SJ678" s="11"/>
      <c r="SK678" s="11"/>
      <c r="SL678" s="11"/>
      <c r="SM678" s="11"/>
      <c r="SN678" s="11"/>
      <c r="SO678" s="11"/>
      <c r="SP678" s="11"/>
      <c r="SQ678" s="11"/>
      <c r="SR678" s="11"/>
      <c r="SS678" s="11"/>
      <c r="ST678" s="11"/>
      <c r="SU678" s="11"/>
      <c r="SV678" s="11"/>
      <c r="SW678" s="11"/>
      <c r="SX678" s="11"/>
      <c r="SY678" s="11"/>
      <c r="SZ678" s="11"/>
      <c r="TA678" s="11"/>
      <c r="TB678" s="11"/>
      <c r="TC678" s="11"/>
      <c r="TD678" s="11"/>
      <c r="TE678" s="11"/>
      <c r="TF678" s="11"/>
      <c r="TG678" s="11"/>
      <c r="TH678" s="11"/>
      <c r="TI678" s="11"/>
      <c r="TJ678" s="11"/>
      <c r="TK678" s="11"/>
      <c r="TL678" s="11"/>
      <c r="TM678" s="11"/>
      <c r="TN678" s="11"/>
      <c r="TO678" s="11"/>
      <c r="TP678" s="11"/>
      <c r="TQ678" s="11"/>
      <c r="TR678" s="11"/>
      <c r="TS678" s="11"/>
      <c r="TT678" s="11"/>
      <c r="TU678" s="11"/>
      <c r="TV678" s="11"/>
      <c r="TW678" s="11"/>
      <c r="TX678" s="11"/>
      <c r="TY678" s="11"/>
      <c r="TZ678" s="11"/>
      <c r="UA678" s="11"/>
      <c r="UB678" s="11"/>
      <c r="UC678" s="11"/>
      <c r="UD678" s="11"/>
      <c r="UE678" s="11"/>
      <c r="UF678" s="11"/>
      <c r="UG678" s="11"/>
      <c r="UH678" s="11"/>
      <c r="UI678" s="11"/>
      <c r="UJ678" s="11"/>
      <c r="UK678" s="11"/>
      <c r="UL678" s="11"/>
      <c r="UM678" s="11"/>
      <c r="UN678" s="11"/>
      <c r="UO678" s="11"/>
      <c r="UP678" s="11"/>
      <c r="UQ678" s="11"/>
      <c r="UR678" s="11"/>
      <c r="US678" s="11"/>
      <c r="UT678" s="11"/>
      <c r="UU678" s="11"/>
      <c r="UV678" s="11"/>
      <c r="UW678" s="11"/>
      <c r="UX678" s="11"/>
      <c r="UY678" s="11"/>
      <c r="UZ678" s="11"/>
      <c r="VA678" s="11"/>
      <c r="VB678" s="11"/>
      <c r="VC678" s="11"/>
      <c r="VD678" s="11"/>
      <c r="VE678" s="11"/>
      <c r="VF678" s="11"/>
      <c r="VG678" s="11"/>
      <c r="VH678" s="11"/>
      <c r="VI678" s="11"/>
      <c r="VJ678" s="11"/>
      <c r="VK678" s="11"/>
      <c r="VL678" s="11"/>
      <c r="VM678" s="11"/>
      <c r="VN678" s="11"/>
      <c r="VO678" s="11"/>
      <c r="VP678" s="11"/>
      <c r="VQ678" s="11"/>
      <c r="VR678" s="11"/>
      <c r="VS678" s="11"/>
      <c r="VT678" s="11"/>
      <c r="VU678" s="11"/>
      <c r="VV678" s="11"/>
      <c r="VW678" s="11"/>
      <c r="VX678" s="11"/>
      <c r="VY678" s="11"/>
      <c r="VZ678" s="11"/>
      <c r="WA678" s="11"/>
      <c r="WB678" s="11"/>
      <c r="WC678" s="11"/>
      <c r="WD678" s="11"/>
      <c r="WE678" s="11"/>
      <c r="WF678" s="11"/>
      <c r="WG678" s="11"/>
      <c r="WH678" s="11"/>
      <c r="WI678" s="11"/>
      <c r="WJ678" s="11"/>
      <c r="WK678" s="11"/>
      <c r="WL678" s="11"/>
      <c r="WM678" s="11"/>
      <c r="WN678" s="11"/>
      <c r="WO678" s="11"/>
      <c r="WP678" s="11"/>
      <c r="WQ678" s="11"/>
      <c r="WR678" s="11"/>
      <c r="WS678" s="11"/>
      <c r="WT678" s="11"/>
      <c r="WU678" s="11"/>
      <c r="WV678" s="11"/>
      <c r="WW678" s="11"/>
      <c r="WX678" s="11"/>
      <c r="WY678" s="11"/>
      <c r="WZ678" s="11"/>
      <c r="XA678" s="11"/>
      <c r="XB678" s="11"/>
      <c r="XC678" s="11"/>
      <c r="XD678" s="11"/>
      <c r="XE678" s="11"/>
      <c r="XF678" s="11"/>
      <c r="XG678" s="11"/>
      <c r="XH678" s="11"/>
      <c r="XI678" s="11"/>
      <c r="XJ678" s="11"/>
      <c r="XK678" s="11"/>
      <c r="XL678" s="11"/>
      <c r="XM678" s="11"/>
      <c r="XN678" s="11"/>
      <c r="XO678" s="11"/>
      <c r="XP678" s="11"/>
      <c r="XQ678" s="11"/>
      <c r="XR678" s="11"/>
      <c r="XS678" s="11"/>
      <c r="XT678" s="11"/>
      <c r="XU678" s="11"/>
      <c r="XV678" s="11"/>
      <c r="XW678" s="11"/>
      <c r="XX678" s="11"/>
      <c r="XY678" s="11"/>
      <c r="XZ678" s="11"/>
      <c r="YA678" s="11"/>
      <c r="YB678" s="11"/>
      <c r="YC678" s="11"/>
      <c r="YD678" s="11"/>
      <c r="YE678" s="11"/>
      <c r="YF678" s="11"/>
      <c r="YG678" s="11"/>
      <c r="YH678" s="11"/>
      <c r="YI678" s="11"/>
      <c r="YJ678" s="11"/>
      <c r="YK678" s="11"/>
      <c r="YL678" s="11"/>
      <c r="YM678" s="11"/>
      <c r="YN678" s="11"/>
      <c r="YO678" s="11"/>
      <c r="YP678" s="11"/>
      <c r="YQ678" s="11"/>
      <c r="YR678" s="11"/>
      <c r="YS678" s="11"/>
      <c r="YT678" s="11"/>
      <c r="YU678" s="11"/>
      <c r="YV678" s="11"/>
      <c r="YW678" s="11"/>
      <c r="YX678" s="11"/>
      <c r="YY678" s="11"/>
      <c r="YZ678" s="11"/>
      <c r="ZA678" s="11"/>
      <c r="ZB678" s="11"/>
      <c r="ZC678" s="11"/>
      <c r="ZD678" s="11"/>
      <c r="ZE678" s="11"/>
      <c r="ZF678" s="11"/>
      <c r="ZG678" s="11"/>
      <c r="ZH678" s="11"/>
      <c r="ZI678" s="11"/>
      <c r="ZJ678" s="11"/>
      <c r="ZK678" s="11"/>
      <c r="ZL678" s="11"/>
      <c r="ZM678" s="11"/>
      <c r="ZN678" s="11"/>
      <c r="ZO678" s="11"/>
      <c r="ZP678" s="11"/>
      <c r="ZQ678" s="11"/>
      <c r="ZR678" s="11"/>
      <c r="ZS678" s="11"/>
      <c r="ZT678" s="11"/>
      <c r="ZU678" s="11"/>
      <c r="ZV678" s="11"/>
      <c r="ZW678" s="11"/>
      <c r="ZX678" s="11"/>
      <c r="ZY678" s="11"/>
      <c r="ZZ678" s="11"/>
      <c r="AAA678" s="11"/>
      <c r="AAB678" s="11"/>
      <c r="AAC678" s="11"/>
      <c r="AAD678" s="11"/>
      <c r="AAE678" s="11"/>
      <c r="AAF678" s="11"/>
      <c r="AAG678" s="11"/>
      <c r="AAH678" s="11"/>
      <c r="AAI678" s="11"/>
      <c r="AAJ678" s="11"/>
      <c r="AAK678" s="11"/>
      <c r="AAL678" s="11"/>
      <c r="AAM678" s="11"/>
      <c r="AAN678" s="11"/>
      <c r="AAO678" s="11"/>
      <c r="AAP678" s="11"/>
      <c r="AAQ678" s="11"/>
      <c r="AAR678" s="11"/>
      <c r="AAS678" s="11"/>
      <c r="AAT678" s="11"/>
      <c r="AAU678" s="11"/>
      <c r="AAV678" s="11"/>
      <c r="AAW678" s="11"/>
      <c r="AAX678" s="11"/>
      <c r="AAY678" s="11"/>
      <c r="AAZ678" s="11"/>
      <c r="ABA678" s="11"/>
      <c r="ABB678" s="11"/>
      <c r="ABC678" s="11"/>
      <c r="ABD678" s="11"/>
      <c r="ABE678" s="11"/>
      <c r="ABF678" s="11"/>
      <c r="ABG678" s="11"/>
      <c r="ABH678" s="11"/>
      <c r="ABI678" s="11"/>
      <c r="ABJ678" s="11"/>
      <c r="ABK678" s="11"/>
      <c r="ABL678" s="11"/>
      <c r="ABM678" s="11"/>
      <c r="ABN678" s="11"/>
      <c r="ABO678" s="11"/>
      <c r="ABP678" s="11"/>
      <c r="ABQ678" s="11"/>
      <c r="ABR678" s="11"/>
      <c r="ABS678" s="11"/>
      <c r="ABT678" s="11"/>
      <c r="ABU678" s="11"/>
      <c r="ABV678" s="11"/>
      <c r="ABW678" s="11"/>
      <c r="ABX678" s="11"/>
      <c r="ABY678" s="11"/>
      <c r="ABZ678" s="11"/>
      <c r="ACA678" s="11"/>
      <c r="ACB678" s="11"/>
      <c r="ACC678" s="11"/>
      <c r="ACD678" s="11"/>
      <c r="ACE678" s="11"/>
      <c r="ACF678" s="11"/>
      <c r="ACG678" s="11"/>
      <c r="ACH678" s="11"/>
      <c r="ACI678" s="11"/>
      <c r="ACJ678" s="11"/>
      <c r="ACK678" s="11"/>
      <c r="ACL678" s="11"/>
      <c r="ACM678" s="11"/>
      <c r="ACN678" s="11"/>
      <c r="ACO678" s="11"/>
      <c r="ACP678" s="11"/>
      <c r="ACQ678" s="11"/>
      <c r="ACR678" s="11"/>
      <c r="ACS678" s="11"/>
      <c r="ACT678" s="11"/>
      <c r="ACU678" s="11"/>
      <c r="ACV678" s="11"/>
      <c r="ACW678" s="11"/>
      <c r="ACX678" s="11"/>
      <c r="ACY678" s="11"/>
      <c r="ACZ678" s="11"/>
      <c r="ADA678" s="11"/>
      <c r="ADB678" s="11"/>
      <c r="ADC678" s="11"/>
      <c r="ADD678" s="11"/>
      <c r="ADE678" s="11"/>
      <c r="ADF678" s="11"/>
      <c r="ADG678" s="11"/>
      <c r="ADH678" s="11"/>
      <c r="ADI678" s="11"/>
      <c r="ADJ678" s="11"/>
      <c r="ADK678" s="11"/>
      <c r="ADL678" s="11"/>
      <c r="ADM678" s="11"/>
      <c r="ADN678" s="11"/>
      <c r="ADO678" s="11"/>
      <c r="ADP678" s="11"/>
      <c r="ADQ678" s="11"/>
      <c r="ADR678" s="11"/>
      <c r="ADS678" s="11"/>
      <c r="ADT678" s="11"/>
      <c r="ADU678" s="11"/>
      <c r="ADV678" s="11"/>
      <c r="ADW678" s="11"/>
      <c r="ADX678" s="11"/>
      <c r="ADY678" s="11"/>
      <c r="ADZ678" s="11"/>
      <c r="AEA678" s="11"/>
      <c r="AEB678" s="11"/>
      <c r="AEC678" s="11"/>
      <c r="AED678" s="11"/>
      <c r="AEE678" s="11"/>
      <c r="AEF678" s="11"/>
      <c r="AEG678" s="11"/>
      <c r="AEH678" s="11"/>
      <c r="AEI678" s="11"/>
      <c r="AEJ678" s="11"/>
      <c r="AEK678" s="11"/>
      <c r="AEL678" s="11"/>
      <c r="AEM678" s="11"/>
      <c r="AEN678" s="11"/>
      <c r="AEO678" s="11"/>
      <c r="AEP678" s="11"/>
      <c r="AEQ678" s="11"/>
      <c r="AER678" s="11"/>
      <c r="AES678" s="11"/>
      <c r="AET678" s="11"/>
      <c r="AEU678" s="11"/>
      <c r="AEV678" s="11"/>
      <c r="AEW678" s="11"/>
      <c r="AEX678" s="11"/>
      <c r="AEY678" s="11"/>
      <c r="AEZ678" s="11"/>
      <c r="AFA678" s="11"/>
      <c r="AFB678" s="11"/>
      <c r="AFC678" s="11"/>
      <c r="AFD678" s="11"/>
      <c r="AFE678" s="11"/>
      <c r="AFF678" s="11"/>
      <c r="AFG678" s="11"/>
      <c r="AFH678" s="11"/>
      <c r="AFI678" s="11"/>
      <c r="AFJ678" s="11"/>
      <c r="AFK678" s="11"/>
      <c r="AFL678" s="11"/>
      <c r="AFM678" s="11"/>
      <c r="AFN678" s="11"/>
      <c r="AFO678" s="11"/>
      <c r="AFP678" s="11"/>
      <c r="AFQ678" s="11"/>
      <c r="AFR678" s="11"/>
      <c r="AFS678" s="11"/>
      <c r="AFT678" s="11"/>
      <c r="AFU678" s="11"/>
      <c r="AFV678" s="11"/>
      <c r="AFW678" s="11"/>
      <c r="AFX678" s="11"/>
      <c r="AFY678" s="11"/>
      <c r="AFZ678" s="11"/>
      <c r="AGA678" s="11"/>
      <c r="AGB678" s="11"/>
      <c r="AGC678" s="11"/>
      <c r="AGD678" s="11"/>
      <c r="AGE678" s="11"/>
      <c r="AGF678" s="11"/>
      <c r="AGG678" s="11"/>
      <c r="AGH678" s="11"/>
      <c r="AGI678" s="11"/>
      <c r="AGJ678" s="11"/>
      <c r="AGK678" s="11"/>
      <c r="AGL678" s="11"/>
      <c r="AGM678" s="11"/>
      <c r="AGN678" s="11"/>
      <c r="AGO678" s="11"/>
      <c r="AGP678" s="11"/>
      <c r="AGQ678" s="11"/>
      <c r="AGR678" s="11"/>
      <c r="AGS678" s="11"/>
      <c r="AGT678" s="11"/>
      <c r="AGU678" s="11"/>
      <c r="AGV678" s="11"/>
      <c r="AGW678" s="11"/>
      <c r="AGX678" s="11"/>
      <c r="AGY678" s="11"/>
      <c r="AGZ678" s="11"/>
      <c r="AHA678" s="11"/>
      <c r="AHB678" s="11"/>
      <c r="AHC678" s="11"/>
      <c r="AHD678" s="11"/>
      <c r="AHE678" s="11"/>
      <c r="AHF678" s="11"/>
      <c r="AHG678" s="11"/>
      <c r="AHH678" s="11"/>
      <c r="AHI678" s="11"/>
      <c r="AHJ678" s="11"/>
      <c r="AHK678" s="11"/>
      <c r="AHL678" s="11"/>
      <c r="AHM678" s="11"/>
      <c r="AHN678" s="11"/>
      <c r="AHO678" s="11"/>
      <c r="AHP678" s="11"/>
      <c r="AHQ678" s="11"/>
      <c r="AHR678" s="11"/>
      <c r="AHS678" s="11"/>
      <c r="AHT678" s="11"/>
      <c r="AHU678" s="11"/>
      <c r="AHV678" s="11"/>
      <c r="AHW678" s="11"/>
      <c r="AHX678" s="11"/>
      <c r="AHY678" s="11"/>
      <c r="AHZ678" s="11"/>
      <c r="AIA678" s="11"/>
      <c r="AIB678" s="11"/>
      <c r="AIC678" s="11"/>
      <c r="AID678" s="11"/>
      <c r="AIE678" s="11"/>
      <c r="AIF678" s="11"/>
      <c r="AIG678" s="11"/>
      <c r="AIH678" s="11"/>
      <c r="AII678" s="11"/>
      <c r="AIJ678" s="11"/>
      <c r="AIK678" s="11"/>
      <c r="AIL678" s="11"/>
      <c r="AIM678" s="11"/>
      <c r="AIN678" s="11"/>
      <c r="AIO678" s="11"/>
      <c r="AIP678" s="11"/>
      <c r="AIQ678" s="11"/>
      <c r="AIR678" s="11"/>
      <c r="AIS678" s="11"/>
      <c r="AIT678" s="11"/>
      <c r="AIU678" s="11"/>
      <c r="AIV678" s="11"/>
      <c r="AIW678" s="11"/>
      <c r="AIX678" s="11"/>
      <c r="AIY678" s="11"/>
      <c r="AIZ678" s="11"/>
      <c r="AJA678" s="11"/>
      <c r="AJB678" s="11"/>
      <c r="AJC678" s="11"/>
      <c r="AJD678" s="11"/>
      <c r="AJE678" s="11"/>
      <c r="AJF678" s="11"/>
      <c r="AJG678" s="11"/>
      <c r="AJH678" s="11"/>
      <c r="AJI678" s="11"/>
      <c r="AJJ678" s="11"/>
      <c r="AJK678" s="11"/>
      <c r="AJL678" s="11"/>
      <c r="AJM678" s="11"/>
      <c r="AJN678" s="11"/>
      <c r="AJO678" s="11"/>
      <c r="AJP678" s="11"/>
      <c r="AJQ678" s="11"/>
      <c r="AJR678" s="11"/>
      <c r="AJS678" s="11"/>
      <c r="AJT678" s="11"/>
      <c r="AJU678" s="11"/>
      <c r="AJV678" s="11"/>
      <c r="AJW678" s="11"/>
      <c r="AJX678" s="11"/>
      <c r="AJY678" s="11"/>
      <c r="AJZ678" s="11"/>
      <c r="AKA678" s="11"/>
      <c r="AKB678" s="11"/>
      <c r="AKC678" s="11"/>
      <c r="AKD678" s="11"/>
      <c r="AKE678" s="11"/>
      <c r="AKF678" s="11"/>
      <c r="AKG678" s="11"/>
      <c r="AKH678" s="11"/>
      <c r="AKI678" s="11"/>
      <c r="AKJ678" s="11"/>
      <c r="AKK678" s="11"/>
      <c r="AKL678" s="11"/>
      <c r="AKM678" s="11"/>
      <c r="AKN678" s="11"/>
      <c r="AKO678" s="11"/>
      <c r="AKP678" s="11"/>
      <c r="AKQ678" s="11"/>
      <c r="AKR678" s="11"/>
      <c r="AKS678" s="11"/>
      <c r="AKT678" s="11"/>
      <c r="AKU678" s="11"/>
      <c r="AKV678" s="11"/>
      <c r="AKW678" s="11"/>
      <c r="AKX678" s="11"/>
      <c r="AKY678" s="11"/>
      <c r="AKZ678" s="11"/>
      <c r="ALA678" s="11"/>
      <c r="ALB678" s="11"/>
      <c r="ALC678" s="11"/>
      <c r="ALD678" s="11"/>
      <c r="ALE678" s="11"/>
      <c r="ALF678" s="11"/>
      <c r="ALG678" s="11"/>
      <c r="ALH678" s="11"/>
      <c r="ALI678" s="11"/>
      <c r="ALJ678" s="11"/>
      <c r="ALK678" s="11"/>
      <c r="ALL678" s="11"/>
      <c r="ALM678" s="11"/>
      <c r="ALN678" s="11"/>
      <c r="ALO678" s="11"/>
      <c r="ALP678" s="11"/>
      <c r="ALQ678" s="11"/>
      <c r="ALR678" s="11"/>
      <c r="ALS678" s="11"/>
      <c r="ALT678" s="11"/>
      <c r="ALU678" s="11"/>
      <c r="ALV678" s="11"/>
      <c r="ALW678" s="11"/>
      <c r="ALX678" s="11"/>
      <c r="ALY678" s="11"/>
      <c r="ALZ678" s="11"/>
      <c r="AMA678" s="11"/>
      <c r="AMB678" s="11"/>
      <c r="AMC678" s="11"/>
      <c r="AMD678" s="11"/>
      <c r="AME678" s="11"/>
      <c r="AMF678" s="11"/>
      <c r="AMG678" s="11"/>
      <c r="AMH678" s="11"/>
      <c r="AMI678" s="11"/>
      <c r="AMJ678" s="11"/>
    </row>
    <row r="679" spans="1:1024">
      <c r="A679" s="8" t="s">
        <v>683</v>
      </c>
      <c r="B679" s="8">
        <v>408604</v>
      </c>
      <c r="D679" s="1">
        <v>15.0066666666667</v>
      </c>
      <c r="E679" s="8">
        <f>VLOOKUP(B679,Gesamtstunden_26!B:I,8,0)</f>
        <v>0</v>
      </c>
      <c r="F679" s="2">
        <f t="shared" si="10"/>
        <v>15.0066666666667</v>
      </c>
    </row>
    <row r="680" spans="1:1024">
      <c r="A680" s="7" t="s">
        <v>684</v>
      </c>
      <c r="B680" s="7">
        <v>377962</v>
      </c>
      <c r="D680" s="1">
        <v>0</v>
      </c>
      <c r="E680" s="8">
        <f>VLOOKUP(B680,Gesamtstunden_26!B:I,8,0)</f>
        <v>0</v>
      </c>
      <c r="F680" s="2">
        <f t="shared" si="10"/>
        <v>0</v>
      </c>
    </row>
    <row r="681" spans="1:1024" ht="27.6">
      <c r="A681" s="7" t="s">
        <v>685</v>
      </c>
      <c r="B681" s="7">
        <v>103034</v>
      </c>
      <c r="D681" s="1">
        <v>0</v>
      </c>
      <c r="E681" s="8">
        <f>VLOOKUP(B681,Gesamtstunden_26!B:I,8,0)</f>
        <v>0</v>
      </c>
      <c r="F681" s="2">
        <f t="shared" si="10"/>
        <v>0</v>
      </c>
    </row>
    <row r="682" spans="1:1024">
      <c r="A682" s="10" t="s">
        <v>686</v>
      </c>
      <c r="B682" s="10">
        <v>202505</v>
      </c>
      <c r="D682" s="1">
        <v>0</v>
      </c>
      <c r="E682" s="8">
        <f>VLOOKUP(B682,Gesamtstunden_26!B:I,8,0)</f>
        <v>3.3333333333333335</v>
      </c>
      <c r="F682" s="2">
        <f t="shared" si="10"/>
        <v>-3.3333333333333335</v>
      </c>
    </row>
    <row r="683" spans="1:1024">
      <c r="A683" s="16" t="s">
        <v>687</v>
      </c>
      <c r="B683" s="16">
        <v>98251</v>
      </c>
      <c r="D683" s="1">
        <v>0</v>
      </c>
      <c r="E683" s="8">
        <f>VLOOKUP(B683,Gesamtstunden_26!B:I,8,0)</f>
        <v>0</v>
      </c>
      <c r="F683" s="2">
        <f t="shared" si="10"/>
        <v>0</v>
      </c>
    </row>
    <row r="684" spans="1:1024">
      <c r="A684" s="8" t="s">
        <v>688</v>
      </c>
      <c r="B684" s="8">
        <v>271983</v>
      </c>
      <c r="D684" s="1">
        <v>15.34</v>
      </c>
      <c r="E684" s="8">
        <f>VLOOKUP(B684,Gesamtstunden_26!B:I,8,0)</f>
        <v>0</v>
      </c>
      <c r="F684" s="2">
        <f t="shared" si="10"/>
        <v>15.34</v>
      </c>
    </row>
    <row r="685" spans="1:1024">
      <c r="A685" s="14" t="s">
        <v>689</v>
      </c>
      <c r="B685" s="14">
        <v>172555</v>
      </c>
      <c r="D685" s="1">
        <v>0</v>
      </c>
      <c r="E685" s="8">
        <f>VLOOKUP(B685,Gesamtstunden_26!B:I,8,0)</f>
        <v>2</v>
      </c>
      <c r="F685" s="2">
        <f t="shared" si="10"/>
        <v>-2</v>
      </c>
    </row>
    <row r="686" spans="1:1024">
      <c r="A686" s="14" t="s">
        <v>690</v>
      </c>
      <c r="B686" s="14">
        <v>88041</v>
      </c>
      <c r="D686" s="1">
        <v>0</v>
      </c>
      <c r="E686" s="8">
        <f>VLOOKUP(B686,Gesamtstunden_26!B:I,8,0)</f>
        <v>0</v>
      </c>
      <c r="F686" s="2">
        <f t="shared" si="10"/>
        <v>0</v>
      </c>
    </row>
    <row r="687" spans="1:1024">
      <c r="A687" s="16" t="s">
        <v>691</v>
      </c>
      <c r="B687" s="16">
        <v>228549</v>
      </c>
      <c r="D687" s="1">
        <v>0</v>
      </c>
      <c r="E687" s="8">
        <f>VLOOKUP(B687,Gesamtstunden_26!B:I,8,0)</f>
        <v>0</v>
      </c>
      <c r="F687" s="2">
        <f t="shared" si="10"/>
        <v>0</v>
      </c>
    </row>
    <row r="688" spans="1:1024">
      <c r="A688" s="8" t="s">
        <v>692</v>
      </c>
      <c r="B688" s="8">
        <v>488474</v>
      </c>
      <c r="D688" s="1">
        <v>10.67</v>
      </c>
      <c r="E688" s="8">
        <f>VLOOKUP(B688,Gesamtstunden_26!B:I,8,0)</f>
        <v>0</v>
      </c>
      <c r="F688" s="2">
        <f t="shared" si="10"/>
        <v>10.67</v>
      </c>
    </row>
    <row r="689" spans="1:1024">
      <c r="A689" s="8" t="s">
        <v>693</v>
      </c>
      <c r="B689" s="8">
        <v>749267</v>
      </c>
      <c r="D689" s="1">
        <v>8.6666666666666696</v>
      </c>
      <c r="E689" s="8">
        <f>VLOOKUP(B689,Gesamtstunden_26!B:I,8,0)</f>
        <v>0</v>
      </c>
      <c r="F689" s="2">
        <f t="shared" si="10"/>
        <v>8.6666666666666696</v>
      </c>
    </row>
    <row r="690" spans="1:1024">
      <c r="A690" s="10" t="s">
        <v>694</v>
      </c>
      <c r="B690" s="10">
        <v>429425</v>
      </c>
      <c r="D690" s="1">
        <v>0</v>
      </c>
      <c r="E690" s="8">
        <f>VLOOKUP(B690,Gesamtstunden_26!B:I,8,0)</f>
        <v>5</v>
      </c>
      <c r="F690" s="2">
        <f t="shared" si="10"/>
        <v>-5</v>
      </c>
    </row>
    <row r="691" spans="1:1024">
      <c r="A691" s="8" t="s">
        <v>695</v>
      </c>
      <c r="B691" s="8">
        <v>169559</v>
      </c>
      <c r="D691" s="1">
        <v>9.6666666666666696</v>
      </c>
      <c r="E691" s="8">
        <f>VLOOKUP(B691,Gesamtstunden_26!B:I,8,0)</f>
        <v>0.33333333333333331</v>
      </c>
      <c r="F691" s="2">
        <f t="shared" si="10"/>
        <v>9.3333333333333357</v>
      </c>
    </row>
    <row r="692" spans="1:1024">
      <c r="A692" s="17" t="s">
        <v>696</v>
      </c>
      <c r="B692" s="17">
        <v>814017</v>
      </c>
      <c r="D692" s="1">
        <v>0</v>
      </c>
      <c r="E692" s="8">
        <f>VLOOKUP(B692,Gesamtstunden_26!B:I,8,0)</f>
        <v>2.3333333333333335</v>
      </c>
      <c r="F692" s="2">
        <f t="shared" si="10"/>
        <v>-2.3333333333333335</v>
      </c>
    </row>
    <row r="693" spans="1:1024">
      <c r="A693" s="10" t="s">
        <v>697</v>
      </c>
      <c r="B693" s="10">
        <v>970070</v>
      </c>
      <c r="D693" s="1">
        <v>0</v>
      </c>
      <c r="E693" s="8">
        <f>VLOOKUP(B693,Gesamtstunden_26!B:I,8,0)</f>
        <v>2</v>
      </c>
      <c r="F693" s="2">
        <f t="shared" si="10"/>
        <v>-2</v>
      </c>
    </row>
    <row r="694" spans="1:1024">
      <c r="A694" s="8" t="s">
        <v>698</v>
      </c>
      <c r="B694" s="8">
        <v>524486</v>
      </c>
      <c r="D694" s="1">
        <v>0.83333333333333304</v>
      </c>
      <c r="E694" s="8">
        <f>VLOOKUP(B694,Gesamtstunden_26!B:I,8,0)</f>
        <v>0</v>
      </c>
      <c r="F694" s="2">
        <f t="shared" si="10"/>
        <v>0.83333333333333304</v>
      </c>
    </row>
    <row r="695" spans="1:1024">
      <c r="A695" s="8" t="s">
        <v>699</v>
      </c>
      <c r="B695" s="8">
        <v>574339</v>
      </c>
      <c r="D695" s="1">
        <v>3.6666666666666701</v>
      </c>
      <c r="E695" s="8">
        <f>VLOOKUP(B695,Gesamtstunden_26!B:I,8,0)</f>
        <v>0</v>
      </c>
      <c r="F695" s="2">
        <f t="shared" si="10"/>
        <v>3.6666666666666701</v>
      </c>
    </row>
    <row r="696" spans="1:1024">
      <c r="A696" s="8" t="s">
        <v>700</v>
      </c>
      <c r="B696" s="8">
        <v>588264</v>
      </c>
      <c r="D696" s="1">
        <v>15.67</v>
      </c>
      <c r="E696" s="8">
        <f>VLOOKUP(B696,Gesamtstunden_26!B:I,8,0)</f>
        <v>0</v>
      </c>
      <c r="F696" s="2">
        <f t="shared" si="10"/>
        <v>15.67</v>
      </c>
    </row>
    <row r="697" spans="1:1024">
      <c r="A697" s="8" t="s">
        <v>701</v>
      </c>
      <c r="B697" s="8">
        <v>156207</v>
      </c>
      <c r="D697" s="1">
        <v>14.5</v>
      </c>
      <c r="E697" s="8">
        <f>VLOOKUP(B697,Gesamtstunden_26!B:I,8,0)</f>
        <v>0</v>
      </c>
      <c r="F697" s="2">
        <f t="shared" si="10"/>
        <v>14.5</v>
      </c>
    </row>
    <row r="698" spans="1:1024" ht="27.6">
      <c r="A698" s="8" t="s">
        <v>702</v>
      </c>
      <c r="B698" s="8">
        <v>875349</v>
      </c>
      <c r="D698" s="1">
        <v>3.3333333333333299</v>
      </c>
      <c r="E698" s="8">
        <f>VLOOKUP(B698,Gesamtstunden_26!B:I,8,0)</f>
        <v>0</v>
      </c>
      <c r="F698" s="2">
        <f t="shared" si="10"/>
        <v>3.3333333333333299</v>
      </c>
    </row>
    <row r="699" spans="1:1024">
      <c r="A699" s="8" t="s">
        <v>703</v>
      </c>
      <c r="B699" s="8">
        <v>267</v>
      </c>
      <c r="D699" s="1">
        <v>4.6733333333333302</v>
      </c>
      <c r="E699" s="8">
        <f>VLOOKUP(B699,Gesamtstunden_26!B:I,8,0)</f>
        <v>0</v>
      </c>
      <c r="F699" s="2">
        <f t="shared" si="10"/>
        <v>4.6733333333333302</v>
      </c>
    </row>
    <row r="700" spans="1:1024">
      <c r="A700" s="8" t="s">
        <v>704</v>
      </c>
      <c r="B700" s="8">
        <v>303486</v>
      </c>
      <c r="D700" s="1">
        <v>2</v>
      </c>
      <c r="E700" s="8">
        <f>VLOOKUP(B700,Gesamtstunden_26!B:I,8,0)</f>
        <v>1</v>
      </c>
      <c r="F700" s="2">
        <f t="shared" si="10"/>
        <v>1</v>
      </c>
    </row>
    <row r="701" spans="1:1024">
      <c r="A701" s="7" t="s">
        <v>705</v>
      </c>
      <c r="B701" s="7">
        <v>581488</v>
      </c>
      <c r="D701" s="1">
        <v>0</v>
      </c>
      <c r="E701" s="8">
        <f>VLOOKUP(B701,Gesamtstunden_26!B:I,8,0)</f>
        <v>0</v>
      </c>
      <c r="F701" s="2">
        <f t="shared" si="10"/>
        <v>0</v>
      </c>
    </row>
    <row r="702" spans="1:1024">
      <c r="A702" s="8" t="s">
        <v>706</v>
      </c>
      <c r="B702" s="8">
        <v>571097</v>
      </c>
      <c r="D702" s="1">
        <v>12</v>
      </c>
      <c r="E702" s="8">
        <f>VLOOKUP(B702,Gesamtstunden_26!B:I,8,0)</f>
        <v>0</v>
      </c>
      <c r="F702" s="2">
        <f t="shared" si="10"/>
        <v>12</v>
      </c>
    </row>
    <row r="703" spans="1:1024" s="11" customFormat="1">
      <c r="A703" s="7" t="s">
        <v>707</v>
      </c>
      <c r="B703" s="7">
        <v>233308</v>
      </c>
      <c r="C703"/>
      <c r="D703" s="1">
        <v>0</v>
      </c>
      <c r="E703" s="8">
        <f>VLOOKUP(B703,Gesamtstunden_26!B:I,8,0)</f>
        <v>1.6666666666666667</v>
      </c>
      <c r="F703" s="2">
        <f t="shared" si="10"/>
        <v>-1.6666666666666667</v>
      </c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/>
      <c r="BD703"/>
      <c r="BE703"/>
      <c r="BF703"/>
      <c r="BG703"/>
      <c r="BH703"/>
      <c r="BI703"/>
      <c r="BJ703"/>
      <c r="BK703"/>
      <c r="BL703"/>
      <c r="BM703"/>
      <c r="BN703"/>
      <c r="BO703"/>
      <c r="BP703"/>
      <c r="BQ703"/>
      <c r="BR703"/>
      <c r="BS703"/>
      <c r="BT703"/>
      <c r="BU703"/>
      <c r="BV703"/>
      <c r="BW703"/>
      <c r="BX703"/>
      <c r="BY703"/>
      <c r="BZ703"/>
      <c r="CA703"/>
      <c r="CB703"/>
      <c r="CC703"/>
      <c r="CD703"/>
      <c r="CE703"/>
      <c r="CF703"/>
      <c r="CG703"/>
      <c r="CH703"/>
      <c r="CI703"/>
      <c r="CJ703"/>
      <c r="CK703"/>
      <c r="CL703"/>
      <c r="CM703"/>
      <c r="CN703"/>
      <c r="CO703"/>
      <c r="CP703"/>
      <c r="CQ703"/>
      <c r="CR703"/>
      <c r="CS703"/>
      <c r="CT703"/>
      <c r="CU703"/>
      <c r="CV703"/>
      <c r="CW703"/>
      <c r="CX703"/>
      <c r="CY703"/>
      <c r="CZ703"/>
      <c r="DA703"/>
      <c r="DB703"/>
      <c r="DC703"/>
      <c r="DD703"/>
      <c r="DE703"/>
      <c r="DF703"/>
      <c r="DG703"/>
      <c r="DH703"/>
      <c r="DI703"/>
      <c r="DJ703"/>
      <c r="DK703"/>
      <c r="DL703"/>
      <c r="DM703"/>
      <c r="DN703"/>
      <c r="DO703"/>
      <c r="DP703"/>
      <c r="DQ703"/>
      <c r="DR703"/>
      <c r="DS703"/>
      <c r="DT703"/>
      <c r="DU703"/>
      <c r="DV703"/>
      <c r="DW703"/>
      <c r="DX703"/>
      <c r="DY703"/>
      <c r="DZ703"/>
      <c r="EA703"/>
      <c r="EB703"/>
      <c r="EC703"/>
      <c r="ED703"/>
      <c r="EE703"/>
      <c r="EF703"/>
      <c r="EG703"/>
      <c r="EH703"/>
      <c r="EI703"/>
      <c r="EJ703"/>
      <c r="EK703"/>
      <c r="EL703"/>
      <c r="EM703"/>
      <c r="EN703"/>
      <c r="EO703"/>
      <c r="EP703"/>
      <c r="EQ703"/>
      <c r="ER703"/>
      <c r="ES703"/>
      <c r="ET703"/>
      <c r="EU703"/>
      <c r="EV703"/>
      <c r="EW703"/>
      <c r="EX703"/>
      <c r="EY703"/>
      <c r="EZ703"/>
      <c r="FA703"/>
      <c r="FB703"/>
      <c r="FC703"/>
      <c r="FD703"/>
      <c r="FE703"/>
      <c r="FF703"/>
      <c r="FG703"/>
      <c r="FH703"/>
      <c r="FI703"/>
      <c r="FJ703"/>
      <c r="FK703"/>
      <c r="FL703"/>
      <c r="FM703"/>
      <c r="FN703"/>
      <c r="FO703"/>
      <c r="FP703"/>
      <c r="FQ703"/>
      <c r="FR703"/>
      <c r="FS703"/>
      <c r="FT703"/>
      <c r="FU703"/>
      <c r="FV703"/>
      <c r="FW703"/>
      <c r="FX703"/>
      <c r="FY703"/>
      <c r="FZ703"/>
      <c r="GA703"/>
      <c r="GB703"/>
      <c r="GC703"/>
      <c r="GD703"/>
      <c r="GE703"/>
      <c r="GF703"/>
      <c r="GG703"/>
      <c r="GH703"/>
      <c r="GI703"/>
      <c r="GJ703"/>
      <c r="GK703"/>
      <c r="GL703"/>
      <c r="GM703"/>
      <c r="GN703"/>
      <c r="GO703"/>
      <c r="GP703"/>
      <c r="GQ703"/>
      <c r="GR703"/>
      <c r="GS703"/>
      <c r="GT703"/>
      <c r="GU703"/>
      <c r="GV703"/>
      <c r="GW703"/>
      <c r="GX703"/>
      <c r="GY703"/>
      <c r="GZ703"/>
      <c r="HA703"/>
      <c r="HB703"/>
      <c r="HC703"/>
      <c r="HD703"/>
      <c r="HE703"/>
      <c r="HF703"/>
      <c r="HG703"/>
      <c r="HH703"/>
      <c r="HI703"/>
      <c r="HJ703"/>
      <c r="HK703"/>
      <c r="HL703"/>
      <c r="HM703"/>
      <c r="HN703"/>
      <c r="HO703"/>
      <c r="HP703"/>
      <c r="HQ703"/>
      <c r="HR703"/>
      <c r="HS703"/>
      <c r="HT703"/>
      <c r="HU703"/>
      <c r="HV703"/>
      <c r="HW703"/>
      <c r="HX703"/>
      <c r="HY703"/>
      <c r="HZ703"/>
      <c r="IA703"/>
      <c r="IB703"/>
      <c r="IC703"/>
      <c r="ID703"/>
      <c r="IE703"/>
      <c r="IF703"/>
      <c r="IG703"/>
      <c r="IH703"/>
      <c r="II703"/>
      <c r="IJ703"/>
      <c r="IK703"/>
      <c r="IL703"/>
      <c r="IM703"/>
      <c r="IN703"/>
      <c r="IO703"/>
      <c r="IP703"/>
      <c r="IQ703"/>
      <c r="IR703"/>
      <c r="IS703"/>
      <c r="IT703"/>
      <c r="IU703"/>
      <c r="IV703"/>
      <c r="IW703"/>
      <c r="IX703"/>
      <c r="IY703"/>
      <c r="IZ703"/>
      <c r="JA703"/>
      <c r="JB703"/>
      <c r="JC703"/>
      <c r="JD703"/>
      <c r="JE703"/>
      <c r="JF703"/>
      <c r="JG703"/>
      <c r="JH703"/>
      <c r="JI703"/>
      <c r="JJ703"/>
      <c r="JK703"/>
      <c r="JL703"/>
      <c r="JM703"/>
      <c r="JN703"/>
      <c r="JO703"/>
      <c r="JP703"/>
      <c r="JQ703"/>
      <c r="JR703"/>
      <c r="JS703"/>
      <c r="JT703"/>
      <c r="JU703"/>
      <c r="JV703"/>
      <c r="JW703"/>
      <c r="JX703"/>
      <c r="JY703"/>
      <c r="JZ703"/>
      <c r="KA703"/>
      <c r="KB703"/>
      <c r="KC703"/>
      <c r="KD703"/>
      <c r="KE703"/>
      <c r="KF703"/>
      <c r="KG703"/>
      <c r="KH703"/>
      <c r="KI703"/>
      <c r="KJ703"/>
      <c r="KK703"/>
      <c r="KL703"/>
      <c r="KM703"/>
      <c r="KN703"/>
      <c r="KO703"/>
      <c r="KP703"/>
      <c r="KQ703"/>
      <c r="KR703"/>
      <c r="KS703"/>
      <c r="KT703"/>
      <c r="KU703"/>
      <c r="KV703"/>
      <c r="KW703"/>
      <c r="KX703"/>
      <c r="KY703"/>
      <c r="KZ703"/>
      <c r="LA703"/>
      <c r="LB703"/>
      <c r="LC703"/>
      <c r="LD703"/>
      <c r="LE703"/>
      <c r="LF703"/>
      <c r="LG703"/>
      <c r="LH703"/>
      <c r="LI703"/>
      <c r="LJ703"/>
      <c r="LK703"/>
      <c r="LL703"/>
      <c r="LM703"/>
      <c r="LN703"/>
      <c r="LO703"/>
      <c r="LP703"/>
      <c r="LQ703"/>
      <c r="LR703"/>
      <c r="LS703"/>
      <c r="LT703"/>
      <c r="LU703"/>
      <c r="LV703"/>
      <c r="LW703"/>
      <c r="LX703"/>
      <c r="LY703"/>
      <c r="LZ703"/>
      <c r="MA703"/>
      <c r="MB703"/>
      <c r="MC703"/>
      <c r="MD703"/>
      <c r="ME703"/>
      <c r="MF703"/>
      <c r="MG703"/>
      <c r="MH703"/>
      <c r="MI703"/>
      <c r="MJ703"/>
      <c r="MK703"/>
      <c r="ML703"/>
      <c r="MM703"/>
      <c r="MN703"/>
      <c r="MO703"/>
      <c r="MP703"/>
      <c r="MQ703"/>
      <c r="MR703"/>
      <c r="MS703"/>
      <c r="MT703"/>
      <c r="MU703"/>
      <c r="MV703"/>
      <c r="MW703"/>
      <c r="MX703"/>
      <c r="MY703"/>
      <c r="MZ703"/>
      <c r="NA703"/>
      <c r="NB703"/>
      <c r="NC703"/>
      <c r="ND703"/>
      <c r="NE703"/>
      <c r="NF703"/>
      <c r="NG703"/>
      <c r="NH703"/>
      <c r="NI703"/>
      <c r="NJ703"/>
      <c r="NK703"/>
      <c r="NL703"/>
      <c r="NM703"/>
      <c r="NN703"/>
      <c r="NO703"/>
      <c r="NP703"/>
      <c r="NQ703"/>
      <c r="NR703"/>
      <c r="NS703"/>
      <c r="NT703"/>
      <c r="NU703"/>
      <c r="NV703"/>
      <c r="NW703"/>
      <c r="NX703"/>
      <c r="NY703"/>
      <c r="NZ703"/>
      <c r="OA703"/>
      <c r="OB703"/>
      <c r="OC703"/>
      <c r="OD703"/>
      <c r="OE703"/>
      <c r="OF703"/>
      <c r="OG703"/>
      <c r="OH703"/>
      <c r="OI703"/>
      <c r="OJ703"/>
      <c r="OK703"/>
      <c r="OL703"/>
      <c r="OM703"/>
      <c r="ON703"/>
      <c r="OO703"/>
      <c r="OP703"/>
      <c r="OQ703"/>
      <c r="OR703"/>
      <c r="OS703"/>
      <c r="OT703"/>
      <c r="OU703"/>
      <c r="OV703"/>
      <c r="OW703"/>
      <c r="OX703"/>
      <c r="OY703"/>
      <c r="OZ703"/>
      <c r="PA703"/>
      <c r="PB703"/>
      <c r="PC703"/>
      <c r="PD703"/>
      <c r="PE703"/>
      <c r="PF703"/>
      <c r="PG703"/>
      <c r="PH703"/>
      <c r="PI703"/>
      <c r="PJ703"/>
      <c r="PK703"/>
      <c r="PL703"/>
      <c r="PM703"/>
      <c r="PN703"/>
      <c r="PO703"/>
      <c r="PP703"/>
      <c r="PQ703"/>
      <c r="PR703"/>
      <c r="PS703"/>
      <c r="PT703"/>
      <c r="PU703"/>
      <c r="PV703"/>
      <c r="PW703"/>
      <c r="PX703"/>
      <c r="PY703"/>
      <c r="PZ703"/>
      <c r="QA703"/>
      <c r="QB703"/>
      <c r="QC703"/>
      <c r="QD703"/>
      <c r="QE703"/>
      <c r="QF703"/>
      <c r="QG703"/>
      <c r="QH703"/>
      <c r="QI703"/>
      <c r="QJ703"/>
      <c r="QK703"/>
      <c r="QL703"/>
      <c r="QM703"/>
      <c r="QN703"/>
      <c r="QO703"/>
      <c r="QP703"/>
      <c r="QQ703"/>
      <c r="QR703"/>
      <c r="QS703"/>
      <c r="QT703"/>
      <c r="QU703"/>
      <c r="QV703"/>
      <c r="QW703"/>
      <c r="QX703"/>
      <c r="QY703"/>
      <c r="QZ703"/>
      <c r="RA703"/>
      <c r="RB703"/>
      <c r="RC703"/>
      <c r="RD703"/>
      <c r="RE703"/>
      <c r="RF703"/>
      <c r="RG703"/>
      <c r="RH703"/>
      <c r="RI703"/>
      <c r="RJ703"/>
      <c r="RK703"/>
      <c r="RL703"/>
      <c r="RM703"/>
      <c r="RN703"/>
      <c r="RO703"/>
      <c r="RP703"/>
      <c r="RQ703"/>
      <c r="RR703"/>
      <c r="RS703"/>
      <c r="RT703"/>
      <c r="RU703"/>
      <c r="RV703"/>
      <c r="RW703"/>
      <c r="RX703"/>
      <c r="RY703"/>
      <c r="RZ703"/>
      <c r="SA703"/>
      <c r="SB703"/>
      <c r="SC703"/>
      <c r="SD703"/>
      <c r="SE703"/>
      <c r="SF703"/>
      <c r="SG703"/>
      <c r="SH703"/>
      <c r="SI703"/>
      <c r="SJ703"/>
      <c r="SK703"/>
      <c r="SL703"/>
      <c r="SM703"/>
      <c r="SN703"/>
      <c r="SO703"/>
      <c r="SP703"/>
      <c r="SQ703"/>
      <c r="SR703"/>
      <c r="SS703"/>
      <c r="ST703"/>
      <c r="SU703"/>
      <c r="SV703"/>
      <c r="SW703"/>
      <c r="SX703"/>
      <c r="SY703"/>
      <c r="SZ703"/>
      <c r="TA703"/>
      <c r="TB703"/>
      <c r="TC703"/>
      <c r="TD703"/>
      <c r="TE703"/>
      <c r="TF703"/>
      <c r="TG703"/>
      <c r="TH703"/>
      <c r="TI703"/>
      <c r="TJ703"/>
      <c r="TK703"/>
      <c r="TL703"/>
      <c r="TM703"/>
      <c r="TN703"/>
      <c r="TO703"/>
      <c r="TP703"/>
      <c r="TQ703"/>
      <c r="TR703"/>
      <c r="TS703"/>
      <c r="TT703"/>
      <c r="TU703"/>
      <c r="TV703"/>
      <c r="TW703"/>
      <c r="TX703"/>
      <c r="TY703"/>
      <c r="TZ703"/>
      <c r="UA703"/>
      <c r="UB703"/>
      <c r="UC703"/>
      <c r="UD703"/>
      <c r="UE703"/>
      <c r="UF703"/>
      <c r="UG703"/>
      <c r="UH703"/>
      <c r="UI703"/>
      <c r="UJ703"/>
      <c r="UK703"/>
      <c r="UL703"/>
      <c r="UM703"/>
      <c r="UN703"/>
      <c r="UO703"/>
      <c r="UP703"/>
      <c r="UQ703"/>
      <c r="UR703"/>
      <c r="US703"/>
      <c r="UT703"/>
      <c r="UU703"/>
      <c r="UV703"/>
      <c r="UW703"/>
      <c r="UX703"/>
      <c r="UY703"/>
      <c r="UZ703"/>
      <c r="VA703"/>
      <c r="VB703"/>
      <c r="VC703"/>
      <c r="VD703"/>
      <c r="VE703"/>
      <c r="VF703"/>
      <c r="VG703"/>
      <c r="VH703"/>
      <c r="VI703"/>
      <c r="VJ703"/>
      <c r="VK703"/>
      <c r="VL703"/>
      <c r="VM703"/>
      <c r="VN703"/>
      <c r="VO703"/>
      <c r="VP703"/>
      <c r="VQ703"/>
      <c r="VR703"/>
      <c r="VS703"/>
      <c r="VT703"/>
      <c r="VU703"/>
      <c r="VV703"/>
      <c r="VW703"/>
      <c r="VX703"/>
      <c r="VY703"/>
      <c r="VZ703"/>
      <c r="WA703"/>
      <c r="WB703"/>
      <c r="WC703"/>
      <c r="WD703"/>
      <c r="WE703"/>
      <c r="WF703"/>
      <c r="WG703"/>
      <c r="WH703"/>
      <c r="WI703"/>
      <c r="WJ703"/>
      <c r="WK703"/>
      <c r="WL703"/>
      <c r="WM703"/>
      <c r="WN703"/>
      <c r="WO703"/>
      <c r="WP703"/>
      <c r="WQ703"/>
      <c r="WR703"/>
      <c r="WS703"/>
      <c r="WT703"/>
      <c r="WU703"/>
      <c r="WV703"/>
      <c r="WW703"/>
      <c r="WX703"/>
      <c r="WY703"/>
      <c r="WZ703"/>
      <c r="XA703"/>
      <c r="XB703"/>
      <c r="XC703"/>
      <c r="XD703"/>
      <c r="XE703"/>
      <c r="XF703"/>
      <c r="XG703"/>
      <c r="XH703"/>
      <c r="XI703"/>
      <c r="XJ703"/>
      <c r="XK703"/>
      <c r="XL703"/>
      <c r="XM703"/>
      <c r="XN703"/>
      <c r="XO703"/>
      <c r="XP703"/>
      <c r="XQ703"/>
      <c r="XR703"/>
      <c r="XS703"/>
      <c r="XT703"/>
      <c r="XU703"/>
      <c r="XV703"/>
      <c r="XW703"/>
      <c r="XX703"/>
      <c r="XY703"/>
      <c r="XZ703"/>
      <c r="YA703"/>
      <c r="YB703"/>
      <c r="YC703"/>
      <c r="YD703"/>
      <c r="YE703"/>
      <c r="YF703"/>
      <c r="YG703"/>
      <c r="YH703"/>
      <c r="YI703"/>
      <c r="YJ703"/>
      <c r="YK703"/>
      <c r="YL703"/>
      <c r="YM703"/>
      <c r="YN703"/>
      <c r="YO703"/>
      <c r="YP703"/>
      <c r="YQ703"/>
      <c r="YR703"/>
      <c r="YS703"/>
      <c r="YT703"/>
      <c r="YU703"/>
      <c r="YV703"/>
      <c r="YW703"/>
      <c r="YX703"/>
      <c r="YY703"/>
      <c r="YZ703"/>
      <c r="ZA703"/>
      <c r="ZB703"/>
      <c r="ZC703"/>
      <c r="ZD703"/>
      <c r="ZE703"/>
      <c r="ZF703"/>
      <c r="ZG703"/>
      <c r="ZH703"/>
      <c r="ZI703"/>
      <c r="ZJ703"/>
      <c r="ZK703"/>
      <c r="ZL703"/>
      <c r="ZM703"/>
      <c r="ZN703"/>
      <c r="ZO703"/>
      <c r="ZP703"/>
      <c r="ZQ703"/>
      <c r="ZR703"/>
      <c r="ZS703"/>
      <c r="ZT703"/>
      <c r="ZU703"/>
      <c r="ZV703"/>
      <c r="ZW703"/>
      <c r="ZX703"/>
      <c r="ZY703"/>
      <c r="ZZ703"/>
      <c r="AAA703"/>
      <c r="AAB703"/>
      <c r="AAC703"/>
      <c r="AAD703"/>
      <c r="AAE703"/>
      <c r="AAF703"/>
      <c r="AAG703"/>
      <c r="AAH703"/>
      <c r="AAI703"/>
      <c r="AAJ703"/>
      <c r="AAK703"/>
      <c r="AAL703"/>
      <c r="AAM703"/>
      <c r="AAN703"/>
      <c r="AAO703"/>
      <c r="AAP703"/>
      <c r="AAQ703"/>
      <c r="AAR703"/>
      <c r="AAS703"/>
      <c r="AAT703"/>
      <c r="AAU703"/>
      <c r="AAV703"/>
      <c r="AAW703"/>
      <c r="AAX703"/>
      <c r="AAY703"/>
      <c r="AAZ703"/>
      <c r="ABA703"/>
      <c r="ABB703"/>
      <c r="ABC703"/>
      <c r="ABD703"/>
      <c r="ABE703"/>
      <c r="ABF703"/>
      <c r="ABG703"/>
      <c r="ABH703"/>
      <c r="ABI703"/>
      <c r="ABJ703"/>
      <c r="ABK703"/>
      <c r="ABL703"/>
      <c r="ABM703"/>
      <c r="ABN703"/>
      <c r="ABO703"/>
      <c r="ABP703"/>
      <c r="ABQ703"/>
      <c r="ABR703"/>
      <c r="ABS703"/>
      <c r="ABT703"/>
      <c r="ABU703"/>
      <c r="ABV703"/>
      <c r="ABW703"/>
      <c r="ABX703"/>
      <c r="ABY703"/>
      <c r="ABZ703"/>
      <c r="ACA703"/>
      <c r="ACB703"/>
      <c r="ACC703"/>
      <c r="ACD703"/>
      <c r="ACE703"/>
      <c r="ACF703"/>
      <c r="ACG703"/>
      <c r="ACH703"/>
      <c r="ACI703"/>
      <c r="ACJ703"/>
      <c r="ACK703"/>
      <c r="ACL703"/>
      <c r="ACM703"/>
      <c r="ACN703"/>
      <c r="ACO703"/>
      <c r="ACP703"/>
      <c r="ACQ703"/>
      <c r="ACR703"/>
      <c r="ACS703"/>
      <c r="ACT703"/>
      <c r="ACU703"/>
      <c r="ACV703"/>
      <c r="ACW703"/>
      <c r="ACX703"/>
      <c r="ACY703"/>
      <c r="ACZ703"/>
      <c r="ADA703"/>
      <c r="ADB703"/>
      <c r="ADC703"/>
      <c r="ADD703"/>
      <c r="ADE703"/>
      <c r="ADF703"/>
      <c r="ADG703"/>
      <c r="ADH703"/>
      <c r="ADI703"/>
      <c r="ADJ703"/>
      <c r="ADK703"/>
      <c r="ADL703"/>
      <c r="ADM703"/>
      <c r="ADN703"/>
      <c r="ADO703"/>
      <c r="ADP703"/>
      <c r="ADQ703"/>
      <c r="ADR703"/>
      <c r="ADS703"/>
      <c r="ADT703"/>
      <c r="ADU703"/>
      <c r="ADV703"/>
      <c r="ADW703"/>
      <c r="ADX703"/>
      <c r="ADY703"/>
      <c r="ADZ703"/>
      <c r="AEA703"/>
      <c r="AEB703"/>
      <c r="AEC703"/>
      <c r="AED703"/>
      <c r="AEE703"/>
      <c r="AEF703"/>
      <c r="AEG703"/>
      <c r="AEH703"/>
      <c r="AEI703"/>
      <c r="AEJ703"/>
      <c r="AEK703"/>
      <c r="AEL703"/>
      <c r="AEM703"/>
      <c r="AEN703"/>
      <c r="AEO703"/>
      <c r="AEP703"/>
      <c r="AEQ703"/>
      <c r="AER703"/>
      <c r="AES703"/>
      <c r="AET703"/>
      <c r="AEU703"/>
      <c r="AEV703"/>
      <c r="AEW703"/>
      <c r="AEX703"/>
      <c r="AEY703"/>
      <c r="AEZ703"/>
      <c r="AFA703"/>
      <c r="AFB703"/>
      <c r="AFC703"/>
      <c r="AFD703"/>
      <c r="AFE703"/>
      <c r="AFF703"/>
      <c r="AFG703"/>
      <c r="AFH703"/>
      <c r="AFI703"/>
      <c r="AFJ703"/>
      <c r="AFK703"/>
      <c r="AFL703"/>
      <c r="AFM703"/>
      <c r="AFN703"/>
      <c r="AFO703"/>
      <c r="AFP703"/>
      <c r="AFQ703"/>
      <c r="AFR703"/>
      <c r="AFS703"/>
      <c r="AFT703"/>
      <c r="AFU703"/>
      <c r="AFV703"/>
      <c r="AFW703"/>
      <c r="AFX703"/>
      <c r="AFY703"/>
      <c r="AFZ703"/>
      <c r="AGA703"/>
      <c r="AGB703"/>
      <c r="AGC703"/>
      <c r="AGD703"/>
      <c r="AGE703"/>
      <c r="AGF703"/>
      <c r="AGG703"/>
      <c r="AGH703"/>
      <c r="AGI703"/>
      <c r="AGJ703"/>
      <c r="AGK703"/>
      <c r="AGL703"/>
      <c r="AGM703"/>
      <c r="AGN703"/>
      <c r="AGO703"/>
      <c r="AGP703"/>
      <c r="AGQ703"/>
      <c r="AGR703"/>
      <c r="AGS703"/>
      <c r="AGT703"/>
      <c r="AGU703"/>
      <c r="AGV703"/>
      <c r="AGW703"/>
      <c r="AGX703"/>
      <c r="AGY703"/>
      <c r="AGZ703"/>
      <c r="AHA703"/>
      <c r="AHB703"/>
      <c r="AHC703"/>
      <c r="AHD703"/>
      <c r="AHE703"/>
      <c r="AHF703"/>
      <c r="AHG703"/>
      <c r="AHH703"/>
      <c r="AHI703"/>
      <c r="AHJ703"/>
      <c r="AHK703"/>
      <c r="AHL703"/>
      <c r="AHM703"/>
      <c r="AHN703"/>
      <c r="AHO703"/>
      <c r="AHP703"/>
      <c r="AHQ703"/>
      <c r="AHR703"/>
      <c r="AHS703"/>
      <c r="AHT703"/>
      <c r="AHU703"/>
      <c r="AHV703"/>
      <c r="AHW703"/>
      <c r="AHX703"/>
      <c r="AHY703"/>
      <c r="AHZ703"/>
      <c r="AIA703"/>
      <c r="AIB703"/>
      <c r="AIC703"/>
      <c r="AID703"/>
      <c r="AIE703"/>
      <c r="AIF703"/>
      <c r="AIG703"/>
      <c r="AIH703"/>
      <c r="AII703"/>
      <c r="AIJ703"/>
      <c r="AIK703"/>
      <c r="AIL703"/>
      <c r="AIM703"/>
      <c r="AIN703"/>
      <c r="AIO703"/>
      <c r="AIP703"/>
      <c r="AIQ703"/>
      <c r="AIR703"/>
      <c r="AIS703"/>
      <c r="AIT703"/>
      <c r="AIU703"/>
      <c r="AIV703"/>
      <c r="AIW703"/>
      <c r="AIX703"/>
      <c r="AIY703"/>
      <c r="AIZ703"/>
      <c r="AJA703"/>
      <c r="AJB703"/>
      <c r="AJC703"/>
      <c r="AJD703"/>
      <c r="AJE703"/>
      <c r="AJF703"/>
      <c r="AJG703"/>
      <c r="AJH703"/>
      <c r="AJI703"/>
      <c r="AJJ703"/>
      <c r="AJK703"/>
      <c r="AJL703"/>
      <c r="AJM703"/>
      <c r="AJN703"/>
      <c r="AJO703"/>
      <c r="AJP703"/>
      <c r="AJQ703"/>
      <c r="AJR703"/>
      <c r="AJS703"/>
      <c r="AJT703"/>
      <c r="AJU703"/>
      <c r="AJV703"/>
      <c r="AJW703"/>
      <c r="AJX703"/>
      <c r="AJY703"/>
      <c r="AJZ703"/>
      <c r="AKA703"/>
      <c r="AKB703"/>
      <c r="AKC703"/>
      <c r="AKD703"/>
      <c r="AKE703"/>
      <c r="AKF703"/>
      <c r="AKG703"/>
      <c r="AKH703"/>
      <c r="AKI703"/>
      <c r="AKJ703"/>
      <c r="AKK703"/>
      <c r="AKL703"/>
      <c r="AKM703"/>
      <c r="AKN703"/>
      <c r="AKO703"/>
      <c r="AKP703"/>
      <c r="AKQ703"/>
      <c r="AKR703"/>
      <c r="AKS703"/>
      <c r="AKT703"/>
      <c r="AKU703"/>
      <c r="AKV703"/>
      <c r="AKW703"/>
      <c r="AKX703"/>
      <c r="AKY703"/>
      <c r="AKZ703"/>
      <c r="ALA703"/>
      <c r="ALB703"/>
      <c r="ALC703"/>
      <c r="ALD703"/>
      <c r="ALE703"/>
      <c r="ALF703"/>
      <c r="ALG703"/>
      <c r="ALH703"/>
      <c r="ALI703"/>
      <c r="ALJ703"/>
      <c r="ALK703"/>
      <c r="ALL703"/>
      <c r="ALM703"/>
      <c r="ALN703"/>
      <c r="ALO703"/>
      <c r="ALP703"/>
      <c r="ALQ703"/>
      <c r="ALR703"/>
      <c r="ALS703"/>
      <c r="ALT703"/>
      <c r="ALU703"/>
      <c r="ALV703"/>
      <c r="ALW703"/>
      <c r="ALX703"/>
      <c r="ALY703"/>
      <c r="ALZ703"/>
      <c r="AMA703"/>
      <c r="AMB703"/>
      <c r="AMC703"/>
      <c r="AMD703"/>
      <c r="AME703"/>
      <c r="AMF703"/>
      <c r="AMG703"/>
      <c r="AMH703"/>
      <c r="AMI703"/>
      <c r="AMJ703"/>
    </row>
    <row r="704" spans="1:1024">
      <c r="A704" s="7" t="s">
        <v>708</v>
      </c>
      <c r="B704" s="7">
        <v>237426</v>
      </c>
      <c r="C704" s="11"/>
      <c r="D704" s="12">
        <v>0.66666666666666696</v>
      </c>
      <c r="E704" s="7">
        <f>VLOOKUP(B704,Gesamtstunden_26!B:I,8,0)</f>
        <v>5.1666666666666661</v>
      </c>
      <c r="F704" s="13">
        <f t="shared" si="10"/>
        <v>-4.4999999999999991</v>
      </c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  <c r="AT704" s="11"/>
      <c r="AU704" s="11"/>
      <c r="AV704" s="11"/>
      <c r="AW704" s="11"/>
      <c r="AX704" s="11"/>
      <c r="AY704" s="11"/>
      <c r="AZ704" s="11"/>
      <c r="BA704" s="11"/>
      <c r="BB704" s="11"/>
      <c r="BC704" s="11"/>
      <c r="BD704" s="11"/>
      <c r="BE704" s="11"/>
      <c r="BF704" s="11"/>
      <c r="BG704" s="11"/>
      <c r="BH704" s="11"/>
      <c r="BI704" s="11"/>
      <c r="BJ704" s="11"/>
      <c r="BK704" s="11"/>
      <c r="BL704" s="11"/>
      <c r="BM704" s="11"/>
      <c r="BN704" s="11"/>
      <c r="BO704" s="11"/>
      <c r="BP704" s="11"/>
      <c r="BQ704" s="11"/>
      <c r="BR704" s="11"/>
      <c r="BS704" s="11"/>
      <c r="BT704" s="11"/>
      <c r="BU704" s="11"/>
      <c r="BV704" s="11"/>
      <c r="BW704" s="11"/>
      <c r="BX704" s="11"/>
      <c r="BY704" s="11"/>
      <c r="BZ704" s="11"/>
      <c r="CA704" s="11"/>
      <c r="CB704" s="11"/>
      <c r="CC704" s="11"/>
      <c r="CD704" s="11"/>
      <c r="CE704" s="11"/>
      <c r="CF704" s="11"/>
      <c r="CG704" s="11"/>
      <c r="CH704" s="11"/>
      <c r="CI704" s="11"/>
      <c r="CJ704" s="11"/>
      <c r="CK704" s="11"/>
      <c r="CL704" s="11"/>
      <c r="CM704" s="11"/>
      <c r="CN704" s="11"/>
      <c r="CO704" s="11"/>
      <c r="CP704" s="11"/>
      <c r="CQ704" s="11"/>
      <c r="CR704" s="11"/>
      <c r="CS704" s="11"/>
      <c r="CT704" s="11"/>
      <c r="CU704" s="11"/>
      <c r="CV704" s="11"/>
      <c r="CW704" s="11"/>
      <c r="CX704" s="11"/>
      <c r="CY704" s="11"/>
      <c r="CZ704" s="11"/>
      <c r="DA704" s="11"/>
      <c r="DB704" s="11"/>
      <c r="DC704" s="11"/>
      <c r="DD704" s="11"/>
      <c r="DE704" s="11"/>
      <c r="DF704" s="11"/>
      <c r="DG704" s="11"/>
      <c r="DH704" s="11"/>
      <c r="DI704" s="11"/>
      <c r="DJ704" s="11"/>
      <c r="DK704" s="11"/>
      <c r="DL704" s="11"/>
      <c r="DM704" s="11"/>
      <c r="DN704" s="11"/>
      <c r="DO704" s="11"/>
      <c r="DP704" s="11"/>
      <c r="DQ704" s="11"/>
      <c r="DR704" s="11"/>
      <c r="DS704" s="11"/>
      <c r="DT704" s="11"/>
      <c r="DU704" s="11"/>
      <c r="DV704" s="11"/>
      <c r="DW704" s="11"/>
      <c r="DX704" s="11"/>
      <c r="DY704" s="11"/>
      <c r="DZ704" s="11"/>
      <c r="EA704" s="11"/>
      <c r="EB704" s="11"/>
      <c r="EC704" s="11"/>
      <c r="ED704" s="11"/>
      <c r="EE704" s="11"/>
      <c r="EF704" s="11"/>
      <c r="EG704" s="11"/>
      <c r="EH704" s="11"/>
      <c r="EI704" s="11"/>
      <c r="EJ704" s="11"/>
      <c r="EK704" s="11"/>
      <c r="EL704" s="11"/>
      <c r="EM704" s="11"/>
      <c r="EN704" s="11"/>
      <c r="EO704" s="11"/>
      <c r="EP704" s="11"/>
      <c r="EQ704" s="11"/>
      <c r="ER704" s="11"/>
      <c r="ES704" s="11"/>
      <c r="ET704" s="11"/>
      <c r="EU704" s="11"/>
      <c r="EV704" s="11"/>
      <c r="EW704" s="11"/>
      <c r="EX704" s="11"/>
      <c r="EY704" s="11"/>
      <c r="EZ704" s="11"/>
      <c r="FA704" s="11"/>
      <c r="FB704" s="11"/>
      <c r="FC704" s="11"/>
      <c r="FD704" s="11"/>
      <c r="FE704" s="11"/>
      <c r="FF704" s="11"/>
      <c r="FG704" s="11"/>
      <c r="FH704" s="11"/>
      <c r="FI704" s="11"/>
      <c r="FJ704" s="11"/>
      <c r="FK704" s="11"/>
      <c r="FL704" s="11"/>
      <c r="FM704" s="11"/>
      <c r="FN704" s="11"/>
      <c r="FO704" s="11"/>
      <c r="FP704" s="11"/>
      <c r="FQ704" s="11"/>
      <c r="FR704" s="11"/>
      <c r="FS704" s="11"/>
      <c r="FT704" s="11"/>
      <c r="FU704" s="11"/>
      <c r="FV704" s="11"/>
      <c r="FW704" s="11"/>
      <c r="FX704" s="11"/>
      <c r="FY704" s="11"/>
      <c r="FZ704" s="11"/>
      <c r="GA704" s="11"/>
      <c r="GB704" s="11"/>
      <c r="GC704" s="11"/>
      <c r="GD704" s="11"/>
      <c r="GE704" s="11"/>
      <c r="GF704" s="11"/>
      <c r="GG704" s="11"/>
      <c r="GH704" s="11"/>
      <c r="GI704" s="11"/>
      <c r="GJ704" s="11"/>
      <c r="GK704" s="11"/>
      <c r="GL704" s="11"/>
      <c r="GM704" s="11"/>
      <c r="GN704" s="11"/>
      <c r="GO704" s="11"/>
      <c r="GP704" s="11"/>
      <c r="GQ704" s="11"/>
      <c r="GR704" s="11"/>
      <c r="GS704" s="11"/>
      <c r="GT704" s="11"/>
      <c r="GU704" s="11"/>
      <c r="GV704" s="11"/>
      <c r="GW704" s="11"/>
      <c r="GX704" s="11"/>
      <c r="GY704" s="11"/>
      <c r="GZ704" s="11"/>
      <c r="HA704" s="11"/>
      <c r="HB704" s="11"/>
      <c r="HC704" s="11"/>
      <c r="HD704" s="11"/>
      <c r="HE704" s="11"/>
      <c r="HF704" s="11"/>
      <c r="HG704" s="11"/>
      <c r="HH704" s="11"/>
      <c r="HI704" s="11"/>
      <c r="HJ704" s="11"/>
      <c r="HK704" s="11"/>
      <c r="HL704" s="11"/>
      <c r="HM704" s="11"/>
      <c r="HN704" s="11"/>
      <c r="HO704" s="11"/>
      <c r="HP704" s="11"/>
      <c r="HQ704" s="11"/>
      <c r="HR704" s="11"/>
      <c r="HS704" s="11"/>
      <c r="HT704" s="11"/>
      <c r="HU704" s="11"/>
      <c r="HV704" s="11"/>
      <c r="HW704" s="11"/>
      <c r="HX704" s="11"/>
      <c r="HY704" s="11"/>
      <c r="HZ704" s="11"/>
      <c r="IA704" s="11"/>
      <c r="IB704" s="11"/>
      <c r="IC704" s="11"/>
      <c r="ID704" s="11"/>
      <c r="IE704" s="11"/>
      <c r="IF704" s="11"/>
      <c r="IG704" s="11"/>
      <c r="IH704" s="11"/>
      <c r="II704" s="11"/>
      <c r="IJ704" s="11"/>
      <c r="IK704" s="11"/>
      <c r="IL704" s="11"/>
      <c r="IM704" s="11"/>
      <c r="IN704" s="11"/>
      <c r="IO704" s="11"/>
      <c r="IP704" s="11"/>
      <c r="IQ704" s="11"/>
      <c r="IR704" s="11"/>
      <c r="IS704" s="11"/>
      <c r="IT704" s="11"/>
      <c r="IU704" s="11"/>
      <c r="IV704" s="11"/>
      <c r="IW704" s="11"/>
      <c r="IX704" s="11"/>
      <c r="IY704" s="11"/>
      <c r="IZ704" s="11"/>
      <c r="JA704" s="11"/>
      <c r="JB704" s="11"/>
      <c r="JC704" s="11"/>
      <c r="JD704" s="11"/>
      <c r="JE704" s="11"/>
      <c r="JF704" s="11"/>
      <c r="JG704" s="11"/>
      <c r="JH704" s="11"/>
      <c r="JI704" s="11"/>
      <c r="JJ704" s="11"/>
      <c r="JK704" s="11"/>
      <c r="JL704" s="11"/>
      <c r="JM704" s="11"/>
      <c r="JN704" s="11"/>
      <c r="JO704" s="11"/>
      <c r="JP704" s="11"/>
      <c r="JQ704" s="11"/>
      <c r="JR704" s="11"/>
      <c r="JS704" s="11"/>
      <c r="JT704" s="11"/>
      <c r="JU704" s="11"/>
      <c r="JV704" s="11"/>
      <c r="JW704" s="11"/>
      <c r="JX704" s="11"/>
      <c r="JY704" s="11"/>
      <c r="JZ704" s="11"/>
      <c r="KA704" s="11"/>
      <c r="KB704" s="11"/>
      <c r="KC704" s="11"/>
      <c r="KD704" s="11"/>
      <c r="KE704" s="11"/>
      <c r="KF704" s="11"/>
      <c r="KG704" s="11"/>
      <c r="KH704" s="11"/>
      <c r="KI704" s="11"/>
      <c r="KJ704" s="11"/>
      <c r="KK704" s="11"/>
      <c r="KL704" s="11"/>
      <c r="KM704" s="11"/>
      <c r="KN704" s="11"/>
      <c r="KO704" s="11"/>
      <c r="KP704" s="11"/>
      <c r="KQ704" s="11"/>
      <c r="KR704" s="11"/>
      <c r="KS704" s="11"/>
      <c r="KT704" s="11"/>
      <c r="KU704" s="11"/>
      <c r="KV704" s="11"/>
      <c r="KW704" s="11"/>
      <c r="KX704" s="11"/>
      <c r="KY704" s="11"/>
      <c r="KZ704" s="11"/>
      <c r="LA704" s="11"/>
      <c r="LB704" s="11"/>
      <c r="LC704" s="11"/>
      <c r="LD704" s="11"/>
      <c r="LE704" s="11"/>
      <c r="LF704" s="11"/>
      <c r="LG704" s="11"/>
      <c r="LH704" s="11"/>
      <c r="LI704" s="11"/>
      <c r="LJ704" s="11"/>
      <c r="LK704" s="11"/>
      <c r="LL704" s="11"/>
      <c r="LM704" s="11"/>
      <c r="LN704" s="11"/>
      <c r="LO704" s="11"/>
      <c r="LP704" s="11"/>
      <c r="LQ704" s="11"/>
      <c r="LR704" s="11"/>
      <c r="LS704" s="11"/>
      <c r="LT704" s="11"/>
      <c r="LU704" s="11"/>
      <c r="LV704" s="11"/>
      <c r="LW704" s="11"/>
      <c r="LX704" s="11"/>
      <c r="LY704" s="11"/>
      <c r="LZ704" s="11"/>
      <c r="MA704" s="11"/>
      <c r="MB704" s="11"/>
      <c r="MC704" s="11"/>
      <c r="MD704" s="11"/>
      <c r="ME704" s="11"/>
      <c r="MF704" s="11"/>
      <c r="MG704" s="11"/>
      <c r="MH704" s="11"/>
      <c r="MI704" s="11"/>
      <c r="MJ704" s="11"/>
      <c r="MK704" s="11"/>
      <c r="ML704" s="11"/>
      <c r="MM704" s="11"/>
      <c r="MN704" s="11"/>
      <c r="MO704" s="11"/>
      <c r="MP704" s="11"/>
      <c r="MQ704" s="11"/>
      <c r="MR704" s="11"/>
      <c r="MS704" s="11"/>
      <c r="MT704" s="11"/>
      <c r="MU704" s="11"/>
      <c r="MV704" s="11"/>
      <c r="MW704" s="11"/>
      <c r="MX704" s="11"/>
      <c r="MY704" s="11"/>
      <c r="MZ704" s="11"/>
      <c r="NA704" s="11"/>
      <c r="NB704" s="11"/>
      <c r="NC704" s="11"/>
      <c r="ND704" s="11"/>
      <c r="NE704" s="11"/>
      <c r="NF704" s="11"/>
      <c r="NG704" s="11"/>
      <c r="NH704" s="11"/>
      <c r="NI704" s="11"/>
      <c r="NJ704" s="11"/>
      <c r="NK704" s="11"/>
      <c r="NL704" s="11"/>
      <c r="NM704" s="11"/>
      <c r="NN704" s="11"/>
      <c r="NO704" s="11"/>
      <c r="NP704" s="11"/>
      <c r="NQ704" s="11"/>
      <c r="NR704" s="11"/>
      <c r="NS704" s="11"/>
      <c r="NT704" s="11"/>
      <c r="NU704" s="11"/>
      <c r="NV704" s="11"/>
      <c r="NW704" s="11"/>
      <c r="NX704" s="11"/>
      <c r="NY704" s="11"/>
      <c r="NZ704" s="11"/>
      <c r="OA704" s="11"/>
      <c r="OB704" s="11"/>
      <c r="OC704" s="11"/>
      <c r="OD704" s="11"/>
      <c r="OE704" s="11"/>
      <c r="OF704" s="11"/>
      <c r="OG704" s="11"/>
      <c r="OH704" s="11"/>
      <c r="OI704" s="11"/>
      <c r="OJ704" s="11"/>
      <c r="OK704" s="11"/>
      <c r="OL704" s="11"/>
      <c r="OM704" s="11"/>
      <c r="ON704" s="11"/>
      <c r="OO704" s="11"/>
      <c r="OP704" s="11"/>
      <c r="OQ704" s="11"/>
      <c r="OR704" s="11"/>
      <c r="OS704" s="11"/>
      <c r="OT704" s="11"/>
      <c r="OU704" s="11"/>
      <c r="OV704" s="11"/>
      <c r="OW704" s="11"/>
      <c r="OX704" s="11"/>
      <c r="OY704" s="11"/>
      <c r="OZ704" s="11"/>
      <c r="PA704" s="11"/>
      <c r="PB704" s="11"/>
      <c r="PC704" s="11"/>
      <c r="PD704" s="11"/>
      <c r="PE704" s="11"/>
      <c r="PF704" s="11"/>
      <c r="PG704" s="11"/>
      <c r="PH704" s="11"/>
      <c r="PI704" s="11"/>
      <c r="PJ704" s="11"/>
      <c r="PK704" s="11"/>
      <c r="PL704" s="11"/>
      <c r="PM704" s="11"/>
      <c r="PN704" s="11"/>
      <c r="PO704" s="11"/>
      <c r="PP704" s="11"/>
      <c r="PQ704" s="11"/>
      <c r="PR704" s="11"/>
      <c r="PS704" s="11"/>
      <c r="PT704" s="11"/>
      <c r="PU704" s="11"/>
      <c r="PV704" s="11"/>
      <c r="PW704" s="11"/>
      <c r="PX704" s="11"/>
      <c r="PY704" s="11"/>
      <c r="PZ704" s="11"/>
      <c r="QA704" s="11"/>
      <c r="QB704" s="11"/>
      <c r="QC704" s="11"/>
      <c r="QD704" s="11"/>
      <c r="QE704" s="11"/>
      <c r="QF704" s="11"/>
      <c r="QG704" s="11"/>
      <c r="QH704" s="11"/>
      <c r="QI704" s="11"/>
      <c r="QJ704" s="11"/>
      <c r="QK704" s="11"/>
      <c r="QL704" s="11"/>
      <c r="QM704" s="11"/>
      <c r="QN704" s="11"/>
      <c r="QO704" s="11"/>
      <c r="QP704" s="11"/>
      <c r="QQ704" s="11"/>
      <c r="QR704" s="11"/>
      <c r="QS704" s="11"/>
      <c r="QT704" s="11"/>
      <c r="QU704" s="11"/>
      <c r="QV704" s="11"/>
      <c r="QW704" s="11"/>
      <c r="QX704" s="11"/>
      <c r="QY704" s="11"/>
      <c r="QZ704" s="11"/>
      <c r="RA704" s="11"/>
      <c r="RB704" s="11"/>
      <c r="RC704" s="11"/>
      <c r="RD704" s="11"/>
      <c r="RE704" s="11"/>
      <c r="RF704" s="11"/>
      <c r="RG704" s="11"/>
      <c r="RH704" s="11"/>
      <c r="RI704" s="11"/>
      <c r="RJ704" s="11"/>
      <c r="RK704" s="11"/>
      <c r="RL704" s="11"/>
      <c r="RM704" s="11"/>
      <c r="RN704" s="11"/>
      <c r="RO704" s="11"/>
      <c r="RP704" s="11"/>
      <c r="RQ704" s="11"/>
      <c r="RR704" s="11"/>
      <c r="RS704" s="11"/>
      <c r="RT704" s="11"/>
      <c r="RU704" s="11"/>
      <c r="RV704" s="11"/>
      <c r="RW704" s="11"/>
      <c r="RX704" s="11"/>
      <c r="RY704" s="11"/>
      <c r="RZ704" s="11"/>
      <c r="SA704" s="11"/>
      <c r="SB704" s="11"/>
      <c r="SC704" s="11"/>
      <c r="SD704" s="11"/>
      <c r="SE704" s="11"/>
      <c r="SF704" s="11"/>
      <c r="SG704" s="11"/>
      <c r="SH704" s="11"/>
      <c r="SI704" s="11"/>
      <c r="SJ704" s="11"/>
      <c r="SK704" s="11"/>
      <c r="SL704" s="11"/>
      <c r="SM704" s="11"/>
      <c r="SN704" s="11"/>
      <c r="SO704" s="11"/>
      <c r="SP704" s="11"/>
      <c r="SQ704" s="11"/>
      <c r="SR704" s="11"/>
      <c r="SS704" s="11"/>
      <c r="ST704" s="11"/>
      <c r="SU704" s="11"/>
      <c r="SV704" s="11"/>
      <c r="SW704" s="11"/>
      <c r="SX704" s="11"/>
      <c r="SY704" s="11"/>
      <c r="SZ704" s="11"/>
      <c r="TA704" s="11"/>
      <c r="TB704" s="11"/>
      <c r="TC704" s="11"/>
      <c r="TD704" s="11"/>
      <c r="TE704" s="11"/>
      <c r="TF704" s="11"/>
      <c r="TG704" s="11"/>
      <c r="TH704" s="11"/>
      <c r="TI704" s="11"/>
      <c r="TJ704" s="11"/>
      <c r="TK704" s="11"/>
      <c r="TL704" s="11"/>
      <c r="TM704" s="11"/>
      <c r="TN704" s="11"/>
      <c r="TO704" s="11"/>
      <c r="TP704" s="11"/>
      <c r="TQ704" s="11"/>
      <c r="TR704" s="11"/>
      <c r="TS704" s="11"/>
      <c r="TT704" s="11"/>
      <c r="TU704" s="11"/>
      <c r="TV704" s="11"/>
      <c r="TW704" s="11"/>
      <c r="TX704" s="11"/>
      <c r="TY704" s="11"/>
      <c r="TZ704" s="11"/>
      <c r="UA704" s="11"/>
      <c r="UB704" s="11"/>
      <c r="UC704" s="11"/>
      <c r="UD704" s="11"/>
      <c r="UE704" s="11"/>
      <c r="UF704" s="11"/>
      <c r="UG704" s="11"/>
      <c r="UH704" s="11"/>
      <c r="UI704" s="11"/>
      <c r="UJ704" s="11"/>
      <c r="UK704" s="11"/>
      <c r="UL704" s="11"/>
      <c r="UM704" s="11"/>
      <c r="UN704" s="11"/>
      <c r="UO704" s="11"/>
      <c r="UP704" s="11"/>
      <c r="UQ704" s="11"/>
      <c r="UR704" s="11"/>
      <c r="US704" s="11"/>
      <c r="UT704" s="11"/>
      <c r="UU704" s="11"/>
      <c r="UV704" s="11"/>
      <c r="UW704" s="11"/>
      <c r="UX704" s="11"/>
      <c r="UY704" s="11"/>
      <c r="UZ704" s="11"/>
      <c r="VA704" s="11"/>
      <c r="VB704" s="11"/>
      <c r="VC704" s="11"/>
      <c r="VD704" s="11"/>
      <c r="VE704" s="11"/>
      <c r="VF704" s="11"/>
      <c r="VG704" s="11"/>
      <c r="VH704" s="11"/>
      <c r="VI704" s="11"/>
      <c r="VJ704" s="11"/>
      <c r="VK704" s="11"/>
      <c r="VL704" s="11"/>
      <c r="VM704" s="11"/>
      <c r="VN704" s="11"/>
      <c r="VO704" s="11"/>
      <c r="VP704" s="11"/>
      <c r="VQ704" s="11"/>
      <c r="VR704" s="11"/>
      <c r="VS704" s="11"/>
      <c r="VT704" s="11"/>
      <c r="VU704" s="11"/>
      <c r="VV704" s="11"/>
      <c r="VW704" s="11"/>
      <c r="VX704" s="11"/>
      <c r="VY704" s="11"/>
      <c r="VZ704" s="11"/>
      <c r="WA704" s="11"/>
      <c r="WB704" s="11"/>
      <c r="WC704" s="11"/>
      <c r="WD704" s="11"/>
      <c r="WE704" s="11"/>
      <c r="WF704" s="11"/>
      <c r="WG704" s="11"/>
      <c r="WH704" s="11"/>
      <c r="WI704" s="11"/>
      <c r="WJ704" s="11"/>
      <c r="WK704" s="11"/>
      <c r="WL704" s="11"/>
      <c r="WM704" s="11"/>
      <c r="WN704" s="11"/>
      <c r="WO704" s="11"/>
      <c r="WP704" s="11"/>
      <c r="WQ704" s="11"/>
      <c r="WR704" s="11"/>
      <c r="WS704" s="11"/>
      <c r="WT704" s="11"/>
      <c r="WU704" s="11"/>
      <c r="WV704" s="11"/>
      <c r="WW704" s="11"/>
      <c r="WX704" s="11"/>
      <c r="WY704" s="11"/>
      <c r="WZ704" s="11"/>
      <c r="XA704" s="11"/>
      <c r="XB704" s="11"/>
      <c r="XC704" s="11"/>
      <c r="XD704" s="11"/>
      <c r="XE704" s="11"/>
      <c r="XF704" s="11"/>
      <c r="XG704" s="11"/>
      <c r="XH704" s="11"/>
      <c r="XI704" s="11"/>
      <c r="XJ704" s="11"/>
      <c r="XK704" s="11"/>
      <c r="XL704" s="11"/>
      <c r="XM704" s="11"/>
      <c r="XN704" s="11"/>
      <c r="XO704" s="11"/>
      <c r="XP704" s="11"/>
      <c r="XQ704" s="11"/>
      <c r="XR704" s="11"/>
      <c r="XS704" s="11"/>
      <c r="XT704" s="11"/>
      <c r="XU704" s="11"/>
      <c r="XV704" s="11"/>
      <c r="XW704" s="11"/>
      <c r="XX704" s="11"/>
      <c r="XY704" s="11"/>
      <c r="XZ704" s="11"/>
      <c r="YA704" s="11"/>
      <c r="YB704" s="11"/>
      <c r="YC704" s="11"/>
      <c r="YD704" s="11"/>
      <c r="YE704" s="11"/>
      <c r="YF704" s="11"/>
      <c r="YG704" s="11"/>
      <c r="YH704" s="11"/>
      <c r="YI704" s="11"/>
      <c r="YJ704" s="11"/>
      <c r="YK704" s="11"/>
      <c r="YL704" s="11"/>
      <c r="YM704" s="11"/>
      <c r="YN704" s="11"/>
      <c r="YO704" s="11"/>
      <c r="YP704" s="11"/>
      <c r="YQ704" s="11"/>
      <c r="YR704" s="11"/>
      <c r="YS704" s="11"/>
      <c r="YT704" s="11"/>
      <c r="YU704" s="11"/>
      <c r="YV704" s="11"/>
      <c r="YW704" s="11"/>
      <c r="YX704" s="11"/>
      <c r="YY704" s="11"/>
      <c r="YZ704" s="11"/>
      <c r="ZA704" s="11"/>
      <c r="ZB704" s="11"/>
      <c r="ZC704" s="11"/>
      <c r="ZD704" s="11"/>
      <c r="ZE704" s="11"/>
      <c r="ZF704" s="11"/>
      <c r="ZG704" s="11"/>
      <c r="ZH704" s="11"/>
      <c r="ZI704" s="11"/>
      <c r="ZJ704" s="11"/>
      <c r="ZK704" s="11"/>
      <c r="ZL704" s="11"/>
      <c r="ZM704" s="11"/>
      <c r="ZN704" s="11"/>
      <c r="ZO704" s="11"/>
      <c r="ZP704" s="11"/>
      <c r="ZQ704" s="11"/>
      <c r="ZR704" s="11"/>
      <c r="ZS704" s="11"/>
      <c r="ZT704" s="11"/>
      <c r="ZU704" s="11"/>
      <c r="ZV704" s="11"/>
      <c r="ZW704" s="11"/>
      <c r="ZX704" s="11"/>
      <c r="ZY704" s="11"/>
      <c r="ZZ704" s="11"/>
      <c r="AAA704" s="11"/>
      <c r="AAB704" s="11"/>
      <c r="AAC704" s="11"/>
      <c r="AAD704" s="11"/>
      <c r="AAE704" s="11"/>
      <c r="AAF704" s="11"/>
      <c r="AAG704" s="11"/>
      <c r="AAH704" s="11"/>
      <c r="AAI704" s="11"/>
      <c r="AAJ704" s="11"/>
      <c r="AAK704" s="11"/>
      <c r="AAL704" s="11"/>
      <c r="AAM704" s="11"/>
      <c r="AAN704" s="11"/>
      <c r="AAO704" s="11"/>
      <c r="AAP704" s="11"/>
      <c r="AAQ704" s="11"/>
      <c r="AAR704" s="11"/>
      <c r="AAS704" s="11"/>
      <c r="AAT704" s="11"/>
      <c r="AAU704" s="11"/>
      <c r="AAV704" s="11"/>
      <c r="AAW704" s="11"/>
      <c r="AAX704" s="11"/>
      <c r="AAY704" s="11"/>
      <c r="AAZ704" s="11"/>
      <c r="ABA704" s="11"/>
      <c r="ABB704" s="11"/>
      <c r="ABC704" s="11"/>
      <c r="ABD704" s="11"/>
      <c r="ABE704" s="11"/>
      <c r="ABF704" s="11"/>
      <c r="ABG704" s="11"/>
      <c r="ABH704" s="11"/>
      <c r="ABI704" s="11"/>
      <c r="ABJ704" s="11"/>
      <c r="ABK704" s="11"/>
      <c r="ABL704" s="11"/>
      <c r="ABM704" s="11"/>
      <c r="ABN704" s="11"/>
      <c r="ABO704" s="11"/>
      <c r="ABP704" s="11"/>
      <c r="ABQ704" s="11"/>
      <c r="ABR704" s="11"/>
      <c r="ABS704" s="11"/>
      <c r="ABT704" s="11"/>
      <c r="ABU704" s="11"/>
      <c r="ABV704" s="11"/>
      <c r="ABW704" s="11"/>
      <c r="ABX704" s="11"/>
      <c r="ABY704" s="11"/>
      <c r="ABZ704" s="11"/>
      <c r="ACA704" s="11"/>
      <c r="ACB704" s="11"/>
      <c r="ACC704" s="11"/>
      <c r="ACD704" s="11"/>
      <c r="ACE704" s="11"/>
      <c r="ACF704" s="11"/>
      <c r="ACG704" s="11"/>
      <c r="ACH704" s="11"/>
      <c r="ACI704" s="11"/>
      <c r="ACJ704" s="11"/>
      <c r="ACK704" s="11"/>
      <c r="ACL704" s="11"/>
      <c r="ACM704" s="11"/>
      <c r="ACN704" s="11"/>
      <c r="ACO704" s="11"/>
      <c r="ACP704" s="11"/>
      <c r="ACQ704" s="11"/>
      <c r="ACR704" s="11"/>
      <c r="ACS704" s="11"/>
      <c r="ACT704" s="11"/>
      <c r="ACU704" s="11"/>
      <c r="ACV704" s="11"/>
      <c r="ACW704" s="11"/>
      <c r="ACX704" s="11"/>
      <c r="ACY704" s="11"/>
      <c r="ACZ704" s="11"/>
      <c r="ADA704" s="11"/>
      <c r="ADB704" s="11"/>
      <c r="ADC704" s="11"/>
      <c r="ADD704" s="11"/>
      <c r="ADE704" s="11"/>
      <c r="ADF704" s="11"/>
      <c r="ADG704" s="11"/>
      <c r="ADH704" s="11"/>
      <c r="ADI704" s="11"/>
      <c r="ADJ704" s="11"/>
      <c r="ADK704" s="11"/>
      <c r="ADL704" s="11"/>
      <c r="ADM704" s="11"/>
      <c r="ADN704" s="11"/>
      <c r="ADO704" s="11"/>
      <c r="ADP704" s="11"/>
      <c r="ADQ704" s="11"/>
      <c r="ADR704" s="11"/>
      <c r="ADS704" s="11"/>
      <c r="ADT704" s="11"/>
      <c r="ADU704" s="11"/>
      <c r="ADV704" s="11"/>
      <c r="ADW704" s="11"/>
      <c r="ADX704" s="11"/>
      <c r="ADY704" s="11"/>
      <c r="ADZ704" s="11"/>
      <c r="AEA704" s="11"/>
      <c r="AEB704" s="11"/>
      <c r="AEC704" s="11"/>
      <c r="AED704" s="11"/>
      <c r="AEE704" s="11"/>
      <c r="AEF704" s="11"/>
      <c r="AEG704" s="11"/>
      <c r="AEH704" s="11"/>
      <c r="AEI704" s="11"/>
      <c r="AEJ704" s="11"/>
      <c r="AEK704" s="11"/>
      <c r="AEL704" s="11"/>
      <c r="AEM704" s="11"/>
      <c r="AEN704" s="11"/>
      <c r="AEO704" s="11"/>
      <c r="AEP704" s="11"/>
      <c r="AEQ704" s="11"/>
      <c r="AER704" s="11"/>
      <c r="AES704" s="11"/>
      <c r="AET704" s="11"/>
      <c r="AEU704" s="11"/>
      <c r="AEV704" s="11"/>
      <c r="AEW704" s="11"/>
      <c r="AEX704" s="11"/>
      <c r="AEY704" s="11"/>
      <c r="AEZ704" s="11"/>
      <c r="AFA704" s="11"/>
      <c r="AFB704" s="11"/>
      <c r="AFC704" s="11"/>
      <c r="AFD704" s="11"/>
      <c r="AFE704" s="11"/>
      <c r="AFF704" s="11"/>
      <c r="AFG704" s="11"/>
      <c r="AFH704" s="11"/>
      <c r="AFI704" s="11"/>
      <c r="AFJ704" s="11"/>
      <c r="AFK704" s="11"/>
      <c r="AFL704" s="11"/>
      <c r="AFM704" s="11"/>
      <c r="AFN704" s="11"/>
      <c r="AFO704" s="11"/>
      <c r="AFP704" s="11"/>
      <c r="AFQ704" s="11"/>
      <c r="AFR704" s="11"/>
      <c r="AFS704" s="11"/>
      <c r="AFT704" s="11"/>
      <c r="AFU704" s="11"/>
      <c r="AFV704" s="11"/>
      <c r="AFW704" s="11"/>
      <c r="AFX704" s="11"/>
      <c r="AFY704" s="11"/>
      <c r="AFZ704" s="11"/>
      <c r="AGA704" s="11"/>
      <c r="AGB704" s="11"/>
      <c r="AGC704" s="11"/>
      <c r="AGD704" s="11"/>
      <c r="AGE704" s="11"/>
      <c r="AGF704" s="11"/>
      <c r="AGG704" s="11"/>
      <c r="AGH704" s="11"/>
      <c r="AGI704" s="11"/>
      <c r="AGJ704" s="11"/>
      <c r="AGK704" s="11"/>
      <c r="AGL704" s="11"/>
      <c r="AGM704" s="11"/>
      <c r="AGN704" s="11"/>
      <c r="AGO704" s="11"/>
      <c r="AGP704" s="11"/>
      <c r="AGQ704" s="11"/>
      <c r="AGR704" s="11"/>
      <c r="AGS704" s="11"/>
      <c r="AGT704" s="11"/>
      <c r="AGU704" s="11"/>
      <c r="AGV704" s="11"/>
      <c r="AGW704" s="11"/>
      <c r="AGX704" s="11"/>
      <c r="AGY704" s="11"/>
      <c r="AGZ704" s="11"/>
      <c r="AHA704" s="11"/>
      <c r="AHB704" s="11"/>
      <c r="AHC704" s="11"/>
      <c r="AHD704" s="11"/>
      <c r="AHE704" s="11"/>
      <c r="AHF704" s="11"/>
      <c r="AHG704" s="11"/>
      <c r="AHH704" s="11"/>
      <c r="AHI704" s="11"/>
      <c r="AHJ704" s="11"/>
      <c r="AHK704" s="11"/>
      <c r="AHL704" s="11"/>
      <c r="AHM704" s="11"/>
      <c r="AHN704" s="11"/>
      <c r="AHO704" s="11"/>
      <c r="AHP704" s="11"/>
      <c r="AHQ704" s="11"/>
      <c r="AHR704" s="11"/>
      <c r="AHS704" s="11"/>
      <c r="AHT704" s="11"/>
      <c r="AHU704" s="11"/>
      <c r="AHV704" s="11"/>
      <c r="AHW704" s="11"/>
      <c r="AHX704" s="11"/>
      <c r="AHY704" s="11"/>
      <c r="AHZ704" s="11"/>
      <c r="AIA704" s="11"/>
      <c r="AIB704" s="11"/>
      <c r="AIC704" s="11"/>
      <c r="AID704" s="11"/>
      <c r="AIE704" s="11"/>
      <c r="AIF704" s="11"/>
      <c r="AIG704" s="11"/>
      <c r="AIH704" s="11"/>
      <c r="AII704" s="11"/>
      <c r="AIJ704" s="11"/>
      <c r="AIK704" s="11"/>
      <c r="AIL704" s="11"/>
      <c r="AIM704" s="11"/>
      <c r="AIN704" s="11"/>
      <c r="AIO704" s="11"/>
      <c r="AIP704" s="11"/>
      <c r="AIQ704" s="11"/>
      <c r="AIR704" s="11"/>
      <c r="AIS704" s="11"/>
      <c r="AIT704" s="11"/>
      <c r="AIU704" s="11"/>
      <c r="AIV704" s="11"/>
      <c r="AIW704" s="11"/>
      <c r="AIX704" s="11"/>
      <c r="AIY704" s="11"/>
      <c r="AIZ704" s="11"/>
      <c r="AJA704" s="11"/>
      <c r="AJB704" s="11"/>
      <c r="AJC704" s="11"/>
      <c r="AJD704" s="11"/>
      <c r="AJE704" s="11"/>
      <c r="AJF704" s="11"/>
      <c r="AJG704" s="11"/>
      <c r="AJH704" s="11"/>
      <c r="AJI704" s="11"/>
      <c r="AJJ704" s="11"/>
      <c r="AJK704" s="11"/>
      <c r="AJL704" s="11"/>
      <c r="AJM704" s="11"/>
      <c r="AJN704" s="11"/>
      <c r="AJO704" s="11"/>
      <c r="AJP704" s="11"/>
      <c r="AJQ704" s="11"/>
      <c r="AJR704" s="11"/>
      <c r="AJS704" s="11"/>
      <c r="AJT704" s="11"/>
      <c r="AJU704" s="11"/>
      <c r="AJV704" s="11"/>
      <c r="AJW704" s="11"/>
      <c r="AJX704" s="11"/>
      <c r="AJY704" s="11"/>
      <c r="AJZ704" s="11"/>
      <c r="AKA704" s="11"/>
      <c r="AKB704" s="11"/>
      <c r="AKC704" s="11"/>
      <c r="AKD704" s="11"/>
      <c r="AKE704" s="11"/>
      <c r="AKF704" s="11"/>
      <c r="AKG704" s="11"/>
      <c r="AKH704" s="11"/>
      <c r="AKI704" s="11"/>
      <c r="AKJ704" s="11"/>
      <c r="AKK704" s="11"/>
      <c r="AKL704" s="11"/>
      <c r="AKM704" s="11"/>
      <c r="AKN704" s="11"/>
      <c r="AKO704" s="11"/>
      <c r="AKP704" s="11"/>
      <c r="AKQ704" s="11"/>
      <c r="AKR704" s="11"/>
      <c r="AKS704" s="11"/>
      <c r="AKT704" s="11"/>
      <c r="AKU704" s="11"/>
      <c r="AKV704" s="11"/>
      <c r="AKW704" s="11"/>
      <c r="AKX704" s="11"/>
      <c r="AKY704" s="11"/>
      <c r="AKZ704" s="11"/>
      <c r="ALA704" s="11"/>
      <c r="ALB704" s="11"/>
      <c r="ALC704" s="11"/>
      <c r="ALD704" s="11"/>
      <c r="ALE704" s="11"/>
      <c r="ALF704" s="11"/>
      <c r="ALG704" s="11"/>
      <c r="ALH704" s="11"/>
      <c r="ALI704" s="11"/>
      <c r="ALJ704" s="11"/>
      <c r="ALK704" s="11"/>
      <c r="ALL704" s="11"/>
      <c r="ALM704" s="11"/>
      <c r="ALN704" s="11"/>
      <c r="ALO704" s="11"/>
      <c r="ALP704" s="11"/>
      <c r="ALQ704" s="11"/>
      <c r="ALR704" s="11"/>
      <c r="ALS704" s="11"/>
      <c r="ALT704" s="11"/>
      <c r="ALU704" s="11"/>
      <c r="ALV704" s="11"/>
      <c r="ALW704" s="11"/>
      <c r="ALX704" s="11"/>
      <c r="ALY704" s="11"/>
      <c r="ALZ704" s="11"/>
      <c r="AMA704" s="11"/>
      <c r="AMB704" s="11"/>
      <c r="AMC704" s="11"/>
      <c r="AMD704" s="11"/>
      <c r="AME704" s="11"/>
      <c r="AMF704" s="11"/>
      <c r="AMG704" s="11"/>
      <c r="AMH704" s="11"/>
      <c r="AMI704" s="11"/>
      <c r="AMJ704" s="11"/>
    </row>
    <row r="705" spans="1:1024">
      <c r="A705" s="10" t="s">
        <v>709</v>
      </c>
      <c r="B705" s="10">
        <v>128554</v>
      </c>
      <c r="D705" s="1">
        <v>0</v>
      </c>
      <c r="E705" s="8">
        <f>VLOOKUP(B705,Gesamtstunden_26!B:I,8,0)</f>
        <v>3.6666666666666665</v>
      </c>
      <c r="F705" s="2">
        <f t="shared" si="10"/>
        <v>-3.6666666666666665</v>
      </c>
    </row>
    <row r="706" spans="1:1024">
      <c r="A706" s="8" t="s">
        <v>710</v>
      </c>
      <c r="B706" s="8">
        <v>932989</v>
      </c>
      <c r="D706" s="1">
        <v>1.3333333333333299</v>
      </c>
      <c r="E706" s="8">
        <f>VLOOKUP(B706,Gesamtstunden_26!B:I,8,0)</f>
        <v>0</v>
      </c>
      <c r="F706" s="2">
        <f t="shared" ref="F706:F769" si="11">D706-E706</f>
        <v>1.3333333333333299</v>
      </c>
    </row>
    <row r="707" spans="1:1024" s="11" customFormat="1">
      <c r="A707" s="7" t="s">
        <v>711</v>
      </c>
      <c r="B707" s="7">
        <v>455603</v>
      </c>
      <c r="C707"/>
      <c r="D707" s="1">
        <v>0</v>
      </c>
      <c r="E707" s="8">
        <f>VLOOKUP(B707,Gesamtstunden_26!B:I,8,0)</f>
        <v>2.3333333333333335</v>
      </c>
      <c r="F707" s="2">
        <f t="shared" si="11"/>
        <v>-2.3333333333333335</v>
      </c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  <c r="BD707"/>
      <c r="BE707"/>
      <c r="BF707"/>
      <c r="BG707"/>
      <c r="BH707"/>
      <c r="BI707"/>
      <c r="BJ707"/>
      <c r="BK707"/>
      <c r="BL707"/>
      <c r="BM707"/>
      <c r="BN707"/>
      <c r="BO707"/>
      <c r="BP707"/>
      <c r="BQ707"/>
      <c r="BR707"/>
      <c r="BS707"/>
      <c r="BT707"/>
      <c r="BU707"/>
      <c r="BV707"/>
      <c r="BW707"/>
      <c r="BX707"/>
      <c r="BY707"/>
      <c r="BZ707"/>
      <c r="CA707"/>
      <c r="CB707"/>
      <c r="CC707"/>
      <c r="CD707"/>
      <c r="CE707"/>
      <c r="CF707"/>
      <c r="CG707"/>
      <c r="CH707"/>
      <c r="CI707"/>
      <c r="CJ707"/>
      <c r="CK707"/>
      <c r="CL707"/>
      <c r="CM707"/>
      <c r="CN707"/>
      <c r="CO707"/>
      <c r="CP707"/>
      <c r="CQ707"/>
      <c r="CR707"/>
      <c r="CS707"/>
      <c r="CT707"/>
      <c r="CU707"/>
      <c r="CV707"/>
      <c r="CW707"/>
      <c r="CX707"/>
      <c r="CY707"/>
      <c r="CZ707"/>
      <c r="DA707"/>
      <c r="DB707"/>
      <c r="DC707"/>
      <c r="DD707"/>
      <c r="DE707"/>
      <c r="DF707"/>
      <c r="DG707"/>
      <c r="DH707"/>
      <c r="DI707"/>
      <c r="DJ707"/>
      <c r="DK707"/>
      <c r="DL707"/>
      <c r="DM707"/>
      <c r="DN707"/>
      <c r="DO707"/>
      <c r="DP707"/>
      <c r="DQ707"/>
      <c r="DR707"/>
      <c r="DS707"/>
      <c r="DT707"/>
      <c r="DU707"/>
      <c r="DV707"/>
      <c r="DW707"/>
      <c r="DX707"/>
      <c r="DY707"/>
      <c r="DZ707"/>
      <c r="EA707"/>
      <c r="EB707"/>
      <c r="EC707"/>
      <c r="ED707"/>
      <c r="EE707"/>
      <c r="EF707"/>
      <c r="EG707"/>
      <c r="EH707"/>
      <c r="EI707"/>
      <c r="EJ707"/>
      <c r="EK707"/>
      <c r="EL707"/>
      <c r="EM707"/>
      <c r="EN707"/>
      <c r="EO707"/>
      <c r="EP707"/>
      <c r="EQ707"/>
      <c r="ER707"/>
      <c r="ES707"/>
      <c r="ET707"/>
      <c r="EU707"/>
      <c r="EV707"/>
      <c r="EW707"/>
      <c r="EX707"/>
      <c r="EY707"/>
      <c r="EZ707"/>
      <c r="FA707"/>
      <c r="FB707"/>
      <c r="FC707"/>
      <c r="FD707"/>
      <c r="FE707"/>
      <c r="FF707"/>
      <c r="FG707"/>
      <c r="FH707"/>
      <c r="FI707"/>
      <c r="FJ707"/>
      <c r="FK707"/>
      <c r="FL707"/>
      <c r="FM707"/>
      <c r="FN707"/>
      <c r="FO707"/>
      <c r="FP707"/>
      <c r="FQ707"/>
      <c r="FR707"/>
      <c r="FS707"/>
      <c r="FT707"/>
      <c r="FU707"/>
      <c r="FV707"/>
      <c r="FW707"/>
      <c r="FX707"/>
      <c r="FY707"/>
      <c r="FZ707"/>
      <c r="GA707"/>
      <c r="GB707"/>
      <c r="GC707"/>
      <c r="GD707"/>
      <c r="GE707"/>
      <c r="GF707"/>
      <c r="GG707"/>
      <c r="GH707"/>
      <c r="GI707"/>
      <c r="GJ707"/>
      <c r="GK707"/>
      <c r="GL707"/>
      <c r="GM707"/>
      <c r="GN707"/>
      <c r="GO707"/>
      <c r="GP707"/>
      <c r="GQ707"/>
      <c r="GR707"/>
      <c r="GS707"/>
      <c r="GT707"/>
      <c r="GU707"/>
      <c r="GV707"/>
      <c r="GW707"/>
      <c r="GX707"/>
      <c r="GY707"/>
      <c r="GZ707"/>
      <c r="HA707"/>
      <c r="HB707"/>
      <c r="HC707"/>
      <c r="HD707"/>
      <c r="HE707"/>
      <c r="HF707"/>
      <c r="HG707"/>
      <c r="HH707"/>
      <c r="HI707"/>
      <c r="HJ707"/>
      <c r="HK707"/>
      <c r="HL707"/>
      <c r="HM707"/>
      <c r="HN707"/>
      <c r="HO707"/>
      <c r="HP707"/>
      <c r="HQ707"/>
      <c r="HR707"/>
      <c r="HS707"/>
      <c r="HT707"/>
      <c r="HU707"/>
      <c r="HV707"/>
      <c r="HW707"/>
      <c r="HX707"/>
      <c r="HY707"/>
      <c r="HZ707"/>
      <c r="IA707"/>
      <c r="IB707"/>
      <c r="IC707"/>
      <c r="ID707"/>
      <c r="IE707"/>
      <c r="IF707"/>
      <c r="IG707"/>
      <c r="IH707"/>
      <c r="II707"/>
      <c r="IJ707"/>
      <c r="IK707"/>
      <c r="IL707"/>
      <c r="IM707"/>
      <c r="IN707"/>
      <c r="IO707"/>
      <c r="IP707"/>
      <c r="IQ707"/>
      <c r="IR707"/>
      <c r="IS707"/>
      <c r="IT707"/>
      <c r="IU707"/>
      <c r="IV707"/>
      <c r="IW707"/>
      <c r="IX707"/>
      <c r="IY707"/>
      <c r="IZ707"/>
      <c r="JA707"/>
      <c r="JB707"/>
      <c r="JC707"/>
      <c r="JD707"/>
      <c r="JE707"/>
      <c r="JF707"/>
      <c r="JG707"/>
      <c r="JH707"/>
      <c r="JI707"/>
      <c r="JJ707"/>
      <c r="JK707"/>
      <c r="JL707"/>
      <c r="JM707"/>
      <c r="JN707"/>
      <c r="JO707"/>
      <c r="JP707"/>
      <c r="JQ707"/>
      <c r="JR707"/>
      <c r="JS707"/>
      <c r="JT707"/>
      <c r="JU707"/>
      <c r="JV707"/>
      <c r="JW707"/>
      <c r="JX707"/>
      <c r="JY707"/>
      <c r="JZ707"/>
      <c r="KA707"/>
      <c r="KB707"/>
      <c r="KC707"/>
      <c r="KD707"/>
      <c r="KE707"/>
      <c r="KF707"/>
      <c r="KG707"/>
      <c r="KH707"/>
      <c r="KI707"/>
      <c r="KJ707"/>
      <c r="KK707"/>
      <c r="KL707"/>
      <c r="KM707"/>
      <c r="KN707"/>
      <c r="KO707"/>
      <c r="KP707"/>
      <c r="KQ707"/>
      <c r="KR707"/>
      <c r="KS707"/>
      <c r="KT707"/>
      <c r="KU707"/>
      <c r="KV707"/>
      <c r="KW707"/>
      <c r="KX707"/>
      <c r="KY707"/>
      <c r="KZ707"/>
      <c r="LA707"/>
      <c r="LB707"/>
      <c r="LC707"/>
      <c r="LD707"/>
      <c r="LE707"/>
      <c r="LF707"/>
      <c r="LG707"/>
      <c r="LH707"/>
      <c r="LI707"/>
      <c r="LJ707"/>
      <c r="LK707"/>
      <c r="LL707"/>
      <c r="LM707"/>
      <c r="LN707"/>
      <c r="LO707"/>
      <c r="LP707"/>
      <c r="LQ707"/>
      <c r="LR707"/>
      <c r="LS707"/>
      <c r="LT707"/>
      <c r="LU707"/>
      <c r="LV707"/>
      <c r="LW707"/>
      <c r="LX707"/>
      <c r="LY707"/>
      <c r="LZ707"/>
      <c r="MA707"/>
      <c r="MB707"/>
      <c r="MC707"/>
      <c r="MD707"/>
      <c r="ME707"/>
      <c r="MF707"/>
      <c r="MG707"/>
      <c r="MH707"/>
      <c r="MI707"/>
      <c r="MJ707"/>
      <c r="MK707"/>
      <c r="ML707"/>
      <c r="MM707"/>
      <c r="MN707"/>
      <c r="MO707"/>
      <c r="MP707"/>
      <c r="MQ707"/>
      <c r="MR707"/>
      <c r="MS707"/>
      <c r="MT707"/>
      <c r="MU707"/>
      <c r="MV707"/>
      <c r="MW707"/>
      <c r="MX707"/>
      <c r="MY707"/>
      <c r="MZ707"/>
      <c r="NA707"/>
      <c r="NB707"/>
      <c r="NC707"/>
      <c r="ND707"/>
      <c r="NE707"/>
      <c r="NF707"/>
      <c r="NG707"/>
      <c r="NH707"/>
      <c r="NI707"/>
      <c r="NJ707"/>
      <c r="NK707"/>
      <c r="NL707"/>
      <c r="NM707"/>
      <c r="NN707"/>
      <c r="NO707"/>
      <c r="NP707"/>
      <c r="NQ707"/>
      <c r="NR707"/>
      <c r="NS707"/>
      <c r="NT707"/>
      <c r="NU707"/>
      <c r="NV707"/>
      <c r="NW707"/>
      <c r="NX707"/>
      <c r="NY707"/>
      <c r="NZ707"/>
      <c r="OA707"/>
      <c r="OB707"/>
      <c r="OC707"/>
      <c r="OD707"/>
      <c r="OE707"/>
      <c r="OF707"/>
      <c r="OG707"/>
      <c r="OH707"/>
      <c r="OI707"/>
      <c r="OJ707"/>
      <c r="OK707"/>
      <c r="OL707"/>
      <c r="OM707"/>
      <c r="ON707"/>
      <c r="OO707"/>
      <c r="OP707"/>
      <c r="OQ707"/>
      <c r="OR707"/>
      <c r="OS707"/>
      <c r="OT707"/>
      <c r="OU707"/>
      <c r="OV707"/>
      <c r="OW707"/>
      <c r="OX707"/>
      <c r="OY707"/>
      <c r="OZ707"/>
      <c r="PA707"/>
      <c r="PB707"/>
      <c r="PC707"/>
      <c r="PD707"/>
      <c r="PE707"/>
      <c r="PF707"/>
      <c r="PG707"/>
      <c r="PH707"/>
      <c r="PI707"/>
      <c r="PJ707"/>
      <c r="PK707"/>
      <c r="PL707"/>
      <c r="PM707"/>
      <c r="PN707"/>
      <c r="PO707"/>
      <c r="PP707"/>
      <c r="PQ707"/>
      <c r="PR707"/>
      <c r="PS707"/>
      <c r="PT707"/>
      <c r="PU707"/>
      <c r="PV707"/>
      <c r="PW707"/>
      <c r="PX707"/>
      <c r="PY707"/>
      <c r="PZ707"/>
      <c r="QA707"/>
      <c r="QB707"/>
      <c r="QC707"/>
      <c r="QD707"/>
      <c r="QE707"/>
      <c r="QF707"/>
      <c r="QG707"/>
      <c r="QH707"/>
      <c r="QI707"/>
      <c r="QJ707"/>
      <c r="QK707"/>
      <c r="QL707"/>
      <c r="QM707"/>
      <c r="QN707"/>
      <c r="QO707"/>
      <c r="QP707"/>
      <c r="QQ707"/>
      <c r="QR707"/>
      <c r="QS707"/>
      <c r="QT707"/>
      <c r="QU707"/>
      <c r="QV707"/>
      <c r="QW707"/>
      <c r="QX707"/>
      <c r="QY707"/>
      <c r="QZ707"/>
      <c r="RA707"/>
      <c r="RB707"/>
      <c r="RC707"/>
      <c r="RD707"/>
      <c r="RE707"/>
      <c r="RF707"/>
      <c r="RG707"/>
      <c r="RH707"/>
      <c r="RI707"/>
      <c r="RJ707"/>
      <c r="RK707"/>
      <c r="RL707"/>
      <c r="RM707"/>
      <c r="RN707"/>
      <c r="RO707"/>
      <c r="RP707"/>
      <c r="RQ707"/>
      <c r="RR707"/>
      <c r="RS707"/>
      <c r="RT707"/>
      <c r="RU707"/>
      <c r="RV707"/>
      <c r="RW707"/>
      <c r="RX707"/>
      <c r="RY707"/>
      <c r="RZ707"/>
      <c r="SA707"/>
      <c r="SB707"/>
      <c r="SC707"/>
      <c r="SD707"/>
      <c r="SE707"/>
      <c r="SF707"/>
      <c r="SG707"/>
      <c r="SH707"/>
      <c r="SI707"/>
      <c r="SJ707"/>
      <c r="SK707"/>
      <c r="SL707"/>
      <c r="SM707"/>
      <c r="SN707"/>
      <c r="SO707"/>
      <c r="SP707"/>
      <c r="SQ707"/>
      <c r="SR707"/>
      <c r="SS707"/>
      <c r="ST707"/>
      <c r="SU707"/>
      <c r="SV707"/>
      <c r="SW707"/>
      <c r="SX707"/>
      <c r="SY707"/>
      <c r="SZ707"/>
      <c r="TA707"/>
      <c r="TB707"/>
      <c r="TC707"/>
      <c r="TD707"/>
      <c r="TE707"/>
      <c r="TF707"/>
      <c r="TG707"/>
      <c r="TH707"/>
      <c r="TI707"/>
      <c r="TJ707"/>
      <c r="TK707"/>
      <c r="TL707"/>
      <c r="TM707"/>
      <c r="TN707"/>
      <c r="TO707"/>
      <c r="TP707"/>
      <c r="TQ707"/>
      <c r="TR707"/>
      <c r="TS707"/>
      <c r="TT707"/>
      <c r="TU707"/>
      <c r="TV707"/>
      <c r="TW707"/>
      <c r="TX707"/>
      <c r="TY707"/>
      <c r="TZ707"/>
      <c r="UA707"/>
      <c r="UB707"/>
      <c r="UC707"/>
      <c r="UD707"/>
      <c r="UE707"/>
      <c r="UF707"/>
      <c r="UG707"/>
      <c r="UH707"/>
      <c r="UI707"/>
      <c r="UJ707"/>
      <c r="UK707"/>
      <c r="UL707"/>
      <c r="UM707"/>
      <c r="UN707"/>
      <c r="UO707"/>
      <c r="UP707"/>
      <c r="UQ707"/>
      <c r="UR707"/>
      <c r="US707"/>
      <c r="UT707"/>
      <c r="UU707"/>
      <c r="UV707"/>
      <c r="UW707"/>
      <c r="UX707"/>
      <c r="UY707"/>
      <c r="UZ707"/>
      <c r="VA707"/>
      <c r="VB707"/>
      <c r="VC707"/>
      <c r="VD707"/>
      <c r="VE707"/>
      <c r="VF707"/>
      <c r="VG707"/>
      <c r="VH707"/>
      <c r="VI707"/>
      <c r="VJ707"/>
      <c r="VK707"/>
      <c r="VL707"/>
      <c r="VM707"/>
      <c r="VN707"/>
      <c r="VO707"/>
      <c r="VP707"/>
      <c r="VQ707"/>
      <c r="VR707"/>
      <c r="VS707"/>
      <c r="VT707"/>
      <c r="VU707"/>
      <c r="VV707"/>
      <c r="VW707"/>
      <c r="VX707"/>
      <c r="VY707"/>
      <c r="VZ707"/>
      <c r="WA707"/>
      <c r="WB707"/>
      <c r="WC707"/>
      <c r="WD707"/>
      <c r="WE707"/>
      <c r="WF707"/>
      <c r="WG707"/>
      <c r="WH707"/>
      <c r="WI707"/>
      <c r="WJ707"/>
      <c r="WK707"/>
      <c r="WL707"/>
      <c r="WM707"/>
      <c r="WN707"/>
      <c r="WO707"/>
      <c r="WP707"/>
      <c r="WQ707"/>
      <c r="WR707"/>
      <c r="WS707"/>
      <c r="WT707"/>
      <c r="WU707"/>
      <c r="WV707"/>
      <c r="WW707"/>
      <c r="WX707"/>
      <c r="WY707"/>
      <c r="WZ707"/>
      <c r="XA707"/>
      <c r="XB707"/>
      <c r="XC707"/>
      <c r="XD707"/>
      <c r="XE707"/>
      <c r="XF707"/>
      <c r="XG707"/>
      <c r="XH707"/>
      <c r="XI707"/>
      <c r="XJ707"/>
      <c r="XK707"/>
      <c r="XL707"/>
      <c r="XM707"/>
      <c r="XN707"/>
      <c r="XO707"/>
      <c r="XP707"/>
      <c r="XQ707"/>
      <c r="XR707"/>
      <c r="XS707"/>
      <c r="XT707"/>
      <c r="XU707"/>
      <c r="XV707"/>
      <c r="XW707"/>
      <c r="XX707"/>
      <c r="XY707"/>
      <c r="XZ707"/>
      <c r="YA707"/>
      <c r="YB707"/>
      <c r="YC707"/>
      <c r="YD707"/>
      <c r="YE707"/>
      <c r="YF707"/>
      <c r="YG707"/>
      <c r="YH707"/>
      <c r="YI707"/>
      <c r="YJ707"/>
      <c r="YK707"/>
      <c r="YL707"/>
      <c r="YM707"/>
      <c r="YN707"/>
      <c r="YO707"/>
      <c r="YP707"/>
      <c r="YQ707"/>
      <c r="YR707"/>
      <c r="YS707"/>
      <c r="YT707"/>
      <c r="YU707"/>
      <c r="YV707"/>
      <c r="YW707"/>
      <c r="YX707"/>
      <c r="YY707"/>
      <c r="YZ707"/>
      <c r="ZA707"/>
      <c r="ZB707"/>
      <c r="ZC707"/>
      <c r="ZD707"/>
      <c r="ZE707"/>
      <c r="ZF707"/>
      <c r="ZG707"/>
      <c r="ZH707"/>
      <c r="ZI707"/>
      <c r="ZJ707"/>
      <c r="ZK707"/>
      <c r="ZL707"/>
      <c r="ZM707"/>
      <c r="ZN707"/>
      <c r="ZO707"/>
      <c r="ZP707"/>
      <c r="ZQ707"/>
      <c r="ZR707"/>
      <c r="ZS707"/>
      <c r="ZT707"/>
      <c r="ZU707"/>
      <c r="ZV707"/>
      <c r="ZW707"/>
      <c r="ZX707"/>
      <c r="ZY707"/>
      <c r="ZZ707"/>
      <c r="AAA707"/>
      <c r="AAB707"/>
      <c r="AAC707"/>
      <c r="AAD707"/>
      <c r="AAE707"/>
      <c r="AAF707"/>
      <c r="AAG707"/>
      <c r="AAH707"/>
      <c r="AAI707"/>
      <c r="AAJ707"/>
      <c r="AAK707"/>
      <c r="AAL707"/>
      <c r="AAM707"/>
      <c r="AAN707"/>
      <c r="AAO707"/>
      <c r="AAP707"/>
      <c r="AAQ707"/>
      <c r="AAR707"/>
      <c r="AAS707"/>
      <c r="AAT707"/>
      <c r="AAU707"/>
      <c r="AAV707"/>
      <c r="AAW707"/>
      <c r="AAX707"/>
      <c r="AAY707"/>
      <c r="AAZ707"/>
      <c r="ABA707"/>
      <c r="ABB707"/>
      <c r="ABC707"/>
      <c r="ABD707"/>
      <c r="ABE707"/>
      <c r="ABF707"/>
      <c r="ABG707"/>
      <c r="ABH707"/>
      <c r="ABI707"/>
      <c r="ABJ707"/>
      <c r="ABK707"/>
      <c r="ABL707"/>
      <c r="ABM707"/>
      <c r="ABN707"/>
      <c r="ABO707"/>
      <c r="ABP707"/>
      <c r="ABQ707"/>
      <c r="ABR707"/>
      <c r="ABS707"/>
      <c r="ABT707"/>
      <c r="ABU707"/>
      <c r="ABV707"/>
      <c r="ABW707"/>
      <c r="ABX707"/>
      <c r="ABY707"/>
      <c r="ABZ707"/>
      <c r="ACA707"/>
      <c r="ACB707"/>
      <c r="ACC707"/>
      <c r="ACD707"/>
      <c r="ACE707"/>
      <c r="ACF707"/>
      <c r="ACG707"/>
      <c r="ACH707"/>
      <c r="ACI707"/>
      <c r="ACJ707"/>
      <c r="ACK707"/>
      <c r="ACL707"/>
      <c r="ACM707"/>
      <c r="ACN707"/>
      <c r="ACO707"/>
      <c r="ACP707"/>
      <c r="ACQ707"/>
      <c r="ACR707"/>
      <c r="ACS707"/>
      <c r="ACT707"/>
      <c r="ACU707"/>
      <c r="ACV707"/>
      <c r="ACW707"/>
      <c r="ACX707"/>
      <c r="ACY707"/>
      <c r="ACZ707"/>
      <c r="ADA707"/>
      <c r="ADB707"/>
      <c r="ADC707"/>
      <c r="ADD707"/>
      <c r="ADE707"/>
      <c r="ADF707"/>
      <c r="ADG707"/>
      <c r="ADH707"/>
      <c r="ADI707"/>
      <c r="ADJ707"/>
      <c r="ADK707"/>
      <c r="ADL707"/>
      <c r="ADM707"/>
      <c r="ADN707"/>
      <c r="ADO707"/>
      <c r="ADP707"/>
      <c r="ADQ707"/>
      <c r="ADR707"/>
      <c r="ADS707"/>
      <c r="ADT707"/>
      <c r="ADU707"/>
      <c r="ADV707"/>
      <c r="ADW707"/>
      <c r="ADX707"/>
      <c r="ADY707"/>
      <c r="ADZ707"/>
      <c r="AEA707"/>
      <c r="AEB707"/>
      <c r="AEC707"/>
      <c r="AED707"/>
      <c r="AEE707"/>
      <c r="AEF707"/>
      <c r="AEG707"/>
      <c r="AEH707"/>
      <c r="AEI707"/>
      <c r="AEJ707"/>
      <c r="AEK707"/>
      <c r="AEL707"/>
      <c r="AEM707"/>
      <c r="AEN707"/>
      <c r="AEO707"/>
      <c r="AEP707"/>
      <c r="AEQ707"/>
      <c r="AER707"/>
      <c r="AES707"/>
      <c r="AET707"/>
      <c r="AEU707"/>
      <c r="AEV707"/>
      <c r="AEW707"/>
      <c r="AEX707"/>
      <c r="AEY707"/>
      <c r="AEZ707"/>
      <c r="AFA707"/>
      <c r="AFB707"/>
      <c r="AFC707"/>
      <c r="AFD707"/>
      <c r="AFE707"/>
      <c r="AFF707"/>
      <c r="AFG707"/>
      <c r="AFH707"/>
      <c r="AFI707"/>
      <c r="AFJ707"/>
      <c r="AFK707"/>
      <c r="AFL707"/>
      <c r="AFM707"/>
      <c r="AFN707"/>
      <c r="AFO707"/>
      <c r="AFP707"/>
      <c r="AFQ707"/>
      <c r="AFR707"/>
      <c r="AFS707"/>
      <c r="AFT707"/>
      <c r="AFU707"/>
      <c r="AFV707"/>
      <c r="AFW707"/>
      <c r="AFX707"/>
      <c r="AFY707"/>
      <c r="AFZ707"/>
      <c r="AGA707"/>
      <c r="AGB707"/>
      <c r="AGC707"/>
      <c r="AGD707"/>
      <c r="AGE707"/>
      <c r="AGF707"/>
      <c r="AGG707"/>
      <c r="AGH707"/>
      <c r="AGI707"/>
      <c r="AGJ707"/>
      <c r="AGK707"/>
      <c r="AGL707"/>
      <c r="AGM707"/>
      <c r="AGN707"/>
      <c r="AGO707"/>
      <c r="AGP707"/>
      <c r="AGQ707"/>
      <c r="AGR707"/>
      <c r="AGS707"/>
      <c r="AGT707"/>
      <c r="AGU707"/>
      <c r="AGV707"/>
      <c r="AGW707"/>
      <c r="AGX707"/>
      <c r="AGY707"/>
      <c r="AGZ707"/>
      <c r="AHA707"/>
      <c r="AHB707"/>
      <c r="AHC707"/>
      <c r="AHD707"/>
      <c r="AHE707"/>
      <c r="AHF707"/>
      <c r="AHG707"/>
      <c r="AHH707"/>
      <c r="AHI707"/>
      <c r="AHJ707"/>
      <c r="AHK707"/>
      <c r="AHL707"/>
      <c r="AHM707"/>
      <c r="AHN707"/>
      <c r="AHO707"/>
      <c r="AHP707"/>
      <c r="AHQ707"/>
      <c r="AHR707"/>
      <c r="AHS707"/>
      <c r="AHT707"/>
      <c r="AHU707"/>
      <c r="AHV707"/>
      <c r="AHW707"/>
      <c r="AHX707"/>
      <c r="AHY707"/>
      <c r="AHZ707"/>
      <c r="AIA707"/>
      <c r="AIB707"/>
      <c r="AIC707"/>
      <c r="AID707"/>
      <c r="AIE707"/>
      <c r="AIF707"/>
      <c r="AIG707"/>
      <c r="AIH707"/>
      <c r="AII707"/>
      <c r="AIJ707"/>
      <c r="AIK707"/>
      <c r="AIL707"/>
      <c r="AIM707"/>
      <c r="AIN707"/>
      <c r="AIO707"/>
      <c r="AIP707"/>
      <c r="AIQ707"/>
      <c r="AIR707"/>
      <c r="AIS707"/>
      <c r="AIT707"/>
      <c r="AIU707"/>
      <c r="AIV707"/>
      <c r="AIW707"/>
      <c r="AIX707"/>
      <c r="AIY707"/>
      <c r="AIZ707"/>
      <c r="AJA707"/>
      <c r="AJB707"/>
      <c r="AJC707"/>
      <c r="AJD707"/>
      <c r="AJE707"/>
      <c r="AJF707"/>
      <c r="AJG707"/>
      <c r="AJH707"/>
      <c r="AJI707"/>
      <c r="AJJ707"/>
      <c r="AJK707"/>
      <c r="AJL707"/>
      <c r="AJM707"/>
      <c r="AJN707"/>
      <c r="AJO707"/>
      <c r="AJP707"/>
      <c r="AJQ707"/>
      <c r="AJR707"/>
      <c r="AJS707"/>
      <c r="AJT707"/>
      <c r="AJU707"/>
      <c r="AJV707"/>
      <c r="AJW707"/>
      <c r="AJX707"/>
      <c r="AJY707"/>
      <c r="AJZ707"/>
      <c r="AKA707"/>
      <c r="AKB707"/>
      <c r="AKC707"/>
      <c r="AKD707"/>
      <c r="AKE707"/>
      <c r="AKF707"/>
      <c r="AKG707"/>
      <c r="AKH707"/>
      <c r="AKI707"/>
      <c r="AKJ707"/>
      <c r="AKK707"/>
      <c r="AKL707"/>
      <c r="AKM707"/>
      <c r="AKN707"/>
      <c r="AKO707"/>
      <c r="AKP707"/>
      <c r="AKQ707"/>
      <c r="AKR707"/>
      <c r="AKS707"/>
      <c r="AKT707"/>
      <c r="AKU707"/>
      <c r="AKV707"/>
      <c r="AKW707"/>
      <c r="AKX707"/>
      <c r="AKY707"/>
      <c r="AKZ707"/>
      <c r="ALA707"/>
      <c r="ALB707"/>
      <c r="ALC707"/>
      <c r="ALD707"/>
      <c r="ALE707"/>
      <c r="ALF707"/>
      <c r="ALG707"/>
      <c r="ALH707"/>
      <c r="ALI707"/>
      <c r="ALJ707"/>
      <c r="ALK707"/>
      <c r="ALL707"/>
      <c r="ALM707"/>
      <c r="ALN707"/>
      <c r="ALO707"/>
      <c r="ALP707"/>
      <c r="ALQ707"/>
      <c r="ALR707"/>
      <c r="ALS707"/>
      <c r="ALT707"/>
      <c r="ALU707"/>
      <c r="ALV707"/>
      <c r="ALW707"/>
      <c r="ALX707"/>
      <c r="ALY707"/>
      <c r="ALZ707"/>
      <c r="AMA707"/>
      <c r="AMB707"/>
      <c r="AMC707"/>
      <c r="AMD707"/>
      <c r="AME707"/>
      <c r="AMF707"/>
      <c r="AMG707"/>
      <c r="AMH707"/>
      <c r="AMI707"/>
      <c r="AMJ707"/>
    </row>
    <row r="708" spans="1:1024">
      <c r="A708" s="7" t="s">
        <v>712</v>
      </c>
      <c r="B708" s="7">
        <v>686974</v>
      </c>
      <c r="C708" s="11"/>
      <c r="D708" s="12">
        <v>0</v>
      </c>
      <c r="E708" s="7">
        <f>VLOOKUP(B708,Gesamtstunden_26!B:I,8,0)</f>
        <v>5</v>
      </c>
      <c r="F708" s="13">
        <f t="shared" si="11"/>
        <v>-5</v>
      </c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  <c r="AS708" s="11"/>
      <c r="AT708" s="11"/>
      <c r="AU708" s="11"/>
      <c r="AV708" s="11"/>
      <c r="AW708" s="11"/>
      <c r="AX708" s="11"/>
      <c r="AY708" s="11"/>
      <c r="AZ708" s="11"/>
      <c r="BA708" s="11"/>
      <c r="BB708" s="11"/>
      <c r="BC708" s="11"/>
      <c r="BD708" s="11"/>
      <c r="BE708" s="11"/>
      <c r="BF708" s="11"/>
      <c r="BG708" s="11"/>
      <c r="BH708" s="11"/>
      <c r="BI708" s="11"/>
      <c r="BJ708" s="11"/>
      <c r="BK708" s="11"/>
      <c r="BL708" s="11"/>
      <c r="BM708" s="11"/>
      <c r="BN708" s="11"/>
      <c r="BO708" s="11"/>
      <c r="BP708" s="11"/>
      <c r="BQ708" s="11"/>
      <c r="BR708" s="11"/>
      <c r="BS708" s="11"/>
      <c r="BT708" s="11"/>
      <c r="BU708" s="11"/>
      <c r="BV708" s="11"/>
      <c r="BW708" s="11"/>
      <c r="BX708" s="11"/>
      <c r="BY708" s="11"/>
      <c r="BZ708" s="11"/>
      <c r="CA708" s="11"/>
      <c r="CB708" s="11"/>
      <c r="CC708" s="11"/>
      <c r="CD708" s="11"/>
      <c r="CE708" s="11"/>
      <c r="CF708" s="11"/>
      <c r="CG708" s="11"/>
      <c r="CH708" s="11"/>
      <c r="CI708" s="11"/>
      <c r="CJ708" s="11"/>
      <c r="CK708" s="11"/>
      <c r="CL708" s="11"/>
      <c r="CM708" s="11"/>
      <c r="CN708" s="11"/>
      <c r="CO708" s="11"/>
      <c r="CP708" s="11"/>
      <c r="CQ708" s="11"/>
      <c r="CR708" s="11"/>
      <c r="CS708" s="11"/>
      <c r="CT708" s="11"/>
      <c r="CU708" s="11"/>
      <c r="CV708" s="11"/>
      <c r="CW708" s="11"/>
      <c r="CX708" s="11"/>
      <c r="CY708" s="11"/>
      <c r="CZ708" s="11"/>
      <c r="DA708" s="11"/>
      <c r="DB708" s="11"/>
      <c r="DC708" s="11"/>
      <c r="DD708" s="11"/>
      <c r="DE708" s="11"/>
      <c r="DF708" s="11"/>
      <c r="DG708" s="11"/>
      <c r="DH708" s="11"/>
      <c r="DI708" s="11"/>
      <c r="DJ708" s="11"/>
      <c r="DK708" s="11"/>
      <c r="DL708" s="11"/>
      <c r="DM708" s="11"/>
      <c r="DN708" s="11"/>
      <c r="DO708" s="11"/>
      <c r="DP708" s="11"/>
      <c r="DQ708" s="11"/>
      <c r="DR708" s="11"/>
      <c r="DS708" s="11"/>
      <c r="DT708" s="11"/>
      <c r="DU708" s="11"/>
      <c r="DV708" s="11"/>
      <c r="DW708" s="11"/>
      <c r="DX708" s="11"/>
      <c r="DY708" s="11"/>
      <c r="DZ708" s="11"/>
      <c r="EA708" s="11"/>
      <c r="EB708" s="11"/>
      <c r="EC708" s="11"/>
      <c r="ED708" s="11"/>
      <c r="EE708" s="11"/>
      <c r="EF708" s="11"/>
      <c r="EG708" s="11"/>
      <c r="EH708" s="11"/>
      <c r="EI708" s="11"/>
      <c r="EJ708" s="11"/>
      <c r="EK708" s="11"/>
      <c r="EL708" s="11"/>
      <c r="EM708" s="11"/>
      <c r="EN708" s="11"/>
      <c r="EO708" s="11"/>
      <c r="EP708" s="11"/>
      <c r="EQ708" s="11"/>
      <c r="ER708" s="11"/>
      <c r="ES708" s="11"/>
      <c r="ET708" s="11"/>
      <c r="EU708" s="11"/>
      <c r="EV708" s="11"/>
      <c r="EW708" s="11"/>
      <c r="EX708" s="11"/>
      <c r="EY708" s="11"/>
      <c r="EZ708" s="11"/>
      <c r="FA708" s="11"/>
      <c r="FB708" s="11"/>
      <c r="FC708" s="11"/>
      <c r="FD708" s="11"/>
      <c r="FE708" s="11"/>
      <c r="FF708" s="11"/>
      <c r="FG708" s="11"/>
      <c r="FH708" s="11"/>
      <c r="FI708" s="11"/>
      <c r="FJ708" s="11"/>
      <c r="FK708" s="11"/>
      <c r="FL708" s="11"/>
      <c r="FM708" s="11"/>
      <c r="FN708" s="11"/>
      <c r="FO708" s="11"/>
      <c r="FP708" s="11"/>
      <c r="FQ708" s="11"/>
      <c r="FR708" s="11"/>
      <c r="FS708" s="11"/>
      <c r="FT708" s="11"/>
      <c r="FU708" s="11"/>
      <c r="FV708" s="11"/>
      <c r="FW708" s="11"/>
      <c r="FX708" s="11"/>
      <c r="FY708" s="11"/>
      <c r="FZ708" s="11"/>
      <c r="GA708" s="11"/>
      <c r="GB708" s="11"/>
      <c r="GC708" s="11"/>
      <c r="GD708" s="11"/>
      <c r="GE708" s="11"/>
      <c r="GF708" s="11"/>
      <c r="GG708" s="11"/>
      <c r="GH708" s="11"/>
      <c r="GI708" s="11"/>
      <c r="GJ708" s="11"/>
      <c r="GK708" s="11"/>
      <c r="GL708" s="11"/>
      <c r="GM708" s="11"/>
      <c r="GN708" s="11"/>
      <c r="GO708" s="11"/>
      <c r="GP708" s="11"/>
      <c r="GQ708" s="11"/>
      <c r="GR708" s="11"/>
      <c r="GS708" s="11"/>
      <c r="GT708" s="11"/>
      <c r="GU708" s="11"/>
      <c r="GV708" s="11"/>
      <c r="GW708" s="11"/>
      <c r="GX708" s="11"/>
      <c r="GY708" s="11"/>
      <c r="GZ708" s="11"/>
      <c r="HA708" s="11"/>
      <c r="HB708" s="11"/>
      <c r="HC708" s="11"/>
      <c r="HD708" s="11"/>
      <c r="HE708" s="11"/>
      <c r="HF708" s="11"/>
      <c r="HG708" s="11"/>
      <c r="HH708" s="11"/>
      <c r="HI708" s="11"/>
      <c r="HJ708" s="11"/>
      <c r="HK708" s="11"/>
      <c r="HL708" s="11"/>
      <c r="HM708" s="11"/>
      <c r="HN708" s="11"/>
      <c r="HO708" s="11"/>
      <c r="HP708" s="11"/>
      <c r="HQ708" s="11"/>
      <c r="HR708" s="11"/>
      <c r="HS708" s="11"/>
      <c r="HT708" s="11"/>
      <c r="HU708" s="11"/>
      <c r="HV708" s="11"/>
      <c r="HW708" s="11"/>
      <c r="HX708" s="11"/>
      <c r="HY708" s="11"/>
      <c r="HZ708" s="11"/>
      <c r="IA708" s="11"/>
      <c r="IB708" s="11"/>
      <c r="IC708" s="11"/>
      <c r="ID708" s="11"/>
      <c r="IE708" s="11"/>
      <c r="IF708" s="11"/>
      <c r="IG708" s="11"/>
      <c r="IH708" s="11"/>
      <c r="II708" s="11"/>
      <c r="IJ708" s="11"/>
      <c r="IK708" s="11"/>
      <c r="IL708" s="11"/>
      <c r="IM708" s="11"/>
      <c r="IN708" s="11"/>
      <c r="IO708" s="11"/>
      <c r="IP708" s="11"/>
      <c r="IQ708" s="11"/>
      <c r="IR708" s="11"/>
      <c r="IS708" s="11"/>
      <c r="IT708" s="11"/>
      <c r="IU708" s="11"/>
      <c r="IV708" s="11"/>
      <c r="IW708" s="11"/>
      <c r="IX708" s="11"/>
      <c r="IY708" s="11"/>
      <c r="IZ708" s="11"/>
      <c r="JA708" s="11"/>
      <c r="JB708" s="11"/>
      <c r="JC708" s="11"/>
      <c r="JD708" s="11"/>
      <c r="JE708" s="11"/>
      <c r="JF708" s="11"/>
      <c r="JG708" s="11"/>
      <c r="JH708" s="11"/>
      <c r="JI708" s="11"/>
      <c r="JJ708" s="11"/>
      <c r="JK708" s="11"/>
      <c r="JL708" s="11"/>
      <c r="JM708" s="11"/>
      <c r="JN708" s="11"/>
      <c r="JO708" s="11"/>
      <c r="JP708" s="11"/>
      <c r="JQ708" s="11"/>
      <c r="JR708" s="11"/>
      <c r="JS708" s="11"/>
      <c r="JT708" s="11"/>
      <c r="JU708" s="11"/>
      <c r="JV708" s="11"/>
      <c r="JW708" s="11"/>
      <c r="JX708" s="11"/>
      <c r="JY708" s="11"/>
      <c r="JZ708" s="11"/>
      <c r="KA708" s="11"/>
      <c r="KB708" s="11"/>
      <c r="KC708" s="11"/>
      <c r="KD708" s="11"/>
      <c r="KE708" s="11"/>
      <c r="KF708" s="11"/>
      <c r="KG708" s="11"/>
      <c r="KH708" s="11"/>
      <c r="KI708" s="11"/>
      <c r="KJ708" s="11"/>
      <c r="KK708" s="11"/>
      <c r="KL708" s="11"/>
      <c r="KM708" s="11"/>
      <c r="KN708" s="11"/>
      <c r="KO708" s="11"/>
      <c r="KP708" s="11"/>
      <c r="KQ708" s="11"/>
      <c r="KR708" s="11"/>
      <c r="KS708" s="11"/>
      <c r="KT708" s="11"/>
      <c r="KU708" s="11"/>
      <c r="KV708" s="11"/>
      <c r="KW708" s="11"/>
      <c r="KX708" s="11"/>
      <c r="KY708" s="11"/>
      <c r="KZ708" s="11"/>
      <c r="LA708" s="11"/>
      <c r="LB708" s="11"/>
      <c r="LC708" s="11"/>
      <c r="LD708" s="11"/>
      <c r="LE708" s="11"/>
      <c r="LF708" s="11"/>
      <c r="LG708" s="11"/>
      <c r="LH708" s="11"/>
      <c r="LI708" s="11"/>
      <c r="LJ708" s="11"/>
      <c r="LK708" s="11"/>
      <c r="LL708" s="11"/>
      <c r="LM708" s="11"/>
      <c r="LN708" s="11"/>
      <c r="LO708" s="11"/>
      <c r="LP708" s="11"/>
      <c r="LQ708" s="11"/>
      <c r="LR708" s="11"/>
      <c r="LS708" s="11"/>
      <c r="LT708" s="11"/>
      <c r="LU708" s="11"/>
      <c r="LV708" s="11"/>
      <c r="LW708" s="11"/>
      <c r="LX708" s="11"/>
      <c r="LY708" s="11"/>
      <c r="LZ708" s="11"/>
      <c r="MA708" s="11"/>
      <c r="MB708" s="11"/>
      <c r="MC708" s="11"/>
      <c r="MD708" s="11"/>
      <c r="ME708" s="11"/>
      <c r="MF708" s="11"/>
      <c r="MG708" s="11"/>
      <c r="MH708" s="11"/>
      <c r="MI708" s="11"/>
      <c r="MJ708" s="11"/>
      <c r="MK708" s="11"/>
      <c r="ML708" s="11"/>
      <c r="MM708" s="11"/>
      <c r="MN708" s="11"/>
      <c r="MO708" s="11"/>
      <c r="MP708" s="11"/>
      <c r="MQ708" s="11"/>
      <c r="MR708" s="11"/>
      <c r="MS708" s="11"/>
      <c r="MT708" s="11"/>
      <c r="MU708" s="11"/>
      <c r="MV708" s="11"/>
      <c r="MW708" s="11"/>
      <c r="MX708" s="11"/>
      <c r="MY708" s="11"/>
      <c r="MZ708" s="11"/>
      <c r="NA708" s="11"/>
      <c r="NB708" s="11"/>
      <c r="NC708" s="11"/>
      <c r="ND708" s="11"/>
      <c r="NE708" s="11"/>
      <c r="NF708" s="11"/>
      <c r="NG708" s="11"/>
      <c r="NH708" s="11"/>
      <c r="NI708" s="11"/>
      <c r="NJ708" s="11"/>
      <c r="NK708" s="11"/>
      <c r="NL708" s="11"/>
      <c r="NM708" s="11"/>
      <c r="NN708" s="11"/>
      <c r="NO708" s="11"/>
      <c r="NP708" s="11"/>
      <c r="NQ708" s="11"/>
      <c r="NR708" s="11"/>
      <c r="NS708" s="11"/>
      <c r="NT708" s="11"/>
      <c r="NU708" s="11"/>
      <c r="NV708" s="11"/>
      <c r="NW708" s="11"/>
      <c r="NX708" s="11"/>
      <c r="NY708" s="11"/>
      <c r="NZ708" s="11"/>
      <c r="OA708" s="11"/>
      <c r="OB708" s="11"/>
      <c r="OC708" s="11"/>
      <c r="OD708" s="11"/>
      <c r="OE708" s="11"/>
      <c r="OF708" s="11"/>
      <c r="OG708" s="11"/>
      <c r="OH708" s="11"/>
      <c r="OI708" s="11"/>
      <c r="OJ708" s="11"/>
      <c r="OK708" s="11"/>
      <c r="OL708" s="11"/>
      <c r="OM708" s="11"/>
      <c r="ON708" s="11"/>
      <c r="OO708" s="11"/>
      <c r="OP708" s="11"/>
      <c r="OQ708" s="11"/>
      <c r="OR708" s="11"/>
      <c r="OS708" s="11"/>
      <c r="OT708" s="11"/>
      <c r="OU708" s="11"/>
      <c r="OV708" s="11"/>
      <c r="OW708" s="11"/>
      <c r="OX708" s="11"/>
      <c r="OY708" s="11"/>
      <c r="OZ708" s="11"/>
      <c r="PA708" s="11"/>
      <c r="PB708" s="11"/>
      <c r="PC708" s="11"/>
      <c r="PD708" s="11"/>
      <c r="PE708" s="11"/>
      <c r="PF708" s="11"/>
      <c r="PG708" s="11"/>
      <c r="PH708" s="11"/>
      <c r="PI708" s="11"/>
      <c r="PJ708" s="11"/>
      <c r="PK708" s="11"/>
      <c r="PL708" s="11"/>
      <c r="PM708" s="11"/>
      <c r="PN708" s="11"/>
      <c r="PO708" s="11"/>
      <c r="PP708" s="11"/>
      <c r="PQ708" s="11"/>
      <c r="PR708" s="11"/>
      <c r="PS708" s="11"/>
      <c r="PT708" s="11"/>
      <c r="PU708" s="11"/>
      <c r="PV708" s="11"/>
      <c r="PW708" s="11"/>
      <c r="PX708" s="11"/>
      <c r="PY708" s="11"/>
      <c r="PZ708" s="11"/>
      <c r="QA708" s="11"/>
      <c r="QB708" s="11"/>
      <c r="QC708" s="11"/>
      <c r="QD708" s="11"/>
      <c r="QE708" s="11"/>
      <c r="QF708" s="11"/>
      <c r="QG708" s="11"/>
      <c r="QH708" s="11"/>
      <c r="QI708" s="11"/>
      <c r="QJ708" s="11"/>
      <c r="QK708" s="11"/>
      <c r="QL708" s="11"/>
      <c r="QM708" s="11"/>
      <c r="QN708" s="11"/>
      <c r="QO708" s="11"/>
      <c r="QP708" s="11"/>
      <c r="QQ708" s="11"/>
      <c r="QR708" s="11"/>
      <c r="QS708" s="11"/>
      <c r="QT708" s="11"/>
      <c r="QU708" s="11"/>
      <c r="QV708" s="11"/>
      <c r="QW708" s="11"/>
      <c r="QX708" s="11"/>
      <c r="QY708" s="11"/>
      <c r="QZ708" s="11"/>
      <c r="RA708" s="11"/>
      <c r="RB708" s="11"/>
      <c r="RC708" s="11"/>
      <c r="RD708" s="11"/>
      <c r="RE708" s="11"/>
      <c r="RF708" s="11"/>
      <c r="RG708" s="11"/>
      <c r="RH708" s="11"/>
      <c r="RI708" s="11"/>
      <c r="RJ708" s="11"/>
      <c r="RK708" s="11"/>
      <c r="RL708" s="11"/>
      <c r="RM708" s="11"/>
      <c r="RN708" s="11"/>
      <c r="RO708" s="11"/>
      <c r="RP708" s="11"/>
      <c r="RQ708" s="11"/>
      <c r="RR708" s="11"/>
      <c r="RS708" s="11"/>
      <c r="RT708" s="11"/>
      <c r="RU708" s="11"/>
      <c r="RV708" s="11"/>
      <c r="RW708" s="11"/>
      <c r="RX708" s="11"/>
      <c r="RY708" s="11"/>
      <c r="RZ708" s="11"/>
      <c r="SA708" s="11"/>
      <c r="SB708" s="11"/>
      <c r="SC708" s="11"/>
      <c r="SD708" s="11"/>
      <c r="SE708" s="11"/>
      <c r="SF708" s="11"/>
      <c r="SG708" s="11"/>
      <c r="SH708" s="11"/>
      <c r="SI708" s="11"/>
      <c r="SJ708" s="11"/>
      <c r="SK708" s="11"/>
      <c r="SL708" s="11"/>
      <c r="SM708" s="11"/>
      <c r="SN708" s="11"/>
      <c r="SO708" s="11"/>
      <c r="SP708" s="11"/>
      <c r="SQ708" s="11"/>
      <c r="SR708" s="11"/>
      <c r="SS708" s="11"/>
      <c r="ST708" s="11"/>
      <c r="SU708" s="11"/>
      <c r="SV708" s="11"/>
      <c r="SW708" s="11"/>
      <c r="SX708" s="11"/>
      <c r="SY708" s="11"/>
      <c r="SZ708" s="11"/>
      <c r="TA708" s="11"/>
      <c r="TB708" s="11"/>
      <c r="TC708" s="11"/>
      <c r="TD708" s="11"/>
      <c r="TE708" s="11"/>
      <c r="TF708" s="11"/>
      <c r="TG708" s="11"/>
      <c r="TH708" s="11"/>
      <c r="TI708" s="11"/>
      <c r="TJ708" s="11"/>
      <c r="TK708" s="11"/>
      <c r="TL708" s="11"/>
      <c r="TM708" s="11"/>
      <c r="TN708" s="11"/>
      <c r="TO708" s="11"/>
      <c r="TP708" s="11"/>
      <c r="TQ708" s="11"/>
      <c r="TR708" s="11"/>
      <c r="TS708" s="11"/>
      <c r="TT708" s="11"/>
      <c r="TU708" s="11"/>
      <c r="TV708" s="11"/>
      <c r="TW708" s="11"/>
      <c r="TX708" s="11"/>
      <c r="TY708" s="11"/>
      <c r="TZ708" s="11"/>
      <c r="UA708" s="11"/>
      <c r="UB708" s="11"/>
      <c r="UC708" s="11"/>
      <c r="UD708" s="11"/>
      <c r="UE708" s="11"/>
      <c r="UF708" s="11"/>
      <c r="UG708" s="11"/>
      <c r="UH708" s="11"/>
      <c r="UI708" s="11"/>
      <c r="UJ708" s="11"/>
      <c r="UK708" s="11"/>
      <c r="UL708" s="11"/>
      <c r="UM708" s="11"/>
      <c r="UN708" s="11"/>
      <c r="UO708" s="11"/>
      <c r="UP708" s="11"/>
      <c r="UQ708" s="11"/>
      <c r="UR708" s="11"/>
      <c r="US708" s="11"/>
      <c r="UT708" s="11"/>
      <c r="UU708" s="11"/>
      <c r="UV708" s="11"/>
      <c r="UW708" s="11"/>
      <c r="UX708" s="11"/>
      <c r="UY708" s="11"/>
      <c r="UZ708" s="11"/>
      <c r="VA708" s="11"/>
      <c r="VB708" s="11"/>
      <c r="VC708" s="11"/>
      <c r="VD708" s="11"/>
      <c r="VE708" s="11"/>
      <c r="VF708" s="11"/>
      <c r="VG708" s="11"/>
      <c r="VH708" s="11"/>
      <c r="VI708" s="11"/>
      <c r="VJ708" s="11"/>
      <c r="VK708" s="11"/>
      <c r="VL708" s="11"/>
      <c r="VM708" s="11"/>
      <c r="VN708" s="11"/>
      <c r="VO708" s="11"/>
      <c r="VP708" s="11"/>
      <c r="VQ708" s="11"/>
      <c r="VR708" s="11"/>
      <c r="VS708" s="11"/>
      <c r="VT708" s="11"/>
      <c r="VU708" s="11"/>
      <c r="VV708" s="11"/>
      <c r="VW708" s="11"/>
      <c r="VX708" s="11"/>
      <c r="VY708" s="11"/>
      <c r="VZ708" s="11"/>
      <c r="WA708" s="11"/>
      <c r="WB708" s="11"/>
      <c r="WC708" s="11"/>
      <c r="WD708" s="11"/>
      <c r="WE708" s="11"/>
      <c r="WF708" s="11"/>
      <c r="WG708" s="11"/>
      <c r="WH708" s="11"/>
      <c r="WI708" s="11"/>
      <c r="WJ708" s="11"/>
      <c r="WK708" s="11"/>
      <c r="WL708" s="11"/>
      <c r="WM708" s="11"/>
      <c r="WN708" s="11"/>
      <c r="WO708" s="11"/>
      <c r="WP708" s="11"/>
      <c r="WQ708" s="11"/>
      <c r="WR708" s="11"/>
      <c r="WS708" s="11"/>
      <c r="WT708" s="11"/>
      <c r="WU708" s="11"/>
      <c r="WV708" s="11"/>
      <c r="WW708" s="11"/>
      <c r="WX708" s="11"/>
      <c r="WY708" s="11"/>
      <c r="WZ708" s="11"/>
      <c r="XA708" s="11"/>
      <c r="XB708" s="11"/>
      <c r="XC708" s="11"/>
      <c r="XD708" s="11"/>
      <c r="XE708" s="11"/>
      <c r="XF708" s="11"/>
      <c r="XG708" s="11"/>
      <c r="XH708" s="11"/>
      <c r="XI708" s="11"/>
      <c r="XJ708" s="11"/>
      <c r="XK708" s="11"/>
      <c r="XL708" s="11"/>
      <c r="XM708" s="11"/>
      <c r="XN708" s="11"/>
      <c r="XO708" s="11"/>
      <c r="XP708" s="11"/>
      <c r="XQ708" s="11"/>
      <c r="XR708" s="11"/>
      <c r="XS708" s="11"/>
      <c r="XT708" s="11"/>
      <c r="XU708" s="11"/>
      <c r="XV708" s="11"/>
      <c r="XW708" s="11"/>
      <c r="XX708" s="11"/>
      <c r="XY708" s="11"/>
      <c r="XZ708" s="11"/>
      <c r="YA708" s="11"/>
      <c r="YB708" s="11"/>
      <c r="YC708" s="11"/>
      <c r="YD708" s="11"/>
      <c r="YE708" s="11"/>
      <c r="YF708" s="11"/>
      <c r="YG708" s="11"/>
      <c r="YH708" s="11"/>
      <c r="YI708" s="11"/>
      <c r="YJ708" s="11"/>
      <c r="YK708" s="11"/>
      <c r="YL708" s="11"/>
      <c r="YM708" s="11"/>
      <c r="YN708" s="11"/>
      <c r="YO708" s="11"/>
      <c r="YP708" s="11"/>
      <c r="YQ708" s="11"/>
      <c r="YR708" s="11"/>
      <c r="YS708" s="11"/>
      <c r="YT708" s="11"/>
      <c r="YU708" s="11"/>
      <c r="YV708" s="11"/>
      <c r="YW708" s="11"/>
      <c r="YX708" s="11"/>
      <c r="YY708" s="11"/>
      <c r="YZ708" s="11"/>
      <c r="ZA708" s="11"/>
      <c r="ZB708" s="11"/>
      <c r="ZC708" s="11"/>
      <c r="ZD708" s="11"/>
      <c r="ZE708" s="11"/>
      <c r="ZF708" s="11"/>
      <c r="ZG708" s="11"/>
      <c r="ZH708" s="11"/>
      <c r="ZI708" s="11"/>
      <c r="ZJ708" s="11"/>
      <c r="ZK708" s="11"/>
      <c r="ZL708" s="11"/>
      <c r="ZM708" s="11"/>
      <c r="ZN708" s="11"/>
      <c r="ZO708" s="11"/>
      <c r="ZP708" s="11"/>
      <c r="ZQ708" s="11"/>
      <c r="ZR708" s="11"/>
      <c r="ZS708" s="11"/>
      <c r="ZT708" s="11"/>
      <c r="ZU708" s="11"/>
      <c r="ZV708" s="11"/>
      <c r="ZW708" s="11"/>
      <c r="ZX708" s="11"/>
      <c r="ZY708" s="11"/>
      <c r="ZZ708" s="11"/>
      <c r="AAA708" s="11"/>
      <c r="AAB708" s="11"/>
      <c r="AAC708" s="11"/>
      <c r="AAD708" s="11"/>
      <c r="AAE708" s="11"/>
      <c r="AAF708" s="11"/>
      <c r="AAG708" s="11"/>
      <c r="AAH708" s="11"/>
      <c r="AAI708" s="11"/>
      <c r="AAJ708" s="11"/>
      <c r="AAK708" s="11"/>
      <c r="AAL708" s="11"/>
      <c r="AAM708" s="11"/>
      <c r="AAN708" s="11"/>
      <c r="AAO708" s="11"/>
      <c r="AAP708" s="11"/>
      <c r="AAQ708" s="11"/>
      <c r="AAR708" s="11"/>
      <c r="AAS708" s="11"/>
      <c r="AAT708" s="11"/>
      <c r="AAU708" s="11"/>
      <c r="AAV708" s="11"/>
      <c r="AAW708" s="11"/>
      <c r="AAX708" s="11"/>
      <c r="AAY708" s="11"/>
      <c r="AAZ708" s="11"/>
      <c r="ABA708" s="11"/>
      <c r="ABB708" s="11"/>
      <c r="ABC708" s="11"/>
      <c r="ABD708" s="11"/>
      <c r="ABE708" s="11"/>
      <c r="ABF708" s="11"/>
      <c r="ABG708" s="11"/>
      <c r="ABH708" s="11"/>
      <c r="ABI708" s="11"/>
      <c r="ABJ708" s="11"/>
      <c r="ABK708" s="11"/>
      <c r="ABL708" s="11"/>
      <c r="ABM708" s="11"/>
      <c r="ABN708" s="11"/>
      <c r="ABO708" s="11"/>
      <c r="ABP708" s="11"/>
      <c r="ABQ708" s="11"/>
      <c r="ABR708" s="11"/>
      <c r="ABS708" s="11"/>
      <c r="ABT708" s="11"/>
      <c r="ABU708" s="11"/>
      <c r="ABV708" s="11"/>
      <c r="ABW708" s="11"/>
      <c r="ABX708" s="11"/>
      <c r="ABY708" s="11"/>
      <c r="ABZ708" s="11"/>
      <c r="ACA708" s="11"/>
      <c r="ACB708" s="11"/>
      <c r="ACC708" s="11"/>
      <c r="ACD708" s="11"/>
      <c r="ACE708" s="11"/>
      <c r="ACF708" s="11"/>
      <c r="ACG708" s="11"/>
      <c r="ACH708" s="11"/>
      <c r="ACI708" s="11"/>
      <c r="ACJ708" s="11"/>
      <c r="ACK708" s="11"/>
      <c r="ACL708" s="11"/>
      <c r="ACM708" s="11"/>
      <c r="ACN708" s="11"/>
      <c r="ACO708" s="11"/>
      <c r="ACP708" s="11"/>
      <c r="ACQ708" s="11"/>
      <c r="ACR708" s="11"/>
      <c r="ACS708" s="11"/>
      <c r="ACT708" s="11"/>
      <c r="ACU708" s="11"/>
      <c r="ACV708" s="11"/>
      <c r="ACW708" s="11"/>
      <c r="ACX708" s="11"/>
      <c r="ACY708" s="11"/>
      <c r="ACZ708" s="11"/>
      <c r="ADA708" s="11"/>
      <c r="ADB708" s="11"/>
      <c r="ADC708" s="11"/>
      <c r="ADD708" s="11"/>
      <c r="ADE708" s="11"/>
      <c r="ADF708" s="11"/>
      <c r="ADG708" s="11"/>
      <c r="ADH708" s="11"/>
      <c r="ADI708" s="11"/>
      <c r="ADJ708" s="11"/>
      <c r="ADK708" s="11"/>
      <c r="ADL708" s="11"/>
      <c r="ADM708" s="11"/>
      <c r="ADN708" s="11"/>
      <c r="ADO708" s="11"/>
      <c r="ADP708" s="11"/>
      <c r="ADQ708" s="11"/>
      <c r="ADR708" s="11"/>
      <c r="ADS708" s="11"/>
      <c r="ADT708" s="11"/>
      <c r="ADU708" s="11"/>
      <c r="ADV708" s="11"/>
      <c r="ADW708" s="11"/>
      <c r="ADX708" s="11"/>
      <c r="ADY708" s="11"/>
      <c r="ADZ708" s="11"/>
      <c r="AEA708" s="11"/>
      <c r="AEB708" s="11"/>
      <c r="AEC708" s="11"/>
      <c r="AED708" s="11"/>
      <c r="AEE708" s="11"/>
      <c r="AEF708" s="11"/>
      <c r="AEG708" s="11"/>
      <c r="AEH708" s="11"/>
      <c r="AEI708" s="11"/>
      <c r="AEJ708" s="11"/>
      <c r="AEK708" s="11"/>
      <c r="AEL708" s="11"/>
      <c r="AEM708" s="11"/>
      <c r="AEN708" s="11"/>
      <c r="AEO708" s="11"/>
      <c r="AEP708" s="11"/>
      <c r="AEQ708" s="11"/>
      <c r="AER708" s="11"/>
      <c r="AES708" s="11"/>
      <c r="AET708" s="11"/>
      <c r="AEU708" s="11"/>
      <c r="AEV708" s="11"/>
      <c r="AEW708" s="11"/>
      <c r="AEX708" s="11"/>
      <c r="AEY708" s="11"/>
      <c r="AEZ708" s="11"/>
      <c r="AFA708" s="11"/>
      <c r="AFB708" s="11"/>
      <c r="AFC708" s="11"/>
      <c r="AFD708" s="11"/>
      <c r="AFE708" s="11"/>
      <c r="AFF708" s="11"/>
      <c r="AFG708" s="11"/>
      <c r="AFH708" s="11"/>
      <c r="AFI708" s="11"/>
      <c r="AFJ708" s="11"/>
      <c r="AFK708" s="11"/>
      <c r="AFL708" s="11"/>
      <c r="AFM708" s="11"/>
      <c r="AFN708" s="11"/>
      <c r="AFO708" s="11"/>
      <c r="AFP708" s="11"/>
      <c r="AFQ708" s="11"/>
      <c r="AFR708" s="11"/>
      <c r="AFS708" s="11"/>
      <c r="AFT708" s="11"/>
      <c r="AFU708" s="11"/>
      <c r="AFV708" s="11"/>
      <c r="AFW708" s="11"/>
      <c r="AFX708" s="11"/>
      <c r="AFY708" s="11"/>
      <c r="AFZ708" s="11"/>
      <c r="AGA708" s="11"/>
      <c r="AGB708" s="11"/>
      <c r="AGC708" s="11"/>
      <c r="AGD708" s="11"/>
      <c r="AGE708" s="11"/>
      <c r="AGF708" s="11"/>
      <c r="AGG708" s="11"/>
      <c r="AGH708" s="11"/>
      <c r="AGI708" s="11"/>
      <c r="AGJ708" s="11"/>
      <c r="AGK708" s="11"/>
      <c r="AGL708" s="11"/>
      <c r="AGM708" s="11"/>
      <c r="AGN708" s="11"/>
      <c r="AGO708" s="11"/>
      <c r="AGP708" s="11"/>
      <c r="AGQ708" s="11"/>
      <c r="AGR708" s="11"/>
      <c r="AGS708" s="11"/>
      <c r="AGT708" s="11"/>
      <c r="AGU708" s="11"/>
      <c r="AGV708" s="11"/>
      <c r="AGW708" s="11"/>
      <c r="AGX708" s="11"/>
      <c r="AGY708" s="11"/>
      <c r="AGZ708" s="11"/>
      <c r="AHA708" s="11"/>
      <c r="AHB708" s="11"/>
      <c r="AHC708" s="11"/>
      <c r="AHD708" s="11"/>
      <c r="AHE708" s="11"/>
      <c r="AHF708" s="11"/>
      <c r="AHG708" s="11"/>
      <c r="AHH708" s="11"/>
      <c r="AHI708" s="11"/>
      <c r="AHJ708" s="11"/>
      <c r="AHK708" s="11"/>
      <c r="AHL708" s="11"/>
      <c r="AHM708" s="11"/>
      <c r="AHN708" s="11"/>
      <c r="AHO708" s="11"/>
      <c r="AHP708" s="11"/>
      <c r="AHQ708" s="11"/>
      <c r="AHR708" s="11"/>
      <c r="AHS708" s="11"/>
      <c r="AHT708" s="11"/>
      <c r="AHU708" s="11"/>
      <c r="AHV708" s="11"/>
      <c r="AHW708" s="11"/>
      <c r="AHX708" s="11"/>
      <c r="AHY708" s="11"/>
      <c r="AHZ708" s="11"/>
      <c r="AIA708" s="11"/>
      <c r="AIB708" s="11"/>
      <c r="AIC708" s="11"/>
      <c r="AID708" s="11"/>
      <c r="AIE708" s="11"/>
      <c r="AIF708" s="11"/>
      <c r="AIG708" s="11"/>
      <c r="AIH708" s="11"/>
      <c r="AII708" s="11"/>
      <c r="AIJ708" s="11"/>
      <c r="AIK708" s="11"/>
      <c r="AIL708" s="11"/>
      <c r="AIM708" s="11"/>
      <c r="AIN708" s="11"/>
      <c r="AIO708" s="11"/>
      <c r="AIP708" s="11"/>
      <c r="AIQ708" s="11"/>
      <c r="AIR708" s="11"/>
      <c r="AIS708" s="11"/>
      <c r="AIT708" s="11"/>
      <c r="AIU708" s="11"/>
      <c r="AIV708" s="11"/>
      <c r="AIW708" s="11"/>
      <c r="AIX708" s="11"/>
      <c r="AIY708" s="11"/>
      <c r="AIZ708" s="11"/>
      <c r="AJA708" s="11"/>
      <c r="AJB708" s="11"/>
      <c r="AJC708" s="11"/>
      <c r="AJD708" s="11"/>
      <c r="AJE708" s="11"/>
      <c r="AJF708" s="11"/>
      <c r="AJG708" s="11"/>
      <c r="AJH708" s="11"/>
      <c r="AJI708" s="11"/>
      <c r="AJJ708" s="11"/>
      <c r="AJK708" s="11"/>
      <c r="AJL708" s="11"/>
      <c r="AJM708" s="11"/>
      <c r="AJN708" s="11"/>
      <c r="AJO708" s="11"/>
      <c r="AJP708" s="11"/>
      <c r="AJQ708" s="11"/>
      <c r="AJR708" s="11"/>
      <c r="AJS708" s="11"/>
      <c r="AJT708" s="11"/>
      <c r="AJU708" s="11"/>
      <c r="AJV708" s="11"/>
      <c r="AJW708" s="11"/>
      <c r="AJX708" s="11"/>
      <c r="AJY708" s="11"/>
      <c r="AJZ708" s="11"/>
      <c r="AKA708" s="11"/>
      <c r="AKB708" s="11"/>
      <c r="AKC708" s="11"/>
      <c r="AKD708" s="11"/>
      <c r="AKE708" s="11"/>
      <c r="AKF708" s="11"/>
      <c r="AKG708" s="11"/>
      <c r="AKH708" s="11"/>
      <c r="AKI708" s="11"/>
      <c r="AKJ708" s="11"/>
      <c r="AKK708" s="11"/>
      <c r="AKL708" s="11"/>
      <c r="AKM708" s="11"/>
      <c r="AKN708" s="11"/>
      <c r="AKO708" s="11"/>
      <c r="AKP708" s="11"/>
      <c r="AKQ708" s="11"/>
      <c r="AKR708" s="11"/>
      <c r="AKS708" s="11"/>
      <c r="AKT708" s="11"/>
      <c r="AKU708" s="11"/>
      <c r="AKV708" s="11"/>
      <c r="AKW708" s="11"/>
      <c r="AKX708" s="11"/>
      <c r="AKY708" s="11"/>
      <c r="AKZ708" s="11"/>
      <c r="ALA708" s="11"/>
      <c r="ALB708" s="11"/>
      <c r="ALC708" s="11"/>
      <c r="ALD708" s="11"/>
      <c r="ALE708" s="11"/>
      <c r="ALF708" s="11"/>
      <c r="ALG708" s="11"/>
      <c r="ALH708" s="11"/>
      <c r="ALI708" s="11"/>
      <c r="ALJ708" s="11"/>
      <c r="ALK708" s="11"/>
      <c r="ALL708" s="11"/>
      <c r="ALM708" s="11"/>
      <c r="ALN708" s="11"/>
      <c r="ALO708" s="11"/>
      <c r="ALP708" s="11"/>
      <c r="ALQ708" s="11"/>
      <c r="ALR708" s="11"/>
      <c r="ALS708" s="11"/>
      <c r="ALT708" s="11"/>
      <c r="ALU708" s="11"/>
      <c r="ALV708" s="11"/>
      <c r="ALW708" s="11"/>
      <c r="ALX708" s="11"/>
      <c r="ALY708" s="11"/>
      <c r="ALZ708" s="11"/>
      <c r="AMA708" s="11"/>
      <c r="AMB708" s="11"/>
      <c r="AMC708" s="11"/>
      <c r="AMD708" s="11"/>
      <c r="AME708" s="11"/>
      <c r="AMF708" s="11"/>
      <c r="AMG708" s="11"/>
      <c r="AMH708" s="11"/>
      <c r="AMI708" s="11"/>
      <c r="AMJ708" s="11"/>
    </row>
    <row r="709" spans="1:1024">
      <c r="A709" s="14" t="s">
        <v>713</v>
      </c>
      <c r="B709" s="14">
        <v>363730</v>
      </c>
      <c r="D709" s="1">
        <v>0</v>
      </c>
      <c r="E709" s="8">
        <f>VLOOKUP(B709,Gesamtstunden_26!B:I,8,0)</f>
        <v>0.33333333333333331</v>
      </c>
      <c r="F709" s="2">
        <f t="shared" si="11"/>
        <v>-0.33333333333333331</v>
      </c>
    </row>
    <row r="710" spans="1:1024">
      <c r="A710" s="10" t="s">
        <v>714</v>
      </c>
      <c r="B710" s="10">
        <v>72661</v>
      </c>
      <c r="D710" s="1">
        <v>0</v>
      </c>
      <c r="E710" s="8">
        <f>VLOOKUP(B710,Gesamtstunden_26!B:I,8,0)</f>
        <v>4</v>
      </c>
      <c r="F710" s="2">
        <f t="shared" si="11"/>
        <v>-4</v>
      </c>
    </row>
    <row r="711" spans="1:1024" ht="27.6">
      <c r="A711" s="15" t="s">
        <v>715</v>
      </c>
      <c r="B711" s="15">
        <v>586919</v>
      </c>
      <c r="D711" s="1">
        <v>0</v>
      </c>
      <c r="E711" s="8">
        <f>VLOOKUP(B711,Gesamtstunden_26!B:I,8,0)</f>
        <v>2.6666666666666665</v>
      </c>
      <c r="F711" s="2">
        <f t="shared" si="11"/>
        <v>-2.6666666666666665</v>
      </c>
    </row>
    <row r="712" spans="1:1024">
      <c r="A712" s="8" t="s">
        <v>716</v>
      </c>
      <c r="B712" s="8">
        <v>797441</v>
      </c>
      <c r="D712" s="1">
        <v>1.6666666666666701</v>
      </c>
      <c r="E712" s="8">
        <f>VLOOKUP(B712,Gesamtstunden_26!B:I,8,0)</f>
        <v>0.33333333333333331</v>
      </c>
      <c r="F712" s="2">
        <f t="shared" si="11"/>
        <v>1.3333333333333368</v>
      </c>
    </row>
    <row r="713" spans="1:1024">
      <c r="A713" s="8" t="s">
        <v>717</v>
      </c>
      <c r="B713" s="8">
        <v>711761</v>
      </c>
      <c r="D713" s="1">
        <v>6</v>
      </c>
      <c r="E713" s="8">
        <f>VLOOKUP(B713,Gesamtstunden_26!B:I,8,0)</f>
        <v>0</v>
      </c>
      <c r="F713" s="2">
        <f t="shared" si="11"/>
        <v>6</v>
      </c>
    </row>
    <row r="714" spans="1:1024">
      <c r="A714" s="17" t="s">
        <v>718</v>
      </c>
      <c r="B714" s="17">
        <v>815694</v>
      </c>
      <c r="D714" s="1">
        <v>0</v>
      </c>
      <c r="E714" s="8">
        <f>VLOOKUP(B714,Gesamtstunden_26!B:I,8,0)</f>
        <v>1.6666666666666667</v>
      </c>
      <c r="F714" s="2">
        <f t="shared" si="11"/>
        <v>-1.6666666666666667</v>
      </c>
    </row>
    <row r="715" spans="1:1024">
      <c r="A715" s="8" t="s">
        <v>719</v>
      </c>
      <c r="B715" s="8">
        <v>131987</v>
      </c>
      <c r="D715" s="1">
        <v>5.6666666666666696</v>
      </c>
      <c r="E715" s="8">
        <f>VLOOKUP(B715,Gesamtstunden_26!B:I,8,0)</f>
        <v>0.33333333333333331</v>
      </c>
      <c r="F715" s="2">
        <f t="shared" si="11"/>
        <v>5.3333333333333366</v>
      </c>
    </row>
    <row r="716" spans="1:1024">
      <c r="A716" s="8" t="s">
        <v>720</v>
      </c>
      <c r="B716" s="8">
        <v>482309</v>
      </c>
      <c r="D716" s="1">
        <v>11</v>
      </c>
      <c r="E716" s="8">
        <f>VLOOKUP(B716,Gesamtstunden_26!B:I,8,0)</f>
        <v>0</v>
      </c>
      <c r="F716" s="2">
        <f t="shared" si="11"/>
        <v>11</v>
      </c>
    </row>
    <row r="717" spans="1:1024">
      <c r="A717" s="14" t="s">
        <v>721</v>
      </c>
      <c r="B717" s="14">
        <v>188883</v>
      </c>
      <c r="D717" s="1">
        <v>0</v>
      </c>
      <c r="E717" s="8">
        <f>VLOOKUP(B717,Gesamtstunden_26!B:I,8,0)</f>
        <v>0.66666666666666663</v>
      </c>
      <c r="F717" s="2">
        <f t="shared" si="11"/>
        <v>-0.66666666666666663</v>
      </c>
    </row>
    <row r="718" spans="1:1024">
      <c r="A718" t="s">
        <v>722</v>
      </c>
      <c r="B718">
        <v>666613</v>
      </c>
      <c r="D718" s="1">
        <v>9.1666666666666696</v>
      </c>
      <c r="E718" s="8">
        <f>VLOOKUP(B718,Gesamtstunden_26!B:I,8,0)</f>
        <v>0</v>
      </c>
      <c r="F718" s="2">
        <f t="shared" si="11"/>
        <v>9.1666666666666696</v>
      </c>
    </row>
    <row r="719" spans="1:1024">
      <c r="A719" s="8" t="s">
        <v>723</v>
      </c>
      <c r="B719" s="8">
        <v>574877</v>
      </c>
      <c r="D719" s="1">
        <v>14.6733333333333</v>
      </c>
      <c r="E719" s="8">
        <f>VLOOKUP(B719,Gesamtstunden_26!B:I,8,0)</f>
        <v>0</v>
      </c>
      <c r="F719" s="2">
        <f t="shared" si="11"/>
        <v>14.6733333333333</v>
      </c>
    </row>
    <row r="720" spans="1:1024">
      <c r="A720" s="8" t="s">
        <v>724</v>
      </c>
      <c r="B720" s="8">
        <v>768569</v>
      </c>
      <c r="D720" s="1">
        <v>4</v>
      </c>
      <c r="E720" s="8">
        <f>VLOOKUP(B720,Gesamtstunden_26!B:I,8,0)</f>
        <v>0</v>
      </c>
      <c r="F720" s="2">
        <f t="shared" si="11"/>
        <v>4</v>
      </c>
    </row>
    <row r="721" spans="1:1024">
      <c r="A721" s="11" t="s">
        <v>725</v>
      </c>
      <c r="B721" s="11">
        <v>887315</v>
      </c>
      <c r="D721" s="1">
        <v>0</v>
      </c>
      <c r="E721" s="8">
        <f>VLOOKUP(B721,Gesamtstunden_26!B:I,8,0)</f>
        <v>5</v>
      </c>
      <c r="F721" s="2">
        <f t="shared" si="11"/>
        <v>-5</v>
      </c>
    </row>
    <row r="722" spans="1:1024" s="11" customFormat="1">
      <c r="A722" s="8" t="s">
        <v>726</v>
      </c>
      <c r="B722" s="8">
        <v>751976</v>
      </c>
      <c r="C722"/>
      <c r="D722" s="1">
        <v>7.6666666666666998</v>
      </c>
      <c r="E722" s="8">
        <f>VLOOKUP(B722,Gesamtstunden_26!B:I,8,0)</f>
        <v>0.33333333333333331</v>
      </c>
      <c r="F722" s="2">
        <f t="shared" si="11"/>
        <v>7.3333333333333668</v>
      </c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/>
      <c r="BD722"/>
      <c r="BE722"/>
      <c r="BF722"/>
      <c r="BG722"/>
      <c r="BH722"/>
      <c r="BI722"/>
      <c r="BJ722"/>
      <c r="BK722"/>
      <c r="BL722"/>
      <c r="BM722"/>
      <c r="BN722"/>
      <c r="BO722"/>
      <c r="BP722"/>
      <c r="BQ722"/>
      <c r="BR722"/>
      <c r="BS722"/>
      <c r="BT722"/>
      <c r="BU722"/>
      <c r="BV722"/>
      <c r="BW722"/>
      <c r="BX722"/>
      <c r="BY722"/>
      <c r="BZ722"/>
      <c r="CA722"/>
      <c r="CB722"/>
      <c r="CC722"/>
      <c r="CD722"/>
      <c r="CE722"/>
      <c r="CF722"/>
      <c r="CG722"/>
      <c r="CH722"/>
      <c r="CI722"/>
      <c r="CJ722"/>
      <c r="CK722"/>
      <c r="CL722"/>
      <c r="CM722"/>
      <c r="CN722"/>
      <c r="CO722"/>
      <c r="CP722"/>
      <c r="CQ722"/>
      <c r="CR722"/>
      <c r="CS722"/>
      <c r="CT722"/>
      <c r="CU722"/>
      <c r="CV722"/>
      <c r="CW722"/>
      <c r="CX722"/>
      <c r="CY722"/>
      <c r="CZ722"/>
      <c r="DA722"/>
      <c r="DB722"/>
      <c r="DC722"/>
      <c r="DD722"/>
      <c r="DE722"/>
      <c r="DF722"/>
      <c r="DG722"/>
      <c r="DH722"/>
      <c r="DI722"/>
      <c r="DJ722"/>
      <c r="DK722"/>
      <c r="DL722"/>
      <c r="DM722"/>
      <c r="DN722"/>
      <c r="DO722"/>
      <c r="DP722"/>
      <c r="DQ722"/>
      <c r="DR722"/>
      <c r="DS722"/>
      <c r="DT722"/>
      <c r="DU722"/>
      <c r="DV722"/>
      <c r="DW722"/>
      <c r="DX722"/>
      <c r="DY722"/>
      <c r="DZ722"/>
      <c r="EA722"/>
      <c r="EB722"/>
      <c r="EC722"/>
      <c r="ED722"/>
      <c r="EE722"/>
      <c r="EF722"/>
      <c r="EG722"/>
      <c r="EH722"/>
      <c r="EI722"/>
      <c r="EJ722"/>
      <c r="EK722"/>
      <c r="EL722"/>
      <c r="EM722"/>
      <c r="EN722"/>
      <c r="EO722"/>
      <c r="EP722"/>
      <c r="EQ722"/>
      <c r="ER722"/>
      <c r="ES722"/>
      <c r="ET722"/>
      <c r="EU722"/>
      <c r="EV722"/>
      <c r="EW722"/>
      <c r="EX722"/>
      <c r="EY722"/>
      <c r="EZ722"/>
      <c r="FA722"/>
      <c r="FB722"/>
      <c r="FC722"/>
      <c r="FD722"/>
      <c r="FE722"/>
      <c r="FF722"/>
      <c r="FG722"/>
      <c r="FH722"/>
      <c r="FI722"/>
      <c r="FJ722"/>
      <c r="FK722"/>
      <c r="FL722"/>
      <c r="FM722"/>
      <c r="FN722"/>
      <c r="FO722"/>
      <c r="FP722"/>
      <c r="FQ722"/>
      <c r="FR722"/>
      <c r="FS722"/>
      <c r="FT722"/>
      <c r="FU722"/>
      <c r="FV722"/>
      <c r="FW722"/>
      <c r="FX722"/>
      <c r="FY722"/>
      <c r="FZ722"/>
      <c r="GA722"/>
      <c r="GB722"/>
      <c r="GC722"/>
      <c r="GD722"/>
      <c r="GE722"/>
      <c r="GF722"/>
      <c r="GG722"/>
      <c r="GH722"/>
      <c r="GI722"/>
      <c r="GJ722"/>
      <c r="GK722"/>
      <c r="GL722"/>
      <c r="GM722"/>
      <c r="GN722"/>
      <c r="GO722"/>
      <c r="GP722"/>
      <c r="GQ722"/>
      <c r="GR722"/>
      <c r="GS722"/>
      <c r="GT722"/>
      <c r="GU722"/>
      <c r="GV722"/>
      <c r="GW722"/>
      <c r="GX722"/>
      <c r="GY722"/>
      <c r="GZ722"/>
      <c r="HA722"/>
      <c r="HB722"/>
      <c r="HC722"/>
      <c r="HD722"/>
      <c r="HE722"/>
      <c r="HF722"/>
      <c r="HG722"/>
      <c r="HH722"/>
      <c r="HI722"/>
      <c r="HJ722"/>
      <c r="HK722"/>
      <c r="HL722"/>
      <c r="HM722"/>
      <c r="HN722"/>
      <c r="HO722"/>
      <c r="HP722"/>
      <c r="HQ722"/>
      <c r="HR722"/>
      <c r="HS722"/>
      <c r="HT722"/>
      <c r="HU722"/>
      <c r="HV722"/>
      <c r="HW722"/>
      <c r="HX722"/>
      <c r="HY722"/>
      <c r="HZ722"/>
      <c r="IA722"/>
      <c r="IB722"/>
      <c r="IC722"/>
      <c r="ID722"/>
      <c r="IE722"/>
      <c r="IF722"/>
      <c r="IG722"/>
      <c r="IH722"/>
      <c r="II722"/>
      <c r="IJ722"/>
      <c r="IK722"/>
      <c r="IL722"/>
      <c r="IM722"/>
      <c r="IN722"/>
      <c r="IO722"/>
      <c r="IP722"/>
      <c r="IQ722"/>
      <c r="IR722"/>
      <c r="IS722"/>
      <c r="IT722"/>
      <c r="IU722"/>
      <c r="IV722"/>
      <c r="IW722"/>
      <c r="IX722"/>
      <c r="IY722"/>
      <c r="IZ722"/>
      <c r="JA722"/>
      <c r="JB722"/>
      <c r="JC722"/>
      <c r="JD722"/>
      <c r="JE722"/>
      <c r="JF722"/>
      <c r="JG722"/>
      <c r="JH722"/>
      <c r="JI722"/>
      <c r="JJ722"/>
      <c r="JK722"/>
      <c r="JL722"/>
      <c r="JM722"/>
      <c r="JN722"/>
      <c r="JO722"/>
      <c r="JP722"/>
      <c r="JQ722"/>
      <c r="JR722"/>
      <c r="JS722"/>
      <c r="JT722"/>
      <c r="JU722"/>
      <c r="JV722"/>
      <c r="JW722"/>
      <c r="JX722"/>
      <c r="JY722"/>
      <c r="JZ722"/>
      <c r="KA722"/>
      <c r="KB722"/>
      <c r="KC722"/>
      <c r="KD722"/>
      <c r="KE722"/>
      <c r="KF722"/>
      <c r="KG722"/>
      <c r="KH722"/>
      <c r="KI722"/>
      <c r="KJ722"/>
      <c r="KK722"/>
      <c r="KL722"/>
      <c r="KM722"/>
      <c r="KN722"/>
      <c r="KO722"/>
      <c r="KP722"/>
      <c r="KQ722"/>
      <c r="KR722"/>
      <c r="KS722"/>
      <c r="KT722"/>
      <c r="KU722"/>
      <c r="KV722"/>
      <c r="KW722"/>
      <c r="KX722"/>
      <c r="KY722"/>
      <c r="KZ722"/>
      <c r="LA722"/>
      <c r="LB722"/>
      <c r="LC722"/>
      <c r="LD722"/>
      <c r="LE722"/>
      <c r="LF722"/>
      <c r="LG722"/>
      <c r="LH722"/>
      <c r="LI722"/>
      <c r="LJ722"/>
      <c r="LK722"/>
      <c r="LL722"/>
      <c r="LM722"/>
      <c r="LN722"/>
      <c r="LO722"/>
      <c r="LP722"/>
      <c r="LQ722"/>
      <c r="LR722"/>
      <c r="LS722"/>
      <c r="LT722"/>
      <c r="LU722"/>
      <c r="LV722"/>
      <c r="LW722"/>
      <c r="LX722"/>
      <c r="LY722"/>
      <c r="LZ722"/>
      <c r="MA722"/>
      <c r="MB722"/>
      <c r="MC722"/>
      <c r="MD722"/>
      <c r="ME722"/>
      <c r="MF722"/>
      <c r="MG722"/>
      <c r="MH722"/>
      <c r="MI722"/>
      <c r="MJ722"/>
      <c r="MK722"/>
      <c r="ML722"/>
      <c r="MM722"/>
      <c r="MN722"/>
      <c r="MO722"/>
      <c r="MP722"/>
      <c r="MQ722"/>
      <c r="MR722"/>
      <c r="MS722"/>
      <c r="MT722"/>
      <c r="MU722"/>
      <c r="MV722"/>
      <c r="MW722"/>
      <c r="MX722"/>
      <c r="MY722"/>
      <c r="MZ722"/>
      <c r="NA722"/>
      <c r="NB722"/>
      <c r="NC722"/>
      <c r="ND722"/>
      <c r="NE722"/>
      <c r="NF722"/>
      <c r="NG722"/>
      <c r="NH722"/>
      <c r="NI722"/>
      <c r="NJ722"/>
      <c r="NK722"/>
      <c r="NL722"/>
      <c r="NM722"/>
      <c r="NN722"/>
      <c r="NO722"/>
      <c r="NP722"/>
      <c r="NQ722"/>
      <c r="NR722"/>
      <c r="NS722"/>
      <c r="NT722"/>
      <c r="NU722"/>
      <c r="NV722"/>
      <c r="NW722"/>
      <c r="NX722"/>
      <c r="NY722"/>
      <c r="NZ722"/>
      <c r="OA722"/>
      <c r="OB722"/>
      <c r="OC722"/>
      <c r="OD722"/>
      <c r="OE722"/>
      <c r="OF722"/>
      <c r="OG722"/>
      <c r="OH722"/>
      <c r="OI722"/>
      <c r="OJ722"/>
      <c r="OK722"/>
      <c r="OL722"/>
      <c r="OM722"/>
      <c r="ON722"/>
      <c r="OO722"/>
      <c r="OP722"/>
      <c r="OQ722"/>
      <c r="OR722"/>
      <c r="OS722"/>
      <c r="OT722"/>
      <c r="OU722"/>
      <c r="OV722"/>
      <c r="OW722"/>
      <c r="OX722"/>
      <c r="OY722"/>
      <c r="OZ722"/>
      <c r="PA722"/>
      <c r="PB722"/>
      <c r="PC722"/>
      <c r="PD722"/>
      <c r="PE722"/>
      <c r="PF722"/>
      <c r="PG722"/>
      <c r="PH722"/>
      <c r="PI722"/>
      <c r="PJ722"/>
      <c r="PK722"/>
      <c r="PL722"/>
      <c r="PM722"/>
      <c r="PN722"/>
      <c r="PO722"/>
      <c r="PP722"/>
      <c r="PQ722"/>
      <c r="PR722"/>
      <c r="PS722"/>
      <c r="PT722"/>
      <c r="PU722"/>
      <c r="PV722"/>
      <c r="PW722"/>
      <c r="PX722"/>
      <c r="PY722"/>
      <c r="PZ722"/>
      <c r="QA722"/>
      <c r="QB722"/>
      <c r="QC722"/>
      <c r="QD722"/>
      <c r="QE722"/>
      <c r="QF722"/>
      <c r="QG722"/>
      <c r="QH722"/>
      <c r="QI722"/>
      <c r="QJ722"/>
      <c r="QK722"/>
      <c r="QL722"/>
      <c r="QM722"/>
      <c r="QN722"/>
      <c r="QO722"/>
      <c r="QP722"/>
      <c r="QQ722"/>
      <c r="QR722"/>
      <c r="QS722"/>
      <c r="QT722"/>
      <c r="QU722"/>
      <c r="QV722"/>
      <c r="QW722"/>
      <c r="QX722"/>
      <c r="QY722"/>
      <c r="QZ722"/>
      <c r="RA722"/>
      <c r="RB722"/>
      <c r="RC722"/>
      <c r="RD722"/>
      <c r="RE722"/>
      <c r="RF722"/>
      <c r="RG722"/>
      <c r="RH722"/>
      <c r="RI722"/>
      <c r="RJ722"/>
      <c r="RK722"/>
      <c r="RL722"/>
      <c r="RM722"/>
      <c r="RN722"/>
      <c r="RO722"/>
      <c r="RP722"/>
      <c r="RQ722"/>
      <c r="RR722"/>
      <c r="RS722"/>
      <c r="RT722"/>
      <c r="RU722"/>
      <c r="RV722"/>
      <c r="RW722"/>
      <c r="RX722"/>
      <c r="RY722"/>
      <c r="RZ722"/>
      <c r="SA722"/>
      <c r="SB722"/>
      <c r="SC722"/>
      <c r="SD722"/>
      <c r="SE722"/>
      <c r="SF722"/>
      <c r="SG722"/>
      <c r="SH722"/>
      <c r="SI722"/>
      <c r="SJ722"/>
      <c r="SK722"/>
      <c r="SL722"/>
      <c r="SM722"/>
      <c r="SN722"/>
      <c r="SO722"/>
      <c r="SP722"/>
      <c r="SQ722"/>
      <c r="SR722"/>
      <c r="SS722"/>
      <c r="ST722"/>
      <c r="SU722"/>
      <c r="SV722"/>
      <c r="SW722"/>
      <c r="SX722"/>
      <c r="SY722"/>
      <c r="SZ722"/>
      <c r="TA722"/>
      <c r="TB722"/>
      <c r="TC722"/>
      <c r="TD722"/>
      <c r="TE722"/>
      <c r="TF722"/>
      <c r="TG722"/>
      <c r="TH722"/>
      <c r="TI722"/>
      <c r="TJ722"/>
      <c r="TK722"/>
      <c r="TL722"/>
      <c r="TM722"/>
      <c r="TN722"/>
      <c r="TO722"/>
      <c r="TP722"/>
      <c r="TQ722"/>
      <c r="TR722"/>
      <c r="TS722"/>
      <c r="TT722"/>
      <c r="TU722"/>
      <c r="TV722"/>
      <c r="TW722"/>
      <c r="TX722"/>
      <c r="TY722"/>
      <c r="TZ722"/>
      <c r="UA722"/>
      <c r="UB722"/>
      <c r="UC722"/>
      <c r="UD722"/>
      <c r="UE722"/>
      <c r="UF722"/>
      <c r="UG722"/>
      <c r="UH722"/>
      <c r="UI722"/>
      <c r="UJ722"/>
      <c r="UK722"/>
      <c r="UL722"/>
      <c r="UM722"/>
      <c r="UN722"/>
      <c r="UO722"/>
      <c r="UP722"/>
      <c r="UQ722"/>
      <c r="UR722"/>
      <c r="US722"/>
      <c r="UT722"/>
      <c r="UU722"/>
      <c r="UV722"/>
      <c r="UW722"/>
      <c r="UX722"/>
      <c r="UY722"/>
      <c r="UZ722"/>
      <c r="VA722"/>
      <c r="VB722"/>
      <c r="VC722"/>
      <c r="VD722"/>
      <c r="VE722"/>
      <c r="VF722"/>
      <c r="VG722"/>
      <c r="VH722"/>
      <c r="VI722"/>
      <c r="VJ722"/>
      <c r="VK722"/>
      <c r="VL722"/>
      <c r="VM722"/>
      <c r="VN722"/>
      <c r="VO722"/>
      <c r="VP722"/>
      <c r="VQ722"/>
      <c r="VR722"/>
      <c r="VS722"/>
      <c r="VT722"/>
      <c r="VU722"/>
      <c r="VV722"/>
      <c r="VW722"/>
      <c r="VX722"/>
      <c r="VY722"/>
      <c r="VZ722"/>
      <c r="WA722"/>
      <c r="WB722"/>
      <c r="WC722"/>
      <c r="WD722"/>
      <c r="WE722"/>
      <c r="WF722"/>
      <c r="WG722"/>
      <c r="WH722"/>
      <c r="WI722"/>
      <c r="WJ722"/>
      <c r="WK722"/>
      <c r="WL722"/>
      <c r="WM722"/>
      <c r="WN722"/>
      <c r="WO722"/>
      <c r="WP722"/>
      <c r="WQ722"/>
      <c r="WR722"/>
      <c r="WS722"/>
      <c r="WT722"/>
      <c r="WU722"/>
      <c r="WV722"/>
      <c r="WW722"/>
      <c r="WX722"/>
      <c r="WY722"/>
      <c r="WZ722"/>
      <c r="XA722"/>
      <c r="XB722"/>
      <c r="XC722"/>
      <c r="XD722"/>
      <c r="XE722"/>
      <c r="XF722"/>
      <c r="XG722"/>
      <c r="XH722"/>
      <c r="XI722"/>
      <c r="XJ722"/>
      <c r="XK722"/>
      <c r="XL722"/>
      <c r="XM722"/>
      <c r="XN722"/>
      <c r="XO722"/>
      <c r="XP722"/>
      <c r="XQ722"/>
      <c r="XR722"/>
      <c r="XS722"/>
      <c r="XT722"/>
      <c r="XU722"/>
      <c r="XV722"/>
      <c r="XW722"/>
      <c r="XX722"/>
      <c r="XY722"/>
      <c r="XZ722"/>
      <c r="YA722"/>
      <c r="YB722"/>
      <c r="YC722"/>
      <c r="YD722"/>
      <c r="YE722"/>
      <c r="YF722"/>
      <c r="YG722"/>
      <c r="YH722"/>
      <c r="YI722"/>
      <c r="YJ722"/>
      <c r="YK722"/>
      <c r="YL722"/>
      <c r="YM722"/>
      <c r="YN722"/>
      <c r="YO722"/>
      <c r="YP722"/>
      <c r="YQ722"/>
      <c r="YR722"/>
      <c r="YS722"/>
      <c r="YT722"/>
      <c r="YU722"/>
      <c r="YV722"/>
      <c r="YW722"/>
      <c r="YX722"/>
      <c r="YY722"/>
      <c r="YZ722"/>
      <c r="ZA722"/>
      <c r="ZB722"/>
      <c r="ZC722"/>
      <c r="ZD722"/>
      <c r="ZE722"/>
      <c r="ZF722"/>
      <c r="ZG722"/>
      <c r="ZH722"/>
      <c r="ZI722"/>
      <c r="ZJ722"/>
      <c r="ZK722"/>
      <c r="ZL722"/>
      <c r="ZM722"/>
      <c r="ZN722"/>
      <c r="ZO722"/>
      <c r="ZP722"/>
      <c r="ZQ722"/>
      <c r="ZR722"/>
      <c r="ZS722"/>
      <c r="ZT722"/>
      <c r="ZU722"/>
      <c r="ZV722"/>
      <c r="ZW722"/>
      <c r="ZX722"/>
      <c r="ZY722"/>
      <c r="ZZ722"/>
      <c r="AAA722"/>
      <c r="AAB722"/>
      <c r="AAC722"/>
      <c r="AAD722"/>
      <c r="AAE722"/>
      <c r="AAF722"/>
      <c r="AAG722"/>
      <c r="AAH722"/>
      <c r="AAI722"/>
      <c r="AAJ722"/>
      <c r="AAK722"/>
      <c r="AAL722"/>
      <c r="AAM722"/>
      <c r="AAN722"/>
      <c r="AAO722"/>
      <c r="AAP722"/>
      <c r="AAQ722"/>
      <c r="AAR722"/>
      <c r="AAS722"/>
      <c r="AAT722"/>
      <c r="AAU722"/>
      <c r="AAV722"/>
      <c r="AAW722"/>
      <c r="AAX722"/>
      <c r="AAY722"/>
      <c r="AAZ722"/>
      <c r="ABA722"/>
      <c r="ABB722"/>
      <c r="ABC722"/>
      <c r="ABD722"/>
      <c r="ABE722"/>
      <c r="ABF722"/>
      <c r="ABG722"/>
      <c r="ABH722"/>
      <c r="ABI722"/>
      <c r="ABJ722"/>
      <c r="ABK722"/>
      <c r="ABL722"/>
      <c r="ABM722"/>
      <c r="ABN722"/>
      <c r="ABO722"/>
      <c r="ABP722"/>
      <c r="ABQ722"/>
      <c r="ABR722"/>
      <c r="ABS722"/>
      <c r="ABT722"/>
      <c r="ABU722"/>
      <c r="ABV722"/>
      <c r="ABW722"/>
      <c r="ABX722"/>
      <c r="ABY722"/>
      <c r="ABZ722"/>
      <c r="ACA722"/>
      <c r="ACB722"/>
      <c r="ACC722"/>
      <c r="ACD722"/>
      <c r="ACE722"/>
      <c r="ACF722"/>
      <c r="ACG722"/>
      <c r="ACH722"/>
      <c r="ACI722"/>
      <c r="ACJ722"/>
      <c r="ACK722"/>
      <c r="ACL722"/>
      <c r="ACM722"/>
      <c r="ACN722"/>
      <c r="ACO722"/>
      <c r="ACP722"/>
      <c r="ACQ722"/>
      <c r="ACR722"/>
      <c r="ACS722"/>
      <c r="ACT722"/>
      <c r="ACU722"/>
      <c r="ACV722"/>
      <c r="ACW722"/>
      <c r="ACX722"/>
      <c r="ACY722"/>
      <c r="ACZ722"/>
      <c r="ADA722"/>
      <c r="ADB722"/>
      <c r="ADC722"/>
      <c r="ADD722"/>
      <c r="ADE722"/>
      <c r="ADF722"/>
      <c r="ADG722"/>
      <c r="ADH722"/>
      <c r="ADI722"/>
      <c r="ADJ722"/>
      <c r="ADK722"/>
      <c r="ADL722"/>
      <c r="ADM722"/>
      <c r="ADN722"/>
      <c r="ADO722"/>
      <c r="ADP722"/>
      <c r="ADQ722"/>
      <c r="ADR722"/>
      <c r="ADS722"/>
      <c r="ADT722"/>
      <c r="ADU722"/>
      <c r="ADV722"/>
      <c r="ADW722"/>
      <c r="ADX722"/>
      <c r="ADY722"/>
      <c r="ADZ722"/>
      <c r="AEA722"/>
      <c r="AEB722"/>
      <c r="AEC722"/>
      <c r="AED722"/>
      <c r="AEE722"/>
      <c r="AEF722"/>
      <c r="AEG722"/>
      <c r="AEH722"/>
      <c r="AEI722"/>
      <c r="AEJ722"/>
      <c r="AEK722"/>
      <c r="AEL722"/>
      <c r="AEM722"/>
      <c r="AEN722"/>
      <c r="AEO722"/>
      <c r="AEP722"/>
      <c r="AEQ722"/>
      <c r="AER722"/>
      <c r="AES722"/>
      <c r="AET722"/>
      <c r="AEU722"/>
      <c r="AEV722"/>
      <c r="AEW722"/>
      <c r="AEX722"/>
      <c r="AEY722"/>
      <c r="AEZ722"/>
      <c r="AFA722"/>
      <c r="AFB722"/>
      <c r="AFC722"/>
      <c r="AFD722"/>
      <c r="AFE722"/>
      <c r="AFF722"/>
      <c r="AFG722"/>
      <c r="AFH722"/>
      <c r="AFI722"/>
      <c r="AFJ722"/>
      <c r="AFK722"/>
      <c r="AFL722"/>
      <c r="AFM722"/>
      <c r="AFN722"/>
      <c r="AFO722"/>
      <c r="AFP722"/>
      <c r="AFQ722"/>
      <c r="AFR722"/>
      <c r="AFS722"/>
      <c r="AFT722"/>
      <c r="AFU722"/>
      <c r="AFV722"/>
      <c r="AFW722"/>
      <c r="AFX722"/>
      <c r="AFY722"/>
      <c r="AFZ722"/>
      <c r="AGA722"/>
      <c r="AGB722"/>
      <c r="AGC722"/>
      <c r="AGD722"/>
      <c r="AGE722"/>
      <c r="AGF722"/>
      <c r="AGG722"/>
      <c r="AGH722"/>
      <c r="AGI722"/>
      <c r="AGJ722"/>
      <c r="AGK722"/>
      <c r="AGL722"/>
      <c r="AGM722"/>
      <c r="AGN722"/>
      <c r="AGO722"/>
      <c r="AGP722"/>
      <c r="AGQ722"/>
      <c r="AGR722"/>
      <c r="AGS722"/>
      <c r="AGT722"/>
      <c r="AGU722"/>
      <c r="AGV722"/>
      <c r="AGW722"/>
      <c r="AGX722"/>
      <c r="AGY722"/>
      <c r="AGZ722"/>
      <c r="AHA722"/>
      <c r="AHB722"/>
      <c r="AHC722"/>
      <c r="AHD722"/>
      <c r="AHE722"/>
      <c r="AHF722"/>
      <c r="AHG722"/>
      <c r="AHH722"/>
      <c r="AHI722"/>
      <c r="AHJ722"/>
      <c r="AHK722"/>
      <c r="AHL722"/>
      <c r="AHM722"/>
      <c r="AHN722"/>
      <c r="AHO722"/>
      <c r="AHP722"/>
      <c r="AHQ722"/>
      <c r="AHR722"/>
      <c r="AHS722"/>
      <c r="AHT722"/>
      <c r="AHU722"/>
      <c r="AHV722"/>
      <c r="AHW722"/>
      <c r="AHX722"/>
      <c r="AHY722"/>
      <c r="AHZ722"/>
      <c r="AIA722"/>
      <c r="AIB722"/>
      <c r="AIC722"/>
      <c r="AID722"/>
      <c r="AIE722"/>
      <c r="AIF722"/>
      <c r="AIG722"/>
      <c r="AIH722"/>
      <c r="AII722"/>
      <c r="AIJ722"/>
      <c r="AIK722"/>
      <c r="AIL722"/>
      <c r="AIM722"/>
      <c r="AIN722"/>
      <c r="AIO722"/>
      <c r="AIP722"/>
      <c r="AIQ722"/>
      <c r="AIR722"/>
      <c r="AIS722"/>
      <c r="AIT722"/>
      <c r="AIU722"/>
      <c r="AIV722"/>
      <c r="AIW722"/>
      <c r="AIX722"/>
      <c r="AIY722"/>
      <c r="AIZ722"/>
      <c r="AJA722"/>
      <c r="AJB722"/>
      <c r="AJC722"/>
      <c r="AJD722"/>
      <c r="AJE722"/>
      <c r="AJF722"/>
      <c r="AJG722"/>
      <c r="AJH722"/>
      <c r="AJI722"/>
      <c r="AJJ722"/>
      <c r="AJK722"/>
      <c r="AJL722"/>
      <c r="AJM722"/>
      <c r="AJN722"/>
      <c r="AJO722"/>
      <c r="AJP722"/>
      <c r="AJQ722"/>
      <c r="AJR722"/>
      <c r="AJS722"/>
      <c r="AJT722"/>
      <c r="AJU722"/>
      <c r="AJV722"/>
      <c r="AJW722"/>
      <c r="AJX722"/>
      <c r="AJY722"/>
      <c r="AJZ722"/>
      <c r="AKA722"/>
      <c r="AKB722"/>
      <c r="AKC722"/>
      <c r="AKD722"/>
      <c r="AKE722"/>
      <c r="AKF722"/>
      <c r="AKG722"/>
      <c r="AKH722"/>
      <c r="AKI722"/>
      <c r="AKJ722"/>
      <c r="AKK722"/>
      <c r="AKL722"/>
      <c r="AKM722"/>
      <c r="AKN722"/>
      <c r="AKO722"/>
      <c r="AKP722"/>
      <c r="AKQ722"/>
      <c r="AKR722"/>
      <c r="AKS722"/>
      <c r="AKT722"/>
      <c r="AKU722"/>
      <c r="AKV722"/>
      <c r="AKW722"/>
      <c r="AKX722"/>
      <c r="AKY722"/>
      <c r="AKZ722"/>
      <c r="ALA722"/>
      <c r="ALB722"/>
      <c r="ALC722"/>
      <c r="ALD722"/>
      <c r="ALE722"/>
      <c r="ALF722"/>
      <c r="ALG722"/>
      <c r="ALH722"/>
      <c r="ALI722"/>
      <c r="ALJ722"/>
      <c r="ALK722"/>
      <c r="ALL722"/>
      <c r="ALM722"/>
      <c r="ALN722"/>
      <c r="ALO722"/>
      <c r="ALP722"/>
      <c r="ALQ722"/>
      <c r="ALR722"/>
      <c r="ALS722"/>
      <c r="ALT722"/>
      <c r="ALU722"/>
      <c r="ALV722"/>
      <c r="ALW722"/>
      <c r="ALX722"/>
      <c r="ALY722"/>
      <c r="ALZ722"/>
      <c r="AMA722"/>
      <c r="AMB722"/>
      <c r="AMC722"/>
      <c r="AMD722"/>
      <c r="AME722"/>
      <c r="AMF722"/>
      <c r="AMG722"/>
      <c r="AMH722"/>
      <c r="AMI722"/>
      <c r="AMJ722"/>
    </row>
    <row r="723" spans="1:1024">
      <c r="A723" s="7" t="s">
        <v>727</v>
      </c>
      <c r="B723" s="11">
        <v>803704</v>
      </c>
      <c r="C723" s="11"/>
      <c r="D723" s="12">
        <v>0.33333333333332998</v>
      </c>
      <c r="E723" s="7">
        <f>VLOOKUP(B723,Gesamtstunden_26!B:I,8,0)</f>
        <v>2</v>
      </c>
      <c r="F723" s="13">
        <f t="shared" si="11"/>
        <v>-1.6666666666666701</v>
      </c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  <c r="AT723" s="11"/>
      <c r="AU723" s="11"/>
      <c r="AV723" s="11"/>
      <c r="AW723" s="11"/>
      <c r="AX723" s="11"/>
      <c r="AY723" s="11"/>
      <c r="AZ723" s="11"/>
      <c r="BA723" s="11"/>
      <c r="BB723" s="11"/>
      <c r="BC723" s="11"/>
      <c r="BD723" s="11"/>
      <c r="BE723" s="11"/>
      <c r="BF723" s="11"/>
      <c r="BG723" s="11"/>
      <c r="BH723" s="11"/>
      <c r="BI723" s="11"/>
      <c r="BJ723" s="11"/>
      <c r="BK723" s="11"/>
      <c r="BL723" s="11"/>
      <c r="BM723" s="11"/>
      <c r="BN723" s="11"/>
      <c r="BO723" s="11"/>
      <c r="BP723" s="11"/>
      <c r="BQ723" s="11"/>
      <c r="BR723" s="11"/>
      <c r="BS723" s="11"/>
      <c r="BT723" s="11"/>
      <c r="BU723" s="11"/>
      <c r="BV723" s="11"/>
      <c r="BW723" s="11"/>
      <c r="BX723" s="11"/>
      <c r="BY723" s="11"/>
      <c r="BZ723" s="11"/>
      <c r="CA723" s="11"/>
      <c r="CB723" s="11"/>
      <c r="CC723" s="11"/>
      <c r="CD723" s="11"/>
      <c r="CE723" s="11"/>
      <c r="CF723" s="11"/>
      <c r="CG723" s="11"/>
      <c r="CH723" s="11"/>
      <c r="CI723" s="11"/>
      <c r="CJ723" s="11"/>
      <c r="CK723" s="11"/>
      <c r="CL723" s="11"/>
      <c r="CM723" s="11"/>
      <c r="CN723" s="11"/>
      <c r="CO723" s="11"/>
      <c r="CP723" s="11"/>
      <c r="CQ723" s="11"/>
      <c r="CR723" s="11"/>
      <c r="CS723" s="11"/>
      <c r="CT723" s="11"/>
      <c r="CU723" s="11"/>
      <c r="CV723" s="11"/>
      <c r="CW723" s="11"/>
      <c r="CX723" s="11"/>
      <c r="CY723" s="11"/>
      <c r="CZ723" s="11"/>
      <c r="DA723" s="11"/>
      <c r="DB723" s="11"/>
      <c r="DC723" s="11"/>
      <c r="DD723" s="11"/>
      <c r="DE723" s="11"/>
      <c r="DF723" s="11"/>
      <c r="DG723" s="11"/>
      <c r="DH723" s="11"/>
      <c r="DI723" s="11"/>
      <c r="DJ723" s="11"/>
      <c r="DK723" s="11"/>
      <c r="DL723" s="11"/>
      <c r="DM723" s="11"/>
      <c r="DN723" s="11"/>
      <c r="DO723" s="11"/>
      <c r="DP723" s="11"/>
      <c r="DQ723" s="11"/>
      <c r="DR723" s="11"/>
      <c r="DS723" s="11"/>
      <c r="DT723" s="11"/>
      <c r="DU723" s="11"/>
      <c r="DV723" s="11"/>
      <c r="DW723" s="11"/>
      <c r="DX723" s="11"/>
      <c r="DY723" s="11"/>
      <c r="DZ723" s="11"/>
      <c r="EA723" s="11"/>
      <c r="EB723" s="11"/>
      <c r="EC723" s="11"/>
      <c r="ED723" s="11"/>
      <c r="EE723" s="11"/>
      <c r="EF723" s="11"/>
      <c r="EG723" s="11"/>
      <c r="EH723" s="11"/>
      <c r="EI723" s="11"/>
      <c r="EJ723" s="11"/>
      <c r="EK723" s="11"/>
      <c r="EL723" s="11"/>
      <c r="EM723" s="11"/>
      <c r="EN723" s="11"/>
      <c r="EO723" s="11"/>
      <c r="EP723" s="11"/>
      <c r="EQ723" s="11"/>
      <c r="ER723" s="11"/>
      <c r="ES723" s="11"/>
      <c r="ET723" s="11"/>
      <c r="EU723" s="11"/>
      <c r="EV723" s="11"/>
      <c r="EW723" s="11"/>
      <c r="EX723" s="11"/>
      <c r="EY723" s="11"/>
      <c r="EZ723" s="11"/>
      <c r="FA723" s="11"/>
      <c r="FB723" s="11"/>
      <c r="FC723" s="11"/>
      <c r="FD723" s="11"/>
      <c r="FE723" s="11"/>
      <c r="FF723" s="11"/>
      <c r="FG723" s="11"/>
      <c r="FH723" s="11"/>
      <c r="FI723" s="11"/>
      <c r="FJ723" s="11"/>
      <c r="FK723" s="11"/>
      <c r="FL723" s="11"/>
      <c r="FM723" s="11"/>
      <c r="FN723" s="11"/>
      <c r="FO723" s="11"/>
      <c r="FP723" s="11"/>
      <c r="FQ723" s="11"/>
      <c r="FR723" s="11"/>
      <c r="FS723" s="11"/>
      <c r="FT723" s="11"/>
      <c r="FU723" s="11"/>
      <c r="FV723" s="11"/>
      <c r="FW723" s="11"/>
      <c r="FX723" s="11"/>
      <c r="FY723" s="11"/>
      <c r="FZ723" s="11"/>
      <c r="GA723" s="11"/>
      <c r="GB723" s="11"/>
      <c r="GC723" s="11"/>
      <c r="GD723" s="11"/>
      <c r="GE723" s="11"/>
      <c r="GF723" s="11"/>
      <c r="GG723" s="11"/>
      <c r="GH723" s="11"/>
      <c r="GI723" s="11"/>
      <c r="GJ723" s="11"/>
      <c r="GK723" s="11"/>
      <c r="GL723" s="11"/>
      <c r="GM723" s="11"/>
      <c r="GN723" s="11"/>
      <c r="GO723" s="11"/>
      <c r="GP723" s="11"/>
      <c r="GQ723" s="11"/>
      <c r="GR723" s="11"/>
      <c r="GS723" s="11"/>
      <c r="GT723" s="11"/>
      <c r="GU723" s="11"/>
      <c r="GV723" s="11"/>
      <c r="GW723" s="11"/>
      <c r="GX723" s="11"/>
      <c r="GY723" s="11"/>
      <c r="GZ723" s="11"/>
      <c r="HA723" s="11"/>
      <c r="HB723" s="11"/>
      <c r="HC723" s="11"/>
      <c r="HD723" s="11"/>
      <c r="HE723" s="11"/>
      <c r="HF723" s="11"/>
      <c r="HG723" s="11"/>
      <c r="HH723" s="11"/>
      <c r="HI723" s="11"/>
      <c r="HJ723" s="11"/>
      <c r="HK723" s="11"/>
      <c r="HL723" s="11"/>
      <c r="HM723" s="11"/>
      <c r="HN723" s="11"/>
      <c r="HO723" s="11"/>
      <c r="HP723" s="11"/>
      <c r="HQ723" s="11"/>
      <c r="HR723" s="11"/>
      <c r="HS723" s="11"/>
      <c r="HT723" s="11"/>
      <c r="HU723" s="11"/>
      <c r="HV723" s="11"/>
      <c r="HW723" s="11"/>
      <c r="HX723" s="11"/>
      <c r="HY723" s="11"/>
      <c r="HZ723" s="11"/>
      <c r="IA723" s="11"/>
      <c r="IB723" s="11"/>
      <c r="IC723" s="11"/>
      <c r="ID723" s="11"/>
      <c r="IE723" s="11"/>
      <c r="IF723" s="11"/>
      <c r="IG723" s="11"/>
      <c r="IH723" s="11"/>
      <c r="II723" s="11"/>
      <c r="IJ723" s="11"/>
      <c r="IK723" s="11"/>
      <c r="IL723" s="11"/>
      <c r="IM723" s="11"/>
      <c r="IN723" s="11"/>
      <c r="IO723" s="11"/>
      <c r="IP723" s="11"/>
      <c r="IQ723" s="11"/>
      <c r="IR723" s="11"/>
      <c r="IS723" s="11"/>
      <c r="IT723" s="11"/>
      <c r="IU723" s="11"/>
      <c r="IV723" s="11"/>
      <c r="IW723" s="11"/>
      <c r="IX723" s="11"/>
      <c r="IY723" s="11"/>
      <c r="IZ723" s="11"/>
      <c r="JA723" s="11"/>
      <c r="JB723" s="11"/>
      <c r="JC723" s="11"/>
      <c r="JD723" s="11"/>
      <c r="JE723" s="11"/>
      <c r="JF723" s="11"/>
      <c r="JG723" s="11"/>
      <c r="JH723" s="11"/>
      <c r="JI723" s="11"/>
      <c r="JJ723" s="11"/>
      <c r="JK723" s="11"/>
      <c r="JL723" s="11"/>
      <c r="JM723" s="11"/>
      <c r="JN723" s="11"/>
      <c r="JO723" s="11"/>
      <c r="JP723" s="11"/>
      <c r="JQ723" s="11"/>
      <c r="JR723" s="11"/>
      <c r="JS723" s="11"/>
      <c r="JT723" s="11"/>
      <c r="JU723" s="11"/>
      <c r="JV723" s="11"/>
      <c r="JW723" s="11"/>
      <c r="JX723" s="11"/>
      <c r="JY723" s="11"/>
      <c r="JZ723" s="11"/>
      <c r="KA723" s="11"/>
      <c r="KB723" s="11"/>
      <c r="KC723" s="11"/>
      <c r="KD723" s="11"/>
      <c r="KE723" s="11"/>
      <c r="KF723" s="11"/>
      <c r="KG723" s="11"/>
      <c r="KH723" s="11"/>
      <c r="KI723" s="11"/>
      <c r="KJ723" s="11"/>
      <c r="KK723" s="11"/>
      <c r="KL723" s="11"/>
      <c r="KM723" s="11"/>
      <c r="KN723" s="11"/>
      <c r="KO723" s="11"/>
      <c r="KP723" s="11"/>
      <c r="KQ723" s="11"/>
      <c r="KR723" s="11"/>
      <c r="KS723" s="11"/>
      <c r="KT723" s="11"/>
      <c r="KU723" s="11"/>
      <c r="KV723" s="11"/>
      <c r="KW723" s="11"/>
      <c r="KX723" s="11"/>
      <c r="KY723" s="11"/>
      <c r="KZ723" s="11"/>
      <c r="LA723" s="11"/>
      <c r="LB723" s="11"/>
      <c r="LC723" s="11"/>
      <c r="LD723" s="11"/>
      <c r="LE723" s="11"/>
      <c r="LF723" s="11"/>
      <c r="LG723" s="11"/>
      <c r="LH723" s="11"/>
      <c r="LI723" s="11"/>
      <c r="LJ723" s="11"/>
      <c r="LK723" s="11"/>
      <c r="LL723" s="11"/>
      <c r="LM723" s="11"/>
      <c r="LN723" s="11"/>
      <c r="LO723" s="11"/>
      <c r="LP723" s="11"/>
      <c r="LQ723" s="11"/>
      <c r="LR723" s="11"/>
      <c r="LS723" s="11"/>
      <c r="LT723" s="11"/>
      <c r="LU723" s="11"/>
      <c r="LV723" s="11"/>
      <c r="LW723" s="11"/>
      <c r="LX723" s="11"/>
      <c r="LY723" s="11"/>
      <c r="LZ723" s="11"/>
      <c r="MA723" s="11"/>
      <c r="MB723" s="11"/>
      <c r="MC723" s="11"/>
      <c r="MD723" s="11"/>
      <c r="ME723" s="11"/>
      <c r="MF723" s="11"/>
      <c r="MG723" s="11"/>
      <c r="MH723" s="11"/>
      <c r="MI723" s="11"/>
      <c r="MJ723" s="11"/>
      <c r="MK723" s="11"/>
      <c r="ML723" s="11"/>
      <c r="MM723" s="11"/>
      <c r="MN723" s="11"/>
      <c r="MO723" s="11"/>
      <c r="MP723" s="11"/>
      <c r="MQ723" s="11"/>
      <c r="MR723" s="11"/>
      <c r="MS723" s="11"/>
      <c r="MT723" s="11"/>
      <c r="MU723" s="11"/>
      <c r="MV723" s="11"/>
      <c r="MW723" s="11"/>
      <c r="MX723" s="11"/>
      <c r="MY723" s="11"/>
      <c r="MZ723" s="11"/>
      <c r="NA723" s="11"/>
      <c r="NB723" s="11"/>
      <c r="NC723" s="11"/>
      <c r="ND723" s="11"/>
      <c r="NE723" s="11"/>
      <c r="NF723" s="11"/>
      <c r="NG723" s="11"/>
      <c r="NH723" s="11"/>
      <c r="NI723" s="11"/>
      <c r="NJ723" s="11"/>
      <c r="NK723" s="11"/>
      <c r="NL723" s="11"/>
      <c r="NM723" s="11"/>
      <c r="NN723" s="11"/>
      <c r="NO723" s="11"/>
      <c r="NP723" s="11"/>
      <c r="NQ723" s="11"/>
      <c r="NR723" s="11"/>
      <c r="NS723" s="11"/>
      <c r="NT723" s="11"/>
      <c r="NU723" s="11"/>
      <c r="NV723" s="11"/>
      <c r="NW723" s="11"/>
      <c r="NX723" s="11"/>
      <c r="NY723" s="11"/>
      <c r="NZ723" s="11"/>
      <c r="OA723" s="11"/>
      <c r="OB723" s="11"/>
      <c r="OC723" s="11"/>
      <c r="OD723" s="11"/>
      <c r="OE723" s="11"/>
      <c r="OF723" s="11"/>
      <c r="OG723" s="11"/>
      <c r="OH723" s="11"/>
      <c r="OI723" s="11"/>
      <c r="OJ723" s="11"/>
      <c r="OK723" s="11"/>
      <c r="OL723" s="11"/>
      <c r="OM723" s="11"/>
      <c r="ON723" s="11"/>
      <c r="OO723" s="11"/>
      <c r="OP723" s="11"/>
      <c r="OQ723" s="11"/>
      <c r="OR723" s="11"/>
      <c r="OS723" s="11"/>
      <c r="OT723" s="11"/>
      <c r="OU723" s="11"/>
      <c r="OV723" s="11"/>
      <c r="OW723" s="11"/>
      <c r="OX723" s="11"/>
      <c r="OY723" s="11"/>
      <c r="OZ723" s="11"/>
      <c r="PA723" s="11"/>
      <c r="PB723" s="11"/>
      <c r="PC723" s="11"/>
      <c r="PD723" s="11"/>
      <c r="PE723" s="11"/>
      <c r="PF723" s="11"/>
      <c r="PG723" s="11"/>
      <c r="PH723" s="11"/>
      <c r="PI723" s="11"/>
      <c r="PJ723" s="11"/>
      <c r="PK723" s="11"/>
      <c r="PL723" s="11"/>
      <c r="PM723" s="11"/>
      <c r="PN723" s="11"/>
      <c r="PO723" s="11"/>
      <c r="PP723" s="11"/>
      <c r="PQ723" s="11"/>
      <c r="PR723" s="11"/>
      <c r="PS723" s="11"/>
      <c r="PT723" s="11"/>
      <c r="PU723" s="11"/>
      <c r="PV723" s="11"/>
      <c r="PW723" s="11"/>
      <c r="PX723" s="11"/>
      <c r="PY723" s="11"/>
      <c r="PZ723" s="11"/>
      <c r="QA723" s="11"/>
      <c r="QB723" s="11"/>
      <c r="QC723" s="11"/>
      <c r="QD723" s="11"/>
      <c r="QE723" s="11"/>
      <c r="QF723" s="11"/>
      <c r="QG723" s="11"/>
      <c r="QH723" s="11"/>
      <c r="QI723" s="11"/>
      <c r="QJ723" s="11"/>
      <c r="QK723" s="11"/>
      <c r="QL723" s="11"/>
      <c r="QM723" s="11"/>
      <c r="QN723" s="11"/>
      <c r="QO723" s="11"/>
      <c r="QP723" s="11"/>
      <c r="QQ723" s="11"/>
      <c r="QR723" s="11"/>
      <c r="QS723" s="11"/>
      <c r="QT723" s="11"/>
      <c r="QU723" s="11"/>
      <c r="QV723" s="11"/>
      <c r="QW723" s="11"/>
      <c r="QX723" s="11"/>
      <c r="QY723" s="11"/>
      <c r="QZ723" s="11"/>
      <c r="RA723" s="11"/>
      <c r="RB723" s="11"/>
      <c r="RC723" s="11"/>
      <c r="RD723" s="11"/>
      <c r="RE723" s="11"/>
      <c r="RF723" s="11"/>
      <c r="RG723" s="11"/>
      <c r="RH723" s="11"/>
      <c r="RI723" s="11"/>
      <c r="RJ723" s="11"/>
      <c r="RK723" s="11"/>
      <c r="RL723" s="11"/>
      <c r="RM723" s="11"/>
      <c r="RN723" s="11"/>
      <c r="RO723" s="11"/>
      <c r="RP723" s="11"/>
      <c r="RQ723" s="11"/>
      <c r="RR723" s="11"/>
      <c r="RS723" s="11"/>
      <c r="RT723" s="11"/>
      <c r="RU723" s="11"/>
      <c r="RV723" s="11"/>
      <c r="RW723" s="11"/>
      <c r="RX723" s="11"/>
      <c r="RY723" s="11"/>
      <c r="RZ723" s="11"/>
      <c r="SA723" s="11"/>
      <c r="SB723" s="11"/>
      <c r="SC723" s="11"/>
      <c r="SD723" s="11"/>
      <c r="SE723" s="11"/>
      <c r="SF723" s="11"/>
      <c r="SG723" s="11"/>
      <c r="SH723" s="11"/>
      <c r="SI723" s="11"/>
      <c r="SJ723" s="11"/>
      <c r="SK723" s="11"/>
      <c r="SL723" s="11"/>
      <c r="SM723" s="11"/>
      <c r="SN723" s="11"/>
      <c r="SO723" s="11"/>
      <c r="SP723" s="11"/>
      <c r="SQ723" s="11"/>
      <c r="SR723" s="11"/>
      <c r="SS723" s="11"/>
      <c r="ST723" s="11"/>
      <c r="SU723" s="11"/>
      <c r="SV723" s="11"/>
      <c r="SW723" s="11"/>
      <c r="SX723" s="11"/>
      <c r="SY723" s="11"/>
      <c r="SZ723" s="11"/>
      <c r="TA723" s="11"/>
      <c r="TB723" s="11"/>
      <c r="TC723" s="11"/>
      <c r="TD723" s="11"/>
      <c r="TE723" s="11"/>
      <c r="TF723" s="11"/>
      <c r="TG723" s="11"/>
      <c r="TH723" s="11"/>
      <c r="TI723" s="11"/>
      <c r="TJ723" s="11"/>
      <c r="TK723" s="11"/>
      <c r="TL723" s="11"/>
      <c r="TM723" s="11"/>
      <c r="TN723" s="11"/>
      <c r="TO723" s="11"/>
      <c r="TP723" s="11"/>
      <c r="TQ723" s="11"/>
      <c r="TR723" s="11"/>
      <c r="TS723" s="11"/>
      <c r="TT723" s="11"/>
      <c r="TU723" s="11"/>
      <c r="TV723" s="11"/>
      <c r="TW723" s="11"/>
      <c r="TX723" s="11"/>
      <c r="TY723" s="11"/>
      <c r="TZ723" s="11"/>
      <c r="UA723" s="11"/>
      <c r="UB723" s="11"/>
      <c r="UC723" s="11"/>
      <c r="UD723" s="11"/>
      <c r="UE723" s="11"/>
      <c r="UF723" s="11"/>
      <c r="UG723" s="11"/>
      <c r="UH723" s="11"/>
      <c r="UI723" s="11"/>
      <c r="UJ723" s="11"/>
      <c r="UK723" s="11"/>
      <c r="UL723" s="11"/>
      <c r="UM723" s="11"/>
      <c r="UN723" s="11"/>
      <c r="UO723" s="11"/>
      <c r="UP723" s="11"/>
      <c r="UQ723" s="11"/>
      <c r="UR723" s="11"/>
      <c r="US723" s="11"/>
      <c r="UT723" s="11"/>
      <c r="UU723" s="11"/>
      <c r="UV723" s="11"/>
      <c r="UW723" s="11"/>
      <c r="UX723" s="11"/>
      <c r="UY723" s="11"/>
      <c r="UZ723" s="11"/>
      <c r="VA723" s="11"/>
      <c r="VB723" s="11"/>
      <c r="VC723" s="11"/>
      <c r="VD723" s="11"/>
      <c r="VE723" s="11"/>
      <c r="VF723" s="11"/>
      <c r="VG723" s="11"/>
      <c r="VH723" s="11"/>
      <c r="VI723" s="11"/>
      <c r="VJ723" s="11"/>
      <c r="VK723" s="11"/>
      <c r="VL723" s="11"/>
      <c r="VM723" s="11"/>
      <c r="VN723" s="11"/>
      <c r="VO723" s="11"/>
      <c r="VP723" s="11"/>
      <c r="VQ723" s="11"/>
      <c r="VR723" s="11"/>
      <c r="VS723" s="11"/>
      <c r="VT723" s="11"/>
      <c r="VU723" s="11"/>
      <c r="VV723" s="11"/>
      <c r="VW723" s="11"/>
      <c r="VX723" s="11"/>
      <c r="VY723" s="11"/>
      <c r="VZ723" s="11"/>
      <c r="WA723" s="11"/>
      <c r="WB723" s="11"/>
      <c r="WC723" s="11"/>
      <c r="WD723" s="11"/>
      <c r="WE723" s="11"/>
      <c r="WF723" s="11"/>
      <c r="WG723" s="11"/>
      <c r="WH723" s="11"/>
      <c r="WI723" s="11"/>
      <c r="WJ723" s="11"/>
      <c r="WK723" s="11"/>
      <c r="WL723" s="11"/>
      <c r="WM723" s="11"/>
      <c r="WN723" s="11"/>
      <c r="WO723" s="11"/>
      <c r="WP723" s="11"/>
      <c r="WQ723" s="11"/>
      <c r="WR723" s="11"/>
      <c r="WS723" s="11"/>
      <c r="WT723" s="11"/>
      <c r="WU723" s="11"/>
      <c r="WV723" s="11"/>
      <c r="WW723" s="11"/>
      <c r="WX723" s="11"/>
      <c r="WY723" s="11"/>
      <c r="WZ723" s="11"/>
      <c r="XA723" s="11"/>
      <c r="XB723" s="11"/>
      <c r="XC723" s="11"/>
      <c r="XD723" s="11"/>
      <c r="XE723" s="11"/>
      <c r="XF723" s="11"/>
      <c r="XG723" s="11"/>
      <c r="XH723" s="11"/>
      <c r="XI723" s="11"/>
      <c r="XJ723" s="11"/>
      <c r="XK723" s="11"/>
      <c r="XL723" s="11"/>
      <c r="XM723" s="11"/>
      <c r="XN723" s="11"/>
      <c r="XO723" s="11"/>
      <c r="XP723" s="11"/>
      <c r="XQ723" s="11"/>
      <c r="XR723" s="11"/>
      <c r="XS723" s="11"/>
      <c r="XT723" s="11"/>
      <c r="XU723" s="11"/>
      <c r="XV723" s="11"/>
      <c r="XW723" s="11"/>
      <c r="XX723" s="11"/>
      <c r="XY723" s="11"/>
      <c r="XZ723" s="11"/>
      <c r="YA723" s="11"/>
      <c r="YB723" s="11"/>
      <c r="YC723" s="11"/>
      <c r="YD723" s="11"/>
      <c r="YE723" s="11"/>
      <c r="YF723" s="11"/>
      <c r="YG723" s="11"/>
      <c r="YH723" s="11"/>
      <c r="YI723" s="11"/>
      <c r="YJ723" s="11"/>
      <c r="YK723" s="11"/>
      <c r="YL723" s="11"/>
      <c r="YM723" s="11"/>
      <c r="YN723" s="11"/>
      <c r="YO723" s="11"/>
      <c r="YP723" s="11"/>
      <c r="YQ723" s="11"/>
      <c r="YR723" s="11"/>
      <c r="YS723" s="11"/>
      <c r="YT723" s="11"/>
      <c r="YU723" s="11"/>
      <c r="YV723" s="11"/>
      <c r="YW723" s="11"/>
      <c r="YX723" s="11"/>
      <c r="YY723" s="11"/>
      <c r="YZ723" s="11"/>
      <c r="ZA723" s="11"/>
      <c r="ZB723" s="11"/>
      <c r="ZC723" s="11"/>
      <c r="ZD723" s="11"/>
      <c r="ZE723" s="11"/>
      <c r="ZF723" s="11"/>
      <c r="ZG723" s="11"/>
      <c r="ZH723" s="11"/>
      <c r="ZI723" s="11"/>
      <c r="ZJ723" s="11"/>
      <c r="ZK723" s="11"/>
      <c r="ZL723" s="11"/>
      <c r="ZM723" s="11"/>
      <c r="ZN723" s="11"/>
      <c r="ZO723" s="11"/>
      <c r="ZP723" s="11"/>
      <c r="ZQ723" s="11"/>
      <c r="ZR723" s="11"/>
      <c r="ZS723" s="11"/>
      <c r="ZT723" s="11"/>
      <c r="ZU723" s="11"/>
      <c r="ZV723" s="11"/>
      <c r="ZW723" s="11"/>
      <c r="ZX723" s="11"/>
      <c r="ZY723" s="11"/>
      <c r="ZZ723" s="11"/>
      <c r="AAA723" s="11"/>
      <c r="AAB723" s="11"/>
      <c r="AAC723" s="11"/>
      <c r="AAD723" s="11"/>
      <c r="AAE723" s="11"/>
      <c r="AAF723" s="11"/>
      <c r="AAG723" s="11"/>
      <c r="AAH723" s="11"/>
      <c r="AAI723" s="11"/>
      <c r="AAJ723" s="11"/>
      <c r="AAK723" s="11"/>
      <c r="AAL723" s="11"/>
      <c r="AAM723" s="11"/>
      <c r="AAN723" s="11"/>
      <c r="AAO723" s="11"/>
      <c r="AAP723" s="11"/>
      <c r="AAQ723" s="11"/>
      <c r="AAR723" s="11"/>
      <c r="AAS723" s="11"/>
      <c r="AAT723" s="11"/>
      <c r="AAU723" s="11"/>
      <c r="AAV723" s="11"/>
      <c r="AAW723" s="11"/>
      <c r="AAX723" s="11"/>
      <c r="AAY723" s="11"/>
      <c r="AAZ723" s="11"/>
      <c r="ABA723" s="11"/>
      <c r="ABB723" s="11"/>
      <c r="ABC723" s="11"/>
      <c r="ABD723" s="11"/>
      <c r="ABE723" s="11"/>
      <c r="ABF723" s="11"/>
      <c r="ABG723" s="11"/>
      <c r="ABH723" s="11"/>
      <c r="ABI723" s="11"/>
      <c r="ABJ723" s="11"/>
      <c r="ABK723" s="11"/>
      <c r="ABL723" s="11"/>
      <c r="ABM723" s="11"/>
      <c r="ABN723" s="11"/>
      <c r="ABO723" s="11"/>
      <c r="ABP723" s="11"/>
      <c r="ABQ723" s="11"/>
      <c r="ABR723" s="11"/>
      <c r="ABS723" s="11"/>
      <c r="ABT723" s="11"/>
      <c r="ABU723" s="11"/>
      <c r="ABV723" s="11"/>
      <c r="ABW723" s="11"/>
      <c r="ABX723" s="11"/>
      <c r="ABY723" s="11"/>
      <c r="ABZ723" s="11"/>
      <c r="ACA723" s="11"/>
      <c r="ACB723" s="11"/>
      <c r="ACC723" s="11"/>
      <c r="ACD723" s="11"/>
      <c r="ACE723" s="11"/>
      <c r="ACF723" s="11"/>
      <c r="ACG723" s="11"/>
      <c r="ACH723" s="11"/>
      <c r="ACI723" s="11"/>
      <c r="ACJ723" s="11"/>
      <c r="ACK723" s="11"/>
      <c r="ACL723" s="11"/>
      <c r="ACM723" s="11"/>
      <c r="ACN723" s="11"/>
      <c r="ACO723" s="11"/>
      <c r="ACP723" s="11"/>
      <c r="ACQ723" s="11"/>
      <c r="ACR723" s="11"/>
      <c r="ACS723" s="11"/>
      <c r="ACT723" s="11"/>
      <c r="ACU723" s="11"/>
      <c r="ACV723" s="11"/>
      <c r="ACW723" s="11"/>
      <c r="ACX723" s="11"/>
      <c r="ACY723" s="11"/>
      <c r="ACZ723" s="11"/>
      <c r="ADA723" s="11"/>
      <c r="ADB723" s="11"/>
      <c r="ADC723" s="11"/>
      <c r="ADD723" s="11"/>
      <c r="ADE723" s="11"/>
      <c r="ADF723" s="11"/>
      <c r="ADG723" s="11"/>
      <c r="ADH723" s="11"/>
      <c r="ADI723" s="11"/>
      <c r="ADJ723" s="11"/>
      <c r="ADK723" s="11"/>
      <c r="ADL723" s="11"/>
      <c r="ADM723" s="11"/>
      <c r="ADN723" s="11"/>
      <c r="ADO723" s="11"/>
      <c r="ADP723" s="11"/>
      <c r="ADQ723" s="11"/>
      <c r="ADR723" s="11"/>
      <c r="ADS723" s="11"/>
      <c r="ADT723" s="11"/>
      <c r="ADU723" s="11"/>
      <c r="ADV723" s="11"/>
      <c r="ADW723" s="11"/>
      <c r="ADX723" s="11"/>
      <c r="ADY723" s="11"/>
      <c r="ADZ723" s="11"/>
      <c r="AEA723" s="11"/>
      <c r="AEB723" s="11"/>
      <c r="AEC723" s="11"/>
      <c r="AED723" s="11"/>
      <c r="AEE723" s="11"/>
      <c r="AEF723" s="11"/>
      <c r="AEG723" s="11"/>
      <c r="AEH723" s="11"/>
      <c r="AEI723" s="11"/>
      <c r="AEJ723" s="11"/>
      <c r="AEK723" s="11"/>
      <c r="AEL723" s="11"/>
      <c r="AEM723" s="11"/>
      <c r="AEN723" s="11"/>
      <c r="AEO723" s="11"/>
      <c r="AEP723" s="11"/>
      <c r="AEQ723" s="11"/>
      <c r="AER723" s="11"/>
      <c r="AES723" s="11"/>
      <c r="AET723" s="11"/>
      <c r="AEU723" s="11"/>
      <c r="AEV723" s="11"/>
      <c r="AEW723" s="11"/>
      <c r="AEX723" s="11"/>
      <c r="AEY723" s="11"/>
      <c r="AEZ723" s="11"/>
      <c r="AFA723" s="11"/>
      <c r="AFB723" s="11"/>
      <c r="AFC723" s="11"/>
      <c r="AFD723" s="11"/>
      <c r="AFE723" s="11"/>
      <c r="AFF723" s="11"/>
      <c r="AFG723" s="11"/>
      <c r="AFH723" s="11"/>
      <c r="AFI723" s="11"/>
      <c r="AFJ723" s="11"/>
      <c r="AFK723" s="11"/>
      <c r="AFL723" s="11"/>
      <c r="AFM723" s="11"/>
      <c r="AFN723" s="11"/>
      <c r="AFO723" s="11"/>
      <c r="AFP723" s="11"/>
      <c r="AFQ723" s="11"/>
      <c r="AFR723" s="11"/>
      <c r="AFS723" s="11"/>
      <c r="AFT723" s="11"/>
      <c r="AFU723" s="11"/>
      <c r="AFV723" s="11"/>
      <c r="AFW723" s="11"/>
      <c r="AFX723" s="11"/>
      <c r="AFY723" s="11"/>
      <c r="AFZ723" s="11"/>
      <c r="AGA723" s="11"/>
      <c r="AGB723" s="11"/>
      <c r="AGC723" s="11"/>
      <c r="AGD723" s="11"/>
      <c r="AGE723" s="11"/>
      <c r="AGF723" s="11"/>
      <c r="AGG723" s="11"/>
      <c r="AGH723" s="11"/>
      <c r="AGI723" s="11"/>
      <c r="AGJ723" s="11"/>
      <c r="AGK723" s="11"/>
      <c r="AGL723" s="11"/>
      <c r="AGM723" s="11"/>
      <c r="AGN723" s="11"/>
      <c r="AGO723" s="11"/>
      <c r="AGP723" s="11"/>
      <c r="AGQ723" s="11"/>
      <c r="AGR723" s="11"/>
      <c r="AGS723" s="11"/>
      <c r="AGT723" s="11"/>
      <c r="AGU723" s="11"/>
      <c r="AGV723" s="11"/>
      <c r="AGW723" s="11"/>
      <c r="AGX723" s="11"/>
      <c r="AGY723" s="11"/>
      <c r="AGZ723" s="11"/>
      <c r="AHA723" s="11"/>
      <c r="AHB723" s="11"/>
      <c r="AHC723" s="11"/>
      <c r="AHD723" s="11"/>
      <c r="AHE723" s="11"/>
      <c r="AHF723" s="11"/>
      <c r="AHG723" s="11"/>
      <c r="AHH723" s="11"/>
      <c r="AHI723" s="11"/>
      <c r="AHJ723" s="11"/>
      <c r="AHK723" s="11"/>
      <c r="AHL723" s="11"/>
      <c r="AHM723" s="11"/>
      <c r="AHN723" s="11"/>
      <c r="AHO723" s="11"/>
      <c r="AHP723" s="11"/>
      <c r="AHQ723" s="11"/>
      <c r="AHR723" s="11"/>
      <c r="AHS723" s="11"/>
      <c r="AHT723" s="11"/>
      <c r="AHU723" s="11"/>
      <c r="AHV723" s="11"/>
      <c r="AHW723" s="11"/>
      <c r="AHX723" s="11"/>
      <c r="AHY723" s="11"/>
      <c r="AHZ723" s="11"/>
      <c r="AIA723" s="11"/>
      <c r="AIB723" s="11"/>
      <c r="AIC723" s="11"/>
      <c r="AID723" s="11"/>
      <c r="AIE723" s="11"/>
      <c r="AIF723" s="11"/>
      <c r="AIG723" s="11"/>
      <c r="AIH723" s="11"/>
      <c r="AII723" s="11"/>
      <c r="AIJ723" s="11"/>
      <c r="AIK723" s="11"/>
      <c r="AIL723" s="11"/>
      <c r="AIM723" s="11"/>
      <c r="AIN723" s="11"/>
      <c r="AIO723" s="11"/>
      <c r="AIP723" s="11"/>
      <c r="AIQ723" s="11"/>
      <c r="AIR723" s="11"/>
      <c r="AIS723" s="11"/>
      <c r="AIT723" s="11"/>
      <c r="AIU723" s="11"/>
      <c r="AIV723" s="11"/>
      <c r="AIW723" s="11"/>
      <c r="AIX723" s="11"/>
      <c r="AIY723" s="11"/>
      <c r="AIZ723" s="11"/>
      <c r="AJA723" s="11"/>
      <c r="AJB723" s="11"/>
      <c r="AJC723" s="11"/>
      <c r="AJD723" s="11"/>
      <c r="AJE723" s="11"/>
      <c r="AJF723" s="11"/>
      <c r="AJG723" s="11"/>
      <c r="AJH723" s="11"/>
      <c r="AJI723" s="11"/>
      <c r="AJJ723" s="11"/>
      <c r="AJK723" s="11"/>
      <c r="AJL723" s="11"/>
      <c r="AJM723" s="11"/>
      <c r="AJN723" s="11"/>
      <c r="AJO723" s="11"/>
      <c r="AJP723" s="11"/>
      <c r="AJQ723" s="11"/>
      <c r="AJR723" s="11"/>
      <c r="AJS723" s="11"/>
      <c r="AJT723" s="11"/>
      <c r="AJU723" s="11"/>
      <c r="AJV723" s="11"/>
      <c r="AJW723" s="11"/>
      <c r="AJX723" s="11"/>
      <c r="AJY723" s="11"/>
      <c r="AJZ723" s="11"/>
      <c r="AKA723" s="11"/>
      <c r="AKB723" s="11"/>
      <c r="AKC723" s="11"/>
      <c r="AKD723" s="11"/>
      <c r="AKE723" s="11"/>
      <c r="AKF723" s="11"/>
      <c r="AKG723" s="11"/>
      <c r="AKH723" s="11"/>
      <c r="AKI723" s="11"/>
      <c r="AKJ723" s="11"/>
      <c r="AKK723" s="11"/>
      <c r="AKL723" s="11"/>
      <c r="AKM723" s="11"/>
      <c r="AKN723" s="11"/>
      <c r="AKO723" s="11"/>
      <c r="AKP723" s="11"/>
      <c r="AKQ723" s="11"/>
      <c r="AKR723" s="11"/>
      <c r="AKS723" s="11"/>
      <c r="AKT723" s="11"/>
      <c r="AKU723" s="11"/>
      <c r="AKV723" s="11"/>
      <c r="AKW723" s="11"/>
      <c r="AKX723" s="11"/>
      <c r="AKY723" s="11"/>
      <c r="AKZ723" s="11"/>
      <c r="ALA723" s="11"/>
      <c r="ALB723" s="11"/>
      <c r="ALC723" s="11"/>
      <c r="ALD723" s="11"/>
      <c r="ALE723" s="11"/>
      <c r="ALF723" s="11"/>
      <c r="ALG723" s="11"/>
      <c r="ALH723" s="11"/>
      <c r="ALI723" s="11"/>
      <c r="ALJ723" s="11"/>
      <c r="ALK723" s="11"/>
      <c r="ALL723" s="11"/>
      <c r="ALM723" s="11"/>
      <c r="ALN723" s="11"/>
      <c r="ALO723" s="11"/>
      <c r="ALP723" s="11"/>
      <c r="ALQ723" s="11"/>
      <c r="ALR723" s="11"/>
      <c r="ALS723" s="11"/>
      <c r="ALT723" s="11"/>
      <c r="ALU723" s="11"/>
      <c r="ALV723" s="11"/>
      <c r="ALW723" s="11"/>
      <c r="ALX723" s="11"/>
      <c r="ALY723" s="11"/>
      <c r="ALZ723" s="11"/>
      <c r="AMA723" s="11"/>
      <c r="AMB723" s="11"/>
      <c r="AMC723" s="11"/>
      <c r="AMD723" s="11"/>
      <c r="AME723" s="11"/>
      <c r="AMF723" s="11"/>
      <c r="AMG723" s="11"/>
      <c r="AMH723" s="11"/>
      <c r="AMI723" s="11"/>
      <c r="AMJ723" s="11"/>
    </row>
    <row r="724" spans="1:1024">
      <c r="A724" s="8" t="s">
        <v>728</v>
      </c>
      <c r="B724" s="8">
        <v>852772</v>
      </c>
      <c r="D724" s="1">
        <v>7.6666666666666696</v>
      </c>
      <c r="E724" s="8">
        <f>VLOOKUP(B724,Gesamtstunden_26!B:I,8,0)</f>
        <v>0</v>
      </c>
      <c r="F724" s="2">
        <f t="shared" si="11"/>
        <v>7.6666666666666696</v>
      </c>
    </row>
    <row r="725" spans="1:1024">
      <c r="A725" s="7" t="s">
        <v>729</v>
      </c>
      <c r="B725" s="7">
        <v>803535</v>
      </c>
      <c r="D725" s="1">
        <v>0</v>
      </c>
      <c r="E725" s="8">
        <f>VLOOKUP(B725,Gesamtstunden_26!B:I,8,0)</f>
        <v>10.666666666666668</v>
      </c>
      <c r="F725" s="2">
        <f t="shared" si="11"/>
        <v>-10.666666666666668</v>
      </c>
    </row>
    <row r="726" spans="1:1024">
      <c r="A726" s="8" t="s">
        <v>730</v>
      </c>
      <c r="B726" s="8">
        <v>225069</v>
      </c>
      <c r="D726" s="1">
        <v>15.67</v>
      </c>
      <c r="E726" s="8">
        <f>VLOOKUP(B726,Gesamtstunden_26!B:I,8,0)</f>
        <v>0</v>
      </c>
      <c r="F726" s="2">
        <f t="shared" si="11"/>
        <v>15.67</v>
      </c>
    </row>
    <row r="727" spans="1:1024">
      <c r="A727" s="10" t="s">
        <v>731</v>
      </c>
      <c r="B727" s="10">
        <v>135988</v>
      </c>
      <c r="D727" s="1">
        <v>0</v>
      </c>
      <c r="E727" s="8">
        <f>VLOOKUP(B727,Gesamtstunden_26!B:I,8,0)</f>
        <v>0.33333333333333331</v>
      </c>
      <c r="F727" s="2">
        <f t="shared" si="11"/>
        <v>-0.33333333333333331</v>
      </c>
    </row>
    <row r="728" spans="1:1024">
      <c r="A728" s="8" t="s">
        <v>732</v>
      </c>
      <c r="B728" s="8">
        <v>759294</v>
      </c>
      <c r="D728" s="1">
        <v>11.3333333333333</v>
      </c>
      <c r="E728" s="8">
        <f>VLOOKUP(B728,Gesamtstunden_26!B:I,8,0)</f>
        <v>0</v>
      </c>
      <c r="F728" s="2">
        <f t="shared" si="11"/>
        <v>11.3333333333333</v>
      </c>
    </row>
    <row r="729" spans="1:1024">
      <c r="A729" s="7" t="s">
        <v>733</v>
      </c>
      <c r="B729" s="7">
        <v>872540</v>
      </c>
      <c r="D729" s="1">
        <v>0</v>
      </c>
      <c r="E729" s="8">
        <f>VLOOKUP(B729,Gesamtstunden_26!B:I,8,0)</f>
        <v>35.333333333333329</v>
      </c>
      <c r="F729" s="2">
        <f t="shared" si="11"/>
        <v>-35.333333333333329</v>
      </c>
    </row>
    <row r="730" spans="1:1024">
      <c r="A730" s="7" t="s">
        <v>734</v>
      </c>
      <c r="B730" s="7">
        <v>854317</v>
      </c>
      <c r="D730" s="1">
        <v>0</v>
      </c>
      <c r="E730" s="8">
        <f>VLOOKUP(B730,Gesamtstunden_26!B:I,8,0)</f>
        <v>4.333333333333333</v>
      </c>
      <c r="F730" s="2">
        <f t="shared" si="11"/>
        <v>-4.333333333333333</v>
      </c>
    </row>
    <row r="731" spans="1:1024">
      <c r="A731" s="10" t="s">
        <v>735</v>
      </c>
      <c r="B731" s="10">
        <v>829723</v>
      </c>
      <c r="D731" s="1">
        <v>0</v>
      </c>
      <c r="E731" s="8">
        <f>VLOOKUP(B731,Gesamtstunden_26!B:I,8,0)</f>
        <v>2.3333333333333335</v>
      </c>
      <c r="F731" s="2">
        <f t="shared" si="11"/>
        <v>-2.3333333333333335</v>
      </c>
    </row>
    <row r="732" spans="1:1024">
      <c r="A732" s="7" t="s">
        <v>736</v>
      </c>
      <c r="B732" s="7">
        <v>918562</v>
      </c>
      <c r="D732" s="1">
        <v>0</v>
      </c>
      <c r="E732" s="8">
        <f>VLOOKUP(B732,Gesamtstunden_26!B:I,8,0)</f>
        <v>1</v>
      </c>
      <c r="F732" s="2">
        <f t="shared" si="11"/>
        <v>-1</v>
      </c>
    </row>
    <row r="733" spans="1:1024">
      <c r="A733" s="8" t="s">
        <v>737</v>
      </c>
      <c r="B733" s="8">
        <v>550755</v>
      </c>
      <c r="D733" s="1">
        <v>5.6666666666666696</v>
      </c>
      <c r="E733" s="8">
        <f>VLOOKUP(B733,Gesamtstunden_26!B:I,8,0)</f>
        <v>0.33333333333333331</v>
      </c>
      <c r="F733" s="2">
        <f t="shared" si="11"/>
        <v>5.3333333333333366</v>
      </c>
    </row>
    <row r="734" spans="1:1024">
      <c r="A734" s="10" t="s">
        <v>738</v>
      </c>
      <c r="B734" s="10">
        <v>689126</v>
      </c>
      <c r="D734" s="1">
        <v>0</v>
      </c>
      <c r="E734" s="8">
        <f>VLOOKUP(B734,Gesamtstunden_26!B:I,8,0)</f>
        <v>1.5</v>
      </c>
      <c r="F734" s="2">
        <f t="shared" si="11"/>
        <v>-1.5</v>
      </c>
    </row>
    <row r="735" spans="1:1024">
      <c r="A735" s="16" t="s">
        <v>739</v>
      </c>
      <c r="B735" s="16">
        <v>112881</v>
      </c>
      <c r="D735" s="1">
        <v>0</v>
      </c>
      <c r="E735" s="8">
        <f>VLOOKUP(B735,Gesamtstunden_26!B:I,8,0)</f>
        <v>0</v>
      </c>
      <c r="F735" s="2">
        <f t="shared" si="11"/>
        <v>0</v>
      </c>
    </row>
    <row r="736" spans="1:1024" ht="27.6">
      <c r="A736" s="10" t="s">
        <v>740</v>
      </c>
      <c r="B736" s="10">
        <v>583731</v>
      </c>
      <c r="D736" s="1">
        <v>0</v>
      </c>
      <c r="E736" s="8">
        <f>VLOOKUP(B736,Gesamtstunden_26!B:I,8,0)</f>
        <v>3</v>
      </c>
      <c r="F736" s="2">
        <f t="shared" si="11"/>
        <v>-3</v>
      </c>
    </row>
    <row r="737" spans="1:1024">
      <c r="A737" s="7" t="s">
        <v>741</v>
      </c>
      <c r="B737" s="7">
        <v>480346</v>
      </c>
      <c r="D737" s="1">
        <v>0</v>
      </c>
      <c r="E737" s="8">
        <f>VLOOKUP(B737,Gesamtstunden_26!B:I,8,0)</f>
        <v>11.333333333333334</v>
      </c>
      <c r="F737" s="2">
        <f t="shared" si="11"/>
        <v>-11.333333333333334</v>
      </c>
    </row>
    <row r="738" spans="1:1024">
      <c r="A738" s="10" t="s">
        <v>742</v>
      </c>
      <c r="B738" s="10">
        <v>2140</v>
      </c>
      <c r="D738" s="1">
        <v>0</v>
      </c>
      <c r="E738" s="8">
        <f>VLOOKUP(B738,Gesamtstunden_26!B:I,8,0)</f>
        <v>0.66666666666666663</v>
      </c>
      <c r="F738" s="2">
        <f t="shared" si="11"/>
        <v>-0.66666666666666663</v>
      </c>
    </row>
    <row r="739" spans="1:1024">
      <c r="A739" s="10" t="s">
        <v>743</v>
      </c>
      <c r="B739" s="10">
        <v>510959</v>
      </c>
      <c r="D739" s="1">
        <v>0</v>
      </c>
      <c r="E739" s="8">
        <f>VLOOKUP(B739,Gesamtstunden_26!B:I,8,0)</f>
        <v>4</v>
      </c>
      <c r="F739" s="2">
        <f t="shared" si="11"/>
        <v>-4</v>
      </c>
    </row>
    <row r="740" spans="1:1024">
      <c r="A740" s="8" t="s">
        <v>744</v>
      </c>
      <c r="B740" s="8">
        <v>569017</v>
      </c>
      <c r="D740" s="1">
        <v>8</v>
      </c>
      <c r="E740" s="8">
        <f>VLOOKUP(B740,Gesamtstunden_26!B:I,8,0)</f>
        <v>0</v>
      </c>
      <c r="F740" s="2">
        <f t="shared" si="11"/>
        <v>8</v>
      </c>
    </row>
    <row r="741" spans="1:1024">
      <c r="A741" s="7" t="s">
        <v>745</v>
      </c>
      <c r="B741" s="7">
        <v>924438</v>
      </c>
      <c r="D741" s="1">
        <v>0</v>
      </c>
      <c r="E741" s="8">
        <f>VLOOKUP(B741,Gesamtstunden_26!B:I,8,0)</f>
        <v>0.66666666666666663</v>
      </c>
      <c r="F741" s="2">
        <f t="shared" si="11"/>
        <v>-0.66666666666666663</v>
      </c>
    </row>
    <row r="742" spans="1:1024">
      <c r="A742" s="7" t="s">
        <v>746</v>
      </c>
      <c r="B742" s="7">
        <v>707649</v>
      </c>
      <c r="D742" s="1">
        <v>0</v>
      </c>
      <c r="E742" s="8">
        <f>VLOOKUP(B742,Gesamtstunden_26!B:I,8,0)</f>
        <v>4.8333333333333339</v>
      </c>
      <c r="F742" s="2">
        <f t="shared" si="11"/>
        <v>-4.8333333333333339</v>
      </c>
    </row>
    <row r="743" spans="1:1024">
      <c r="A743" s="8" t="s">
        <v>747</v>
      </c>
      <c r="B743" s="8">
        <v>557853</v>
      </c>
      <c r="D743" s="1">
        <v>5.3333333333333304</v>
      </c>
      <c r="E743" s="8">
        <f>VLOOKUP(B743,Gesamtstunden_26!B:I,8,0)</f>
        <v>3.8333333333333335</v>
      </c>
      <c r="F743" s="2">
        <f t="shared" si="11"/>
        <v>1.4999999999999969</v>
      </c>
    </row>
    <row r="744" spans="1:1024">
      <c r="A744" s="7" t="s">
        <v>748</v>
      </c>
      <c r="B744" s="7">
        <v>674990</v>
      </c>
      <c r="D744" s="1">
        <v>0</v>
      </c>
      <c r="E744" s="8">
        <f>VLOOKUP(B744,Gesamtstunden_26!B:I,8,0)</f>
        <v>2.6666666666666665</v>
      </c>
      <c r="F744" s="2">
        <f t="shared" si="11"/>
        <v>-2.6666666666666665</v>
      </c>
    </row>
    <row r="745" spans="1:1024">
      <c r="A745" s="10" t="s">
        <v>749</v>
      </c>
      <c r="B745" s="10">
        <v>473022</v>
      </c>
      <c r="D745" s="1">
        <v>0</v>
      </c>
      <c r="E745" s="8">
        <f>VLOOKUP(B745,Gesamtstunden_26!B:I,8,0)</f>
        <v>5.5</v>
      </c>
      <c r="F745" s="2">
        <f t="shared" si="11"/>
        <v>-5.5</v>
      </c>
    </row>
    <row r="746" spans="1:1024">
      <c r="A746" s="10" t="s">
        <v>750</v>
      </c>
      <c r="B746" s="10">
        <v>497539</v>
      </c>
      <c r="D746" s="1">
        <v>0</v>
      </c>
      <c r="E746" s="8">
        <f>VLOOKUP(B746,Gesamtstunden_26!B:I,8,0)</f>
        <v>0</v>
      </c>
      <c r="F746" s="2">
        <f t="shared" si="11"/>
        <v>0</v>
      </c>
    </row>
    <row r="747" spans="1:1024">
      <c r="A747" s="17" t="s">
        <v>751</v>
      </c>
      <c r="B747" s="17">
        <v>322182</v>
      </c>
      <c r="D747" s="1">
        <v>0</v>
      </c>
      <c r="E747" s="8">
        <f>VLOOKUP(B747,Gesamtstunden_26!B:I,8,0)</f>
        <v>1.3333333333333333</v>
      </c>
      <c r="F747" s="2">
        <f t="shared" si="11"/>
        <v>-1.3333333333333333</v>
      </c>
    </row>
    <row r="748" spans="1:1024">
      <c r="A748" s="8" t="s">
        <v>752</v>
      </c>
      <c r="B748" s="8">
        <v>877533</v>
      </c>
      <c r="D748" s="1">
        <v>4.1666666666666696</v>
      </c>
      <c r="E748" s="8">
        <f>VLOOKUP(B748,Gesamtstunden_26!B:I,8,0)</f>
        <v>0</v>
      </c>
      <c r="F748" s="2">
        <f t="shared" si="11"/>
        <v>4.1666666666666696</v>
      </c>
    </row>
    <row r="749" spans="1:1024">
      <c r="A749" s="8" t="s">
        <v>753</v>
      </c>
      <c r="B749" s="8">
        <v>420896</v>
      </c>
      <c r="D749" s="1">
        <v>6</v>
      </c>
      <c r="E749" s="8">
        <f>VLOOKUP(B749,Gesamtstunden_26!B:I,8,0)</f>
        <v>0</v>
      </c>
      <c r="F749" s="2">
        <f t="shared" si="11"/>
        <v>6</v>
      </c>
    </row>
    <row r="750" spans="1:1024" s="11" customFormat="1" ht="27.6">
      <c r="A750" s="10" t="s">
        <v>754</v>
      </c>
      <c r="B750" s="10">
        <v>904795</v>
      </c>
      <c r="C750"/>
      <c r="D750" s="1">
        <v>0</v>
      </c>
      <c r="E750" s="8">
        <f>VLOOKUP(B750,Gesamtstunden_26!B:I,8,0)</f>
        <v>9.1666666666666679</v>
      </c>
      <c r="F750" s="2">
        <f t="shared" si="11"/>
        <v>-9.1666666666666679</v>
      </c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  <c r="BA750"/>
      <c r="BB750"/>
      <c r="BC750"/>
      <c r="BD750"/>
      <c r="BE750"/>
      <c r="BF750"/>
      <c r="BG750"/>
      <c r="BH750"/>
      <c r="BI750"/>
      <c r="BJ750"/>
      <c r="BK750"/>
      <c r="BL750"/>
      <c r="BM750"/>
      <c r="BN750"/>
      <c r="BO750"/>
      <c r="BP750"/>
      <c r="BQ750"/>
      <c r="BR750"/>
      <c r="BS750"/>
      <c r="BT750"/>
      <c r="BU750"/>
      <c r="BV750"/>
      <c r="BW750"/>
      <c r="BX750"/>
      <c r="BY750"/>
      <c r="BZ750"/>
      <c r="CA750"/>
      <c r="CB750"/>
      <c r="CC750"/>
      <c r="CD750"/>
      <c r="CE750"/>
      <c r="CF750"/>
      <c r="CG750"/>
      <c r="CH750"/>
      <c r="CI750"/>
      <c r="CJ750"/>
      <c r="CK750"/>
      <c r="CL750"/>
      <c r="CM750"/>
      <c r="CN750"/>
      <c r="CO750"/>
      <c r="CP750"/>
      <c r="CQ750"/>
      <c r="CR750"/>
      <c r="CS750"/>
      <c r="CT750"/>
      <c r="CU750"/>
      <c r="CV750"/>
      <c r="CW750"/>
      <c r="CX750"/>
      <c r="CY750"/>
      <c r="CZ750"/>
      <c r="DA750"/>
      <c r="DB750"/>
      <c r="DC750"/>
      <c r="DD750"/>
      <c r="DE750"/>
      <c r="DF750"/>
      <c r="DG750"/>
      <c r="DH750"/>
      <c r="DI750"/>
      <c r="DJ750"/>
      <c r="DK750"/>
      <c r="DL750"/>
      <c r="DM750"/>
      <c r="DN750"/>
      <c r="DO750"/>
      <c r="DP750"/>
      <c r="DQ750"/>
      <c r="DR750"/>
      <c r="DS750"/>
      <c r="DT750"/>
      <c r="DU750"/>
      <c r="DV750"/>
      <c r="DW750"/>
      <c r="DX750"/>
      <c r="DY750"/>
      <c r="DZ750"/>
      <c r="EA750"/>
      <c r="EB750"/>
      <c r="EC750"/>
      <c r="ED750"/>
      <c r="EE750"/>
      <c r="EF750"/>
      <c r="EG750"/>
      <c r="EH750"/>
      <c r="EI750"/>
      <c r="EJ750"/>
      <c r="EK750"/>
      <c r="EL750"/>
      <c r="EM750"/>
      <c r="EN750"/>
      <c r="EO750"/>
      <c r="EP750"/>
      <c r="EQ750"/>
      <c r="ER750"/>
      <c r="ES750"/>
      <c r="ET750"/>
      <c r="EU750"/>
      <c r="EV750"/>
      <c r="EW750"/>
      <c r="EX750"/>
      <c r="EY750"/>
      <c r="EZ750"/>
      <c r="FA750"/>
      <c r="FB750"/>
      <c r="FC750"/>
      <c r="FD750"/>
      <c r="FE750"/>
      <c r="FF750"/>
      <c r="FG750"/>
      <c r="FH750"/>
      <c r="FI750"/>
      <c r="FJ750"/>
      <c r="FK750"/>
      <c r="FL750"/>
      <c r="FM750"/>
      <c r="FN750"/>
      <c r="FO750"/>
      <c r="FP750"/>
      <c r="FQ750"/>
      <c r="FR750"/>
      <c r="FS750"/>
      <c r="FT750"/>
      <c r="FU750"/>
      <c r="FV750"/>
      <c r="FW750"/>
      <c r="FX750"/>
      <c r="FY750"/>
      <c r="FZ750"/>
      <c r="GA750"/>
      <c r="GB750"/>
      <c r="GC750"/>
      <c r="GD750"/>
      <c r="GE750"/>
      <c r="GF750"/>
      <c r="GG750"/>
      <c r="GH750"/>
      <c r="GI750"/>
      <c r="GJ750"/>
      <c r="GK750"/>
      <c r="GL750"/>
      <c r="GM750"/>
      <c r="GN750"/>
      <c r="GO750"/>
      <c r="GP750"/>
      <c r="GQ750"/>
      <c r="GR750"/>
      <c r="GS750"/>
      <c r="GT750"/>
      <c r="GU750"/>
      <c r="GV750"/>
      <c r="GW750"/>
      <c r="GX750"/>
      <c r="GY750"/>
      <c r="GZ750"/>
      <c r="HA750"/>
      <c r="HB750"/>
      <c r="HC750"/>
      <c r="HD750"/>
      <c r="HE750"/>
      <c r="HF750"/>
      <c r="HG750"/>
      <c r="HH750"/>
      <c r="HI750"/>
      <c r="HJ750"/>
      <c r="HK750"/>
      <c r="HL750"/>
      <c r="HM750"/>
      <c r="HN750"/>
      <c r="HO750"/>
      <c r="HP750"/>
      <c r="HQ750"/>
      <c r="HR750"/>
      <c r="HS750"/>
      <c r="HT750"/>
      <c r="HU750"/>
      <c r="HV750"/>
      <c r="HW750"/>
      <c r="HX750"/>
      <c r="HY750"/>
      <c r="HZ750"/>
      <c r="IA750"/>
      <c r="IB750"/>
      <c r="IC750"/>
      <c r="ID750"/>
      <c r="IE750"/>
      <c r="IF750"/>
      <c r="IG750"/>
      <c r="IH750"/>
      <c r="II750"/>
      <c r="IJ750"/>
      <c r="IK750"/>
      <c r="IL750"/>
      <c r="IM750"/>
      <c r="IN750"/>
      <c r="IO750"/>
      <c r="IP750"/>
      <c r="IQ750"/>
      <c r="IR750"/>
      <c r="IS750"/>
      <c r="IT750"/>
      <c r="IU750"/>
      <c r="IV750"/>
      <c r="IW750"/>
      <c r="IX750"/>
      <c r="IY750"/>
      <c r="IZ750"/>
      <c r="JA750"/>
      <c r="JB750"/>
      <c r="JC750"/>
      <c r="JD750"/>
      <c r="JE750"/>
      <c r="JF750"/>
      <c r="JG750"/>
      <c r="JH750"/>
      <c r="JI750"/>
      <c r="JJ750"/>
      <c r="JK750"/>
      <c r="JL750"/>
      <c r="JM750"/>
      <c r="JN750"/>
      <c r="JO750"/>
      <c r="JP750"/>
      <c r="JQ750"/>
      <c r="JR750"/>
      <c r="JS750"/>
      <c r="JT750"/>
      <c r="JU750"/>
      <c r="JV750"/>
      <c r="JW750"/>
      <c r="JX750"/>
      <c r="JY750"/>
      <c r="JZ750"/>
      <c r="KA750"/>
      <c r="KB750"/>
      <c r="KC750"/>
      <c r="KD750"/>
      <c r="KE750"/>
      <c r="KF750"/>
      <c r="KG750"/>
      <c r="KH750"/>
      <c r="KI750"/>
      <c r="KJ750"/>
      <c r="KK750"/>
      <c r="KL750"/>
      <c r="KM750"/>
      <c r="KN750"/>
      <c r="KO750"/>
      <c r="KP750"/>
      <c r="KQ750"/>
      <c r="KR750"/>
      <c r="KS750"/>
      <c r="KT750"/>
      <c r="KU750"/>
      <c r="KV750"/>
      <c r="KW750"/>
      <c r="KX750"/>
      <c r="KY750"/>
      <c r="KZ750"/>
      <c r="LA750"/>
      <c r="LB750"/>
      <c r="LC750"/>
      <c r="LD750"/>
      <c r="LE750"/>
      <c r="LF750"/>
      <c r="LG750"/>
      <c r="LH750"/>
      <c r="LI750"/>
      <c r="LJ750"/>
      <c r="LK750"/>
      <c r="LL750"/>
      <c r="LM750"/>
      <c r="LN750"/>
      <c r="LO750"/>
      <c r="LP750"/>
      <c r="LQ750"/>
      <c r="LR750"/>
      <c r="LS750"/>
      <c r="LT750"/>
      <c r="LU750"/>
      <c r="LV750"/>
      <c r="LW750"/>
      <c r="LX750"/>
      <c r="LY750"/>
      <c r="LZ750"/>
      <c r="MA750"/>
      <c r="MB750"/>
      <c r="MC750"/>
      <c r="MD750"/>
      <c r="ME750"/>
      <c r="MF750"/>
      <c r="MG750"/>
      <c r="MH750"/>
      <c r="MI750"/>
      <c r="MJ750"/>
      <c r="MK750"/>
      <c r="ML750"/>
      <c r="MM750"/>
      <c r="MN750"/>
      <c r="MO750"/>
      <c r="MP750"/>
      <c r="MQ750"/>
      <c r="MR750"/>
      <c r="MS750"/>
      <c r="MT750"/>
      <c r="MU750"/>
      <c r="MV750"/>
      <c r="MW750"/>
      <c r="MX750"/>
      <c r="MY750"/>
      <c r="MZ750"/>
      <c r="NA750"/>
      <c r="NB750"/>
      <c r="NC750"/>
      <c r="ND750"/>
      <c r="NE750"/>
      <c r="NF750"/>
      <c r="NG750"/>
      <c r="NH750"/>
      <c r="NI750"/>
      <c r="NJ750"/>
      <c r="NK750"/>
      <c r="NL750"/>
      <c r="NM750"/>
      <c r="NN750"/>
      <c r="NO750"/>
      <c r="NP750"/>
      <c r="NQ750"/>
      <c r="NR750"/>
      <c r="NS750"/>
      <c r="NT750"/>
      <c r="NU750"/>
      <c r="NV750"/>
      <c r="NW750"/>
      <c r="NX750"/>
      <c r="NY750"/>
      <c r="NZ750"/>
      <c r="OA750"/>
      <c r="OB750"/>
      <c r="OC750"/>
      <c r="OD750"/>
      <c r="OE750"/>
      <c r="OF750"/>
      <c r="OG750"/>
      <c r="OH750"/>
      <c r="OI750"/>
      <c r="OJ750"/>
      <c r="OK750"/>
      <c r="OL750"/>
      <c r="OM750"/>
      <c r="ON750"/>
      <c r="OO750"/>
      <c r="OP750"/>
      <c r="OQ750"/>
      <c r="OR750"/>
      <c r="OS750"/>
      <c r="OT750"/>
      <c r="OU750"/>
      <c r="OV750"/>
      <c r="OW750"/>
      <c r="OX750"/>
      <c r="OY750"/>
      <c r="OZ750"/>
      <c r="PA750"/>
      <c r="PB750"/>
      <c r="PC750"/>
      <c r="PD750"/>
      <c r="PE750"/>
      <c r="PF750"/>
      <c r="PG750"/>
      <c r="PH750"/>
      <c r="PI750"/>
      <c r="PJ750"/>
      <c r="PK750"/>
      <c r="PL750"/>
      <c r="PM750"/>
      <c r="PN750"/>
      <c r="PO750"/>
      <c r="PP750"/>
      <c r="PQ750"/>
      <c r="PR750"/>
      <c r="PS750"/>
      <c r="PT750"/>
      <c r="PU750"/>
      <c r="PV750"/>
      <c r="PW750"/>
      <c r="PX750"/>
      <c r="PY750"/>
      <c r="PZ750"/>
      <c r="QA750"/>
      <c r="QB750"/>
      <c r="QC750"/>
      <c r="QD750"/>
      <c r="QE750"/>
      <c r="QF750"/>
      <c r="QG750"/>
      <c r="QH750"/>
      <c r="QI750"/>
      <c r="QJ750"/>
      <c r="QK750"/>
      <c r="QL750"/>
      <c r="QM750"/>
      <c r="QN750"/>
      <c r="QO750"/>
      <c r="QP750"/>
      <c r="QQ750"/>
      <c r="QR750"/>
      <c r="QS750"/>
      <c r="QT750"/>
      <c r="QU750"/>
      <c r="QV750"/>
      <c r="QW750"/>
      <c r="QX750"/>
      <c r="QY750"/>
      <c r="QZ750"/>
      <c r="RA750"/>
      <c r="RB750"/>
      <c r="RC750"/>
      <c r="RD750"/>
      <c r="RE750"/>
      <c r="RF750"/>
      <c r="RG750"/>
      <c r="RH750"/>
      <c r="RI750"/>
      <c r="RJ750"/>
      <c r="RK750"/>
      <c r="RL750"/>
      <c r="RM750"/>
      <c r="RN750"/>
      <c r="RO750"/>
      <c r="RP750"/>
      <c r="RQ750"/>
      <c r="RR750"/>
      <c r="RS750"/>
      <c r="RT750"/>
      <c r="RU750"/>
      <c r="RV750"/>
      <c r="RW750"/>
      <c r="RX750"/>
      <c r="RY750"/>
      <c r="RZ750"/>
      <c r="SA750"/>
      <c r="SB750"/>
      <c r="SC750"/>
      <c r="SD750"/>
      <c r="SE750"/>
      <c r="SF750"/>
      <c r="SG750"/>
      <c r="SH750"/>
      <c r="SI750"/>
      <c r="SJ750"/>
      <c r="SK750"/>
      <c r="SL750"/>
      <c r="SM750"/>
      <c r="SN750"/>
      <c r="SO750"/>
      <c r="SP750"/>
      <c r="SQ750"/>
      <c r="SR750"/>
      <c r="SS750"/>
      <c r="ST750"/>
      <c r="SU750"/>
      <c r="SV750"/>
      <c r="SW750"/>
      <c r="SX750"/>
      <c r="SY750"/>
      <c r="SZ750"/>
      <c r="TA750"/>
      <c r="TB750"/>
      <c r="TC750"/>
      <c r="TD750"/>
      <c r="TE750"/>
      <c r="TF750"/>
      <c r="TG750"/>
      <c r="TH750"/>
      <c r="TI750"/>
      <c r="TJ750"/>
      <c r="TK750"/>
      <c r="TL750"/>
      <c r="TM750"/>
      <c r="TN750"/>
      <c r="TO750"/>
      <c r="TP750"/>
      <c r="TQ750"/>
      <c r="TR750"/>
      <c r="TS750"/>
      <c r="TT750"/>
      <c r="TU750"/>
      <c r="TV750"/>
      <c r="TW750"/>
      <c r="TX750"/>
      <c r="TY750"/>
      <c r="TZ750"/>
      <c r="UA750"/>
      <c r="UB750"/>
      <c r="UC750"/>
      <c r="UD750"/>
      <c r="UE750"/>
      <c r="UF750"/>
      <c r="UG750"/>
      <c r="UH750"/>
      <c r="UI750"/>
      <c r="UJ750"/>
      <c r="UK750"/>
      <c r="UL750"/>
      <c r="UM750"/>
      <c r="UN750"/>
      <c r="UO750"/>
      <c r="UP750"/>
      <c r="UQ750"/>
      <c r="UR750"/>
      <c r="US750"/>
      <c r="UT750"/>
      <c r="UU750"/>
      <c r="UV750"/>
      <c r="UW750"/>
      <c r="UX750"/>
      <c r="UY750"/>
      <c r="UZ750"/>
      <c r="VA750"/>
      <c r="VB750"/>
      <c r="VC750"/>
      <c r="VD750"/>
      <c r="VE750"/>
      <c r="VF750"/>
      <c r="VG750"/>
      <c r="VH750"/>
      <c r="VI750"/>
      <c r="VJ750"/>
      <c r="VK750"/>
      <c r="VL750"/>
      <c r="VM750"/>
      <c r="VN750"/>
      <c r="VO750"/>
      <c r="VP750"/>
      <c r="VQ750"/>
      <c r="VR750"/>
      <c r="VS750"/>
      <c r="VT750"/>
      <c r="VU750"/>
      <c r="VV750"/>
      <c r="VW750"/>
      <c r="VX750"/>
      <c r="VY750"/>
      <c r="VZ750"/>
      <c r="WA750"/>
      <c r="WB750"/>
      <c r="WC750"/>
      <c r="WD750"/>
      <c r="WE750"/>
      <c r="WF750"/>
      <c r="WG750"/>
      <c r="WH750"/>
      <c r="WI750"/>
      <c r="WJ750"/>
      <c r="WK750"/>
      <c r="WL750"/>
      <c r="WM750"/>
      <c r="WN750"/>
      <c r="WO750"/>
      <c r="WP750"/>
      <c r="WQ750"/>
      <c r="WR750"/>
      <c r="WS750"/>
      <c r="WT750"/>
      <c r="WU750"/>
      <c r="WV750"/>
      <c r="WW750"/>
      <c r="WX750"/>
      <c r="WY750"/>
      <c r="WZ750"/>
      <c r="XA750"/>
      <c r="XB750"/>
      <c r="XC750"/>
      <c r="XD750"/>
      <c r="XE750"/>
      <c r="XF750"/>
      <c r="XG750"/>
      <c r="XH750"/>
      <c r="XI750"/>
      <c r="XJ750"/>
      <c r="XK750"/>
      <c r="XL750"/>
      <c r="XM750"/>
      <c r="XN750"/>
      <c r="XO750"/>
      <c r="XP750"/>
      <c r="XQ750"/>
      <c r="XR750"/>
      <c r="XS750"/>
      <c r="XT750"/>
      <c r="XU750"/>
      <c r="XV750"/>
      <c r="XW750"/>
      <c r="XX750"/>
      <c r="XY750"/>
      <c r="XZ750"/>
      <c r="YA750"/>
      <c r="YB750"/>
      <c r="YC750"/>
      <c r="YD750"/>
      <c r="YE750"/>
      <c r="YF750"/>
      <c r="YG750"/>
      <c r="YH750"/>
      <c r="YI750"/>
      <c r="YJ750"/>
      <c r="YK750"/>
      <c r="YL750"/>
      <c r="YM750"/>
      <c r="YN750"/>
      <c r="YO750"/>
      <c r="YP750"/>
      <c r="YQ750"/>
      <c r="YR750"/>
      <c r="YS750"/>
      <c r="YT750"/>
      <c r="YU750"/>
      <c r="YV750"/>
      <c r="YW750"/>
      <c r="YX750"/>
      <c r="YY750"/>
      <c r="YZ750"/>
      <c r="ZA750"/>
      <c r="ZB750"/>
      <c r="ZC750"/>
      <c r="ZD750"/>
      <c r="ZE750"/>
      <c r="ZF750"/>
      <c r="ZG750"/>
      <c r="ZH750"/>
      <c r="ZI750"/>
      <c r="ZJ750"/>
      <c r="ZK750"/>
      <c r="ZL750"/>
      <c r="ZM750"/>
      <c r="ZN750"/>
      <c r="ZO750"/>
      <c r="ZP750"/>
      <c r="ZQ750"/>
      <c r="ZR750"/>
      <c r="ZS750"/>
      <c r="ZT750"/>
      <c r="ZU750"/>
      <c r="ZV750"/>
      <c r="ZW750"/>
      <c r="ZX750"/>
      <c r="ZY750"/>
      <c r="ZZ750"/>
      <c r="AAA750"/>
      <c r="AAB750"/>
      <c r="AAC750"/>
      <c r="AAD750"/>
      <c r="AAE750"/>
      <c r="AAF750"/>
      <c r="AAG750"/>
      <c r="AAH750"/>
      <c r="AAI750"/>
      <c r="AAJ750"/>
      <c r="AAK750"/>
      <c r="AAL750"/>
      <c r="AAM750"/>
      <c r="AAN750"/>
      <c r="AAO750"/>
      <c r="AAP750"/>
      <c r="AAQ750"/>
      <c r="AAR750"/>
      <c r="AAS750"/>
      <c r="AAT750"/>
      <c r="AAU750"/>
      <c r="AAV750"/>
      <c r="AAW750"/>
      <c r="AAX750"/>
      <c r="AAY750"/>
      <c r="AAZ750"/>
      <c r="ABA750"/>
      <c r="ABB750"/>
      <c r="ABC750"/>
      <c r="ABD750"/>
      <c r="ABE750"/>
      <c r="ABF750"/>
      <c r="ABG750"/>
      <c r="ABH750"/>
      <c r="ABI750"/>
      <c r="ABJ750"/>
      <c r="ABK750"/>
      <c r="ABL750"/>
      <c r="ABM750"/>
      <c r="ABN750"/>
      <c r="ABO750"/>
      <c r="ABP750"/>
      <c r="ABQ750"/>
      <c r="ABR750"/>
      <c r="ABS750"/>
      <c r="ABT750"/>
      <c r="ABU750"/>
      <c r="ABV750"/>
      <c r="ABW750"/>
      <c r="ABX750"/>
      <c r="ABY750"/>
      <c r="ABZ750"/>
      <c r="ACA750"/>
      <c r="ACB750"/>
      <c r="ACC750"/>
      <c r="ACD750"/>
      <c r="ACE750"/>
      <c r="ACF750"/>
      <c r="ACG750"/>
      <c r="ACH750"/>
      <c r="ACI750"/>
      <c r="ACJ750"/>
      <c r="ACK750"/>
      <c r="ACL750"/>
      <c r="ACM750"/>
      <c r="ACN750"/>
      <c r="ACO750"/>
      <c r="ACP750"/>
      <c r="ACQ750"/>
      <c r="ACR750"/>
      <c r="ACS750"/>
      <c r="ACT750"/>
      <c r="ACU750"/>
      <c r="ACV750"/>
      <c r="ACW750"/>
      <c r="ACX750"/>
      <c r="ACY750"/>
      <c r="ACZ750"/>
      <c r="ADA750"/>
      <c r="ADB750"/>
      <c r="ADC750"/>
      <c r="ADD750"/>
      <c r="ADE750"/>
      <c r="ADF750"/>
      <c r="ADG750"/>
      <c r="ADH750"/>
      <c r="ADI750"/>
      <c r="ADJ750"/>
      <c r="ADK750"/>
      <c r="ADL750"/>
      <c r="ADM750"/>
      <c r="ADN750"/>
      <c r="ADO750"/>
      <c r="ADP750"/>
      <c r="ADQ750"/>
      <c r="ADR750"/>
      <c r="ADS750"/>
      <c r="ADT750"/>
      <c r="ADU750"/>
      <c r="ADV750"/>
      <c r="ADW750"/>
      <c r="ADX750"/>
      <c r="ADY750"/>
      <c r="ADZ750"/>
      <c r="AEA750"/>
      <c r="AEB750"/>
      <c r="AEC750"/>
      <c r="AED750"/>
      <c r="AEE750"/>
      <c r="AEF750"/>
      <c r="AEG750"/>
      <c r="AEH750"/>
      <c r="AEI750"/>
      <c r="AEJ750"/>
      <c r="AEK750"/>
      <c r="AEL750"/>
      <c r="AEM750"/>
      <c r="AEN750"/>
      <c r="AEO750"/>
      <c r="AEP750"/>
      <c r="AEQ750"/>
      <c r="AER750"/>
      <c r="AES750"/>
      <c r="AET750"/>
      <c r="AEU750"/>
      <c r="AEV750"/>
      <c r="AEW750"/>
      <c r="AEX750"/>
      <c r="AEY750"/>
      <c r="AEZ750"/>
      <c r="AFA750"/>
      <c r="AFB750"/>
      <c r="AFC750"/>
      <c r="AFD750"/>
      <c r="AFE750"/>
      <c r="AFF750"/>
      <c r="AFG750"/>
      <c r="AFH750"/>
      <c r="AFI750"/>
      <c r="AFJ750"/>
      <c r="AFK750"/>
      <c r="AFL750"/>
      <c r="AFM750"/>
      <c r="AFN750"/>
      <c r="AFO750"/>
      <c r="AFP750"/>
      <c r="AFQ750"/>
      <c r="AFR750"/>
      <c r="AFS750"/>
      <c r="AFT750"/>
      <c r="AFU750"/>
      <c r="AFV750"/>
      <c r="AFW750"/>
      <c r="AFX750"/>
      <c r="AFY750"/>
      <c r="AFZ750"/>
      <c r="AGA750"/>
      <c r="AGB750"/>
      <c r="AGC750"/>
      <c r="AGD750"/>
      <c r="AGE750"/>
      <c r="AGF750"/>
      <c r="AGG750"/>
      <c r="AGH750"/>
      <c r="AGI750"/>
      <c r="AGJ750"/>
      <c r="AGK750"/>
      <c r="AGL750"/>
      <c r="AGM750"/>
      <c r="AGN750"/>
      <c r="AGO750"/>
      <c r="AGP750"/>
      <c r="AGQ750"/>
      <c r="AGR750"/>
      <c r="AGS750"/>
      <c r="AGT750"/>
      <c r="AGU750"/>
      <c r="AGV750"/>
      <c r="AGW750"/>
      <c r="AGX750"/>
      <c r="AGY750"/>
      <c r="AGZ750"/>
      <c r="AHA750"/>
      <c r="AHB750"/>
      <c r="AHC750"/>
      <c r="AHD750"/>
      <c r="AHE750"/>
      <c r="AHF750"/>
      <c r="AHG750"/>
      <c r="AHH750"/>
      <c r="AHI750"/>
      <c r="AHJ750"/>
      <c r="AHK750"/>
      <c r="AHL750"/>
      <c r="AHM750"/>
      <c r="AHN750"/>
      <c r="AHO750"/>
      <c r="AHP750"/>
      <c r="AHQ750"/>
      <c r="AHR750"/>
      <c r="AHS750"/>
      <c r="AHT750"/>
      <c r="AHU750"/>
      <c r="AHV750"/>
      <c r="AHW750"/>
      <c r="AHX750"/>
      <c r="AHY750"/>
      <c r="AHZ750"/>
      <c r="AIA750"/>
      <c r="AIB750"/>
      <c r="AIC750"/>
      <c r="AID750"/>
      <c r="AIE750"/>
      <c r="AIF750"/>
      <c r="AIG750"/>
      <c r="AIH750"/>
      <c r="AII750"/>
      <c r="AIJ750"/>
      <c r="AIK750"/>
      <c r="AIL750"/>
      <c r="AIM750"/>
      <c r="AIN750"/>
      <c r="AIO750"/>
      <c r="AIP750"/>
      <c r="AIQ750"/>
      <c r="AIR750"/>
      <c r="AIS750"/>
      <c r="AIT750"/>
      <c r="AIU750"/>
      <c r="AIV750"/>
      <c r="AIW750"/>
      <c r="AIX750"/>
      <c r="AIY750"/>
      <c r="AIZ750"/>
      <c r="AJA750"/>
      <c r="AJB750"/>
      <c r="AJC750"/>
      <c r="AJD750"/>
      <c r="AJE750"/>
      <c r="AJF750"/>
      <c r="AJG750"/>
      <c r="AJH750"/>
      <c r="AJI750"/>
      <c r="AJJ750"/>
      <c r="AJK750"/>
      <c r="AJL750"/>
      <c r="AJM750"/>
      <c r="AJN750"/>
      <c r="AJO750"/>
      <c r="AJP750"/>
      <c r="AJQ750"/>
      <c r="AJR750"/>
      <c r="AJS750"/>
      <c r="AJT750"/>
      <c r="AJU750"/>
      <c r="AJV750"/>
      <c r="AJW750"/>
      <c r="AJX750"/>
      <c r="AJY750"/>
      <c r="AJZ750"/>
      <c r="AKA750"/>
      <c r="AKB750"/>
      <c r="AKC750"/>
      <c r="AKD750"/>
      <c r="AKE750"/>
      <c r="AKF750"/>
      <c r="AKG750"/>
      <c r="AKH750"/>
      <c r="AKI750"/>
      <c r="AKJ750"/>
      <c r="AKK750"/>
      <c r="AKL750"/>
      <c r="AKM750"/>
      <c r="AKN750"/>
      <c r="AKO750"/>
      <c r="AKP750"/>
      <c r="AKQ750"/>
      <c r="AKR750"/>
      <c r="AKS750"/>
      <c r="AKT750"/>
      <c r="AKU750"/>
      <c r="AKV750"/>
      <c r="AKW750"/>
      <c r="AKX750"/>
      <c r="AKY750"/>
      <c r="AKZ750"/>
      <c r="ALA750"/>
      <c r="ALB750"/>
      <c r="ALC750"/>
      <c r="ALD750"/>
      <c r="ALE750"/>
      <c r="ALF750"/>
      <c r="ALG750"/>
      <c r="ALH750"/>
      <c r="ALI750"/>
      <c r="ALJ750"/>
      <c r="ALK750"/>
      <c r="ALL750"/>
      <c r="ALM750"/>
      <c r="ALN750"/>
      <c r="ALO750"/>
      <c r="ALP750"/>
      <c r="ALQ750"/>
      <c r="ALR750"/>
      <c r="ALS750"/>
      <c r="ALT750"/>
      <c r="ALU750"/>
      <c r="ALV750"/>
      <c r="ALW750"/>
      <c r="ALX750"/>
      <c r="ALY750"/>
      <c r="ALZ750"/>
      <c r="AMA750"/>
      <c r="AMB750"/>
      <c r="AMC750"/>
      <c r="AMD750"/>
      <c r="AME750"/>
      <c r="AMF750"/>
      <c r="AMG750"/>
      <c r="AMH750"/>
      <c r="AMI750"/>
      <c r="AMJ750"/>
    </row>
    <row r="751" spans="1:1024">
      <c r="A751" s="7" t="s">
        <v>755</v>
      </c>
      <c r="B751" s="7">
        <v>488062</v>
      </c>
      <c r="C751" s="11"/>
      <c r="D751" s="12">
        <v>3</v>
      </c>
      <c r="E751" s="7">
        <f>VLOOKUP(B751,Gesamtstunden_26!B:I,8,0)</f>
        <v>6.666666666666667</v>
      </c>
      <c r="F751" s="13">
        <f t="shared" si="11"/>
        <v>-3.666666666666667</v>
      </c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  <c r="AT751" s="11"/>
      <c r="AU751" s="11"/>
      <c r="AV751" s="11"/>
      <c r="AW751" s="11"/>
      <c r="AX751" s="11"/>
      <c r="AY751" s="11"/>
      <c r="AZ751" s="11"/>
      <c r="BA751" s="11"/>
      <c r="BB751" s="11"/>
      <c r="BC751" s="11"/>
      <c r="BD751" s="11"/>
      <c r="BE751" s="11"/>
      <c r="BF751" s="11"/>
      <c r="BG751" s="11"/>
      <c r="BH751" s="11"/>
      <c r="BI751" s="11"/>
      <c r="BJ751" s="11"/>
      <c r="BK751" s="11"/>
      <c r="BL751" s="11"/>
      <c r="BM751" s="11"/>
      <c r="BN751" s="11"/>
      <c r="BO751" s="11"/>
      <c r="BP751" s="11"/>
      <c r="BQ751" s="11"/>
      <c r="BR751" s="11"/>
      <c r="BS751" s="11"/>
      <c r="BT751" s="11"/>
      <c r="BU751" s="11"/>
      <c r="BV751" s="11"/>
      <c r="BW751" s="11"/>
      <c r="BX751" s="11"/>
      <c r="BY751" s="11"/>
      <c r="BZ751" s="11"/>
      <c r="CA751" s="11"/>
      <c r="CB751" s="11"/>
      <c r="CC751" s="11"/>
      <c r="CD751" s="11"/>
      <c r="CE751" s="11"/>
      <c r="CF751" s="11"/>
      <c r="CG751" s="11"/>
      <c r="CH751" s="11"/>
      <c r="CI751" s="11"/>
      <c r="CJ751" s="11"/>
      <c r="CK751" s="11"/>
      <c r="CL751" s="11"/>
      <c r="CM751" s="11"/>
      <c r="CN751" s="11"/>
      <c r="CO751" s="11"/>
      <c r="CP751" s="11"/>
      <c r="CQ751" s="11"/>
      <c r="CR751" s="11"/>
      <c r="CS751" s="11"/>
      <c r="CT751" s="11"/>
      <c r="CU751" s="11"/>
      <c r="CV751" s="11"/>
      <c r="CW751" s="11"/>
      <c r="CX751" s="11"/>
      <c r="CY751" s="11"/>
      <c r="CZ751" s="11"/>
      <c r="DA751" s="11"/>
      <c r="DB751" s="11"/>
      <c r="DC751" s="11"/>
      <c r="DD751" s="11"/>
      <c r="DE751" s="11"/>
      <c r="DF751" s="11"/>
      <c r="DG751" s="11"/>
      <c r="DH751" s="11"/>
      <c r="DI751" s="11"/>
      <c r="DJ751" s="11"/>
      <c r="DK751" s="11"/>
      <c r="DL751" s="11"/>
      <c r="DM751" s="11"/>
      <c r="DN751" s="11"/>
      <c r="DO751" s="11"/>
      <c r="DP751" s="11"/>
      <c r="DQ751" s="11"/>
      <c r="DR751" s="11"/>
      <c r="DS751" s="11"/>
      <c r="DT751" s="11"/>
      <c r="DU751" s="11"/>
      <c r="DV751" s="11"/>
      <c r="DW751" s="11"/>
      <c r="DX751" s="11"/>
      <c r="DY751" s="11"/>
      <c r="DZ751" s="11"/>
      <c r="EA751" s="11"/>
      <c r="EB751" s="11"/>
      <c r="EC751" s="11"/>
      <c r="ED751" s="11"/>
      <c r="EE751" s="11"/>
      <c r="EF751" s="11"/>
      <c r="EG751" s="11"/>
      <c r="EH751" s="11"/>
      <c r="EI751" s="11"/>
      <c r="EJ751" s="11"/>
      <c r="EK751" s="11"/>
      <c r="EL751" s="11"/>
      <c r="EM751" s="11"/>
      <c r="EN751" s="11"/>
      <c r="EO751" s="11"/>
      <c r="EP751" s="11"/>
      <c r="EQ751" s="11"/>
      <c r="ER751" s="11"/>
      <c r="ES751" s="11"/>
      <c r="ET751" s="11"/>
      <c r="EU751" s="11"/>
      <c r="EV751" s="11"/>
      <c r="EW751" s="11"/>
      <c r="EX751" s="11"/>
      <c r="EY751" s="11"/>
      <c r="EZ751" s="11"/>
      <c r="FA751" s="11"/>
      <c r="FB751" s="11"/>
      <c r="FC751" s="11"/>
      <c r="FD751" s="11"/>
      <c r="FE751" s="11"/>
      <c r="FF751" s="11"/>
      <c r="FG751" s="11"/>
      <c r="FH751" s="11"/>
      <c r="FI751" s="11"/>
      <c r="FJ751" s="11"/>
      <c r="FK751" s="11"/>
      <c r="FL751" s="11"/>
      <c r="FM751" s="11"/>
      <c r="FN751" s="11"/>
      <c r="FO751" s="11"/>
      <c r="FP751" s="11"/>
      <c r="FQ751" s="11"/>
      <c r="FR751" s="11"/>
      <c r="FS751" s="11"/>
      <c r="FT751" s="11"/>
      <c r="FU751" s="11"/>
      <c r="FV751" s="11"/>
      <c r="FW751" s="11"/>
      <c r="FX751" s="11"/>
      <c r="FY751" s="11"/>
      <c r="FZ751" s="11"/>
      <c r="GA751" s="11"/>
      <c r="GB751" s="11"/>
      <c r="GC751" s="11"/>
      <c r="GD751" s="11"/>
      <c r="GE751" s="11"/>
      <c r="GF751" s="11"/>
      <c r="GG751" s="11"/>
      <c r="GH751" s="11"/>
      <c r="GI751" s="11"/>
      <c r="GJ751" s="11"/>
      <c r="GK751" s="11"/>
      <c r="GL751" s="11"/>
      <c r="GM751" s="11"/>
      <c r="GN751" s="11"/>
      <c r="GO751" s="11"/>
      <c r="GP751" s="11"/>
      <c r="GQ751" s="11"/>
      <c r="GR751" s="11"/>
      <c r="GS751" s="11"/>
      <c r="GT751" s="11"/>
      <c r="GU751" s="11"/>
      <c r="GV751" s="11"/>
      <c r="GW751" s="11"/>
      <c r="GX751" s="11"/>
      <c r="GY751" s="11"/>
      <c r="GZ751" s="11"/>
      <c r="HA751" s="11"/>
      <c r="HB751" s="11"/>
      <c r="HC751" s="11"/>
      <c r="HD751" s="11"/>
      <c r="HE751" s="11"/>
      <c r="HF751" s="11"/>
      <c r="HG751" s="11"/>
      <c r="HH751" s="11"/>
      <c r="HI751" s="11"/>
      <c r="HJ751" s="11"/>
      <c r="HK751" s="11"/>
      <c r="HL751" s="11"/>
      <c r="HM751" s="11"/>
      <c r="HN751" s="11"/>
      <c r="HO751" s="11"/>
      <c r="HP751" s="11"/>
      <c r="HQ751" s="11"/>
      <c r="HR751" s="11"/>
      <c r="HS751" s="11"/>
      <c r="HT751" s="11"/>
      <c r="HU751" s="11"/>
      <c r="HV751" s="11"/>
      <c r="HW751" s="11"/>
      <c r="HX751" s="11"/>
      <c r="HY751" s="11"/>
      <c r="HZ751" s="11"/>
      <c r="IA751" s="11"/>
      <c r="IB751" s="11"/>
      <c r="IC751" s="11"/>
      <c r="ID751" s="11"/>
      <c r="IE751" s="11"/>
      <c r="IF751" s="11"/>
      <c r="IG751" s="11"/>
      <c r="IH751" s="11"/>
      <c r="II751" s="11"/>
      <c r="IJ751" s="11"/>
      <c r="IK751" s="11"/>
      <c r="IL751" s="11"/>
      <c r="IM751" s="11"/>
      <c r="IN751" s="11"/>
      <c r="IO751" s="11"/>
      <c r="IP751" s="11"/>
      <c r="IQ751" s="11"/>
      <c r="IR751" s="11"/>
      <c r="IS751" s="11"/>
      <c r="IT751" s="11"/>
      <c r="IU751" s="11"/>
      <c r="IV751" s="11"/>
      <c r="IW751" s="11"/>
      <c r="IX751" s="11"/>
      <c r="IY751" s="11"/>
      <c r="IZ751" s="11"/>
      <c r="JA751" s="11"/>
      <c r="JB751" s="11"/>
      <c r="JC751" s="11"/>
      <c r="JD751" s="11"/>
      <c r="JE751" s="11"/>
      <c r="JF751" s="11"/>
      <c r="JG751" s="11"/>
      <c r="JH751" s="11"/>
      <c r="JI751" s="11"/>
      <c r="JJ751" s="11"/>
      <c r="JK751" s="11"/>
      <c r="JL751" s="11"/>
      <c r="JM751" s="11"/>
      <c r="JN751" s="11"/>
      <c r="JO751" s="11"/>
      <c r="JP751" s="11"/>
      <c r="JQ751" s="11"/>
      <c r="JR751" s="11"/>
      <c r="JS751" s="11"/>
      <c r="JT751" s="11"/>
      <c r="JU751" s="11"/>
      <c r="JV751" s="11"/>
      <c r="JW751" s="11"/>
      <c r="JX751" s="11"/>
      <c r="JY751" s="11"/>
      <c r="JZ751" s="11"/>
      <c r="KA751" s="11"/>
      <c r="KB751" s="11"/>
      <c r="KC751" s="11"/>
      <c r="KD751" s="11"/>
      <c r="KE751" s="11"/>
      <c r="KF751" s="11"/>
      <c r="KG751" s="11"/>
      <c r="KH751" s="11"/>
      <c r="KI751" s="11"/>
      <c r="KJ751" s="11"/>
      <c r="KK751" s="11"/>
      <c r="KL751" s="11"/>
      <c r="KM751" s="11"/>
      <c r="KN751" s="11"/>
      <c r="KO751" s="11"/>
      <c r="KP751" s="11"/>
      <c r="KQ751" s="11"/>
      <c r="KR751" s="11"/>
      <c r="KS751" s="11"/>
      <c r="KT751" s="11"/>
      <c r="KU751" s="11"/>
      <c r="KV751" s="11"/>
      <c r="KW751" s="11"/>
      <c r="KX751" s="11"/>
      <c r="KY751" s="11"/>
      <c r="KZ751" s="11"/>
      <c r="LA751" s="11"/>
      <c r="LB751" s="11"/>
      <c r="LC751" s="11"/>
      <c r="LD751" s="11"/>
      <c r="LE751" s="11"/>
      <c r="LF751" s="11"/>
      <c r="LG751" s="11"/>
      <c r="LH751" s="11"/>
      <c r="LI751" s="11"/>
      <c r="LJ751" s="11"/>
      <c r="LK751" s="11"/>
      <c r="LL751" s="11"/>
      <c r="LM751" s="11"/>
      <c r="LN751" s="11"/>
      <c r="LO751" s="11"/>
      <c r="LP751" s="11"/>
      <c r="LQ751" s="11"/>
      <c r="LR751" s="11"/>
      <c r="LS751" s="11"/>
      <c r="LT751" s="11"/>
      <c r="LU751" s="11"/>
      <c r="LV751" s="11"/>
      <c r="LW751" s="11"/>
      <c r="LX751" s="11"/>
      <c r="LY751" s="11"/>
      <c r="LZ751" s="11"/>
      <c r="MA751" s="11"/>
      <c r="MB751" s="11"/>
      <c r="MC751" s="11"/>
      <c r="MD751" s="11"/>
      <c r="ME751" s="11"/>
      <c r="MF751" s="11"/>
      <c r="MG751" s="11"/>
      <c r="MH751" s="11"/>
      <c r="MI751" s="11"/>
      <c r="MJ751" s="11"/>
      <c r="MK751" s="11"/>
      <c r="ML751" s="11"/>
      <c r="MM751" s="11"/>
      <c r="MN751" s="11"/>
      <c r="MO751" s="11"/>
      <c r="MP751" s="11"/>
      <c r="MQ751" s="11"/>
      <c r="MR751" s="11"/>
      <c r="MS751" s="11"/>
      <c r="MT751" s="11"/>
      <c r="MU751" s="11"/>
      <c r="MV751" s="11"/>
      <c r="MW751" s="11"/>
      <c r="MX751" s="11"/>
      <c r="MY751" s="11"/>
      <c r="MZ751" s="11"/>
      <c r="NA751" s="11"/>
      <c r="NB751" s="11"/>
      <c r="NC751" s="11"/>
      <c r="ND751" s="11"/>
      <c r="NE751" s="11"/>
      <c r="NF751" s="11"/>
      <c r="NG751" s="11"/>
      <c r="NH751" s="11"/>
      <c r="NI751" s="11"/>
      <c r="NJ751" s="11"/>
      <c r="NK751" s="11"/>
      <c r="NL751" s="11"/>
      <c r="NM751" s="11"/>
      <c r="NN751" s="11"/>
      <c r="NO751" s="11"/>
      <c r="NP751" s="11"/>
      <c r="NQ751" s="11"/>
      <c r="NR751" s="11"/>
      <c r="NS751" s="11"/>
      <c r="NT751" s="11"/>
      <c r="NU751" s="11"/>
      <c r="NV751" s="11"/>
      <c r="NW751" s="11"/>
      <c r="NX751" s="11"/>
      <c r="NY751" s="11"/>
      <c r="NZ751" s="11"/>
      <c r="OA751" s="11"/>
      <c r="OB751" s="11"/>
      <c r="OC751" s="11"/>
      <c r="OD751" s="11"/>
      <c r="OE751" s="11"/>
      <c r="OF751" s="11"/>
      <c r="OG751" s="11"/>
      <c r="OH751" s="11"/>
      <c r="OI751" s="11"/>
      <c r="OJ751" s="11"/>
      <c r="OK751" s="11"/>
      <c r="OL751" s="11"/>
      <c r="OM751" s="11"/>
      <c r="ON751" s="11"/>
      <c r="OO751" s="11"/>
      <c r="OP751" s="11"/>
      <c r="OQ751" s="11"/>
      <c r="OR751" s="11"/>
      <c r="OS751" s="11"/>
      <c r="OT751" s="11"/>
      <c r="OU751" s="11"/>
      <c r="OV751" s="11"/>
      <c r="OW751" s="11"/>
      <c r="OX751" s="11"/>
      <c r="OY751" s="11"/>
      <c r="OZ751" s="11"/>
      <c r="PA751" s="11"/>
      <c r="PB751" s="11"/>
      <c r="PC751" s="11"/>
      <c r="PD751" s="11"/>
      <c r="PE751" s="11"/>
      <c r="PF751" s="11"/>
      <c r="PG751" s="11"/>
      <c r="PH751" s="11"/>
      <c r="PI751" s="11"/>
      <c r="PJ751" s="11"/>
      <c r="PK751" s="11"/>
      <c r="PL751" s="11"/>
      <c r="PM751" s="11"/>
      <c r="PN751" s="11"/>
      <c r="PO751" s="11"/>
      <c r="PP751" s="11"/>
      <c r="PQ751" s="11"/>
      <c r="PR751" s="11"/>
      <c r="PS751" s="11"/>
      <c r="PT751" s="11"/>
      <c r="PU751" s="11"/>
      <c r="PV751" s="11"/>
      <c r="PW751" s="11"/>
      <c r="PX751" s="11"/>
      <c r="PY751" s="11"/>
      <c r="PZ751" s="11"/>
      <c r="QA751" s="11"/>
      <c r="QB751" s="11"/>
      <c r="QC751" s="11"/>
      <c r="QD751" s="11"/>
      <c r="QE751" s="11"/>
      <c r="QF751" s="11"/>
      <c r="QG751" s="11"/>
      <c r="QH751" s="11"/>
      <c r="QI751" s="11"/>
      <c r="QJ751" s="11"/>
      <c r="QK751" s="11"/>
      <c r="QL751" s="11"/>
      <c r="QM751" s="11"/>
      <c r="QN751" s="11"/>
      <c r="QO751" s="11"/>
      <c r="QP751" s="11"/>
      <c r="QQ751" s="11"/>
      <c r="QR751" s="11"/>
      <c r="QS751" s="11"/>
      <c r="QT751" s="11"/>
      <c r="QU751" s="11"/>
      <c r="QV751" s="11"/>
      <c r="QW751" s="11"/>
      <c r="QX751" s="11"/>
      <c r="QY751" s="11"/>
      <c r="QZ751" s="11"/>
      <c r="RA751" s="11"/>
      <c r="RB751" s="11"/>
      <c r="RC751" s="11"/>
      <c r="RD751" s="11"/>
      <c r="RE751" s="11"/>
      <c r="RF751" s="11"/>
      <c r="RG751" s="11"/>
      <c r="RH751" s="11"/>
      <c r="RI751" s="11"/>
      <c r="RJ751" s="11"/>
      <c r="RK751" s="11"/>
      <c r="RL751" s="11"/>
      <c r="RM751" s="11"/>
      <c r="RN751" s="11"/>
      <c r="RO751" s="11"/>
      <c r="RP751" s="11"/>
      <c r="RQ751" s="11"/>
      <c r="RR751" s="11"/>
      <c r="RS751" s="11"/>
      <c r="RT751" s="11"/>
      <c r="RU751" s="11"/>
      <c r="RV751" s="11"/>
      <c r="RW751" s="11"/>
      <c r="RX751" s="11"/>
      <c r="RY751" s="11"/>
      <c r="RZ751" s="11"/>
      <c r="SA751" s="11"/>
      <c r="SB751" s="11"/>
      <c r="SC751" s="11"/>
      <c r="SD751" s="11"/>
      <c r="SE751" s="11"/>
      <c r="SF751" s="11"/>
      <c r="SG751" s="11"/>
      <c r="SH751" s="11"/>
      <c r="SI751" s="11"/>
      <c r="SJ751" s="11"/>
      <c r="SK751" s="11"/>
      <c r="SL751" s="11"/>
      <c r="SM751" s="11"/>
      <c r="SN751" s="11"/>
      <c r="SO751" s="11"/>
      <c r="SP751" s="11"/>
      <c r="SQ751" s="11"/>
      <c r="SR751" s="11"/>
      <c r="SS751" s="11"/>
      <c r="ST751" s="11"/>
      <c r="SU751" s="11"/>
      <c r="SV751" s="11"/>
      <c r="SW751" s="11"/>
      <c r="SX751" s="11"/>
      <c r="SY751" s="11"/>
      <c r="SZ751" s="11"/>
      <c r="TA751" s="11"/>
      <c r="TB751" s="11"/>
      <c r="TC751" s="11"/>
      <c r="TD751" s="11"/>
      <c r="TE751" s="11"/>
      <c r="TF751" s="11"/>
      <c r="TG751" s="11"/>
      <c r="TH751" s="11"/>
      <c r="TI751" s="11"/>
      <c r="TJ751" s="11"/>
      <c r="TK751" s="11"/>
      <c r="TL751" s="11"/>
      <c r="TM751" s="11"/>
      <c r="TN751" s="11"/>
      <c r="TO751" s="11"/>
      <c r="TP751" s="11"/>
      <c r="TQ751" s="11"/>
      <c r="TR751" s="11"/>
      <c r="TS751" s="11"/>
      <c r="TT751" s="11"/>
      <c r="TU751" s="11"/>
      <c r="TV751" s="11"/>
      <c r="TW751" s="11"/>
      <c r="TX751" s="11"/>
      <c r="TY751" s="11"/>
      <c r="TZ751" s="11"/>
      <c r="UA751" s="11"/>
      <c r="UB751" s="11"/>
      <c r="UC751" s="11"/>
      <c r="UD751" s="11"/>
      <c r="UE751" s="11"/>
      <c r="UF751" s="11"/>
      <c r="UG751" s="11"/>
      <c r="UH751" s="11"/>
      <c r="UI751" s="11"/>
      <c r="UJ751" s="11"/>
      <c r="UK751" s="11"/>
      <c r="UL751" s="11"/>
      <c r="UM751" s="11"/>
      <c r="UN751" s="11"/>
      <c r="UO751" s="11"/>
      <c r="UP751" s="11"/>
      <c r="UQ751" s="11"/>
      <c r="UR751" s="11"/>
      <c r="US751" s="11"/>
      <c r="UT751" s="11"/>
      <c r="UU751" s="11"/>
      <c r="UV751" s="11"/>
      <c r="UW751" s="11"/>
      <c r="UX751" s="11"/>
      <c r="UY751" s="11"/>
      <c r="UZ751" s="11"/>
      <c r="VA751" s="11"/>
      <c r="VB751" s="11"/>
      <c r="VC751" s="11"/>
      <c r="VD751" s="11"/>
      <c r="VE751" s="11"/>
      <c r="VF751" s="11"/>
      <c r="VG751" s="11"/>
      <c r="VH751" s="11"/>
      <c r="VI751" s="11"/>
      <c r="VJ751" s="11"/>
      <c r="VK751" s="11"/>
      <c r="VL751" s="11"/>
      <c r="VM751" s="11"/>
      <c r="VN751" s="11"/>
      <c r="VO751" s="11"/>
      <c r="VP751" s="11"/>
      <c r="VQ751" s="11"/>
      <c r="VR751" s="11"/>
      <c r="VS751" s="11"/>
      <c r="VT751" s="11"/>
      <c r="VU751" s="11"/>
      <c r="VV751" s="11"/>
      <c r="VW751" s="11"/>
      <c r="VX751" s="11"/>
      <c r="VY751" s="11"/>
      <c r="VZ751" s="11"/>
      <c r="WA751" s="11"/>
      <c r="WB751" s="11"/>
      <c r="WC751" s="11"/>
      <c r="WD751" s="11"/>
      <c r="WE751" s="11"/>
      <c r="WF751" s="11"/>
      <c r="WG751" s="11"/>
      <c r="WH751" s="11"/>
      <c r="WI751" s="11"/>
      <c r="WJ751" s="11"/>
      <c r="WK751" s="11"/>
      <c r="WL751" s="11"/>
      <c r="WM751" s="11"/>
      <c r="WN751" s="11"/>
      <c r="WO751" s="11"/>
      <c r="WP751" s="11"/>
      <c r="WQ751" s="11"/>
      <c r="WR751" s="11"/>
      <c r="WS751" s="11"/>
      <c r="WT751" s="11"/>
      <c r="WU751" s="11"/>
      <c r="WV751" s="11"/>
      <c r="WW751" s="11"/>
      <c r="WX751" s="11"/>
      <c r="WY751" s="11"/>
      <c r="WZ751" s="11"/>
      <c r="XA751" s="11"/>
      <c r="XB751" s="11"/>
      <c r="XC751" s="11"/>
      <c r="XD751" s="11"/>
      <c r="XE751" s="11"/>
      <c r="XF751" s="11"/>
      <c r="XG751" s="11"/>
      <c r="XH751" s="11"/>
      <c r="XI751" s="11"/>
      <c r="XJ751" s="11"/>
      <c r="XK751" s="11"/>
      <c r="XL751" s="11"/>
      <c r="XM751" s="11"/>
      <c r="XN751" s="11"/>
      <c r="XO751" s="11"/>
      <c r="XP751" s="11"/>
      <c r="XQ751" s="11"/>
      <c r="XR751" s="11"/>
      <c r="XS751" s="11"/>
      <c r="XT751" s="11"/>
      <c r="XU751" s="11"/>
      <c r="XV751" s="11"/>
      <c r="XW751" s="11"/>
      <c r="XX751" s="11"/>
      <c r="XY751" s="11"/>
      <c r="XZ751" s="11"/>
      <c r="YA751" s="11"/>
      <c r="YB751" s="11"/>
      <c r="YC751" s="11"/>
      <c r="YD751" s="11"/>
      <c r="YE751" s="11"/>
      <c r="YF751" s="11"/>
      <c r="YG751" s="11"/>
      <c r="YH751" s="11"/>
      <c r="YI751" s="11"/>
      <c r="YJ751" s="11"/>
      <c r="YK751" s="11"/>
      <c r="YL751" s="11"/>
      <c r="YM751" s="11"/>
      <c r="YN751" s="11"/>
      <c r="YO751" s="11"/>
      <c r="YP751" s="11"/>
      <c r="YQ751" s="11"/>
      <c r="YR751" s="11"/>
      <c r="YS751" s="11"/>
      <c r="YT751" s="11"/>
      <c r="YU751" s="11"/>
      <c r="YV751" s="11"/>
      <c r="YW751" s="11"/>
      <c r="YX751" s="11"/>
      <c r="YY751" s="11"/>
      <c r="YZ751" s="11"/>
      <c r="ZA751" s="11"/>
      <c r="ZB751" s="11"/>
      <c r="ZC751" s="11"/>
      <c r="ZD751" s="11"/>
      <c r="ZE751" s="11"/>
      <c r="ZF751" s="11"/>
      <c r="ZG751" s="11"/>
      <c r="ZH751" s="11"/>
      <c r="ZI751" s="11"/>
      <c r="ZJ751" s="11"/>
      <c r="ZK751" s="11"/>
      <c r="ZL751" s="11"/>
      <c r="ZM751" s="11"/>
      <c r="ZN751" s="11"/>
      <c r="ZO751" s="11"/>
      <c r="ZP751" s="11"/>
      <c r="ZQ751" s="11"/>
      <c r="ZR751" s="11"/>
      <c r="ZS751" s="11"/>
      <c r="ZT751" s="11"/>
      <c r="ZU751" s="11"/>
      <c r="ZV751" s="11"/>
      <c r="ZW751" s="11"/>
      <c r="ZX751" s="11"/>
      <c r="ZY751" s="11"/>
      <c r="ZZ751" s="11"/>
      <c r="AAA751" s="11"/>
      <c r="AAB751" s="11"/>
      <c r="AAC751" s="11"/>
      <c r="AAD751" s="11"/>
      <c r="AAE751" s="11"/>
      <c r="AAF751" s="11"/>
      <c r="AAG751" s="11"/>
      <c r="AAH751" s="11"/>
      <c r="AAI751" s="11"/>
      <c r="AAJ751" s="11"/>
      <c r="AAK751" s="11"/>
      <c r="AAL751" s="11"/>
      <c r="AAM751" s="11"/>
      <c r="AAN751" s="11"/>
      <c r="AAO751" s="11"/>
      <c r="AAP751" s="11"/>
      <c r="AAQ751" s="11"/>
      <c r="AAR751" s="11"/>
      <c r="AAS751" s="11"/>
      <c r="AAT751" s="11"/>
      <c r="AAU751" s="11"/>
      <c r="AAV751" s="11"/>
      <c r="AAW751" s="11"/>
      <c r="AAX751" s="11"/>
      <c r="AAY751" s="11"/>
      <c r="AAZ751" s="11"/>
      <c r="ABA751" s="11"/>
      <c r="ABB751" s="11"/>
      <c r="ABC751" s="11"/>
      <c r="ABD751" s="11"/>
      <c r="ABE751" s="11"/>
      <c r="ABF751" s="11"/>
      <c r="ABG751" s="11"/>
      <c r="ABH751" s="11"/>
      <c r="ABI751" s="11"/>
      <c r="ABJ751" s="11"/>
      <c r="ABK751" s="11"/>
      <c r="ABL751" s="11"/>
      <c r="ABM751" s="11"/>
      <c r="ABN751" s="11"/>
      <c r="ABO751" s="11"/>
      <c r="ABP751" s="11"/>
      <c r="ABQ751" s="11"/>
      <c r="ABR751" s="11"/>
      <c r="ABS751" s="11"/>
      <c r="ABT751" s="11"/>
      <c r="ABU751" s="11"/>
      <c r="ABV751" s="11"/>
      <c r="ABW751" s="11"/>
      <c r="ABX751" s="11"/>
      <c r="ABY751" s="11"/>
      <c r="ABZ751" s="11"/>
      <c r="ACA751" s="11"/>
      <c r="ACB751" s="11"/>
      <c r="ACC751" s="11"/>
      <c r="ACD751" s="11"/>
      <c r="ACE751" s="11"/>
      <c r="ACF751" s="11"/>
      <c r="ACG751" s="11"/>
      <c r="ACH751" s="11"/>
      <c r="ACI751" s="11"/>
      <c r="ACJ751" s="11"/>
      <c r="ACK751" s="11"/>
      <c r="ACL751" s="11"/>
      <c r="ACM751" s="11"/>
      <c r="ACN751" s="11"/>
      <c r="ACO751" s="11"/>
      <c r="ACP751" s="11"/>
      <c r="ACQ751" s="11"/>
      <c r="ACR751" s="11"/>
      <c r="ACS751" s="11"/>
      <c r="ACT751" s="11"/>
      <c r="ACU751" s="11"/>
      <c r="ACV751" s="11"/>
      <c r="ACW751" s="11"/>
      <c r="ACX751" s="11"/>
      <c r="ACY751" s="11"/>
      <c r="ACZ751" s="11"/>
      <c r="ADA751" s="11"/>
      <c r="ADB751" s="11"/>
      <c r="ADC751" s="11"/>
      <c r="ADD751" s="11"/>
      <c r="ADE751" s="11"/>
      <c r="ADF751" s="11"/>
      <c r="ADG751" s="11"/>
      <c r="ADH751" s="11"/>
      <c r="ADI751" s="11"/>
      <c r="ADJ751" s="11"/>
      <c r="ADK751" s="11"/>
      <c r="ADL751" s="11"/>
      <c r="ADM751" s="11"/>
      <c r="ADN751" s="11"/>
      <c r="ADO751" s="11"/>
      <c r="ADP751" s="11"/>
      <c r="ADQ751" s="11"/>
      <c r="ADR751" s="11"/>
      <c r="ADS751" s="11"/>
      <c r="ADT751" s="11"/>
      <c r="ADU751" s="11"/>
      <c r="ADV751" s="11"/>
      <c r="ADW751" s="11"/>
      <c r="ADX751" s="11"/>
      <c r="ADY751" s="11"/>
      <c r="ADZ751" s="11"/>
      <c r="AEA751" s="11"/>
      <c r="AEB751" s="11"/>
      <c r="AEC751" s="11"/>
      <c r="AED751" s="11"/>
      <c r="AEE751" s="11"/>
      <c r="AEF751" s="11"/>
      <c r="AEG751" s="11"/>
      <c r="AEH751" s="11"/>
      <c r="AEI751" s="11"/>
      <c r="AEJ751" s="11"/>
      <c r="AEK751" s="11"/>
      <c r="AEL751" s="11"/>
      <c r="AEM751" s="11"/>
      <c r="AEN751" s="11"/>
      <c r="AEO751" s="11"/>
      <c r="AEP751" s="11"/>
      <c r="AEQ751" s="11"/>
      <c r="AER751" s="11"/>
      <c r="AES751" s="11"/>
      <c r="AET751" s="11"/>
      <c r="AEU751" s="11"/>
      <c r="AEV751" s="11"/>
      <c r="AEW751" s="11"/>
      <c r="AEX751" s="11"/>
      <c r="AEY751" s="11"/>
      <c r="AEZ751" s="11"/>
      <c r="AFA751" s="11"/>
      <c r="AFB751" s="11"/>
      <c r="AFC751" s="11"/>
      <c r="AFD751" s="11"/>
      <c r="AFE751" s="11"/>
      <c r="AFF751" s="11"/>
      <c r="AFG751" s="11"/>
      <c r="AFH751" s="11"/>
      <c r="AFI751" s="11"/>
      <c r="AFJ751" s="11"/>
      <c r="AFK751" s="11"/>
      <c r="AFL751" s="11"/>
      <c r="AFM751" s="11"/>
      <c r="AFN751" s="11"/>
      <c r="AFO751" s="11"/>
      <c r="AFP751" s="11"/>
      <c r="AFQ751" s="11"/>
      <c r="AFR751" s="11"/>
      <c r="AFS751" s="11"/>
      <c r="AFT751" s="11"/>
      <c r="AFU751" s="11"/>
      <c r="AFV751" s="11"/>
      <c r="AFW751" s="11"/>
      <c r="AFX751" s="11"/>
      <c r="AFY751" s="11"/>
      <c r="AFZ751" s="11"/>
      <c r="AGA751" s="11"/>
      <c r="AGB751" s="11"/>
      <c r="AGC751" s="11"/>
      <c r="AGD751" s="11"/>
      <c r="AGE751" s="11"/>
      <c r="AGF751" s="11"/>
      <c r="AGG751" s="11"/>
      <c r="AGH751" s="11"/>
      <c r="AGI751" s="11"/>
      <c r="AGJ751" s="11"/>
      <c r="AGK751" s="11"/>
      <c r="AGL751" s="11"/>
      <c r="AGM751" s="11"/>
      <c r="AGN751" s="11"/>
      <c r="AGO751" s="11"/>
      <c r="AGP751" s="11"/>
      <c r="AGQ751" s="11"/>
      <c r="AGR751" s="11"/>
      <c r="AGS751" s="11"/>
      <c r="AGT751" s="11"/>
      <c r="AGU751" s="11"/>
      <c r="AGV751" s="11"/>
      <c r="AGW751" s="11"/>
      <c r="AGX751" s="11"/>
      <c r="AGY751" s="11"/>
      <c r="AGZ751" s="11"/>
      <c r="AHA751" s="11"/>
      <c r="AHB751" s="11"/>
      <c r="AHC751" s="11"/>
      <c r="AHD751" s="11"/>
      <c r="AHE751" s="11"/>
      <c r="AHF751" s="11"/>
      <c r="AHG751" s="11"/>
      <c r="AHH751" s="11"/>
      <c r="AHI751" s="11"/>
      <c r="AHJ751" s="11"/>
      <c r="AHK751" s="11"/>
      <c r="AHL751" s="11"/>
      <c r="AHM751" s="11"/>
      <c r="AHN751" s="11"/>
      <c r="AHO751" s="11"/>
      <c r="AHP751" s="11"/>
      <c r="AHQ751" s="11"/>
      <c r="AHR751" s="11"/>
      <c r="AHS751" s="11"/>
      <c r="AHT751" s="11"/>
      <c r="AHU751" s="11"/>
      <c r="AHV751" s="11"/>
      <c r="AHW751" s="11"/>
      <c r="AHX751" s="11"/>
      <c r="AHY751" s="11"/>
      <c r="AHZ751" s="11"/>
      <c r="AIA751" s="11"/>
      <c r="AIB751" s="11"/>
      <c r="AIC751" s="11"/>
      <c r="AID751" s="11"/>
      <c r="AIE751" s="11"/>
      <c r="AIF751" s="11"/>
      <c r="AIG751" s="11"/>
      <c r="AIH751" s="11"/>
      <c r="AII751" s="11"/>
      <c r="AIJ751" s="11"/>
      <c r="AIK751" s="11"/>
      <c r="AIL751" s="11"/>
      <c r="AIM751" s="11"/>
      <c r="AIN751" s="11"/>
      <c r="AIO751" s="11"/>
      <c r="AIP751" s="11"/>
      <c r="AIQ751" s="11"/>
      <c r="AIR751" s="11"/>
      <c r="AIS751" s="11"/>
      <c r="AIT751" s="11"/>
      <c r="AIU751" s="11"/>
      <c r="AIV751" s="11"/>
      <c r="AIW751" s="11"/>
      <c r="AIX751" s="11"/>
      <c r="AIY751" s="11"/>
      <c r="AIZ751" s="11"/>
      <c r="AJA751" s="11"/>
      <c r="AJB751" s="11"/>
      <c r="AJC751" s="11"/>
      <c r="AJD751" s="11"/>
      <c r="AJE751" s="11"/>
      <c r="AJF751" s="11"/>
      <c r="AJG751" s="11"/>
      <c r="AJH751" s="11"/>
      <c r="AJI751" s="11"/>
      <c r="AJJ751" s="11"/>
      <c r="AJK751" s="11"/>
      <c r="AJL751" s="11"/>
      <c r="AJM751" s="11"/>
      <c r="AJN751" s="11"/>
      <c r="AJO751" s="11"/>
      <c r="AJP751" s="11"/>
      <c r="AJQ751" s="11"/>
      <c r="AJR751" s="11"/>
      <c r="AJS751" s="11"/>
      <c r="AJT751" s="11"/>
      <c r="AJU751" s="11"/>
      <c r="AJV751" s="11"/>
      <c r="AJW751" s="11"/>
      <c r="AJX751" s="11"/>
      <c r="AJY751" s="11"/>
      <c r="AJZ751" s="11"/>
      <c r="AKA751" s="11"/>
      <c r="AKB751" s="11"/>
      <c r="AKC751" s="11"/>
      <c r="AKD751" s="11"/>
      <c r="AKE751" s="11"/>
      <c r="AKF751" s="11"/>
      <c r="AKG751" s="11"/>
      <c r="AKH751" s="11"/>
      <c r="AKI751" s="11"/>
      <c r="AKJ751" s="11"/>
      <c r="AKK751" s="11"/>
      <c r="AKL751" s="11"/>
      <c r="AKM751" s="11"/>
      <c r="AKN751" s="11"/>
      <c r="AKO751" s="11"/>
      <c r="AKP751" s="11"/>
      <c r="AKQ751" s="11"/>
      <c r="AKR751" s="11"/>
      <c r="AKS751" s="11"/>
      <c r="AKT751" s="11"/>
      <c r="AKU751" s="11"/>
      <c r="AKV751" s="11"/>
      <c r="AKW751" s="11"/>
      <c r="AKX751" s="11"/>
      <c r="AKY751" s="11"/>
      <c r="AKZ751" s="11"/>
      <c r="ALA751" s="11"/>
      <c r="ALB751" s="11"/>
      <c r="ALC751" s="11"/>
      <c r="ALD751" s="11"/>
      <c r="ALE751" s="11"/>
      <c r="ALF751" s="11"/>
      <c r="ALG751" s="11"/>
      <c r="ALH751" s="11"/>
      <c r="ALI751" s="11"/>
      <c r="ALJ751" s="11"/>
      <c r="ALK751" s="11"/>
      <c r="ALL751" s="11"/>
      <c r="ALM751" s="11"/>
      <c r="ALN751" s="11"/>
      <c r="ALO751" s="11"/>
      <c r="ALP751" s="11"/>
      <c r="ALQ751" s="11"/>
      <c r="ALR751" s="11"/>
      <c r="ALS751" s="11"/>
      <c r="ALT751" s="11"/>
      <c r="ALU751" s="11"/>
      <c r="ALV751" s="11"/>
      <c r="ALW751" s="11"/>
      <c r="ALX751" s="11"/>
      <c r="ALY751" s="11"/>
      <c r="ALZ751" s="11"/>
      <c r="AMA751" s="11"/>
      <c r="AMB751" s="11"/>
      <c r="AMC751" s="11"/>
      <c r="AMD751" s="11"/>
      <c r="AME751" s="11"/>
      <c r="AMF751" s="11"/>
      <c r="AMG751" s="11"/>
      <c r="AMH751" s="11"/>
      <c r="AMI751" s="11"/>
      <c r="AMJ751" s="11"/>
    </row>
    <row r="752" spans="1:1024">
      <c r="A752" s="7" t="s">
        <v>756</v>
      </c>
      <c r="B752" s="7">
        <v>11467</v>
      </c>
      <c r="D752" s="1">
        <v>0</v>
      </c>
      <c r="E752" s="8">
        <f>VLOOKUP(B752,Gesamtstunden_26!B:I,8,0)</f>
        <v>5.333333333333333</v>
      </c>
      <c r="F752" s="2">
        <f t="shared" si="11"/>
        <v>-5.333333333333333</v>
      </c>
    </row>
    <row r="753" spans="1:6">
      <c r="A753" s="14" t="s">
        <v>757</v>
      </c>
      <c r="B753" s="14">
        <v>610024</v>
      </c>
      <c r="D753" s="1">
        <v>0</v>
      </c>
      <c r="E753" s="8">
        <f>VLOOKUP(B753,Gesamtstunden_26!B:I,8,0)</f>
        <v>1</v>
      </c>
      <c r="F753" s="2">
        <f t="shared" si="11"/>
        <v>-1</v>
      </c>
    </row>
    <row r="754" spans="1:6">
      <c r="A754" s="8" t="s">
        <v>758</v>
      </c>
      <c r="B754" s="8">
        <v>108126</v>
      </c>
      <c r="D754" s="1">
        <v>13</v>
      </c>
      <c r="E754" s="8">
        <f>VLOOKUP(B754,Gesamtstunden_26!B:I,8,0)</f>
        <v>0</v>
      </c>
      <c r="F754" s="2">
        <f t="shared" si="11"/>
        <v>13</v>
      </c>
    </row>
    <row r="755" spans="1:6">
      <c r="A755" s="8" t="s">
        <v>759</v>
      </c>
      <c r="B755" s="8">
        <v>523693</v>
      </c>
      <c r="D755" s="1">
        <v>11.6666666666667</v>
      </c>
      <c r="E755" s="8">
        <f>VLOOKUP(B755,Gesamtstunden_26!B:I,8,0)</f>
        <v>0</v>
      </c>
      <c r="F755" s="2">
        <f t="shared" si="11"/>
        <v>11.6666666666667</v>
      </c>
    </row>
    <row r="756" spans="1:6">
      <c r="A756" s="8" t="s">
        <v>760</v>
      </c>
      <c r="B756" s="8">
        <v>860528</v>
      </c>
      <c r="D756" s="1">
        <v>6</v>
      </c>
      <c r="E756" s="8">
        <f>VLOOKUP(B756,Gesamtstunden_26!B:I,8,0)</f>
        <v>0</v>
      </c>
      <c r="F756" s="2">
        <f t="shared" si="11"/>
        <v>6</v>
      </c>
    </row>
    <row r="757" spans="1:6">
      <c r="A757" s="7" t="s">
        <v>761</v>
      </c>
      <c r="B757" s="7">
        <v>476486</v>
      </c>
      <c r="D757" s="1">
        <v>0</v>
      </c>
      <c r="E757" s="8">
        <f>VLOOKUP(B757,Gesamtstunden_26!B:I,8,0)</f>
        <v>0</v>
      </c>
      <c r="F757" s="2">
        <f t="shared" si="11"/>
        <v>0</v>
      </c>
    </row>
    <row r="758" spans="1:6">
      <c r="A758" s="16" t="s">
        <v>762</v>
      </c>
      <c r="B758" s="16">
        <v>147814</v>
      </c>
      <c r="D758" s="1">
        <v>0</v>
      </c>
      <c r="E758" s="8">
        <f>VLOOKUP(B758,Gesamtstunden_26!B:I,8,0)</f>
        <v>1.3333333333333333</v>
      </c>
      <c r="F758" s="2">
        <f t="shared" si="11"/>
        <v>-1.3333333333333333</v>
      </c>
    </row>
    <row r="759" spans="1:6">
      <c r="A759" s="8" t="s">
        <v>763</v>
      </c>
      <c r="B759" s="8">
        <v>397881</v>
      </c>
      <c r="D759" s="1">
        <v>3.6666666666666701</v>
      </c>
      <c r="E759" s="8">
        <f>VLOOKUP(B759,Gesamtstunden_26!B:I,8,0)</f>
        <v>0</v>
      </c>
      <c r="F759" s="2">
        <f t="shared" si="11"/>
        <v>3.6666666666666701</v>
      </c>
    </row>
    <row r="760" spans="1:6">
      <c r="A760" s="7" t="s">
        <v>764</v>
      </c>
      <c r="B760" s="7">
        <v>858450</v>
      </c>
      <c r="D760" s="1">
        <v>0</v>
      </c>
      <c r="E760" s="8">
        <f>VLOOKUP(B760,Gesamtstunden_26!B:I,8,0)</f>
        <v>1.6666666666666667</v>
      </c>
      <c r="F760" s="2">
        <f t="shared" si="11"/>
        <v>-1.6666666666666667</v>
      </c>
    </row>
    <row r="761" spans="1:6" ht="27.6">
      <c r="A761" s="8" t="s">
        <v>765</v>
      </c>
      <c r="B761" s="8">
        <v>795657</v>
      </c>
      <c r="D761" s="1">
        <v>5.5</v>
      </c>
      <c r="E761" s="8">
        <f>VLOOKUP(B761,Gesamtstunden_26!B:I,8,0)</f>
        <v>0</v>
      </c>
      <c r="F761" s="2">
        <f t="shared" si="11"/>
        <v>5.5</v>
      </c>
    </row>
    <row r="762" spans="1:6" ht="27.6">
      <c r="A762" s="8" t="s">
        <v>766</v>
      </c>
      <c r="B762" s="8">
        <v>340388</v>
      </c>
      <c r="D762" s="1">
        <v>9.84</v>
      </c>
      <c r="E762" s="8">
        <f>VLOOKUP(B762,Gesamtstunden_26!B:I,8,0)</f>
        <v>0</v>
      </c>
      <c r="F762" s="2">
        <f t="shared" si="11"/>
        <v>9.84</v>
      </c>
    </row>
    <row r="763" spans="1:6">
      <c r="A763" s="11" t="s">
        <v>767</v>
      </c>
      <c r="B763" s="11">
        <v>905187</v>
      </c>
      <c r="D763" s="1">
        <v>0</v>
      </c>
      <c r="E763" s="8">
        <f>VLOOKUP(B763,Gesamtstunden_26!B:I,8,0)</f>
        <v>1.8333333333333333</v>
      </c>
      <c r="F763" s="2">
        <f t="shared" si="11"/>
        <v>-1.8333333333333333</v>
      </c>
    </row>
    <row r="764" spans="1:6">
      <c r="A764" s="7" t="s">
        <v>768</v>
      </c>
      <c r="B764" s="7">
        <v>723096</v>
      </c>
      <c r="D764" s="1">
        <v>0</v>
      </c>
      <c r="E764" s="8">
        <f>VLOOKUP(B764,Gesamtstunden_26!B:I,8,0)</f>
        <v>1.6666666666666667</v>
      </c>
      <c r="F764" s="2">
        <f t="shared" si="11"/>
        <v>-1.6666666666666667</v>
      </c>
    </row>
    <row r="765" spans="1:6">
      <c r="A765" s="10" t="s">
        <v>769</v>
      </c>
      <c r="B765" s="10">
        <v>806909</v>
      </c>
      <c r="D765" s="1">
        <v>0</v>
      </c>
      <c r="E765" s="8">
        <f>VLOOKUP(B765,Gesamtstunden_26!B:I,8,0)</f>
        <v>4.5</v>
      </c>
      <c r="F765" s="2">
        <f t="shared" si="11"/>
        <v>-4.5</v>
      </c>
    </row>
    <row r="766" spans="1:6">
      <c r="A766" s="10" t="s">
        <v>770</v>
      </c>
      <c r="B766" s="10">
        <v>891376</v>
      </c>
      <c r="D766" s="1">
        <v>0</v>
      </c>
      <c r="E766" s="8">
        <f>VLOOKUP(B766,Gesamtstunden_26!B:I,8,0)</f>
        <v>2.6666666666666665</v>
      </c>
      <c r="F766" s="2">
        <f t="shared" si="11"/>
        <v>-2.6666666666666665</v>
      </c>
    </row>
    <row r="767" spans="1:6">
      <c r="A767" s="7" t="s">
        <v>771</v>
      </c>
      <c r="B767" s="7">
        <v>935091</v>
      </c>
      <c r="D767" s="1">
        <v>0</v>
      </c>
      <c r="E767" s="8">
        <f>VLOOKUP(B767,Gesamtstunden_26!B:I,8,0)</f>
        <v>4.333333333333333</v>
      </c>
      <c r="F767" s="2">
        <f t="shared" si="11"/>
        <v>-4.333333333333333</v>
      </c>
    </row>
    <row r="768" spans="1:6">
      <c r="A768" s="10" t="s">
        <v>772</v>
      </c>
      <c r="B768" s="10">
        <v>774526</v>
      </c>
      <c r="D768" s="1">
        <v>0</v>
      </c>
      <c r="E768" s="8">
        <f>VLOOKUP(B768,Gesamtstunden_26!B:I,8,0)</f>
        <v>2.6666666666666665</v>
      </c>
      <c r="F768" s="2">
        <f t="shared" si="11"/>
        <v>-2.6666666666666665</v>
      </c>
    </row>
    <row r="769" spans="1:6">
      <c r="A769" s="8" t="s">
        <v>773</v>
      </c>
      <c r="B769" s="8">
        <v>580938</v>
      </c>
      <c r="D769" s="1">
        <v>7.67333333333334</v>
      </c>
      <c r="E769" s="8">
        <f>VLOOKUP(B769,Gesamtstunden_26!B:I,8,0)</f>
        <v>0</v>
      </c>
      <c r="F769" s="2">
        <f t="shared" si="11"/>
        <v>7.67333333333334</v>
      </c>
    </row>
    <row r="770" spans="1:6">
      <c r="A770" s="17" t="s">
        <v>774</v>
      </c>
      <c r="B770" s="17">
        <v>734422</v>
      </c>
      <c r="D770" s="1">
        <v>0</v>
      </c>
      <c r="E770" s="8">
        <f>VLOOKUP(B770,Gesamtstunden_26!B:I,8,0)</f>
        <v>0</v>
      </c>
      <c r="F770" s="2">
        <f t="shared" ref="F770:F814" si="12">D770-E770</f>
        <v>0</v>
      </c>
    </row>
    <row r="771" spans="1:6">
      <c r="A771" s="8" t="s">
        <v>775</v>
      </c>
      <c r="B771" s="8">
        <v>285949</v>
      </c>
      <c r="D771" s="1">
        <v>10</v>
      </c>
      <c r="E771" s="8">
        <f>VLOOKUP(B771,Gesamtstunden_26!B:I,8,0)</f>
        <v>0</v>
      </c>
      <c r="F771" s="2">
        <f t="shared" si="12"/>
        <v>10</v>
      </c>
    </row>
    <row r="772" spans="1:6">
      <c r="A772" s="10" t="s">
        <v>776</v>
      </c>
      <c r="B772" s="10">
        <v>725251</v>
      </c>
      <c r="D772" s="1">
        <v>0</v>
      </c>
      <c r="E772" s="8">
        <f>VLOOKUP(B772,Gesamtstunden_26!B:I,8,0)</f>
        <v>0</v>
      </c>
      <c r="F772" s="2">
        <f t="shared" si="12"/>
        <v>0</v>
      </c>
    </row>
    <row r="773" spans="1:6">
      <c r="A773" s="10" t="s">
        <v>777</v>
      </c>
      <c r="B773" s="10">
        <v>205757</v>
      </c>
      <c r="D773" s="1">
        <v>0</v>
      </c>
      <c r="E773" s="8">
        <f>VLOOKUP(B773,Gesamtstunden_26!B:I,8,0)</f>
        <v>0</v>
      </c>
      <c r="F773" s="2">
        <f t="shared" si="12"/>
        <v>0</v>
      </c>
    </row>
    <row r="774" spans="1:6">
      <c r="A774" s="8" t="s">
        <v>778</v>
      </c>
      <c r="B774" s="8">
        <v>388280</v>
      </c>
      <c r="D774" s="1">
        <v>11.67</v>
      </c>
      <c r="E774" s="8">
        <f>VLOOKUP(B774,Gesamtstunden_26!B:I,8,0)</f>
        <v>0</v>
      </c>
      <c r="F774" s="2">
        <f t="shared" si="12"/>
        <v>11.67</v>
      </c>
    </row>
    <row r="775" spans="1:6">
      <c r="A775" s="8" t="s">
        <v>779</v>
      </c>
      <c r="B775" s="8">
        <v>743324</v>
      </c>
      <c r="D775" s="1">
        <v>12.5</v>
      </c>
      <c r="E775" s="8">
        <f>VLOOKUP(B775,Gesamtstunden_26!B:I,8,0)</f>
        <v>0</v>
      </c>
      <c r="F775" s="2">
        <f t="shared" si="12"/>
        <v>12.5</v>
      </c>
    </row>
    <row r="776" spans="1:6">
      <c r="A776" s="7" t="s">
        <v>780</v>
      </c>
      <c r="B776" s="7">
        <v>4735</v>
      </c>
      <c r="D776" s="1">
        <v>0</v>
      </c>
      <c r="E776" s="8">
        <f>VLOOKUP(B776,Gesamtstunden_26!B:I,8,0)</f>
        <v>0</v>
      </c>
      <c r="F776" s="2">
        <f t="shared" si="12"/>
        <v>0</v>
      </c>
    </row>
    <row r="777" spans="1:6">
      <c r="A777" s="7" t="s">
        <v>781</v>
      </c>
      <c r="B777" s="7">
        <v>496999</v>
      </c>
      <c r="D777" s="1">
        <v>0</v>
      </c>
      <c r="E777" s="8">
        <f>VLOOKUP(B777,Gesamtstunden_26!B:I,8,0)</f>
        <v>4.5</v>
      </c>
      <c r="F777" s="2">
        <f t="shared" si="12"/>
        <v>-4.5</v>
      </c>
    </row>
    <row r="778" spans="1:6">
      <c r="A778" s="10" t="s">
        <v>782</v>
      </c>
      <c r="B778" s="10">
        <v>413594</v>
      </c>
      <c r="D778" s="1">
        <v>0</v>
      </c>
      <c r="E778" s="8">
        <f>VLOOKUP(B778,Gesamtstunden_26!B:I,8,0)</f>
        <v>6.5</v>
      </c>
      <c r="F778" s="2">
        <f t="shared" si="12"/>
        <v>-6.5</v>
      </c>
    </row>
    <row r="779" spans="1:6">
      <c r="A779" s="7" t="s">
        <v>783</v>
      </c>
      <c r="B779" s="7">
        <v>618122</v>
      </c>
      <c r="D779" s="1">
        <v>0</v>
      </c>
      <c r="E779" s="8">
        <f>VLOOKUP(B779,Gesamtstunden_26!B:I,8,0)</f>
        <v>7.166666666666667</v>
      </c>
      <c r="F779" s="2">
        <f t="shared" si="12"/>
        <v>-7.166666666666667</v>
      </c>
    </row>
    <row r="780" spans="1:6">
      <c r="A780" s="7" t="s">
        <v>784</v>
      </c>
      <c r="B780" s="7">
        <v>8789</v>
      </c>
      <c r="D780" s="1">
        <v>0</v>
      </c>
      <c r="E780" s="8">
        <f>VLOOKUP(B780,Gesamtstunden_26!B:I,8,0)</f>
        <v>0.33333333333333331</v>
      </c>
      <c r="F780" s="2">
        <f t="shared" si="12"/>
        <v>-0.33333333333333331</v>
      </c>
    </row>
    <row r="781" spans="1:6">
      <c r="A781" s="10" t="s">
        <v>785</v>
      </c>
      <c r="B781" s="10">
        <v>885140</v>
      </c>
      <c r="D781" s="1">
        <v>0</v>
      </c>
      <c r="E781" s="8">
        <f>VLOOKUP(B781,Gesamtstunden_26!B:I,8,0)</f>
        <v>0.33333333333333331</v>
      </c>
      <c r="F781" s="2">
        <f t="shared" si="12"/>
        <v>-0.33333333333333331</v>
      </c>
    </row>
    <row r="782" spans="1:6">
      <c r="A782" s="22" t="s">
        <v>786</v>
      </c>
      <c r="B782" s="22">
        <v>906758</v>
      </c>
      <c r="D782" s="1">
        <v>0</v>
      </c>
      <c r="E782" s="8">
        <f>VLOOKUP(B782,Gesamtstunden_26!B:I,8,0)</f>
        <v>0.66666666666666663</v>
      </c>
      <c r="F782" s="2">
        <f t="shared" si="12"/>
        <v>-0.66666666666666663</v>
      </c>
    </row>
    <row r="783" spans="1:6">
      <c r="A783" s="8" t="s">
        <v>787</v>
      </c>
      <c r="B783" s="8">
        <v>240785</v>
      </c>
      <c r="D783" s="1">
        <v>2.5099999999999998</v>
      </c>
      <c r="E783" s="8">
        <f>VLOOKUP(B783,Gesamtstunden_26!B:I,8,0)</f>
        <v>0</v>
      </c>
      <c r="F783" s="2">
        <f t="shared" si="12"/>
        <v>2.5099999999999998</v>
      </c>
    </row>
    <row r="784" spans="1:6">
      <c r="A784" s="8" t="s">
        <v>788</v>
      </c>
      <c r="B784" s="8">
        <v>373</v>
      </c>
      <c r="D784" s="1">
        <v>14</v>
      </c>
      <c r="E784" s="8">
        <f>VLOOKUP(B784,Gesamtstunden_26!B:I,8,0)</f>
        <v>0</v>
      </c>
      <c r="F784" s="2">
        <f t="shared" si="12"/>
        <v>14</v>
      </c>
    </row>
    <row r="785" spans="1:1024">
      <c r="A785" s="8" t="s">
        <v>789</v>
      </c>
      <c r="B785" s="8">
        <v>150669</v>
      </c>
      <c r="D785" s="1">
        <v>1.6666666666666601</v>
      </c>
      <c r="E785" s="8">
        <f>VLOOKUP(B785,Gesamtstunden_26!B:I,8,0)</f>
        <v>1</v>
      </c>
      <c r="F785" s="2">
        <f t="shared" si="12"/>
        <v>0.66666666666666008</v>
      </c>
    </row>
    <row r="786" spans="1:1024">
      <c r="A786" s="16" t="s">
        <v>790</v>
      </c>
      <c r="B786" s="16">
        <v>105687</v>
      </c>
      <c r="D786" s="1">
        <v>0</v>
      </c>
      <c r="E786" s="8">
        <f>VLOOKUP(B786,Gesamtstunden_26!B:I,8,0)</f>
        <v>1</v>
      </c>
      <c r="F786" s="2">
        <f t="shared" si="12"/>
        <v>-1</v>
      </c>
    </row>
    <row r="787" spans="1:1024">
      <c r="A787" s="7" t="s">
        <v>791</v>
      </c>
      <c r="B787" s="7">
        <v>111876</v>
      </c>
      <c r="D787" s="1">
        <v>0</v>
      </c>
      <c r="E787" s="8">
        <f>VLOOKUP(B787,Gesamtstunden_26!B:I,8,0)</f>
        <v>0</v>
      </c>
      <c r="F787" s="2">
        <f t="shared" si="12"/>
        <v>0</v>
      </c>
    </row>
    <row r="788" spans="1:1024">
      <c r="A788" s="7" t="s">
        <v>792</v>
      </c>
      <c r="B788" s="7">
        <v>829843</v>
      </c>
      <c r="D788" s="1">
        <v>0</v>
      </c>
      <c r="E788" s="8">
        <f>VLOOKUP(B788,Gesamtstunden_26!B:I,8,0)</f>
        <v>4</v>
      </c>
      <c r="F788" s="2">
        <f t="shared" si="12"/>
        <v>-4</v>
      </c>
    </row>
    <row r="789" spans="1:1024">
      <c r="A789" s="8" t="s">
        <v>793</v>
      </c>
      <c r="B789">
        <v>838168</v>
      </c>
      <c r="D789" s="1">
        <v>6</v>
      </c>
      <c r="E789" s="8">
        <f>VLOOKUP(B789,Gesamtstunden_26!B:I,8,0)</f>
        <v>0</v>
      </c>
      <c r="F789" s="2">
        <f t="shared" si="12"/>
        <v>6</v>
      </c>
    </row>
    <row r="790" spans="1:1024">
      <c r="A790" s="16" t="s">
        <v>794</v>
      </c>
      <c r="B790" s="16">
        <v>233605</v>
      </c>
      <c r="D790" s="1">
        <v>0</v>
      </c>
      <c r="E790" s="8">
        <f>VLOOKUP(B790,Gesamtstunden_26!B:I,8,0)</f>
        <v>0</v>
      </c>
      <c r="F790" s="2">
        <f t="shared" si="12"/>
        <v>0</v>
      </c>
    </row>
    <row r="791" spans="1:1024">
      <c r="A791" s="8" t="s">
        <v>795</v>
      </c>
      <c r="B791" s="8">
        <v>239443</v>
      </c>
      <c r="D791" s="1">
        <v>11</v>
      </c>
      <c r="E791" s="8">
        <f>VLOOKUP(B791,Gesamtstunden_26!B:I,8,0)</f>
        <v>0</v>
      </c>
      <c r="F791" s="2">
        <f t="shared" si="12"/>
        <v>11</v>
      </c>
    </row>
    <row r="792" spans="1:1024">
      <c r="A792" s="17" t="s">
        <v>796</v>
      </c>
      <c r="B792" s="17">
        <v>959536</v>
      </c>
      <c r="D792" s="1">
        <v>0</v>
      </c>
      <c r="E792" s="8">
        <f>VLOOKUP(B792,Gesamtstunden_26!B:I,8,0)</f>
        <v>14</v>
      </c>
      <c r="F792" s="2">
        <f t="shared" si="12"/>
        <v>-14</v>
      </c>
    </row>
    <row r="793" spans="1:1024">
      <c r="A793" s="10" t="s">
        <v>797</v>
      </c>
      <c r="B793" s="10">
        <v>162003</v>
      </c>
      <c r="D793" s="1">
        <v>0</v>
      </c>
      <c r="E793" s="8">
        <f>VLOOKUP(B793,Gesamtstunden_26!B:I,8,0)</f>
        <v>3.0000000000000004</v>
      </c>
      <c r="F793" s="2">
        <f t="shared" si="12"/>
        <v>-3.0000000000000004</v>
      </c>
    </row>
    <row r="794" spans="1:1024">
      <c r="A794" s="16" t="s">
        <v>798</v>
      </c>
      <c r="B794" s="16">
        <v>381298</v>
      </c>
      <c r="D794" s="1">
        <v>0</v>
      </c>
      <c r="E794" s="8">
        <f>VLOOKUP(B794,Gesamtstunden_26!B:I,8,0)</f>
        <v>0</v>
      </c>
      <c r="F794" s="2">
        <f t="shared" si="12"/>
        <v>0</v>
      </c>
    </row>
    <row r="795" spans="1:1024">
      <c r="A795" s="8" t="s">
        <v>799</v>
      </c>
      <c r="B795" s="8">
        <v>665059</v>
      </c>
      <c r="D795" s="1">
        <v>15.67</v>
      </c>
      <c r="E795" s="8">
        <f>VLOOKUP(B795,Gesamtstunden_26!B:I,8,0)</f>
        <v>0</v>
      </c>
      <c r="F795" s="2">
        <f t="shared" si="12"/>
        <v>15.67</v>
      </c>
    </row>
    <row r="796" spans="1:1024" s="11" customFormat="1">
      <c r="A796" s="8" t="s">
        <v>800</v>
      </c>
      <c r="B796" s="8">
        <v>716290</v>
      </c>
      <c r="C796"/>
      <c r="D796" s="1">
        <v>14.0066666666667</v>
      </c>
      <c r="E796" s="8">
        <f>VLOOKUP(B796,Gesamtstunden_26!B:I,8,0)</f>
        <v>0</v>
      </c>
      <c r="F796" s="2">
        <f t="shared" si="12"/>
        <v>14.0066666666667</v>
      </c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  <c r="BA796"/>
      <c r="BB796"/>
      <c r="BC796"/>
      <c r="BD796"/>
      <c r="BE796"/>
      <c r="BF796"/>
      <c r="BG796"/>
      <c r="BH796"/>
      <c r="BI796"/>
      <c r="BJ796"/>
      <c r="BK796"/>
      <c r="BL796"/>
      <c r="BM796"/>
      <c r="BN796"/>
      <c r="BO796"/>
      <c r="BP796"/>
      <c r="BQ796"/>
      <c r="BR796"/>
      <c r="BS796"/>
      <c r="BT796"/>
      <c r="BU796"/>
      <c r="BV796"/>
      <c r="BW796"/>
      <c r="BX796"/>
      <c r="BY796"/>
      <c r="BZ796"/>
      <c r="CA796"/>
      <c r="CB796"/>
      <c r="CC796"/>
      <c r="CD796"/>
      <c r="CE796"/>
      <c r="CF796"/>
      <c r="CG796"/>
      <c r="CH796"/>
      <c r="CI796"/>
      <c r="CJ796"/>
      <c r="CK796"/>
      <c r="CL796"/>
      <c r="CM796"/>
      <c r="CN796"/>
      <c r="CO796"/>
      <c r="CP796"/>
      <c r="CQ796"/>
      <c r="CR796"/>
      <c r="CS796"/>
      <c r="CT796"/>
      <c r="CU796"/>
      <c r="CV796"/>
      <c r="CW796"/>
      <c r="CX796"/>
      <c r="CY796"/>
      <c r="CZ796"/>
      <c r="DA796"/>
      <c r="DB796"/>
      <c r="DC796"/>
      <c r="DD796"/>
      <c r="DE796"/>
      <c r="DF796"/>
      <c r="DG796"/>
      <c r="DH796"/>
      <c r="DI796"/>
      <c r="DJ796"/>
      <c r="DK796"/>
      <c r="DL796"/>
      <c r="DM796"/>
      <c r="DN796"/>
      <c r="DO796"/>
      <c r="DP796"/>
      <c r="DQ796"/>
      <c r="DR796"/>
      <c r="DS796"/>
      <c r="DT796"/>
      <c r="DU796"/>
      <c r="DV796"/>
      <c r="DW796"/>
      <c r="DX796"/>
      <c r="DY796"/>
      <c r="DZ796"/>
      <c r="EA796"/>
      <c r="EB796"/>
      <c r="EC796"/>
      <c r="ED796"/>
      <c r="EE796"/>
      <c r="EF796"/>
      <c r="EG796"/>
      <c r="EH796"/>
      <c r="EI796"/>
      <c r="EJ796"/>
      <c r="EK796"/>
      <c r="EL796"/>
      <c r="EM796"/>
      <c r="EN796"/>
      <c r="EO796"/>
      <c r="EP796"/>
      <c r="EQ796"/>
      <c r="ER796"/>
      <c r="ES796"/>
      <c r="ET796"/>
      <c r="EU796"/>
      <c r="EV796"/>
      <c r="EW796"/>
      <c r="EX796"/>
      <c r="EY796"/>
      <c r="EZ796"/>
      <c r="FA796"/>
      <c r="FB796"/>
      <c r="FC796"/>
      <c r="FD796"/>
      <c r="FE796"/>
      <c r="FF796"/>
      <c r="FG796"/>
      <c r="FH796"/>
      <c r="FI796"/>
      <c r="FJ796"/>
      <c r="FK796"/>
      <c r="FL796"/>
      <c r="FM796"/>
      <c r="FN796"/>
      <c r="FO796"/>
      <c r="FP796"/>
      <c r="FQ796"/>
      <c r="FR796"/>
      <c r="FS796"/>
      <c r="FT796"/>
      <c r="FU796"/>
      <c r="FV796"/>
      <c r="FW796"/>
      <c r="FX796"/>
      <c r="FY796"/>
      <c r="FZ796"/>
      <c r="GA796"/>
      <c r="GB796"/>
      <c r="GC796"/>
      <c r="GD796"/>
      <c r="GE796"/>
      <c r="GF796"/>
      <c r="GG796"/>
      <c r="GH796"/>
      <c r="GI796"/>
      <c r="GJ796"/>
      <c r="GK796"/>
      <c r="GL796"/>
      <c r="GM796"/>
      <c r="GN796"/>
      <c r="GO796"/>
      <c r="GP796"/>
      <c r="GQ796"/>
      <c r="GR796"/>
      <c r="GS796"/>
      <c r="GT796"/>
      <c r="GU796"/>
      <c r="GV796"/>
      <c r="GW796"/>
      <c r="GX796"/>
      <c r="GY796"/>
      <c r="GZ796"/>
      <c r="HA796"/>
      <c r="HB796"/>
      <c r="HC796"/>
      <c r="HD796"/>
      <c r="HE796"/>
      <c r="HF796"/>
      <c r="HG796"/>
      <c r="HH796"/>
      <c r="HI796"/>
      <c r="HJ796"/>
      <c r="HK796"/>
      <c r="HL796"/>
      <c r="HM796"/>
      <c r="HN796"/>
      <c r="HO796"/>
      <c r="HP796"/>
      <c r="HQ796"/>
      <c r="HR796"/>
      <c r="HS796"/>
      <c r="HT796"/>
      <c r="HU796"/>
      <c r="HV796"/>
      <c r="HW796"/>
      <c r="HX796"/>
      <c r="HY796"/>
      <c r="HZ796"/>
      <c r="IA796"/>
      <c r="IB796"/>
      <c r="IC796"/>
      <c r="ID796"/>
      <c r="IE796"/>
      <c r="IF796"/>
      <c r="IG796"/>
      <c r="IH796"/>
      <c r="II796"/>
      <c r="IJ796"/>
      <c r="IK796"/>
      <c r="IL796"/>
      <c r="IM796"/>
      <c r="IN796"/>
      <c r="IO796"/>
      <c r="IP796"/>
      <c r="IQ796"/>
      <c r="IR796"/>
      <c r="IS796"/>
      <c r="IT796"/>
      <c r="IU796"/>
      <c r="IV796"/>
      <c r="IW796"/>
      <c r="IX796"/>
      <c r="IY796"/>
      <c r="IZ796"/>
      <c r="JA796"/>
      <c r="JB796"/>
      <c r="JC796"/>
      <c r="JD796"/>
      <c r="JE796"/>
      <c r="JF796"/>
      <c r="JG796"/>
      <c r="JH796"/>
      <c r="JI796"/>
      <c r="JJ796"/>
      <c r="JK796"/>
      <c r="JL796"/>
      <c r="JM796"/>
      <c r="JN796"/>
      <c r="JO796"/>
      <c r="JP796"/>
      <c r="JQ796"/>
      <c r="JR796"/>
      <c r="JS796"/>
      <c r="JT796"/>
      <c r="JU796"/>
      <c r="JV796"/>
      <c r="JW796"/>
      <c r="JX796"/>
      <c r="JY796"/>
      <c r="JZ796"/>
      <c r="KA796"/>
      <c r="KB796"/>
      <c r="KC796"/>
      <c r="KD796"/>
      <c r="KE796"/>
      <c r="KF796"/>
      <c r="KG796"/>
      <c r="KH796"/>
      <c r="KI796"/>
      <c r="KJ796"/>
      <c r="KK796"/>
      <c r="KL796"/>
      <c r="KM796"/>
      <c r="KN796"/>
      <c r="KO796"/>
      <c r="KP796"/>
      <c r="KQ796"/>
      <c r="KR796"/>
      <c r="KS796"/>
      <c r="KT796"/>
      <c r="KU796"/>
      <c r="KV796"/>
      <c r="KW796"/>
      <c r="KX796"/>
      <c r="KY796"/>
      <c r="KZ796"/>
      <c r="LA796"/>
      <c r="LB796"/>
      <c r="LC796"/>
      <c r="LD796"/>
      <c r="LE796"/>
      <c r="LF796"/>
      <c r="LG796"/>
      <c r="LH796"/>
      <c r="LI796"/>
      <c r="LJ796"/>
      <c r="LK796"/>
      <c r="LL796"/>
      <c r="LM796"/>
      <c r="LN796"/>
      <c r="LO796"/>
      <c r="LP796"/>
      <c r="LQ796"/>
      <c r="LR796"/>
      <c r="LS796"/>
      <c r="LT796"/>
      <c r="LU796"/>
      <c r="LV796"/>
      <c r="LW796"/>
      <c r="LX796"/>
      <c r="LY796"/>
      <c r="LZ796"/>
      <c r="MA796"/>
      <c r="MB796"/>
      <c r="MC796"/>
      <c r="MD796"/>
      <c r="ME796"/>
      <c r="MF796"/>
      <c r="MG796"/>
      <c r="MH796"/>
      <c r="MI796"/>
      <c r="MJ796"/>
      <c r="MK796"/>
      <c r="ML796"/>
      <c r="MM796"/>
      <c r="MN796"/>
      <c r="MO796"/>
      <c r="MP796"/>
      <c r="MQ796"/>
      <c r="MR796"/>
      <c r="MS796"/>
      <c r="MT796"/>
      <c r="MU796"/>
      <c r="MV796"/>
      <c r="MW796"/>
      <c r="MX796"/>
      <c r="MY796"/>
      <c r="MZ796"/>
      <c r="NA796"/>
      <c r="NB796"/>
      <c r="NC796"/>
      <c r="ND796"/>
      <c r="NE796"/>
      <c r="NF796"/>
      <c r="NG796"/>
      <c r="NH796"/>
      <c r="NI796"/>
      <c r="NJ796"/>
      <c r="NK796"/>
      <c r="NL796"/>
      <c r="NM796"/>
      <c r="NN796"/>
      <c r="NO796"/>
      <c r="NP796"/>
      <c r="NQ796"/>
      <c r="NR796"/>
      <c r="NS796"/>
      <c r="NT796"/>
      <c r="NU796"/>
      <c r="NV796"/>
      <c r="NW796"/>
      <c r="NX796"/>
      <c r="NY796"/>
      <c r="NZ796"/>
      <c r="OA796"/>
      <c r="OB796"/>
      <c r="OC796"/>
      <c r="OD796"/>
      <c r="OE796"/>
      <c r="OF796"/>
      <c r="OG796"/>
      <c r="OH796"/>
      <c r="OI796"/>
      <c r="OJ796"/>
      <c r="OK796"/>
      <c r="OL796"/>
      <c r="OM796"/>
      <c r="ON796"/>
      <c r="OO796"/>
      <c r="OP796"/>
      <c r="OQ796"/>
      <c r="OR796"/>
      <c r="OS796"/>
      <c r="OT796"/>
      <c r="OU796"/>
      <c r="OV796"/>
      <c r="OW796"/>
      <c r="OX796"/>
      <c r="OY796"/>
      <c r="OZ796"/>
      <c r="PA796"/>
      <c r="PB796"/>
      <c r="PC796"/>
      <c r="PD796"/>
      <c r="PE796"/>
      <c r="PF796"/>
      <c r="PG796"/>
      <c r="PH796"/>
      <c r="PI796"/>
      <c r="PJ796"/>
      <c r="PK796"/>
      <c r="PL796"/>
      <c r="PM796"/>
      <c r="PN796"/>
      <c r="PO796"/>
      <c r="PP796"/>
      <c r="PQ796"/>
      <c r="PR796"/>
      <c r="PS796"/>
      <c r="PT796"/>
      <c r="PU796"/>
      <c r="PV796"/>
      <c r="PW796"/>
      <c r="PX796"/>
      <c r="PY796"/>
      <c r="PZ796"/>
      <c r="QA796"/>
      <c r="QB796"/>
      <c r="QC796"/>
      <c r="QD796"/>
      <c r="QE796"/>
      <c r="QF796"/>
      <c r="QG796"/>
      <c r="QH796"/>
      <c r="QI796"/>
      <c r="QJ796"/>
      <c r="QK796"/>
      <c r="QL796"/>
      <c r="QM796"/>
      <c r="QN796"/>
      <c r="QO796"/>
      <c r="QP796"/>
      <c r="QQ796"/>
      <c r="QR796"/>
      <c r="QS796"/>
      <c r="QT796"/>
      <c r="QU796"/>
      <c r="QV796"/>
      <c r="QW796"/>
      <c r="QX796"/>
      <c r="QY796"/>
      <c r="QZ796"/>
      <c r="RA796"/>
      <c r="RB796"/>
      <c r="RC796"/>
      <c r="RD796"/>
      <c r="RE796"/>
      <c r="RF796"/>
      <c r="RG796"/>
      <c r="RH796"/>
      <c r="RI796"/>
      <c r="RJ796"/>
      <c r="RK796"/>
      <c r="RL796"/>
      <c r="RM796"/>
      <c r="RN796"/>
      <c r="RO796"/>
      <c r="RP796"/>
      <c r="RQ796"/>
      <c r="RR796"/>
      <c r="RS796"/>
      <c r="RT796"/>
      <c r="RU796"/>
      <c r="RV796"/>
      <c r="RW796"/>
      <c r="RX796"/>
      <c r="RY796"/>
      <c r="RZ796"/>
      <c r="SA796"/>
      <c r="SB796"/>
      <c r="SC796"/>
      <c r="SD796"/>
      <c r="SE796"/>
      <c r="SF796"/>
      <c r="SG796"/>
      <c r="SH796"/>
      <c r="SI796"/>
      <c r="SJ796"/>
      <c r="SK796"/>
      <c r="SL796"/>
      <c r="SM796"/>
      <c r="SN796"/>
      <c r="SO796"/>
      <c r="SP796"/>
      <c r="SQ796"/>
      <c r="SR796"/>
      <c r="SS796"/>
      <c r="ST796"/>
      <c r="SU796"/>
      <c r="SV796"/>
      <c r="SW796"/>
      <c r="SX796"/>
      <c r="SY796"/>
      <c r="SZ796"/>
      <c r="TA796"/>
      <c r="TB796"/>
      <c r="TC796"/>
      <c r="TD796"/>
      <c r="TE796"/>
      <c r="TF796"/>
      <c r="TG796"/>
      <c r="TH796"/>
      <c r="TI796"/>
      <c r="TJ796"/>
      <c r="TK796"/>
      <c r="TL796"/>
      <c r="TM796"/>
      <c r="TN796"/>
      <c r="TO796"/>
      <c r="TP796"/>
      <c r="TQ796"/>
      <c r="TR796"/>
      <c r="TS796"/>
      <c r="TT796"/>
      <c r="TU796"/>
      <c r="TV796"/>
      <c r="TW796"/>
      <c r="TX796"/>
      <c r="TY796"/>
      <c r="TZ796"/>
      <c r="UA796"/>
      <c r="UB796"/>
      <c r="UC796"/>
      <c r="UD796"/>
      <c r="UE796"/>
      <c r="UF796"/>
      <c r="UG796"/>
      <c r="UH796"/>
      <c r="UI796"/>
      <c r="UJ796"/>
      <c r="UK796"/>
      <c r="UL796"/>
      <c r="UM796"/>
      <c r="UN796"/>
      <c r="UO796"/>
      <c r="UP796"/>
      <c r="UQ796"/>
      <c r="UR796"/>
      <c r="US796"/>
      <c r="UT796"/>
      <c r="UU796"/>
      <c r="UV796"/>
      <c r="UW796"/>
      <c r="UX796"/>
      <c r="UY796"/>
      <c r="UZ796"/>
      <c r="VA796"/>
      <c r="VB796"/>
      <c r="VC796"/>
      <c r="VD796"/>
      <c r="VE796"/>
      <c r="VF796"/>
      <c r="VG796"/>
      <c r="VH796"/>
      <c r="VI796"/>
      <c r="VJ796"/>
      <c r="VK796"/>
      <c r="VL796"/>
      <c r="VM796"/>
      <c r="VN796"/>
      <c r="VO796"/>
      <c r="VP796"/>
      <c r="VQ796"/>
      <c r="VR796"/>
      <c r="VS796"/>
      <c r="VT796"/>
      <c r="VU796"/>
      <c r="VV796"/>
      <c r="VW796"/>
      <c r="VX796"/>
      <c r="VY796"/>
      <c r="VZ796"/>
      <c r="WA796"/>
      <c r="WB796"/>
      <c r="WC796"/>
      <c r="WD796"/>
      <c r="WE796"/>
      <c r="WF796"/>
      <c r="WG796"/>
      <c r="WH796"/>
      <c r="WI796"/>
      <c r="WJ796"/>
      <c r="WK796"/>
      <c r="WL796"/>
      <c r="WM796"/>
      <c r="WN796"/>
      <c r="WO796"/>
      <c r="WP796"/>
      <c r="WQ796"/>
      <c r="WR796"/>
      <c r="WS796"/>
      <c r="WT796"/>
      <c r="WU796"/>
      <c r="WV796"/>
      <c r="WW796"/>
      <c r="WX796"/>
      <c r="WY796"/>
      <c r="WZ796"/>
      <c r="XA796"/>
      <c r="XB796"/>
      <c r="XC796"/>
      <c r="XD796"/>
      <c r="XE796"/>
      <c r="XF796"/>
      <c r="XG796"/>
      <c r="XH796"/>
      <c r="XI796"/>
      <c r="XJ796"/>
      <c r="XK796"/>
      <c r="XL796"/>
      <c r="XM796"/>
      <c r="XN796"/>
      <c r="XO796"/>
      <c r="XP796"/>
      <c r="XQ796"/>
      <c r="XR796"/>
      <c r="XS796"/>
      <c r="XT796"/>
      <c r="XU796"/>
      <c r="XV796"/>
      <c r="XW796"/>
      <c r="XX796"/>
      <c r="XY796"/>
      <c r="XZ796"/>
      <c r="YA796"/>
      <c r="YB796"/>
      <c r="YC796"/>
      <c r="YD796"/>
      <c r="YE796"/>
      <c r="YF796"/>
      <c r="YG796"/>
      <c r="YH796"/>
      <c r="YI796"/>
      <c r="YJ796"/>
      <c r="YK796"/>
      <c r="YL796"/>
      <c r="YM796"/>
      <c r="YN796"/>
      <c r="YO796"/>
      <c r="YP796"/>
      <c r="YQ796"/>
      <c r="YR796"/>
      <c r="YS796"/>
      <c r="YT796"/>
      <c r="YU796"/>
      <c r="YV796"/>
      <c r="YW796"/>
      <c r="YX796"/>
      <c r="YY796"/>
      <c r="YZ796"/>
      <c r="ZA796"/>
      <c r="ZB796"/>
      <c r="ZC796"/>
      <c r="ZD796"/>
      <c r="ZE796"/>
      <c r="ZF796"/>
      <c r="ZG796"/>
      <c r="ZH796"/>
      <c r="ZI796"/>
      <c r="ZJ796"/>
      <c r="ZK796"/>
      <c r="ZL796"/>
      <c r="ZM796"/>
      <c r="ZN796"/>
      <c r="ZO796"/>
      <c r="ZP796"/>
      <c r="ZQ796"/>
      <c r="ZR796"/>
      <c r="ZS796"/>
      <c r="ZT796"/>
      <c r="ZU796"/>
      <c r="ZV796"/>
      <c r="ZW796"/>
      <c r="ZX796"/>
      <c r="ZY796"/>
      <c r="ZZ796"/>
      <c r="AAA796"/>
      <c r="AAB796"/>
      <c r="AAC796"/>
      <c r="AAD796"/>
      <c r="AAE796"/>
      <c r="AAF796"/>
      <c r="AAG796"/>
      <c r="AAH796"/>
      <c r="AAI796"/>
      <c r="AAJ796"/>
      <c r="AAK796"/>
      <c r="AAL796"/>
      <c r="AAM796"/>
      <c r="AAN796"/>
      <c r="AAO796"/>
      <c r="AAP796"/>
      <c r="AAQ796"/>
      <c r="AAR796"/>
      <c r="AAS796"/>
      <c r="AAT796"/>
      <c r="AAU796"/>
      <c r="AAV796"/>
      <c r="AAW796"/>
      <c r="AAX796"/>
      <c r="AAY796"/>
      <c r="AAZ796"/>
      <c r="ABA796"/>
      <c r="ABB796"/>
      <c r="ABC796"/>
      <c r="ABD796"/>
      <c r="ABE796"/>
      <c r="ABF796"/>
      <c r="ABG796"/>
      <c r="ABH796"/>
      <c r="ABI796"/>
      <c r="ABJ796"/>
      <c r="ABK796"/>
      <c r="ABL796"/>
      <c r="ABM796"/>
      <c r="ABN796"/>
      <c r="ABO796"/>
      <c r="ABP796"/>
      <c r="ABQ796"/>
      <c r="ABR796"/>
      <c r="ABS796"/>
      <c r="ABT796"/>
      <c r="ABU796"/>
      <c r="ABV796"/>
      <c r="ABW796"/>
      <c r="ABX796"/>
      <c r="ABY796"/>
      <c r="ABZ796"/>
      <c r="ACA796"/>
      <c r="ACB796"/>
      <c r="ACC796"/>
      <c r="ACD796"/>
      <c r="ACE796"/>
      <c r="ACF796"/>
      <c r="ACG796"/>
      <c r="ACH796"/>
      <c r="ACI796"/>
      <c r="ACJ796"/>
      <c r="ACK796"/>
      <c r="ACL796"/>
      <c r="ACM796"/>
      <c r="ACN796"/>
      <c r="ACO796"/>
      <c r="ACP796"/>
      <c r="ACQ796"/>
      <c r="ACR796"/>
      <c r="ACS796"/>
      <c r="ACT796"/>
      <c r="ACU796"/>
      <c r="ACV796"/>
      <c r="ACW796"/>
      <c r="ACX796"/>
      <c r="ACY796"/>
      <c r="ACZ796"/>
      <c r="ADA796"/>
      <c r="ADB796"/>
      <c r="ADC796"/>
      <c r="ADD796"/>
      <c r="ADE796"/>
      <c r="ADF796"/>
      <c r="ADG796"/>
      <c r="ADH796"/>
      <c r="ADI796"/>
      <c r="ADJ796"/>
      <c r="ADK796"/>
      <c r="ADL796"/>
      <c r="ADM796"/>
      <c r="ADN796"/>
      <c r="ADO796"/>
      <c r="ADP796"/>
      <c r="ADQ796"/>
      <c r="ADR796"/>
      <c r="ADS796"/>
      <c r="ADT796"/>
      <c r="ADU796"/>
      <c r="ADV796"/>
      <c r="ADW796"/>
      <c r="ADX796"/>
      <c r="ADY796"/>
      <c r="ADZ796"/>
      <c r="AEA796"/>
      <c r="AEB796"/>
      <c r="AEC796"/>
      <c r="AED796"/>
      <c r="AEE796"/>
      <c r="AEF796"/>
      <c r="AEG796"/>
      <c r="AEH796"/>
      <c r="AEI796"/>
      <c r="AEJ796"/>
      <c r="AEK796"/>
      <c r="AEL796"/>
      <c r="AEM796"/>
      <c r="AEN796"/>
      <c r="AEO796"/>
      <c r="AEP796"/>
      <c r="AEQ796"/>
      <c r="AER796"/>
      <c r="AES796"/>
      <c r="AET796"/>
      <c r="AEU796"/>
      <c r="AEV796"/>
      <c r="AEW796"/>
      <c r="AEX796"/>
      <c r="AEY796"/>
      <c r="AEZ796"/>
      <c r="AFA796"/>
      <c r="AFB796"/>
      <c r="AFC796"/>
      <c r="AFD796"/>
      <c r="AFE796"/>
      <c r="AFF796"/>
      <c r="AFG796"/>
      <c r="AFH796"/>
      <c r="AFI796"/>
      <c r="AFJ796"/>
      <c r="AFK796"/>
      <c r="AFL796"/>
      <c r="AFM796"/>
      <c r="AFN796"/>
      <c r="AFO796"/>
      <c r="AFP796"/>
      <c r="AFQ796"/>
      <c r="AFR796"/>
      <c r="AFS796"/>
      <c r="AFT796"/>
      <c r="AFU796"/>
      <c r="AFV796"/>
      <c r="AFW796"/>
      <c r="AFX796"/>
      <c r="AFY796"/>
      <c r="AFZ796"/>
      <c r="AGA796"/>
      <c r="AGB796"/>
      <c r="AGC796"/>
      <c r="AGD796"/>
      <c r="AGE796"/>
      <c r="AGF796"/>
      <c r="AGG796"/>
      <c r="AGH796"/>
      <c r="AGI796"/>
      <c r="AGJ796"/>
      <c r="AGK796"/>
      <c r="AGL796"/>
      <c r="AGM796"/>
      <c r="AGN796"/>
      <c r="AGO796"/>
      <c r="AGP796"/>
      <c r="AGQ796"/>
      <c r="AGR796"/>
      <c r="AGS796"/>
      <c r="AGT796"/>
      <c r="AGU796"/>
      <c r="AGV796"/>
      <c r="AGW796"/>
      <c r="AGX796"/>
      <c r="AGY796"/>
      <c r="AGZ796"/>
      <c r="AHA796"/>
      <c r="AHB796"/>
      <c r="AHC796"/>
      <c r="AHD796"/>
      <c r="AHE796"/>
      <c r="AHF796"/>
      <c r="AHG796"/>
      <c r="AHH796"/>
      <c r="AHI796"/>
      <c r="AHJ796"/>
      <c r="AHK796"/>
      <c r="AHL796"/>
      <c r="AHM796"/>
      <c r="AHN796"/>
      <c r="AHO796"/>
      <c r="AHP796"/>
      <c r="AHQ796"/>
      <c r="AHR796"/>
      <c r="AHS796"/>
      <c r="AHT796"/>
      <c r="AHU796"/>
      <c r="AHV796"/>
      <c r="AHW796"/>
      <c r="AHX796"/>
      <c r="AHY796"/>
      <c r="AHZ796"/>
      <c r="AIA796"/>
      <c r="AIB796"/>
      <c r="AIC796"/>
      <c r="AID796"/>
      <c r="AIE796"/>
      <c r="AIF796"/>
      <c r="AIG796"/>
      <c r="AIH796"/>
      <c r="AII796"/>
      <c r="AIJ796"/>
      <c r="AIK796"/>
      <c r="AIL796"/>
      <c r="AIM796"/>
      <c r="AIN796"/>
      <c r="AIO796"/>
      <c r="AIP796"/>
      <c r="AIQ796"/>
      <c r="AIR796"/>
      <c r="AIS796"/>
      <c r="AIT796"/>
      <c r="AIU796"/>
      <c r="AIV796"/>
      <c r="AIW796"/>
      <c r="AIX796"/>
      <c r="AIY796"/>
      <c r="AIZ796"/>
      <c r="AJA796"/>
      <c r="AJB796"/>
      <c r="AJC796"/>
      <c r="AJD796"/>
      <c r="AJE796"/>
      <c r="AJF796"/>
      <c r="AJG796"/>
      <c r="AJH796"/>
      <c r="AJI796"/>
      <c r="AJJ796"/>
      <c r="AJK796"/>
      <c r="AJL796"/>
      <c r="AJM796"/>
      <c r="AJN796"/>
      <c r="AJO796"/>
      <c r="AJP796"/>
      <c r="AJQ796"/>
      <c r="AJR796"/>
      <c r="AJS796"/>
      <c r="AJT796"/>
      <c r="AJU796"/>
      <c r="AJV796"/>
      <c r="AJW796"/>
      <c r="AJX796"/>
      <c r="AJY796"/>
      <c r="AJZ796"/>
      <c r="AKA796"/>
      <c r="AKB796"/>
      <c r="AKC796"/>
      <c r="AKD796"/>
      <c r="AKE796"/>
      <c r="AKF796"/>
      <c r="AKG796"/>
      <c r="AKH796"/>
      <c r="AKI796"/>
      <c r="AKJ796"/>
      <c r="AKK796"/>
      <c r="AKL796"/>
      <c r="AKM796"/>
      <c r="AKN796"/>
      <c r="AKO796"/>
      <c r="AKP796"/>
      <c r="AKQ796"/>
      <c r="AKR796"/>
      <c r="AKS796"/>
      <c r="AKT796"/>
      <c r="AKU796"/>
      <c r="AKV796"/>
      <c r="AKW796"/>
      <c r="AKX796"/>
      <c r="AKY796"/>
      <c r="AKZ796"/>
      <c r="ALA796"/>
      <c r="ALB796"/>
      <c r="ALC796"/>
      <c r="ALD796"/>
      <c r="ALE796"/>
      <c r="ALF796"/>
      <c r="ALG796"/>
      <c r="ALH796"/>
      <c r="ALI796"/>
      <c r="ALJ796"/>
      <c r="ALK796"/>
      <c r="ALL796"/>
      <c r="ALM796"/>
      <c r="ALN796"/>
      <c r="ALO796"/>
      <c r="ALP796"/>
      <c r="ALQ796"/>
      <c r="ALR796"/>
      <c r="ALS796"/>
      <c r="ALT796"/>
      <c r="ALU796"/>
      <c r="ALV796"/>
      <c r="ALW796"/>
      <c r="ALX796"/>
      <c r="ALY796"/>
      <c r="ALZ796"/>
      <c r="AMA796"/>
      <c r="AMB796"/>
      <c r="AMC796"/>
      <c r="AMD796"/>
      <c r="AME796"/>
      <c r="AMF796"/>
      <c r="AMG796"/>
      <c r="AMH796"/>
      <c r="AMI796"/>
      <c r="AMJ796"/>
    </row>
    <row r="797" spans="1:1024">
      <c r="A797" s="7" t="s">
        <v>801</v>
      </c>
      <c r="B797" s="7">
        <v>888948</v>
      </c>
      <c r="C797" s="11"/>
      <c r="D797" s="12">
        <v>1.6666666666666701</v>
      </c>
      <c r="E797" s="7">
        <f>VLOOKUP(B797,Gesamtstunden_26!B:I,8,0)</f>
        <v>3.6666666666666665</v>
      </c>
      <c r="F797" s="13">
        <f t="shared" si="12"/>
        <v>-1.9999999999999964</v>
      </c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  <c r="AT797" s="11"/>
      <c r="AU797" s="11"/>
      <c r="AV797" s="11"/>
      <c r="AW797" s="11"/>
      <c r="AX797" s="11"/>
      <c r="AY797" s="11"/>
      <c r="AZ797" s="11"/>
      <c r="BA797" s="11"/>
      <c r="BB797" s="11"/>
      <c r="BC797" s="11"/>
      <c r="BD797" s="11"/>
      <c r="BE797" s="11"/>
      <c r="BF797" s="11"/>
      <c r="BG797" s="11"/>
      <c r="BH797" s="11"/>
      <c r="BI797" s="11"/>
      <c r="BJ797" s="11"/>
      <c r="BK797" s="11"/>
      <c r="BL797" s="11"/>
      <c r="BM797" s="11"/>
      <c r="BN797" s="11"/>
      <c r="BO797" s="11"/>
      <c r="BP797" s="11"/>
      <c r="BQ797" s="11"/>
      <c r="BR797" s="11"/>
      <c r="BS797" s="11"/>
      <c r="BT797" s="11"/>
      <c r="BU797" s="11"/>
      <c r="BV797" s="11"/>
      <c r="BW797" s="11"/>
      <c r="BX797" s="11"/>
      <c r="BY797" s="11"/>
      <c r="BZ797" s="11"/>
      <c r="CA797" s="11"/>
      <c r="CB797" s="11"/>
      <c r="CC797" s="11"/>
      <c r="CD797" s="11"/>
      <c r="CE797" s="11"/>
      <c r="CF797" s="11"/>
      <c r="CG797" s="11"/>
      <c r="CH797" s="11"/>
      <c r="CI797" s="11"/>
      <c r="CJ797" s="11"/>
      <c r="CK797" s="11"/>
      <c r="CL797" s="11"/>
      <c r="CM797" s="11"/>
      <c r="CN797" s="11"/>
      <c r="CO797" s="11"/>
      <c r="CP797" s="11"/>
      <c r="CQ797" s="11"/>
      <c r="CR797" s="11"/>
      <c r="CS797" s="11"/>
      <c r="CT797" s="11"/>
      <c r="CU797" s="11"/>
      <c r="CV797" s="11"/>
      <c r="CW797" s="11"/>
      <c r="CX797" s="11"/>
      <c r="CY797" s="11"/>
      <c r="CZ797" s="11"/>
      <c r="DA797" s="11"/>
      <c r="DB797" s="11"/>
      <c r="DC797" s="11"/>
      <c r="DD797" s="11"/>
      <c r="DE797" s="11"/>
      <c r="DF797" s="11"/>
      <c r="DG797" s="11"/>
      <c r="DH797" s="11"/>
      <c r="DI797" s="11"/>
      <c r="DJ797" s="11"/>
      <c r="DK797" s="11"/>
      <c r="DL797" s="11"/>
      <c r="DM797" s="11"/>
      <c r="DN797" s="11"/>
      <c r="DO797" s="11"/>
      <c r="DP797" s="11"/>
      <c r="DQ797" s="11"/>
      <c r="DR797" s="11"/>
      <c r="DS797" s="11"/>
      <c r="DT797" s="11"/>
      <c r="DU797" s="11"/>
      <c r="DV797" s="11"/>
      <c r="DW797" s="11"/>
      <c r="DX797" s="11"/>
      <c r="DY797" s="11"/>
      <c r="DZ797" s="11"/>
      <c r="EA797" s="11"/>
      <c r="EB797" s="11"/>
      <c r="EC797" s="11"/>
      <c r="ED797" s="11"/>
      <c r="EE797" s="11"/>
      <c r="EF797" s="11"/>
      <c r="EG797" s="11"/>
      <c r="EH797" s="11"/>
      <c r="EI797" s="11"/>
      <c r="EJ797" s="11"/>
      <c r="EK797" s="11"/>
      <c r="EL797" s="11"/>
      <c r="EM797" s="11"/>
      <c r="EN797" s="11"/>
      <c r="EO797" s="11"/>
      <c r="EP797" s="11"/>
      <c r="EQ797" s="11"/>
      <c r="ER797" s="11"/>
      <c r="ES797" s="11"/>
      <c r="ET797" s="11"/>
      <c r="EU797" s="11"/>
      <c r="EV797" s="11"/>
      <c r="EW797" s="11"/>
      <c r="EX797" s="11"/>
      <c r="EY797" s="11"/>
      <c r="EZ797" s="11"/>
      <c r="FA797" s="11"/>
      <c r="FB797" s="11"/>
      <c r="FC797" s="11"/>
      <c r="FD797" s="11"/>
      <c r="FE797" s="11"/>
      <c r="FF797" s="11"/>
      <c r="FG797" s="11"/>
      <c r="FH797" s="11"/>
      <c r="FI797" s="11"/>
      <c r="FJ797" s="11"/>
      <c r="FK797" s="11"/>
      <c r="FL797" s="11"/>
      <c r="FM797" s="11"/>
      <c r="FN797" s="11"/>
      <c r="FO797" s="11"/>
      <c r="FP797" s="11"/>
      <c r="FQ797" s="11"/>
      <c r="FR797" s="11"/>
      <c r="FS797" s="11"/>
      <c r="FT797" s="11"/>
      <c r="FU797" s="11"/>
      <c r="FV797" s="11"/>
      <c r="FW797" s="11"/>
      <c r="FX797" s="11"/>
      <c r="FY797" s="11"/>
      <c r="FZ797" s="11"/>
      <c r="GA797" s="11"/>
      <c r="GB797" s="11"/>
      <c r="GC797" s="11"/>
      <c r="GD797" s="11"/>
      <c r="GE797" s="11"/>
      <c r="GF797" s="11"/>
      <c r="GG797" s="11"/>
      <c r="GH797" s="11"/>
      <c r="GI797" s="11"/>
      <c r="GJ797" s="11"/>
      <c r="GK797" s="11"/>
      <c r="GL797" s="11"/>
      <c r="GM797" s="11"/>
      <c r="GN797" s="11"/>
      <c r="GO797" s="11"/>
      <c r="GP797" s="11"/>
      <c r="GQ797" s="11"/>
      <c r="GR797" s="11"/>
      <c r="GS797" s="11"/>
      <c r="GT797" s="11"/>
      <c r="GU797" s="11"/>
      <c r="GV797" s="11"/>
      <c r="GW797" s="11"/>
      <c r="GX797" s="11"/>
      <c r="GY797" s="11"/>
      <c r="GZ797" s="11"/>
      <c r="HA797" s="11"/>
      <c r="HB797" s="11"/>
      <c r="HC797" s="11"/>
      <c r="HD797" s="11"/>
      <c r="HE797" s="11"/>
      <c r="HF797" s="11"/>
      <c r="HG797" s="11"/>
      <c r="HH797" s="11"/>
      <c r="HI797" s="11"/>
      <c r="HJ797" s="11"/>
      <c r="HK797" s="11"/>
      <c r="HL797" s="11"/>
      <c r="HM797" s="11"/>
      <c r="HN797" s="11"/>
      <c r="HO797" s="11"/>
      <c r="HP797" s="11"/>
      <c r="HQ797" s="11"/>
      <c r="HR797" s="11"/>
      <c r="HS797" s="11"/>
      <c r="HT797" s="11"/>
      <c r="HU797" s="11"/>
      <c r="HV797" s="11"/>
      <c r="HW797" s="11"/>
      <c r="HX797" s="11"/>
      <c r="HY797" s="11"/>
      <c r="HZ797" s="11"/>
      <c r="IA797" s="11"/>
      <c r="IB797" s="11"/>
      <c r="IC797" s="11"/>
      <c r="ID797" s="11"/>
      <c r="IE797" s="11"/>
      <c r="IF797" s="11"/>
      <c r="IG797" s="11"/>
      <c r="IH797" s="11"/>
      <c r="II797" s="11"/>
      <c r="IJ797" s="11"/>
      <c r="IK797" s="11"/>
      <c r="IL797" s="11"/>
      <c r="IM797" s="11"/>
      <c r="IN797" s="11"/>
      <c r="IO797" s="11"/>
      <c r="IP797" s="11"/>
      <c r="IQ797" s="11"/>
      <c r="IR797" s="11"/>
      <c r="IS797" s="11"/>
      <c r="IT797" s="11"/>
      <c r="IU797" s="11"/>
      <c r="IV797" s="11"/>
      <c r="IW797" s="11"/>
      <c r="IX797" s="11"/>
      <c r="IY797" s="11"/>
      <c r="IZ797" s="11"/>
      <c r="JA797" s="11"/>
      <c r="JB797" s="11"/>
      <c r="JC797" s="11"/>
      <c r="JD797" s="11"/>
      <c r="JE797" s="11"/>
      <c r="JF797" s="11"/>
      <c r="JG797" s="11"/>
      <c r="JH797" s="11"/>
      <c r="JI797" s="11"/>
      <c r="JJ797" s="11"/>
      <c r="JK797" s="11"/>
      <c r="JL797" s="11"/>
      <c r="JM797" s="11"/>
      <c r="JN797" s="11"/>
      <c r="JO797" s="11"/>
      <c r="JP797" s="11"/>
      <c r="JQ797" s="11"/>
      <c r="JR797" s="11"/>
      <c r="JS797" s="11"/>
      <c r="JT797" s="11"/>
      <c r="JU797" s="11"/>
      <c r="JV797" s="11"/>
      <c r="JW797" s="11"/>
      <c r="JX797" s="11"/>
      <c r="JY797" s="11"/>
      <c r="JZ797" s="11"/>
      <c r="KA797" s="11"/>
      <c r="KB797" s="11"/>
      <c r="KC797" s="11"/>
      <c r="KD797" s="11"/>
      <c r="KE797" s="11"/>
      <c r="KF797" s="11"/>
      <c r="KG797" s="11"/>
      <c r="KH797" s="11"/>
      <c r="KI797" s="11"/>
      <c r="KJ797" s="11"/>
      <c r="KK797" s="11"/>
      <c r="KL797" s="11"/>
      <c r="KM797" s="11"/>
      <c r="KN797" s="11"/>
      <c r="KO797" s="11"/>
      <c r="KP797" s="11"/>
      <c r="KQ797" s="11"/>
      <c r="KR797" s="11"/>
      <c r="KS797" s="11"/>
      <c r="KT797" s="11"/>
      <c r="KU797" s="11"/>
      <c r="KV797" s="11"/>
      <c r="KW797" s="11"/>
      <c r="KX797" s="11"/>
      <c r="KY797" s="11"/>
      <c r="KZ797" s="11"/>
      <c r="LA797" s="11"/>
      <c r="LB797" s="11"/>
      <c r="LC797" s="11"/>
      <c r="LD797" s="11"/>
      <c r="LE797" s="11"/>
      <c r="LF797" s="11"/>
      <c r="LG797" s="11"/>
      <c r="LH797" s="11"/>
      <c r="LI797" s="11"/>
      <c r="LJ797" s="11"/>
      <c r="LK797" s="11"/>
      <c r="LL797" s="11"/>
      <c r="LM797" s="11"/>
      <c r="LN797" s="11"/>
      <c r="LO797" s="11"/>
      <c r="LP797" s="11"/>
      <c r="LQ797" s="11"/>
      <c r="LR797" s="11"/>
      <c r="LS797" s="11"/>
      <c r="LT797" s="11"/>
      <c r="LU797" s="11"/>
      <c r="LV797" s="11"/>
      <c r="LW797" s="11"/>
      <c r="LX797" s="11"/>
      <c r="LY797" s="11"/>
      <c r="LZ797" s="11"/>
      <c r="MA797" s="11"/>
      <c r="MB797" s="11"/>
      <c r="MC797" s="11"/>
      <c r="MD797" s="11"/>
      <c r="ME797" s="11"/>
      <c r="MF797" s="11"/>
      <c r="MG797" s="11"/>
      <c r="MH797" s="11"/>
      <c r="MI797" s="11"/>
      <c r="MJ797" s="11"/>
      <c r="MK797" s="11"/>
      <c r="ML797" s="11"/>
      <c r="MM797" s="11"/>
      <c r="MN797" s="11"/>
      <c r="MO797" s="11"/>
      <c r="MP797" s="11"/>
      <c r="MQ797" s="11"/>
      <c r="MR797" s="11"/>
      <c r="MS797" s="11"/>
      <c r="MT797" s="11"/>
      <c r="MU797" s="11"/>
      <c r="MV797" s="11"/>
      <c r="MW797" s="11"/>
      <c r="MX797" s="11"/>
      <c r="MY797" s="11"/>
      <c r="MZ797" s="11"/>
      <c r="NA797" s="11"/>
      <c r="NB797" s="11"/>
      <c r="NC797" s="11"/>
      <c r="ND797" s="11"/>
      <c r="NE797" s="11"/>
      <c r="NF797" s="11"/>
      <c r="NG797" s="11"/>
      <c r="NH797" s="11"/>
      <c r="NI797" s="11"/>
      <c r="NJ797" s="11"/>
      <c r="NK797" s="11"/>
      <c r="NL797" s="11"/>
      <c r="NM797" s="11"/>
      <c r="NN797" s="11"/>
      <c r="NO797" s="11"/>
      <c r="NP797" s="11"/>
      <c r="NQ797" s="11"/>
      <c r="NR797" s="11"/>
      <c r="NS797" s="11"/>
      <c r="NT797" s="11"/>
      <c r="NU797" s="11"/>
      <c r="NV797" s="11"/>
      <c r="NW797" s="11"/>
      <c r="NX797" s="11"/>
      <c r="NY797" s="11"/>
      <c r="NZ797" s="11"/>
      <c r="OA797" s="11"/>
      <c r="OB797" s="11"/>
      <c r="OC797" s="11"/>
      <c r="OD797" s="11"/>
      <c r="OE797" s="11"/>
      <c r="OF797" s="11"/>
      <c r="OG797" s="11"/>
      <c r="OH797" s="11"/>
      <c r="OI797" s="11"/>
      <c r="OJ797" s="11"/>
      <c r="OK797" s="11"/>
      <c r="OL797" s="11"/>
      <c r="OM797" s="11"/>
      <c r="ON797" s="11"/>
      <c r="OO797" s="11"/>
      <c r="OP797" s="11"/>
      <c r="OQ797" s="11"/>
      <c r="OR797" s="11"/>
      <c r="OS797" s="11"/>
      <c r="OT797" s="11"/>
      <c r="OU797" s="11"/>
      <c r="OV797" s="11"/>
      <c r="OW797" s="11"/>
      <c r="OX797" s="11"/>
      <c r="OY797" s="11"/>
      <c r="OZ797" s="11"/>
      <c r="PA797" s="11"/>
      <c r="PB797" s="11"/>
      <c r="PC797" s="11"/>
      <c r="PD797" s="11"/>
      <c r="PE797" s="11"/>
      <c r="PF797" s="11"/>
      <c r="PG797" s="11"/>
      <c r="PH797" s="11"/>
      <c r="PI797" s="11"/>
      <c r="PJ797" s="11"/>
      <c r="PK797" s="11"/>
      <c r="PL797" s="11"/>
      <c r="PM797" s="11"/>
      <c r="PN797" s="11"/>
      <c r="PO797" s="11"/>
      <c r="PP797" s="11"/>
      <c r="PQ797" s="11"/>
      <c r="PR797" s="11"/>
      <c r="PS797" s="11"/>
      <c r="PT797" s="11"/>
      <c r="PU797" s="11"/>
      <c r="PV797" s="11"/>
      <c r="PW797" s="11"/>
      <c r="PX797" s="11"/>
      <c r="PY797" s="11"/>
      <c r="PZ797" s="11"/>
      <c r="QA797" s="11"/>
      <c r="QB797" s="11"/>
      <c r="QC797" s="11"/>
      <c r="QD797" s="11"/>
      <c r="QE797" s="11"/>
      <c r="QF797" s="11"/>
      <c r="QG797" s="11"/>
      <c r="QH797" s="11"/>
      <c r="QI797" s="11"/>
      <c r="QJ797" s="11"/>
      <c r="QK797" s="11"/>
      <c r="QL797" s="11"/>
      <c r="QM797" s="11"/>
      <c r="QN797" s="11"/>
      <c r="QO797" s="11"/>
      <c r="QP797" s="11"/>
      <c r="QQ797" s="11"/>
      <c r="QR797" s="11"/>
      <c r="QS797" s="11"/>
      <c r="QT797" s="11"/>
      <c r="QU797" s="11"/>
      <c r="QV797" s="11"/>
      <c r="QW797" s="11"/>
      <c r="QX797" s="11"/>
      <c r="QY797" s="11"/>
      <c r="QZ797" s="11"/>
      <c r="RA797" s="11"/>
      <c r="RB797" s="11"/>
      <c r="RC797" s="11"/>
      <c r="RD797" s="11"/>
      <c r="RE797" s="11"/>
      <c r="RF797" s="11"/>
      <c r="RG797" s="11"/>
      <c r="RH797" s="11"/>
      <c r="RI797" s="11"/>
      <c r="RJ797" s="11"/>
      <c r="RK797" s="11"/>
      <c r="RL797" s="11"/>
      <c r="RM797" s="11"/>
      <c r="RN797" s="11"/>
      <c r="RO797" s="11"/>
      <c r="RP797" s="11"/>
      <c r="RQ797" s="11"/>
      <c r="RR797" s="11"/>
      <c r="RS797" s="11"/>
      <c r="RT797" s="11"/>
      <c r="RU797" s="11"/>
      <c r="RV797" s="11"/>
      <c r="RW797" s="11"/>
      <c r="RX797" s="11"/>
      <c r="RY797" s="11"/>
      <c r="RZ797" s="11"/>
      <c r="SA797" s="11"/>
      <c r="SB797" s="11"/>
      <c r="SC797" s="11"/>
      <c r="SD797" s="11"/>
      <c r="SE797" s="11"/>
      <c r="SF797" s="11"/>
      <c r="SG797" s="11"/>
      <c r="SH797" s="11"/>
      <c r="SI797" s="11"/>
      <c r="SJ797" s="11"/>
      <c r="SK797" s="11"/>
      <c r="SL797" s="11"/>
      <c r="SM797" s="11"/>
      <c r="SN797" s="11"/>
      <c r="SO797" s="11"/>
      <c r="SP797" s="11"/>
      <c r="SQ797" s="11"/>
      <c r="SR797" s="11"/>
      <c r="SS797" s="11"/>
      <c r="ST797" s="11"/>
      <c r="SU797" s="11"/>
      <c r="SV797" s="11"/>
      <c r="SW797" s="11"/>
      <c r="SX797" s="11"/>
      <c r="SY797" s="11"/>
      <c r="SZ797" s="11"/>
      <c r="TA797" s="11"/>
      <c r="TB797" s="11"/>
      <c r="TC797" s="11"/>
      <c r="TD797" s="11"/>
      <c r="TE797" s="11"/>
      <c r="TF797" s="11"/>
      <c r="TG797" s="11"/>
      <c r="TH797" s="11"/>
      <c r="TI797" s="11"/>
      <c r="TJ797" s="11"/>
      <c r="TK797" s="11"/>
      <c r="TL797" s="11"/>
      <c r="TM797" s="11"/>
      <c r="TN797" s="11"/>
      <c r="TO797" s="11"/>
      <c r="TP797" s="11"/>
      <c r="TQ797" s="11"/>
      <c r="TR797" s="11"/>
      <c r="TS797" s="11"/>
      <c r="TT797" s="11"/>
      <c r="TU797" s="11"/>
      <c r="TV797" s="11"/>
      <c r="TW797" s="11"/>
      <c r="TX797" s="11"/>
      <c r="TY797" s="11"/>
      <c r="TZ797" s="11"/>
      <c r="UA797" s="11"/>
      <c r="UB797" s="11"/>
      <c r="UC797" s="11"/>
      <c r="UD797" s="11"/>
      <c r="UE797" s="11"/>
      <c r="UF797" s="11"/>
      <c r="UG797" s="11"/>
      <c r="UH797" s="11"/>
      <c r="UI797" s="11"/>
      <c r="UJ797" s="11"/>
      <c r="UK797" s="11"/>
      <c r="UL797" s="11"/>
      <c r="UM797" s="11"/>
      <c r="UN797" s="11"/>
      <c r="UO797" s="11"/>
      <c r="UP797" s="11"/>
      <c r="UQ797" s="11"/>
      <c r="UR797" s="11"/>
      <c r="US797" s="11"/>
      <c r="UT797" s="11"/>
      <c r="UU797" s="11"/>
      <c r="UV797" s="11"/>
      <c r="UW797" s="11"/>
      <c r="UX797" s="11"/>
      <c r="UY797" s="11"/>
      <c r="UZ797" s="11"/>
      <c r="VA797" s="11"/>
      <c r="VB797" s="11"/>
      <c r="VC797" s="11"/>
      <c r="VD797" s="11"/>
      <c r="VE797" s="11"/>
      <c r="VF797" s="11"/>
      <c r="VG797" s="11"/>
      <c r="VH797" s="11"/>
      <c r="VI797" s="11"/>
      <c r="VJ797" s="11"/>
      <c r="VK797" s="11"/>
      <c r="VL797" s="11"/>
      <c r="VM797" s="11"/>
      <c r="VN797" s="11"/>
      <c r="VO797" s="11"/>
      <c r="VP797" s="11"/>
      <c r="VQ797" s="11"/>
      <c r="VR797" s="11"/>
      <c r="VS797" s="11"/>
      <c r="VT797" s="11"/>
      <c r="VU797" s="11"/>
      <c r="VV797" s="11"/>
      <c r="VW797" s="11"/>
      <c r="VX797" s="11"/>
      <c r="VY797" s="11"/>
      <c r="VZ797" s="11"/>
      <c r="WA797" s="11"/>
      <c r="WB797" s="11"/>
      <c r="WC797" s="11"/>
      <c r="WD797" s="11"/>
      <c r="WE797" s="11"/>
      <c r="WF797" s="11"/>
      <c r="WG797" s="11"/>
      <c r="WH797" s="11"/>
      <c r="WI797" s="11"/>
      <c r="WJ797" s="11"/>
      <c r="WK797" s="11"/>
      <c r="WL797" s="11"/>
      <c r="WM797" s="11"/>
      <c r="WN797" s="11"/>
      <c r="WO797" s="11"/>
      <c r="WP797" s="11"/>
      <c r="WQ797" s="11"/>
      <c r="WR797" s="11"/>
      <c r="WS797" s="11"/>
      <c r="WT797" s="11"/>
      <c r="WU797" s="11"/>
      <c r="WV797" s="11"/>
      <c r="WW797" s="11"/>
      <c r="WX797" s="11"/>
      <c r="WY797" s="11"/>
      <c r="WZ797" s="11"/>
      <c r="XA797" s="11"/>
      <c r="XB797" s="11"/>
      <c r="XC797" s="11"/>
      <c r="XD797" s="11"/>
      <c r="XE797" s="11"/>
      <c r="XF797" s="11"/>
      <c r="XG797" s="11"/>
      <c r="XH797" s="11"/>
      <c r="XI797" s="11"/>
      <c r="XJ797" s="11"/>
      <c r="XK797" s="11"/>
      <c r="XL797" s="11"/>
      <c r="XM797" s="11"/>
      <c r="XN797" s="11"/>
      <c r="XO797" s="11"/>
      <c r="XP797" s="11"/>
      <c r="XQ797" s="11"/>
      <c r="XR797" s="11"/>
      <c r="XS797" s="11"/>
      <c r="XT797" s="11"/>
      <c r="XU797" s="11"/>
      <c r="XV797" s="11"/>
      <c r="XW797" s="11"/>
      <c r="XX797" s="11"/>
      <c r="XY797" s="11"/>
      <c r="XZ797" s="11"/>
      <c r="YA797" s="11"/>
      <c r="YB797" s="11"/>
      <c r="YC797" s="11"/>
      <c r="YD797" s="11"/>
      <c r="YE797" s="11"/>
      <c r="YF797" s="11"/>
      <c r="YG797" s="11"/>
      <c r="YH797" s="11"/>
      <c r="YI797" s="11"/>
      <c r="YJ797" s="11"/>
      <c r="YK797" s="11"/>
      <c r="YL797" s="11"/>
      <c r="YM797" s="11"/>
      <c r="YN797" s="11"/>
      <c r="YO797" s="11"/>
      <c r="YP797" s="11"/>
      <c r="YQ797" s="11"/>
      <c r="YR797" s="11"/>
      <c r="YS797" s="11"/>
      <c r="YT797" s="11"/>
      <c r="YU797" s="11"/>
      <c r="YV797" s="11"/>
      <c r="YW797" s="11"/>
      <c r="YX797" s="11"/>
      <c r="YY797" s="11"/>
      <c r="YZ797" s="11"/>
      <c r="ZA797" s="11"/>
      <c r="ZB797" s="11"/>
      <c r="ZC797" s="11"/>
      <c r="ZD797" s="11"/>
      <c r="ZE797" s="11"/>
      <c r="ZF797" s="11"/>
      <c r="ZG797" s="11"/>
      <c r="ZH797" s="11"/>
      <c r="ZI797" s="11"/>
      <c r="ZJ797" s="11"/>
      <c r="ZK797" s="11"/>
      <c r="ZL797" s="11"/>
      <c r="ZM797" s="11"/>
      <c r="ZN797" s="11"/>
      <c r="ZO797" s="11"/>
      <c r="ZP797" s="11"/>
      <c r="ZQ797" s="11"/>
      <c r="ZR797" s="11"/>
      <c r="ZS797" s="11"/>
      <c r="ZT797" s="11"/>
      <c r="ZU797" s="11"/>
      <c r="ZV797" s="11"/>
      <c r="ZW797" s="11"/>
      <c r="ZX797" s="11"/>
      <c r="ZY797" s="11"/>
      <c r="ZZ797" s="11"/>
      <c r="AAA797" s="11"/>
      <c r="AAB797" s="11"/>
      <c r="AAC797" s="11"/>
      <c r="AAD797" s="11"/>
      <c r="AAE797" s="11"/>
      <c r="AAF797" s="11"/>
      <c r="AAG797" s="11"/>
      <c r="AAH797" s="11"/>
      <c r="AAI797" s="11"/>
      <c r="AAJ797" s="11"/>
      <c r="AAK797" s="11"/>
      <c r="AAL797" s="11"/>
      <c r="AAM797" s="11"/>
      <c r="AAN797" s="11"/>
      <c r="AAO797" s="11"/>
      <c r="AAP797" s="11"/>
      <c r="AAQ797" s="11"/>
      <c r="AAR797" s="11"/>
      <c r="AAS797" s="11"/>
      <c r="AAT797" s="11"/>
      <c r="AAU797" s="11"/>
      <c r="AAV797" s="11"/>
      <c r="AAW797" s="11"/>
      <c r="AAX797" s="11"/>
      <c r="AAY797" s="11"/>
      <c r="AAZ797" s="11"/>
      <c r="ABA797" s="11"/>
      <c r="ABB797" s="11"/>
      <c r="ABC797" s="11"/>
      <c r="ABD797" s="11"/>
      <c r="ABE797" s="11"/>
      <c r="ABF797" s="11"/>
      <c r="ABG797" s="11"/>
      <c r="ABH797" s="11"/>
      <c r="ABI797" s="11"/>
      <c r="ABJ797" s="11"/>
      <c r="ABK797" s="11"/>
      <c r="ABL797" s="11"/>
      <c r="ABM797" s="11"/>
      <c r="ABN797" s="11"/>
      <c r="ABO797" s="11"/>
      <c r="ABP797" s="11"/>
      <c r="ABQ797" s="11"/>
      <c r="ABR797" s="11"/>
      <c r="ABS797" s="11"/>
      <c r="ABT797" s="11"/>
      <c r="ABU797" s="11"/>
      <c r="ABV797" s="11"/>
      <c r="ABW797" s="11"/>
      <c r="ABX797" s="11"/>
      <c r="ABY797" s="11"/>
      <c r="ABZ797" s="11"/>
      <c r="ACA797" s="11"/>
      <c r="ACB797" s="11"/>
      <c r="ACC797" s="11"/>
      <c r="ACD797" s="11"/>
      <c r="ACE797" s="11"/>
      <c r="ACF797" s="11"/>
      <c r="ACG797" s="11"/>
      <c r="ACH797" s="11"/>
      <c r="ACI797" s="11"/>
      <c r="ACJ797" s="11"/>
      <c r="ACK797" s="11"/>
      <c r="ACL797" s="11"/>
      <c r="ACM797" s="11"/>
      <c r="ACN797" s="11"/>
      <c r="ACO797" s="11"/>
      <c r="ACP797" s="11"/>
      <c r="ACQ797" s="11"/>
      <c r="ACR797" s="11"/>
      <c r="ACS797" s="11"/>
      <c r="ACT797" s="11"/>
      <c r="ACU797" s="11"/>
      <c r="ACV797" s="11"/>
      <c r="ACW797" s="11"/>
      <c r="ACX797" s="11"/>
      <c r="ACY797" s="11"/>
      <c r="ACZ797" s="11"/>
      <c r="ADA797" s="11"/>
      <c r="ADB797" s="11"/>
      <c r="ADC797" s="11"/>
      <c r="ADD797" s="11"/>
      <c r="ADE797" s="11"/>
      <c r="ADF797" s="11"/>
      <c r="ADG797" s="11"/>
      <c r="ADH797" s="11"/>
      <c r="ADI797" s="11"/>
      <c r="ADJ797" s="11"/>
      <c r="ADK797" s="11"/>
      <c r="ADL797" s="11"/>
      <c r="ADM797" s="11"/>
      <c r="ADN797" s="11"/>
      <c r="ADO797" s="11"/>
      <c r="ADP797" s="11"/>
      <c r="ADQ797" s="11"/>
      <c r="ADR797" s="11"/>
      <c r="ADS797" s="11"/>
      <c r="ADT797" s="11"/>
      <c r="ADU797" s="11"/>
      <c r="ADV797" s="11"/>
      <c r="ADW797" s="11"/>
      <c r="ADX797" s="11"/>
      <c r="ADY797" s="11"/>
      <c r="ADZ797" s="11"/>
      <c r="AEA797" s="11"/>
      <c r="AEB797" s="11"/>
      <c r="AEC797" s="11"/>
      <c r="AED797" s="11"/>
      <c r="AEE797" s="11"/>
      <c r="AEF797" s="11"/>
      <c r="AEG797" s="11"/>
      <c r="AEH797" s="11"/>
      <c r="AEI797" s="11"/>
      <c r="AEJ797" s="11"/>
      <c r="AEK797" s="11"/>
      <c r="AEL797" s="11"/>
      <c r="AEM797" s="11"/>
      <c r="AEN797" s="11"/>
      <c r="AEO797" s="11"/>
      <c r="AEP797" s="11"/>
      <c r="AEQ797" s="11"/>
      <c r="AER797" s="11"/>
      <c r="AES797" s="11"/>
      <c r="AET797" s="11"/>
      <c r="AEU797" s="11"/>
      <c r="AEV797" s="11"/>
      <c r="AEW797" s="11"/>
      <c r="AEX797" s="11"/>
      <c r="AEY797" s="11"/>
      <c r="AEZ797" s="11"/>
      <c r="AFA797" s="11"/>
      <c r="AFB797" s="11"/>
      <c r="AFC797" s="11"/>
      <c r="AFD797" s="11"/>
      <c r="AFE797" s="11"/>
      <c r="AFF797" s="11"/>
      <c r="AFG797" s="11"/>
      <c r="AFH797" s="11"/>
      <c r="AFI797" s="11"/>
      <c r="AFJ797" s="11"/>
      <c r="AFK797" s="11"/>
      <c r="AFL797" s="11"/>
      <c r="AFM797" s="11"/>
      <c r="AFN797" s="11"/>
      <c r="AFO797" s="11"/>
      <c r="AFP797" s="11"/>
      <c r="AFQ797" s="11"/>
      <c r="AFR797" s="11"/>
      <c r="AFS797" s="11"/>
      <c r="AFT797" s="11"/>
      <c r="AFU797" s="11"/>
      <c r="AFV797" s="11"/>
      <c r="AFW797" s="11"/>
      <c r="AFX797" s="11"/>
      <c r="AFY797" s="11"/>
      <c r="AFZ797" s="11"/>
      <c r="AGA797" s="11"/>
      <c r="AGB797" s="11"/>
      <c r="AGC797" s="11"/>
      <c r="AGD797" s="11"/>
      <c r="AGE797" s="11"/>
      <c r="AGF797" s="11"/>
      <c r="AGG797" s="11"/>
      <c r="AGH797" s="11"/>
      <c r="AGI797" s="11"/>
      <c r="AGJ797" s="11"/>
      <c r="AGK797" s="11"/>
      <c r="AGL797" s="11"/>
      <c r="AGM797" s="11"/>
      <c r="AGN797" s="11"/>
      <c r="AGO797" s="11"/>
      <c r="AGP797" s="11"/>
      <c r="AGQ797" s="11"/>
      <c r="AGR797" s="11"/>
      <c r="AGS797" s="11"/>
      <c r="AGT797" s="11"/>
      <c r="AGU797" s="11"/>
      <c r="AGV797" s="11"/>
      <c r="AGW797" s="11"/>
      <c r="AGX797" s="11"/>
      <c r="AGY797" s="11"/>
      <c r="AGZ797" s="11"/>
      <c r="AHA797" s="11"/>
      <c r="AHB797" s="11"/>
      <c r="AHC797" s="11"/>
      <c r="AHD797" s="11"/>
      <c r="AHE797" s="11"/>
      <c r="AHF797" s="11"/>
      <c r="AHG797" s="11"/>
      <c r="AHH797" s="11"/>
      <c r="AHI797" s="11"/>
      <c r="AHJ797" s="11"/>
      <c r="AHK797" s="11"/>
      <c r="AHL797" s="11"/>
      <c r="AHM797" s="11"/>
      <c r="AHN797" s="11"/>
      <c r="AHO797" s="11"/>
      <c r="AHP797" s="11"/>
      <c r="AHQ797" s="11"/>
      <c r="AHR797" s="11"/>
      <c r="AHS797" s="11"/>
      <c r="AHT797" s="11"/>
      <c r="AHU797" s="11"/>
      <c r="AHV797" s="11"/>
      <c r="AHW797" s="11"/>
      <c r="AHX797" s="11"/>
      <c r="AHY797" s="11"/>
      <c r="AHZ797" s="11"/>
      <c r="AIA797" s="11"/>
      <c r="AIB797" s="11"/>
      <c r="AIC797" s="11"/>
      <c r="AID797" s="11"/>
      <c r="AIE797" s="11"/>
      <c r="AIF797" s="11"/>
      <c r="AIG797" s="11"/>
      <c r="AIH797" s="11"/>
      <c r="AII797" s="11"/>
      <c r="AIJ797" s="11"/>
      <c r="AIK797" s="11"/>
      <c r="AIL797" s="11"/>
      <c r="AIM797" s="11"/>
      <c r="AIN797" s="11"/>
      <c r="AIO797" s="11"/>
      <c r="AIP797" s="11"/>
      <c r="AIQ797" s="11"/>
      <c r="AIR797" s="11"/>
      <c r="AIS797" s="11"/>
      <c r="AIT797" s="11"/>
      <c r="AIU797" s="11"/>
      <c r="AIV797" s="11"/>
      <c r="AIW797" s="11"/>
      <c r="AIX797" s="11"/>
      <c r="AIY797" s="11"/>
      <c r="AIZ797" s="11"/>
      <c r="AJA797" s="11"/>
      <c r="AJB797" s="11"/>
      <c r="AJC797" s="11"/>
      <c r="AJD797" s="11"/>
      <c r="AJE797" s="11"/>
      <c r="AJF797" s="11"/>
      <c r="AJG797" s="11"/>
      <c r="AJH797" s="11"/>
      <c r="AJI797" s="11"/>
      <c r="AJJ797" s="11"/>
      <c r="AJK797" s="11"/>
      <c r="AJL797" s="11"/>
      <c r="AJM797" s="11"/>
      <c r="AJN797" s="11"/>
      <c r="AJO797" s="11"/>
      <c r="AJP797" s="11"/>
      <c r="AJQ797" s="11"/>
      <c r="AJR797" s="11"/>
      <c r="AJS797" s="11"/>
      <c r="AJT797" s="11"/>
      <c r="AJU797" s="11"/>
      <c r="AJV797" s="11"/>
      <c r="AJW797" s="11"/>
      <c r="AJX797" s="11"/>
      <c r="AJY797" s="11"/>
      <c r="AJZ797" s="11"/>
      <c r="AKA797" s="11"/>
      <c r="AKB797" s="11"/>
      <c r="AKC797" s="11"/>
      <c r="AKD797" s="11"/>
      <c r="AKE797" s="11"/>
      <c r="AKF797" s="11"/>
      <c r="AKG797" s="11"/>
      <c r="AKH797" s="11"/>
      <c r="AKI797" s="11"/>
      <c r="AKJ797" s="11"/>
      <c r="AKK797" s="11"/>
      <c r="AKL797" s="11"/>
      <c r="AKM797" s="11"/>
      <c r="AKN797" s="11"/>
      <c r="AKO797" s="11"/>
      <c r="AKP797" s="11"/>
      <c r="AKQ797" s="11"/>
      <c r="AKR797" s="11"/>
      <c r="AKS797" s="11"/>
      <c r="AKT797" s="11"/>
      <c r="AKU797" s="11"/>
      <c r="AKV797" s="11"/>
      <c r="AKW797" s="11"/>
      <c r="AKX797" s="11"/>
      <c r="AKY797" s="11"/>
      <c r="AKZ797" s="11"/>
      <c r="ALA797" s="11"/>
      <c r="ALB797" s="11"/>
      <c r="ALC797" s="11"/>
      <c r="ALD797" s="11"/>
      <c r="ALE797" s="11"/>
      <c r="ALF797" s="11"/>
      <c r="ALG797" s="11"/>
      <c r="ALH797" s="11"/>
      <c r="ALI797" s="11"/>
      <c r="ALJ797" s="11"/>
      <c r="ALK797" s="11"/>
      <c r="ALL797" s="11"/>
      <c r="ALM797" s="11"/>
      <c r="ALN797" s="11"/>
      <c r="ALO797" s="11"/>
      <c r="ALP797" s="11"/>
      <c r="ALQ797" s="11"/>
      <c r="ALR797" s="11"/>
      <c r="ALS797" s="11"/>
      <c r="ALT797" s="11"/>
      <c r="ALU797" s="11"/>
      <c r="ALV797" s="11"/>
      <c r="ALW797" s="11"/>
      <c r="ALX797" s="11"/>
      <c r="ALY797" s="11"/>
      <c r="ALZ797" s="11"/>
      <c r="AMA797" s="11"/>
      <c r="AMB797" s="11"/>
      <c r="AMC797" s="11"/>
      <c r="AMD797" s="11"/>
      <c r="AME797" s="11"/>
      <c r="AMF797" s="11"/>
      <c r="AMG797" s="11"/>
      <c r="AMH797" s="11"/>
      <c r="AMI797" s="11"/>
      <c r="AMJ797" s="11"/>
    </row>
    <row r="798" spans="1:1024">
      <c r="A798" s="8" t="s">
        <v>802</v>
      </c>
      <c r="B798" s="8">
        <v>599019</v>
      </c>
      <c r="D798" s="1">
        <v>15.6666666666667</v>
      </c>
      <c r="E798" s="8">
        <f>VLOOKUP(B798,Gesamtstunden_26!B:I,8,0)</f>
        <v>0</v>
      </c>
      <c r="F798" s="2">
        <f t="shared" si="12"/>
        <v>15.6666666666667</v>
      </c>
    </row>
    <row r="799" spans="1:1024">
      <c r="A799" s="17" t="s">
        <v>803</v>
      </c>
      <c r="B799" s="17">
        <v>589162</v>
      </c>
      <c r="D799" s="1">
        <v>0</v>
      </c>
      <c r="E799" s="8">
        <f>VLOOKUP(B799,Gesamtstunden_26!B:I,8,0)</f>
        <v>0</v>
      </c>
      <c r="F799" s="2">
        <f t="shared" si="12"/>
        <v>0</v>
      </c>
    </row>
    <row r="800" spans="1:1024">
      <c r="A800" s="8" t="s">
        <v>804</v>
      </c>
      <c r="B800" s="8">
        <v>578786</v>
      </c>
      <c r="D800" s="1">
        <v>7</v>
      </c>
      <c r="E800" s="8">
        <f>VLOOKUP(B800,Gesamtstunden_26!B:I,8,0)</f>
        <v>0</v>
      </c>
      <c r="F800" s="2">
        <f t="shared" si="12"/>
        <v>7</v>
      </c>
    </row>
    <row r="801" spans="1:6">
      <c r="A801" s="15" t="s">
        <v>805</v>
      </c>
      <c r="B801" s="15">
        <v>886392</v>
      </c>
      <c r="D801" s="1">
        <v>0</v>
      </c>
      <c r="E801" s="8">
        <f>VLOOKUP(B801,Gesamtstunden_26!B:I,8,0)</f>
        <v>2.3333333333333335</v>
      </c>
      <c r="F801" s="2">
        <f t="shared" si="12"/>
        <v>-2.3333333333333335</v>
      </c>
    </row>
    <row r="802" spans="1:6">
      <c r="A802" s="11" t="s">
        <v>806</v>
      </c>
      <c r="B802" s="11">
        <v>829985</v>
      </c>
      <c r="D802" s="1">
        <v>0</v>
      </c>
      <c r="E802" s="8">
        <f>VLOOKUP(B802,Gesamtstunden_26!B:I,8,0)</f>
        <v>3.6666666666666665</v>
      </c>
      <c r="F802" s="2">
        <f t="shared" si="12"/>
        <v>-3.6666666666666665</v>
      </c>
    </row>
    <row r="803" spans="1:6">
      <c r="A803" s="8" t="s">
        <v>807</v>
      </c>
      <c r="B803" s="8">
        <v>521500</v>
      </c>
      <c r="D803" s="1">
        <v>15.34</v>
      </c>
      <c r="E803" s="8">
        <f>VLOOKUP(B803,Gesamtstunden_26!B:I,8,0)</f>
        <v>0</v>
      </c>
      <c r="F803" s="2">
        <f t="shared" si="12"/>
        <v>15.34</v>
      </c>
    </row>
    <row r="804" spans="1:6" ht="27.6">
      <c r="A804" s="8" t="s">
        <v>808</v>
      </c>
      <c r="B804" s="8">
        <v>103267</v>
      </c>
      <c r="D804" s="1">
        <v>4.8333333333333304</v>
      </c>
      <c r="E804" s="8">
        <f>VLOOKUP(B804,Gesamtstunden_26!B:I,8,0)</f>
        <v>0</v>
      </c>
      <c r="F804" s="2">
        <f t="shared" si="12"/>
        <v>4.8333333333333304</v>
      </c>
    </row>
    <row r="805" spans="1:6">
      <c r="A805" s="23" t="s">
        <v>809</v>
      </c>
      <c r="B805" s="23">
        <v>123129</v>
      </c>
      <c r="D805" s="1">
        <v>0</v>
      </c>
      <c r="E805" s="8">
        <f>VLOOKUP(B805,Gesamtstunden_26!B:I,8,0)</f>
        <v>0.33333333333333331</v>
      </c>
      <c r="F805" s="2">
        <f t="shared" si="12"/>
        <v>-0.33333333333333331</v>
      </c>
    </row>
    <row r="806" spans="1:6">
      <c r="A806" s="15" t="s">
        <v>810</v>
      </c>
      <c r="B806" s="15">
        <v>578846</v>
      </c>
      <c r="D806" s="1">
        <v>0</v>
      </c>
      <c r="E806" s="8">
        <f>VLOOKUP(B806,Gesamtstunden_26!B:I,8,0)</f>
        <v>3</v>
      </c>
      <c r="F806" s="2">
        <f t="shared" si="12"/>
        <v>-3</v>
      </c>
    </row>
    <row r="807" spans="1:6">
      <c r="A807" s="8" t="s">
        <v>811</v>
      </c>
      <c r="B807" s="8">
        <v>151334</v>
      </c>
      <c r="D807" s="1">
        <v>10.3333333333333</v>
      </c>
      <c r="E807" s="8">
        <f>VLOOKUP(B807,Gesamtstunden_26!B:I,8,0)</f>
        <v>0</v>
      </c>
      <c r="F807" s="2">
        <f t="shared" si="12"/>
        <v>10.3333333333333</v>
      </c>
    </row>
    <row r="808" spans="1:6">
      <c r="A808" s="7" t="s">
        <v>812</v>
      </c>
      <c r="B808" s="7">
        <v>664967</v>
      </c>
      <c r="D808" s="1">
        <v>0</v>
      </c>
      <c r="E808" s="8">
        <f>VLOOKUP(B808,Gesamtstunden_26!B:I,8,0)</f>
        <v>3.5</v>
      </c>
      <c r="F808" s="2">
        <f t="shared" si="12"/>
        <v>-3.5</v>
      </c>
    </row>
    <row r="809" spans="1:6">
      <c r="A809" s="7" t="s">
        <v>813</v>
      </c>
      <c r="B809" s="7">
        <v>809076</v>
      </c>
      <c r="D809" s="1">
        <v>0</v>
      </c>
      <c r="E809" s="8">
        <f>VLOOKUP(B809,Gesamtstunden_26!B:I,8,0)</f>
        <v>4.333333333333333</v>
      </c>
      <c r="F809" s="2">
        <f t="shared" si="12"/>
        <v>-4.333333333333333</v>
      </c>
    </row>
    <row r="810" spans="1:6">
      <c r="A810" s="8" t="s">
        <v>814</v>
      </c>
      <c r="B810" s="8">
        <v>770905</v>
      </c>
      <c r="D810" s="1">
        <v>15.6666666666667</v>
      </c>
      <c r="E810" s="8">
        <f>VLOOKUP(B810,Gesamtstunden_26!B:I,8,0)</f>
        <v>0</v>
      </c>
      <c r="F810" s="2">
        <f t="shared" si="12"/>
        <v>15.6666666666667</v>
      </c>
    </row>
    <row r="811" spans="1:6" ht="27.6">
      <c r="A811" s="7" t="s">
        <v>815</v>
      </c>
      <c r="B811" s="7">
        <v>192432</v>
      </c>
      <c r="D811" s="1">
        <v>0</v>
      </c>
      <c r="E811" s="8">
        <f>VLOOKUP(B811,Gesamtstunden_26!B:I,8,0)</f>
        <v>4.333333333333333</v>
      </c>
      <c r="F811" s="2">
        <f t="shared" si="12"/>
        <v>-4.333333333333333</v>
      </c>
    </row>
    <row r="812" spans="1:6">
      <c r="A812" s="8" t="s">
        <v>816</v>
      </c>
      <c r="B812" s="8">
        <v>472098</v>
      </c>
      <c r="D812" s="1">
        <v>15.34</v>
      </c>
      <c r="E812" s="8">
        <f>VLOOKUP(B812,Gesamtstunden_26!B:I,8,0)</f>
        <v>0</v>
      </c>
      <c r="F812" s="2">
        <f t="shared" si="12"/>
        <v>15.34</v>
      </c>
    </row>
    <row r="813" spans="1:6">
      <c r="A813" s="8" t="s">
        <v>817</v>
      </c>
      <c r="B813" s="8">
        <v>206057</v>
      </c>
      <c r="D813" s="1">
        <v>8.3333333333333393</v>
      </c>
      <c r="E813" s="8">
        <f>VLOOKUP(B813,Gesamtstunden_26!B:I,8,0)</f>
        <v>0</v>
      </c>
      <c r="F813" s="2">
        <f t="shared" si="12"/>
        <v>8.3333333333333393</v>
      </c>
    </row>
    <row r="814" spans="1:6">
      <c r="A814" s="16" t="s">
        <v>818</v>
      </c>
      <c r="B814" s="16">
        <v>746046</v>
      </c>
      <c r="D814" s="1">
        <v>0</v>
      </c>
      <c r="E814" s="8">
        <f>VLOOKUP(B814,Gesamtstunden_26!B:I,8,0)</f>
        <v>1</v>
      </c>
      <c r="F814" s="2">
        <f t="shared" si="12"/>
        <v>-1</v>
      </c>
    </row>
  </sheetData>
  <autoFilter ref="A1:F1" xr:uid="{00000000-0009-0000-0000-000000000000}"/>
  <pageMargins left="0" right="0" top="1.1583333333333301" bottom="1.1583333333333301" header="0" footer="0"/>
  <pageSetup paperSize="9" orientation="portrait" horizontalDpi="300" verticalDpi="300"/>
  <headerFooter>
    <oddHeader>&amp;C&amp;10&amp;A</oddHeader>
    <oddFooter>&amp;C&amp;10Page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860"/>
  <sheetViews>
    <sheetView tabSelected="1" zoomScaleNormal="100" workbookViewId="0">
      <pane xSplit="1" ySplit="1" topLeftCell="B686" activePane="bottomRight" state="frozen"/>
      <selection pane="topRight" activeCell="B1" sqref="B1"/>
      <selection pane="bottomLeft" activeCell="A232" sqref="A232"/>
      <selection pane="bottomRight" activeCell="E695" sqref="E695"/>
    </sheetView>
  </sheetViews>
  <sheetFormatPr baseColWidth="10" defaultColWidth="10" defaultRowHeight="13.8"/>
  <cols>
    <col min="1" max="2" width="11" customWidth="1"/>
    <col min="3" max="3" width="16.5" customWidth="1"/>
    <col min="4" max="4" width="19.3984375" style="24" customWidth="1"/>
    <col min="5" max="5" width="29.5" customWidth="1"/>
    <col min="6" max="6" width="20.8984375" customWidth="1"/>
    <col min="7" max="7" width="16.59765625" style="25" customWidth="1"/>
    <col min="8" max="8" width="32.59765625" customWidth="1"/>
    <col min="9" max="9" width="25.09765625" customWidth="1"/>
    <col min="10" max="10" width="27" customWidth="1"/>
    <col min="11" max="11" width="23.19921875" customWidth="1"/>
    <col min="12" max="12" width="32" customWidth="1"/>
    <col min="13" max="13" width="37.3984375" customWidth="1"/>
    <col min="14" max="14" width="39.09765625" customWidth="1"/>
    <col min="1023" max="1023" width="11" customWidth="1"/>
    <col min="1024" max="1024" width="9.09765625" customWidth="1"/>
  </cols>
  <sheetData>
    <row r="1" spans="1:15" ht="17.399999999999999">
      <c r="A1" s="3" t="s">
        <v>0</v>
      </c>
      <c r="B1" s="3" t="s">
        <v>1</v>
      </c>
      <c r="C1" s="3" t="s">
        <v>2</v>
      </c>
      <c r="D1" s="5" t="s">
        <v>819</v>
      </c>
      <c r="E1" s="5" t="s">
        <v>820</v>
      </c>
      <c r="F1" s="3" t="s">
        <v>821</v>
      </c>
      <c r="G1" s="26" t="s">
        <v>822</v>
      </c>
      <c r="H1" s="27" t="s">
        <v>823</v>
      </c>
      <c r="I1" s="3" t="s">
        <v>824</v>
      </c>
      <c r="J1" s="3" t="s">
        <v>825</v>
      </c>
      <c r="K1" s="3" t="s">
        <v>826</v>
      </c>
      <c r="L1" s="3" t="s">
        <v>827</v>
      </c>
      <c r="M1" s="3" t="s">
        <v>828</v>
      </c>
      <c r="N1" s="3" t="s">
        <v>829</v>
      </c>
      <c r="O1" s="28" t="s">
        <v>830</v>
      </c>
    </row>
    <row r="2" spans="1:15" ht="41.4">
      <c r="A2" s="8" t="s">
        <v>6</v>
      </c>
      <c r="B2" s="8">
        <v>826067</v>
      </c>
      <c r="D2" s="29"/>
      <c r="E2" s="1">
        <v>0</v>
      </c>
      <c r="F2" s="8">
        <v>6</v>
      </c>
      <c r="G2" s="30">
        <f t="shared" ref="G2:G65" si="0">F2-H2</f>
        <v>4.666666666666667</v>
      </c>
      <c r="H2" s="8">
        <f t="shared" ref="H2:H33" si="1">I2-E2</f>
        <v>1.3333333333333333</v>
      </c>
      <c r="I2">
        <f t="shared" ref="I2:I65" si="2">SUM(J2:O2)</f>
        <v>1.3333333333333333</v>
      </c>
      <c r="J2">
        <f>SUMIF(Oeffentlichkeitsarbeit!$D:$D,$B2,Oeffentlichkeitsarbeit!$F:$F)</f>
        <v>0</v>
      </c>
      <c r="K2">
        <f>COUNTIF(Fairteiler!$D:$D,$B2)*1/2</f>
        <v>0</v>
      </c>
      <c r="L2">
        <f>COUNTIF('NP-Betrieb'!D:D,$B2)*1/3</f>
        <v>1.3333333333333333</v>
      </c>
      <c r="M2">
        <f>COUNTIF(Fairteilungen!$D:$D,$B2)*3/4</f>
        <v>0</v>
      </c>
      <c r="N2">
        <f>COUNTIF(Anlieferung!D:D,$B2)*1/2</f>
        <v>0</v>
      </c>
      <c r="O2">
        <f>COUNTIF(Probeabholungen!B:B,$B2)*1/3</f>
        <v>0</v>
      </c>
    </row>
    <row r="3" spans="1:15" ht="27.6">
      <c r="A3" s="8" t="s">
        <v>7</v>
      </c>
      <c r="B3" s="8">
        <v>136454</v>
      </c>
      <c r="D3" s="29"/>
      <c r="E3" s="1">
        <v>3.3333333333333299</v>
      </c>
      <c r="F3" s="8">
        <v>6</v>
      </c>
      <c r="G3" s="30">
        <f t="shared" si="0"/>
        <v>7.6666666666666634</v>
      </c>
      <c r="H3" s="8">
        <f t="shared" si="1"/>
        <v>-1.6666666666666632</v>
      </c>
      <c r="I3">
        <f t="shared" si="2"/>
        <v>1.6666666666666667</v>
      </c>
      <c r="J3">
        <f>SUMIF(Oeffentlichkeitsarbeit!$D:$D,$B3,Oeffentlichkeitsarbeit!$F:$F)</f>
        <v>0</v>
      </c>
      <c r="K3">
        <f>COUNTIF(Fairteiler!$D:$D,$B3)*1/2</f>
        <v>0</v>
      </c>
      <c r="L3">
        <f>COUNTIF('NP-Betrieb'!D:D,$B3)*1/3</f>
        <v>1.6666666666666667</v>
      </c>
      <c r="M3">
        <f>COUNTIF(Fairteilungen!$D:$D,$B3)*3/4</f>
        <v>0</v>
      </c>
      <c r="N3">
        <f>COUNTIF(Anlieferung!D:D,$B3)*1/2</f>
        <v>0</v>
      </c>
      <c r="O3">
        <f>COUNTIF(Probeabholungen!B:B,$B3)*1/3</f>
        <v>0</v>
      </c>
    </row>
    <row r="4" spans="1:15" ht="27.6">
      <c r="A4" s="8" t="s">
        <v>8</v>
      </c>
      <c r="B4" s="8">
        <v>216555</v>
      </c>
      <c r="D4" s="29"/>
      <c r="E4" s="1">
        <v>4.6733333333333302</v>
      </c>
      <c r="F4" s="8">
        <v>6</v>
      </c>
      <c r="G4" s="30">
        <f t="shared" si="0"/>
        <v>9.0066666666666642</v>
      </c>
      <c r="H4" s="8">
        <f t="shared" si="1"/>
        <v>-3.0066666666666633</v>
      </c>
      <c r="I4">
        <f t="shared" si="2"/>
        <v>1.6666666666666667</v>
      </c>
      <c r="J4">
        <f>SUMIF(Oeffentlichkeitsarbeit!$D:$D,$B4,Oeffentlichkeitsarbeit!$F:$F)</f>
        <v>0</v>
      </c>
      <c r="K4">
        <f>COUNTIF(Fairteiler!$D:$D,$B4)*1/2</f>
        <v>0</v>
      </c>
      <c r="L4">
        <f>COUNTIF('NP-Betrieb'!D:D,$B4)*1/3</f>
        <v>1.6666666666666667</v>
      </c>
      <c r="M4">
        <f>COUNTIF(Fairteilungen!$D:$D,$B4)*3/4</f>
        <v>0</v>
      </c>
      <c r="N4">
        <f>COUNTIF(Anlieferung!D:D,$B4)*1/2</f>
        <v>0</v>
      </c>
      <c r="O4">
        <f>COUNTIF(Probeabholungen!B:B,$B4)*1/3</f>
        <v>0</v>
      </c>
    </row>
    <row r="5" spans="1:15" ht="27.6">
      <c r="A5" s="8" t="s">
        <v>9</v>
      </c>
      <c r="B5" s="8">
        <v>298763</v>
      </c>
      <c r="D5" s="29"/>
      <c r="E5" s="1">
        <v>5.6666666666666696</v>
      </c>
      <c r="F5" s="8">
        <v>6</v>
      </c>
      <c r="G5" s="30">
        <f t="shared" si="0"/>
        <v>11.000000000000004</v>
      </c>
      <c r="H5" s="8">
        <f t="shared" si="1"/>
        <v>-5.0000000000000027</v>
      </c>
      <c r="I5">
        <f t="shared" si="2"/>
        <v>0.66666666666666663</v>
      </c>
      <c r="J5">
        <f>SUMIF(Oeffentlichkeitsarbeit!$D:$D,$B5,Oeffentlichkeitsarbeit!$F:$F)</f>
        <v>0</v>
      </c>
      <c r="K5">
        <f>COUNTIF(Fairteiler!$D:$D,$B5)*1/2</f>
        <v>0</v>
      </c>
      <c r="L5">
        <f>COUNTIF('NP-Betrieb'!D:D,$B5)*1/3</f>
        <v>0.66666666666666663</v>
      </c>
      <c r="M5">
        <f>COUNTIF(Fairteilungen!$D:$D,$B5)*3/4</f>
        <v>0</v>
      </c>
      <c r="N5">
        <f>COUNTIF(Anlieferung!D:D,$B5)*1/2</f>
        <v>0</v>
      </c>
      <c r="O5">
        <f>COUNTIF(Probeabholungen!B:B,$B5)*1/3</f>
        <v>0</v>
      </c>
    </row>
    <row r="6" spans="1:15" s="31" customFormat="1" ht="27.6">
      <c r="A6" s="16" t="s">
        <v>10</v>
      </c>
      <c r="B6" s="16">
        <v>276971</v>
      </c>
      <c r="C6" s="31" t="s">
        <v>831</v>
      </c>
      <c r="D6" s="32"/>
      <c r="E6" s="1">
        <v>0</v>
      </c>
      <c r="F6" s="16">
        <v>0</v>
      </c>
      <c r="G6" s="33">
        <f t="shared" si="0"/>
        <v>-0.33333333333333331</v>
      </c>
      <c r="H6" s="16">
        <f t="shared" si="1"/>
        <v>0.33333333333333331</v>
      </c>
      <c r="I6" s="31">
        <f t="shared" si="2"/>
        <v>0.33333333333333331</v>
      </c>
      <c r="J6" s="31">
        <f>SUMIF(Oeffentlichkeitsarbeit!$D:$D,$B6,Oeffentlichkeitsarbeit!$F:$F)</f>
        <v>0</v>
      </c>
      <c r="K6" s="31">
        <f>COUNTIF(Fairteiler!$D:$D,$B6)*1/2</f>
        <v>0</v>
      </c>
      <c r="L6" s="31">
        <f>COUNTIF('NP-Betrieb'!D:D,$B6)*1/3</f>
        <v>0.33333333333333331</v>
      </c>
      <c r="M6" s="31">
        <f>COUNTIF(Fairteilungen!$D:$D,$B6)*3/4</f>
        <v>0</v>
      </c>
      <c r="N6" s="31">
        <f>COUNTIF(Anlieferung!D:D,$B6)*1/2</f>
        <v>0</v>
      </c>
      <c r="O6" s="31">
        <f>COUNTIF(Probeabholungen!B:B,$B6)*1/3</f>
        <v>0</v>
      </c>
    </row>
    <row r="7" spans="1:15" ht="27.6">
      <c r="A7" s="8" t="s">
        <v>11</v>
      </c>
      <c r="B7" s="8">
        <v>214380</v>
      </c>
      <c r="D7" s="29"/>
      <c r="E7" s="1">
        <v>0</v>
      </c>
      <c r="F7" s="8">
        <v>6</v>
      </c>
      <c r="G7" s="30">
        <f t="shared" si="0"/>
        <v>6</v>
      </c>
      <c r="H7" s="8">
        <f t="shared" si="1"/>
        <v>0</v>
      </c>
      <c r="I7">
        <f t="shared" si="2"/>
        <v>0</v>
      </c>
      <c r="J7">
        <f>SUMIF(Oeffentlichkeitsarbeit!$D:$D,$B7,Oeffentlichkeitsarbeit!$F:$F)</f>
        <v>0</v>
      </c>
      <c r="K7">
        <f>COUNTIF(Fairteiler!$D:$D,$B7)*1/2</f>
        <v>0</v>
      </c>
      <c r="L7">
        <f>COUNTIF('NP-Betrieb'!D:D,$B7)*1/3</f>
        <v>0</v>
      </c>
      <c r="M7">
        <f>COUNTIF(Fairteilungen!$D:$D,$B7)*3/4</f>
        <v>0</v>
      </c>
      <c r="N7">
        <f>COUNTIF(Anlieferung!D:D,$B7)*1/2</f>
        <v>0</v>
      </c>
      <c r="O7">
        <f>COUNTIF(Probeabholungen!B:B,$B7)*1/3</f>
        <v>0</v>
      </c>
    </row>
    <row r="8" spans="1:15" ht="41.4">
      <c r="A8" s="8" t="s">
        <v>12</v>
      </c>
      <c r="B8" s="8">
        <v>794748</v>
      </c>
      <c r="D8" s="24">
        <v>45845</v>
      </c>
      <c r="E8" s="1">
        <v>3</v>
      </c>
      <c r="F8">
        <v>6</v>
      </c>
      <c r="G8" s="25">
        <f t="shared" si="0"/>
        <v>9</v>
      </c>
      <c r="H8" s="8">
        <f t="shared" si="1"/>
        <v>-3</v>
      </c>
      <c r="I8">
        <f t="shared" si="2"/>
        <v>0</v>
      </c>
      <c r="J8">
        <f>SUMIF(Oeffentlichkeitsarbeit!$D:$D,$B8,Oeffentlichkeitsarbeit!$F:$F)</f>
        <v>0</v>
      </c>
      <c r="K8">
        <f>COUNTIF(Fairteiler!$D:$D,$B8)*1/2</f>
        <v>0</v>
      </c>
      <c r="L8">
        <f>COUNTIF('NP-Betrieb'!D:D,$B8)*1/3</f>
        <v>0</v>
      </c>
      <c r="M8">
        <f>COUNTIF(Fairteilungen!$D:$D,$B8)*3/4</f>
        <v>0</v>
      </c>
      <c r="N8">
        <f>COUNTIF(Anlieferung!D:D,$B8)*1/2</f>
        <v>0</v>
      </c>
      <c r="O8">
        <f>COUNTIF(Probeabholungen!B:B,$B8)*1/3</f>
        <v>0</v>
      </c>
    </row>
    <row r="9" spans="1:15" ht="41.4">
      <c r="A9" s="8" t="s">
        <v>13</v>
      </c>
      <c r="B9" s="8">
        <v>662108</v>
      </c>
      <c r="D9" s="29">
        <v>45228</v>
      </c>
      <c r="E9" s="1">
        <v>0</v>
      </c>
      <c r="F9" s="8">
        <v>6</v>
      </c>
      <c r="G9" s="30">
        <f t="shared" si="0"/>
        <v>6</v>
      </c>
      <c r="H9" s="8">
        <f t="shared" si="1"/>
        <v>0</v>
      </c>
      <c r="I9">
        <f t="shared" si="2"/>
        <v>0</v>
      </c>
      <c r="J9">
        <f>SUMIF(Oeffentlichkeitsarbeit!$D:$D,$B9,Oeffentlichkeitsarbeit!$F:$F)</f>
        <v>0</v>
      </c>
      <c r="K9">
        <f>COUNTIF(Fairteiler!$D:$D,$B9)*1/2</f>
        <v>0</v>
      </c>
      <c r="L9">
        <f>COUNTIF('NP-Betrieb'!D:D,$B9)*1/3</f>
        <v>0</v>
      </c>
      <c r="M9">
        <f>COUNTIF(Fairteilungen!$D:$D,$B9)*3/4</f>
        <v>0</v>
      </c>
      <c r="N9">
        <f>COUNTIF(Anlieferung!D:D,$B9)*1/2</f>
        <v>0</v>
      </c>
      <c r="O9">
        <f>COUNTIF(Probeabholungen!B:B,$B9)*1/3</f>
        <v>0</v>
      </c>
    </row>
    <row r="10" spans="1:15">
      <c r="A10" s="8" t="s">
        <v>14</v>
      </c>
      <c r="B10" s="8">
        <v>742934</v>
      </c>
      <c r="D10" s="29">
        <v>45097</v>
      </c>
      <c r="E10" s="1">
        <v>14</v>
      </c>
      <c r="F10" s="8">
        <v>6</v>
      </c>
      <c r="G10" s="30">
        <f t="shared" si="0"/>
        <v>20</v>
      </c>
      <c r="H10" s="8">
        <f t="shared" si="1"/>
        <v>-14</v>
      </c>
      <c r="I10">
        <f t="shared" si="2"/>
        <v>0</v>
      </c>
      <c r="J10">
        <f>SUMIF(Oeffentlichkeitsarbeit!$D:$D,$B10,Oeffentlichkeitsarbeit!$F:$F)</f>
        <v>0</v>
      </c>
      <c r="K10">
        <f>COUNTIF(Fairteiler!$D:$D,$B10)*1/2</f>
        <v>0</v>
      </c>
      <c r="L10">
        <f>COUNTIF('NP-Betrieb'!D:D,$B10)*1/3</f>
        <v>0</v>
      </c>
      <c r="M10">
        <f>COUNTIF(Fairteilungen!$D:$D,$B10)*3/4</f>
        <v>0</v>
      </c>
      <c r="N10">
        <f>COUNTIF(Anlieferung!D:D,$B10)*1/2</f>
        <v>0</v>
      </c>
      <c r="O10">
        <f>COUNTIF(Probeabholungen!B:B,$B10)*1/3</f>
        <v>0</v>
      </c>
    </row>
    <row r="11" spans="1:15" ht="27.6">
      <c r="A11" s="8" t="s">
        <v>15</v>
      </c>
      <c r="B11" s="8">
        <v>509374</v>
      </c>
      <c r="D11" s="29"/>
      <c r="E11" s="1">
        <v>0</v>
      </c>
      <c r="F11" s="8">
        <v>6</v>
      </c>
      <c r="G11" s="30">
        <f t="shared" si="0"/>
        <v>2.5</v>
      </c>
      <c r="H11" s="8">
        <f t="shared" si="1"/>
        <v>3.5</v>
      </c>
      <c r="I11">
        <f t="shared" si="2"/>
        <v>3.5</v>
      </c>
      <c r="J11">
        <f>SUMIF(Oeffentlichkeitsarbeit!$D:$D,$B11,Oeffentlichkeitsarbeit!$F:$F)</f>
        <v>0</v>
      </c>
      <c r="K11">
        <f>COUNTIF(Fairteiler!$D:$D,$B11)*1/2</f>
        <v>3.5</v>
      </c>
      <c r="L11">
        <f>COUNTIF('NP-Betrieb'!D:D,$B11)*1/3</f>
        <v>0</v>
      </c>
      <c r="M11">
        <f>COUNTIF(Fairteilungen!$D:$D,$B11)*3/4</f>
        <v>0</v>
      </c>
      <c r="N11">
        <f>COUNTIF(Anlieferung!D:D,$B11)*1/2</f>
        <v>0</v>
      </c>
      <c r="O11">
        <f>COUNTIF(Probeabholungen!B:B,$B11)*1/3</f>
        <v>0</v>
      </c>
    </row>
    <row r="12" spans="1:15" ht="27.6">
      <c r="A12" s="8" t="s">
        <v>16</v>
      </c>
      <c r="B12" s="8">
        <v>703098</v>
      </c>
      <c r="D12" s="29">
        <v>45058</v>
      </c>
      <c r="E12" s="1">
        <v>9.1666666666666696</v>
      </c>
      <c r="F12" s="8">
        <v>6</v>
      </c>
      <c r="G12" s="30">
        <f t="shared" si="0"/>
        <v>14.500000000000004</v>
      </c>
      <c r="H12" s="8">
        <f t="shared" si="1"/>
        <v>-8.5000000000000036</v>
      </c>
      <c r="I12">
        <f t="shared" si="2"/>
        <v>0.66666666666666663</v>
      </c>
      <c r="J12">
        <f>SUMIF(Oeffentlichkeitsarbeit!$D:$D,$B12,Oeffentlichkeitsarbeit!$F:$F)</f>
        <v>0</v>
      </c>
      <c r="K12">
        <f>COUNTIF(Fairteiler!$D:$D,$B12)*1/2</f>
        <v>0</v>
      </c>
      <c r="L12">
        <f>COUNTIF('NP-Betrieb'!D:D,$B12)*1/3</f>
        <v>0.66666666666666663</v>
      </c>
      <c r="M12">
        <f>COUNTIF(Fairteilungen!$D:$D,$B12)*3/4</f>
        <v>0</v>
      </c>
      <c r="N12">
        <f>COUNTIF(Anlieferung!D:D,$B12)*1/2</f>
        <v>0</v>
      </c>
      <c r="O12">
        <f>COUNTIF(Probeabholungen!B:B,$B12)*1/3</f>
        <v>0</v>
      </c>
    </row>
    <row r="13" spans="1:15" ht="27.6">
      <c r="A13" s="8" t="s">
        <v>17</v>
      </c>
      <c r="B13" s="8">
        <v>720432</v>
      </c>
      <c r="D13" s="29">
        <v>45061</v>
      </c>
      <c r="E13" s="1">
        <v>0.33333333333333298</v>
      </c>
      <c r="F13" s="8">
        <v>6</v>
      </c>
      <c r="G13" s="30">
        <f t="shared" si="0"/>
        <v>4.6666666666666661</v>
      </c>
      <c r="H13" s="8">
        <f t="shared" si="1"/>
        <v>1.3333333333333337</v>
      </c>
      <c r="I13">
        <f t="shared" si="2"/>
        <v>1.6666666666666667</v>
      </c>
      <c r="J13">
        <f>SUMIF(Oeffentlichkeitsarbeit!$D:$D,$B13,Oeffentlichkeitsarbeit!$F:$F)</f>
        <v>0</v>
      </c>
      <c r="K13">
        <f>COUNTIF(Fairteiler!$D:$D,$B13)*1/2</f>
        <v>0</v>
      </c>
      <c r="L13">
        <f>COUNTIF('NP-Betrieb'!D:D,$B13)*1/3</f>
        <v>1.6666666666666667</v>
      </c>
      <c r="M13">
        <f>COUNTIF(Fairteilungen!$D:$D,$B13)*3/4</f>
        <v>0</v>
      </c>
      <c r="N13">
        <f>COUNTIF(Anlieferung!D:D,$B13)*1/2</f>
        <v>0</v>
      </c>
      <c r="O13">
        <f>COUNTIF(Probeabholungen!B:B,$B13)*1/3</f>
        <v>0</v>
      </c>
    </row>
    <row r="14" spans="1:15" ht="27.6">
      <c r="A14" s="8" t="s">
        <v>18</v>
      </c>
      <c r="B14" s="8">
        <v>557897</v>
      </c>
      <c r="D14" s="29"/>
      <c r="E14" s="1">
        <v>0</v>
      </c>
      <c r="F14" s="8">
        <v>6</v>
      </c>
      <c r="G14" s="30">
        <f t="shared" si="0"/>
        <v>-4.6666666666666679</v>
      </c>
      <c r="H14" s="8">
        <f t="shared" si="1"/>
        <v>10.666666666666668</v>
      </c>
      <c r="I14">
        <f t="shared" si="2"/>
        <v>10.666666666666668</v>
      </c>
      <c r="J14">
        <f>SUMIF(Oeffentlichkeitsarbeit!$D:$D,$B14,Oeffentlichkeitsarbeit!$F:$F)</f>
        <v>0</v>
      </c>
      <c r="K14">
        <f>COUNTIF(Fairteiler!$D:$D,$B14)*1/2</f>
        <v>4</v>
      </c>
      <c r="L14">
        <f>COUNTIF('NP-Betrieb'!D:D,$B14)*1/3</f>
        <v>6.666666666666667</v>
      </c>
      <c r="M14">
        <f>COUNTIF(Fairteilungen!$D:$D,$B14)*3/4</f>
        <v>0</v>
      </c>
      <c r="N14">
        <f>COUNTIF(Anlieferung!D:D,$B14)*1/2</f>
        <v>0</v>
      </c>
      <c r="O14">
        <f>COUNTIF(Probeabholungen!B:B,$B14)*1/3</f>
        <v>0</v>
      </c>
    </row>
    <row r="15" spans="1:15" ht="27.6">
      <c r="A15" s="8" t="s">
        <v>19</v>
      </c>
      <c r="B15" s="8">
        <v>871845</v>
      </c>
      <c r="D15" s="24">
        <v>45612</v>
      </c>
      <c r="E15" s="1">
        <v>0</v>
      </c>
      <c r="F15" s="8">
        <v>6</v>
      </c>
      <c r="G15" s="30">
        <f t="shared" si="0"/>
        <v>2.6666666666666665</v>
      </c>
      <c r="H15" s="8">
        <f t="shared" si="1"/>
        <v>3.3333333333333335</v>
      </c>
      <c r="I15">
        <f t="shared" si="2"/>
        <v>3.3333333333333335</v>
      </c>
      <c r="J15">
        <f>SUMIF(Oeffentlichkeitsarbeit!$D:$D,$B15,Oeffentlichkeitsarbeit!$F:$F)</f>
        <v>0</v>
      </c>
      <c r="K15">
        <f>COUNTIF(Fairteiler!$D:$D,$B15)*1/2</f>
        <v>0</v>
      </c>
      <c r="L15">
        <f>COUNTIF('NP-Betrieb'!D:D,$B15)*1/3</f>
        <v>3.3333333333333335</v>
      </c>
      <c r="M15">
        <f>COUNTIF(Fairteilungen!$D:$D,$B15)*3/4</f>
        <v>0</v>
      </c>
      <c r="N15">
        <f>COUNTIF(Anlieferung!D:D,$B15)*1/2</f>
        <v>0</v>
      </c>
      <c r="O15">
        <f>COUNTIF(Probeabholungen!B:B,$B15)*1/3</f>
        <v>0</v>
      </c>
    </row>
    <row r="16" spans="1:15" ht="27.6">
      <c r="A16" s="8" t="s">
        <v>20</v>
      </c>
      <c r="B16" s="8">
        <v>643035</v>
      </c>
      <c r="D16" s="29"/>
      <c r="E16" s="1">
        <v>5.3333333333333304</v>
      </c>
      <c r="F16" s="8">
        <v>6</v>
      </c>
      <c r="G16" s="30">
        <f t="shared" si="0"/>
        <v>11.33333333333333</v>
      </c>
      <c r="H16" s="8">
        <f t="shared" si="1"/>
        <v>-5.3333333333333304</v>
      </c>
      <c r="I16">
        <f t="shared" si="2"/>
        <v>0</v>
      </c>
      <c r="J16">
        <f>SUMIF(Oeffentlichkeitsarbeit!$D:$D,$B16,Oeffentlichkeitsarbeit!$F:$F)</f>
        <v>0</v>
      </c>
      <c r="K16">
        <f>COUNTIF(Fairteiler!$D:$D,$B16)*1/2</f>
        <v>0</v>
      </c>
      <c r="L16">
        <f>COUNTIF('NP-Betrieb'!D:D,$B16)*1/3</f>
        <v>0</v>
      </c>
      <c r="M16">
        <f>COUNTIF(Fairteilungen!$D:$D,$B16)*3/4</f>
        <v>0</v>
      </c>
      <c r="N16">
        <f>COUNTIF(Anlieferung!D:D,$B16)*1/2</f>
        <v>0</v>
      </c>
      <c r="O16">
        <f>COUNTIF(Probeabholungen!B:B,$B16)*1/3</f>
        <v>0</v>
      </c>
    </row>
    <row r="17" spans="1:15" s="18" customFormat="1" ht="27.6">
      <c r="A17" s="14" t="s">
        <v>21</v>
      </c>
      <c r="B17" s="14">
        <v>654688</v>
      </c>
      <c r="C17" s="14" t="s">
        <v>832</v>
      </c>
      <c r="D17" s="29"/>
      <c r="E17" s="1">
        <v>0</v>
      </c>
      <c r="F17" s="14">
        <v>0</v>
      </c>
      <c r="G17" s="30">
        <f t="shared" si="0"/>
        <v>0</v>
      </c>
      <c r="H17" s="14">
        <f t="shared" si="1"/>
        <v>0</v>
      </c>
      <c r="I17" s="18">
        <f t="shared" si="2"/>
        <v>0</v>
      </c>
      <c r="J17" s="18">
        <f>SUMIF(Oeffentlichkeitsarbeit!$D:$D,$B17,Oeffentlichkeitsarbeit!$F:$F)</f>
        <v>0</v>
      </c>
      <c r="K17" s="18">
        <f>COUNTIF(Fairteiler!$D:$D,$B17)*1/2</f>
        <v>0</v>
      </c>
      <c r="L17" s="18">
        <f>COUNTIF('NP-Betrieb'!D:D,$B17)*1/3</f>
        <v>0</v>
      </c>
      <c r="M17" s="18">
        <f>COUNTIF(Fairteilungen!$D:$D,$B17)*3/4</f>
        <v>0</v>
      </c>
      <c r="N17" s="18">
        <f>COUNTIF(Anlieferung!D:D,$B17)*1/2</f>
        <v>0</v>
      </c>
      <c r="O17" s="18">
        <f>COUNTIF(Probeabholungen!B:B,$B17)*1/3</f>
        <v>0</v>
      </c>
    </row>
    <row r="18" spans="1:15" ht="27.6">
      <c r="A18" s="8" t="s">
        <v>22</v>
      </c>
      <c r="B18" s="8">
        <v>964211</v>
      </c>
      <c r="D18" s="24">
        <v>45985</v>
      </c>
      <c r="E18" s="1">
        <v>0</v>
      </c>
      <c r="F18">
        <v>6</v>
      </c>
      <c r="G18" s="30">
        <f t="shared" si="0"/>
        <v>-3.6666666666666661</v>
      </c>
      <c r="H18" s="8">
        <f t="shared" si="1"/>
        <v>9.6666666666666661</v>
      </c>
      <c r="I18">
        <f t="shared" si="2"/>
        <v>9.6666666666666661</v>
      </c>
      <c r="J18">
        <f>SUMIF(Oeffentlichkeitsarbeit!$D:$D,$B18,Oeffentlichkeitsarbeit!$F:$F)</f>
        <v>0</v>
      </c>
      <c r="K18">
        <f>COUNTIF(Fairteiler!$D:$D,$B18)*1/2</f>
        <v>0</v>
      </c>
      <c r="L18">
        <f>COUNTIF('NP-Betrieb'!D:D,$B18)*1/3</f>
        <v>9.6666666666666661</v>
      </c>
      <c r="M18">
        <f>COUNTIF(Fairteilungen!$D:$D,$B18)*3/4</f>
        <v>0</v>
      </c>
      <c r="N18">
        <f>COUNTIF(Anlieferung!D:D,$B18)*1/2</f>
        <v>0</v>
      </c>
      <c r="O18">
        <f>COUNTIF(Probeabholungen!B:B,$B18)*1/3</f>
        <v>0</v>
      </c>
    </row>
    <row r="19" spans="1:15">
      <c r="A19" s="8" t="s">
        <v>23</v>
      </c>
      <c r="B19" s="8">
        <v>597806</v>
      </c>
      <c r="D19" s="29"/>
      <c r="E19" s="1">
        <v>0</v>
      </c>
      <c r="F19" s="8">
        <v>6</v>
      </c>
      <c r="G19" s="30">
        <f t="shared" si="0"/>
        <v>4.666666666666667</v>
      </c>
      <c r="H19" s="8">
        <f t="shared" si="1"/>
        <v>1.3333333333333333</v>
      </c>
      <c r="I19">
        <f t="shared" si="2"/>
        <v>1.3333333333333333</v>
      </c>
      <c r="J19">
        <f>SUMIF(Oeffentlichkeitsarbeit!$D:$D,$B19,Oeffentlichkeitsarbeit!$F:$F)</f>
        <v>0</v>
      </c>
      <c r="K19">
        <f>COUNTIF(Fairteiler!$D:$D,$B19)*1/2</f>
        <v>0</v>
      </c>
      <c r="L19">
        <f>COUNTIF('NP-Betrieb'!D:D,$B19)*1/3</f>
        <v>1.3333333333333333</v>
      </c>
      <c r="M19">
        <f>COUNTIF(Fairteilungen!$D:$D,$B19)*3/4</f>
        <v>0</v>
      </c>
      <c r="N19">
        <f>COUNTIF(Anlieferung!D:D,$B19)*1/2</f>
        <v>0</v>
      </c>
      <c r="O19">
        <f>COUNTIF(Probeabholungen!B:B,$B19)*1/3</f>
        <v>0</v>
      </c>
    </row>
    <row r="20" spans="1:15" ht="27.6">
      <c r="A20" s="8" t="s">
        <v>24</v>
      </c>
      <c r="B20" s="8">
        <v>565142</v>
      </c>
      <c r="D20" s="29"/>
      <c r="E20" s="1">
        <v>0</v>
      </c>
      <c r="F20" s="8">
        <v>6</v>
      </c>
      <c r="G20" s="30">
        <f t="shared" si="0"/>
        <v>3.6666666666666665</v>
      </c>
      <c r="H20" s="8">
        <f t="shared" si="1"/>
        <v>2.3333333333333335</v>
      </c>
      <c r="I20">
        <f t="shared" si="2"/>
        <v>2.3333333333333335</v>
      </c>
      <c r="J20">
        <f>SUMIF(Oeffentlichkeitsarbeit!$D:$D,$B20,Oeffentlichkeitsarbeit!$F:$F)</f>
        <v>0</v>
      </c>
      <c r="K20">
        <f>COUNTIF(Fairteiler!$D:$D,$B20)*1/2</f>
        <v>2</v>
      </c>
      <c r="L20">
        <f>COUNTIF('NP-Betrieb'!D:D,$B20)*1/3</f>
        <v>0.33333333333333331</v>
      </c>
      <c r="M20">
        <f>COUNTIF(Fairteilungen!$D:$D,$B20)*3/4</f>
        <v>0</v>
      </c>
      <c r="N20">
        <f>COUNTIF(Anlieferung!D:D,$B20)*1/2</f>
        <v>0</v>
      </c>
      <c r="O20">
        <f>COUNTIF(Probeabholungen!B:B,$B20)*1/3</f>
        <v>0</v>
      </c>
    </row>
    <row r="21" spans="1:15">
      <c r="A21" s="15" t="s">
        <v>25</v>
      </c>
      <c r="B21" s="15">
        <v>248981</v>
      </c>
      <c r="C21" s="15" t="s">
        <v>833</v>
      </c>
      <c r="D21" s="34"/>
      <c r="E21" s="1">
        <v>0</v>
      </c>
      <c r="F21" s="15">
        <v>0</v>
      </c>
      <c r="G21" s="35">
        <f t="shared" si="0"/>
        <v>-5</v>
      </c>
      <c r="H21" s="15">
        <f t="shared" si="1"/>
        <v>5</v>
      </c>
      <c r="I21" s="36">
        <f t="shared" si="2"/>
        <v>5</v>
      </c>
      <c r="J21" s="36">
        <f>SUMIF(Oeffentlichkeitsarbeit!$D:$D,$B21,Oeffentlichkeitsarbeit!$F:$F)</f>
        <v>0</v>
      </c>
      <c r="K21" s="36">
        <f>COUNTIF(Fairteiler!$D:$D,$B21)*1/2</f>
        <v>0</v>
      </c>
      <c r="L21" s="36">
        <f>COUNTIF('NP-Betrieb'!D:D,$B21)*1/3</f>
        <v>3</v>
      </c>
      <c r="M21" s="36">
        <f>COUNTIF(Fairteilungen!$D:$D,$B21)*3/4</f>
        <v>0</v>
      </c>
      <c r="N21" s="36">
        <f>COUNTIF(Anlieferung!D:D,$B21)*1/2</f>
        <v>0</v>
      </c>
      <c r="O21" s="36">
        <f>COUNTIF(Probeabholungen!B:B,$B21)*1/3</f>
        <v>2</v>
      </c>
    </row>
    <row r="22" spans="1:15">
      <c r="A22" s="8" t="s">
        <v>26</v>
      </c>
      <c r="B22" s="8">
        <v>617287</v>
      </c>
      <c r="D22" s="29"/>
      <c r="E22" s="1">
        <v>12</v>
      </c>
      <c r="F22" s="8">
        <v>6</v>
      </c>
      <c r="G22" s="30">
        <f t="shared" si="0"/>
        <v>18</v>
      </c>
      <c r="H22" s="8">
        <f t="shared" si="1"/>
        <v>-12</v>
      </c>
      <c r="I22">
        <f t="shared" si="2"/>
        <v>0</v>
      </c>
      <c r="J22">
        <f>SUMIF(Oeffentlichkeitsarbeit!$D:$D,$B22,Oeffentlichkeitsarbeit!$F:$F)</f>
        <v>0</v>
      </c>
      <c r="K22">
        <f>COUNTIF(Fairteiler!$D:$D,$B22)*1/2</f>
        <v>0</v>
      </c>
      <c r="L22">
        <f>COUNTIF('NP-Betrieb'!D:D,$B22)*1/3</f>
        <v>0</v>
      </c>
      <c r="M22">
        <f>COUNTIF(Fairteilungen!$D:$D,$B22)*3/4</f>
        <v>0</v>
      </c>
      <c r="N22">
        <f>COUNTIF(Anlieferung!D:D,$B22)*1/2</f>
        <v>0</v>
      </c>
      <c r="O22">
        <f>COUNTIF(Probeabholungen!B:B,$B22)*1/3</f>
        <v>0</v>
      </c>
    </row>
    <row r="23" spans="1:15" ht="27.6">
      <c r="A23" s="8" t="s">
        <v>27</v>
      </c>
      <c r="B23" s="8">
        <v>805780</v>
      </c>
      <c r="D23" s="24">
        <v>45531</v>
      </c>
      <c r="E23" s="1">
        <v>6.6666666666666696</v>
      </c>
      <c r="F23" s="8">
        <v>6</v>
      </c>
      <c r="G23" s="30">
        <f t="shared" si="0"/>
        <v>12.66666666666667</v>
      </c>
      <c r="H23" s="8">
        <f t="shared" si="1"/>
        <v>-6.6666666666666696</v>
      </c>
      <c r="I23">
        <f t="shared" si="2"/>
        <v>0</v>
      </c>
      <c r="J23">
        <f>SUMIF(Oeffentlichkeitsarbeit!$D:$D,$B23,Oeffentlichkeitsarbeit!$F:$F)</f>
        <v>0</v>
      </c>
      <c r="K23">
        <f>COUNTIF(Fairteiler!$D:$D,$B23)*1/2</f>
        <v>0</v>
      </c>
      <c r="L23">
        <f>COUNTIF('NP-Betrieb'!D:D,$B23)*1/3</f>
        <v>0</v>
      </c>
      <c r="M23">
        <f>COUNTIF(Fairteilungen!$D:$D,$B23)*3/4</f>
        <v>0</v>
      </c>
      <c r="N23">
        <f>COUNTIF(Anlieferung!D:D,$B23)*1/2</f>
        <v>0</v>
      </c>
      <c r="O23">
        <f>COUNTIF(Probeabholungen!B:B,$B23)*1/3</f>
        <v>0</v>
      </c>
    </row>
    <row r="24" spans="1:15">
      <c r="A24" s="8" t="s">
        <v>28</v>
      </c>
      <c r="B24" s="8">
        <v>480180</v>
      </c>
      <c r="D24" s="29">
        <v>45171</v>
      </c>
      <c r="E24" s="1">
        <v>0</v>
      </c>
      <c r="F24" s="8">
        <v>6</v>
      </c>
      <c r="G24" s="30">
        <f t="shared" si="0"/>
        <v>5.666666666666667</v>
      </c>
      <c r="H24" s="8">
        <f t="shared" si="1"/>
        <v>0.33333333333333331</v>
      </c>
      <c r="I24">
        <f t="shared" si="2"/>
        <v>0.33333333333333331</v>
      </c>
      <c r="J24">
        <f>SUMIF(Oeffentlichkeitsarbeit!$D:$D,$B24,Oeffentlichkeitsarbeit!$F:$F)</f>
        <v>0</v>
      </c>
      <c r="K24">
        <f>COUNTIF(Fairteiler!$D:$D,$B24)*1/2</f>
        <v>0</v>
      </c>
      <c r="L24">
        <f>COUNTIF('NP-Betrieb'!D:D,$B24)*1/3</f>
        <v>0.33333333333333331</v>
      </c>
      <c r="M24">
        <f>COUNTIF(Fairteilungen!$D:$D,$B24)*3/4</f>
        <v>0</v>
      </c>
      <c r="N24">
        <f>COUNTIF(Anlieferung!D:D,$B24)*1/2</f>
        <v>0</v>
      </c>
      <c r="O24">
        <f>COUNTIF(Probeabholungen!B:B,$B24)*1/3</f>
        <v>0</v>
      </c>
    </row>
    <row r="25" spans="1:15" ht="27.6">
      <c r="A25" s="8" t="s">
        <v>29</v>
      </c>
      <c r="B25" s="8">
        <v>486886</v>
      </c>
      <c r="D25" s="24">
        <v>45845</v>
      </c>
      <c r="E25" s="1">
        <v>3</v>
      </c>
      <c r="F25">
        <v>6</v>
      </c>
      <c r="G25" s="30">
        <f t="shared" si="0"/>
        <v>-0.66666666666666607</v>
      </c>
      <c r="H25" s="8">
        <f t="shared" si="1"/>
        <v>6.6666666666666661</v>
      </c>
      <c r="I25">
        <f t="shared" si="2"/>
        <v>9.6666666666666661</v>
      </c>
      <c r="J25">
        <f>SUMIF(Oeffentlichkeitsarbeit!$D:$D,$B25,Oeffentlichkeitsarbeit!$F:$F)</f>
        <v>7</v>
      </c>
      <c r="K25">
        <f>COUNTIF(Fairteiler!$D:$D,$B25)*1/2</f>
        <v>0</v>
      </c>
      <c r="L25">
        <f>COUNTIF('NP-Betrieb'!D:D,$B25)*1/3</f>
        <v>2.6666666666666665</v>
      </c>
      <c r="M25">
        <f>COUNTIF(Fairteilungen!$D:$D,$B25)*3/4</f>
        <v>0</v>
      </c>
      <c r="N25">
        <f>COUNTIF(Anlieferung!D:D,$B25)*1/2</f>
        <v>0</v>
      </c>
      <c r="O25">
        <f>COUNTIF(Probeabholungen!B:B,$B25)*1/3</f>
        <v>0</v>
      </c>
    </row>
    <row r="26" spans="1:15">
      <c r="A26" s="8" t="s">
        <v>30</v>
      </c>
      <c r="B26" s="8">
        <v>828268</v>
      </c>
      <c r="D26" s="29"/>
      <c r="E26" s="1">
        <v>6.5</v>
      </c>
      <c r="F26" s="8">
        <v>6</v>
      </c>
      <c r="G26" s="30">
        <f t="shared" si="0"/>
        <v>1.3333333333333321</v>
      </c>
      <c r="H26" s="8">
        <f t="shared" si="1"/>
        <v>4.6666666666666679</v>
      </c>
      <c r="I26">
        <f t="shared" si="2"/>
        <v>11.166666666666668</v>
      </c>
      <c r="J26">
        <f>SUMIF(Oeffentlichkeitsarbeit!$D:$D,$B26,Oeffentlichkeitsarbeit!$F:$F)</f>
        <v>0</v>
      </c>
      <c r="K26">
        <f>COUNTIF(Fairteiler!$D:$D,$B26)*1/2</f>
        <v>4.5</v>
      </c>
      <c r="L26">
        <f>COUNTIF('NP-Betrieb'!D:D,$B26)*1/3</f>
        <v>6.666666666666667</v>
      </c>
      <c r="M26">
        <f>COUNTIF(Fairteilungen!$D:$D,$B26)*3/4</f>
        <v>0</v>
      </c>
      <c r="N26">
        <f>COUNTIF(Anlieferung!D:D,$B26)*1/2</f>
        <v>0</v>
      </c>
      <c r="O26">
        <f>COUNTIF(Probeabholungen!B:B,$B26)*1/3</f>
        <v>0</v>
      </c>
    </row>
    <row r="27" spans="1:15">
      <c r="A27" s="8" t="s">
        <v>31</v>
      </c>
      <c r="B27" s="8">
        <v>176543</v>
      </c>
      <c r="D27" s="29"/>
      <c r="E27" s="1">
        <v>0</v>
      </c>
      <c r="F27" s="8">
        <v>6</v>
      </c>
      <c r="G27" s="30">
        <f t="shared" si="0"/>
        <v>6</v>
      </c>
      <c r="H27" s="8">
        <f t="shared" si="1"/>
        <v>0</v>
      </c>
      <c r="I27">
        <f t="shared" si="2"/>
        <v>0</v>
      </c>
      <c r="J27">
        <f>SUMIF(Oeffentlichkeitsarbeit!$D:$D,$B27,Oeffentlichkeitsarbeit!$F:$F)</f>
        <v>0</v>
      </c>
      <c r="K27">
        <f>COUNTIF(Fairteiler!$D:$D,$B27)*1/2</f>
        <v>0</v>
      </c>
      <c r="L27">
        <f>COUNTIF('NP-Betrieb'!D:D,$B27)*1/3</f>
        <v>0</v>
      </c>
      <c r="M27">
        <f>COUNTIF(Fairteilungen!$D:$D,$B27)*3/4</f>
        <v>0</v>
      </c>
      <c r="N27">
        <f>COUNTIF(Anlieferung!D:D,$B27)*1/2</f>
        <v>0</v>
      </c>
      <c r="O27">
        <f>COUNTIF(Probeabholungen!B:B,$B27)*1/3</f>
        <v>0</v>
      </c>
    </row>
    <row r="28" spans="1:15" ht="27.6">
      <c r="A28" s="8" t="s">
        <v>32</v>
      </c>
      <c r="B28" s="8">
        <v>542923</v>
      </c>
      <c r="D28" s="29"/>
      <c r="E28" s="1">
        <v>0</v>
      </c>
      <c r="F28" s="8">
        <v>6</v>
      </c>
      <c r="G28" s="30">
        <f t="shared" si="0"/>
        <v>-5.6666666666666661</v>
      </c>
      <c r="H28" s="8">
        <f t="shared" si="1"/>
        <v>11.666666666666666</v>
      </c>
      <c r="I28">
        <f t="shared" si="2"/>
        <v>11.666666666666666</v>
      </c>
      <c r="J28">
        <f>SUMIF(Oeffentlichkeitsarbeit!$D:$D,$B28,Oeffentlichkeitsarbeit!$F:$F)</f>
        <v>0</v>
      </c>
      <c r="K28">
        <f>COUNTIF(Fairteiler!$D:$D,$B28)*1/2</f>
        <v>0</v>
      </c>
      <c r="L28">
        <f>COUNTIF('NP-Betrieb'!D:D,$B28)*1/3</f>
        <v>11.666666666666666</v>
      </c>
      <c r="M28">
        <f>COUNTIF(Fairteilungen!$D:$D,$B28)*3/4</f>
        <v>0</v>
      </c>
      <c r="N28">
        <f>COUNTIF(Anlieferung!D:D,$B28)*1/2</f>
        <v>0</v>
      </c>
      <c r="O28">
        <f>COUNTIF(Probeabholungen!B:B,$B28)*1/3</f>
        <v>0</v>
      </c>
    </row>
    <row r="29" spans="1:15" ht="27.6">
      <c r="A29" s="16" t="s">
        <v>33</v>
      </c>
      <c r="B29" s="16">
        <v>671569</v>
      </c>
      <c r="C29" s="16" t="s">
        <v>831</v>
      </c>
      <c r="D29" s="29"/>
      <c r="E29" s="1">
        <v>0</v>
      </c>
      <c r="F29" s="16">
        <v>0</v>
      </c>
      <c r="G29" s="30">
        <f t="shared" si="0"/>
        <v>-0.33333333333333331</v>
      </c>
      <c r="H29" s="16">
        <f t="shared" si="1"/>
        <v>0.33333333333333331</v>
      </c>
      <c r="I29">
        <f t="shared" si="2"/>
        <v>0.33333333333333331</v>
      </c>
      <c r="J29">
        <f>SUMIF(Oeffentlichkeitsarbeit!$D:$D,$B29,Oeffentlichkeitsarbeit!$F:$F)</f>
        <v>0</v>
      </c>
      <c r="K29">
        <f>COUNTIF(Fairteiler!$D:$D,$B29)*1/2</f>
        <v>0</v>
      </c>
      <c r="L29">
        <f>COUNTIF('NP-Betrieb'!D:D,$B29)*1/3</f>
        <v>0.33333333333333331</v>
      </c>
      <c r="M29">
        <f>COUNTIF(Fairteilungen!$D:$D,$B29)*3/4</f>
        <v>0</v>
      </c>
      <c r="N29">
        <f>COUNTIF(Anlieferung!D:D,$B29)*1/2</f>
        <v>0</v>
      </c>
      <c r="O29">
        <f>COUNTIF(Probeabholungen!B:B,$B29)*1/3</f>
        <v>0</v>
      </c>
    </row>
    <row r="30" spans="1:15" ht="27.6">
      <c r="A30" s="8" t="s">
        <v>34</v>
      </c>
      <c r="B30" s="8">
        <v>617808</v>
      </c>
      <c r="D30" s="29"/>
      <c r="E30" s="1">
        <v>3</v>
      </c>
      <c r="F30" s="8">
        <v>6</v>
      </c>
      <c r="G30" s="30">
        <f t="shared" si="0"/>
        <v>3</v>
      </c>
      <c r="H30" s="8">
        <f t="shared" si="1"/>
        <v>3</v>
      </c>
      <c r="I30">
        <f t="shared" si="2"/>
        <v>6</v>
      </c>
      <c r="J30">
        <f>SUMIF(Oeffentlichkeitsarbeit!$D:$D,$B30,Oeffentlichkeitsarbeit!$F:$F)</f>
        <v>0</v>
      </c>
      <c r="K30">
        <f>COUNTIF(Fairteiler!$D:$D,$B30)*1/2</f>
        <v>0</v>
      </c>
      <c r="L30">
        <f>COUNTIF('NP-Betrieb'!D:D,$B30)*1/3</f>
        <v>6</v>
      </c>
      <c r="M30">
        <f>COUNTIF(Fairteilungen!$D:$D,$B30)*3/4</f>
        <v>0</v>
      </c>
      <c r="N30">
        <f>COUNTIF(Anlieferung!D:D,$B30)*1/2</f>
        <v>0</v>
      </c>
      <c r="O30">
        <f>COUNTIF(Probeabholungen!B:B,$B30)*1/3</f>
        <v>0</v>
      </c>
    </row>
    <row r="31" spans="1:15">
      <c r="A31" s="8" t="s">
        <v>35</v>
      </c>
      <c r="B31" s="8">
        <v>348165</v>
      </c>
      <c r="D31" s="24">
        <v>45563</v>
      </c>
      <c r="E31" s="1">
        <v>1.5</v>
      </c>
      <c r="F31" s="8">
        <v>6</v>
      </c>
      <c r="G31" s="30">
        <f t="shared" si="0"/>
        <v>5.5</v>
      </c>
      <c r="H31" s="8">
        <f t="shared" si="1"/>
        <v>0.5</v>
      </c>
      <c r="I31">
        <f t="shared" si="2"/>
        <v>2</v>
      </c>
      <c r="J31">
        <f>SUMIF(Oeffentlichkeitsarbeit!$D:$D,$B31,Oeffentlichkeitsarbeit!$F:$F)</f>
        <v>0</v>
      </c>
      <c r="K31">
        <f>COUNTIF(Fairteiler!$D:$D,$B31)*1/2</f>
        <v>0</v>
      </c>
      <c r="L31">
        <f>COUNTIF('NP-Betrieb'!D:D,$B31)*1/3</f>
        <v>2</v>
      </c>
      <c r="M31">
        <f>COUNTIF(Fairteilungen!$D:$D,$B31)*3/4</f>
        <v>0</v>
      </c>
      <c r="N31">
        <f>COUNTIF(Anlieferung!D:D,$B31)*1/2</f>
        <v>0</v>
      </c>
      <c r="O31">
        <f>COUNTIF(Probeabholungen!B:B,$B31)*1/3</f>
        <v>0</v>
      </c>
    </row>
    <row r="32" spans="1:15" ht="27.6">
      <c r="A32" s="8" t="s">
        <v>36</v>
      </c>
      <c r="B32" s="8">
        <v>438689</v>
      </c>
      <c r="D32" s="24">
        <v>45961</v>
      </c>
      <c r="E32" s="1">
        <v>0</v>
      </c>
      <c r="F32">
        <v>6</v>
      </c>
      <c r="G32" s="30">
        <f t="shared" si="0"/>
        <v>3.6666666666666665</v>
      </c>
      <c r="H32" s="8">
        <f t="shared" si="1"/>
        <v>2.3333333333333335</v>
      </c>
      <c r="I32">
        <f t="shared" si="2"/>
        <v>2.3333333333333335</v>
      </c>
      <c r="J32">
        <f>SUMIF(Oeffentlichkeitsarbeit!$D:$D,$B32,Oeffentlichkeitsarbeit!$F:$F)</f>
        <v>0</v>
      </c>
      <c r="K32">
        <f>COUNTIF(Fairteiler!$D:$D,$B32)*1/2</f>
        <v>0</v>
      </c>
      <c r="L32">
        <f>COUNTIF('NP-Betrieb'!D:D,$B32)*1/3</f>
        <v>2.3333333333333335</v>
      </c>
      <c r="M32">
        <f>COUNTIF(Fairteilungen!$D:$D,$B32)*3/4</f>
        <v>0</v>
      </c>
      <c r="N32">
        <f>COUNTIF(Anlieferung!D:D,$B32)*1/2</f>
        <v>0</v>
      </c>
      <c r="O32">
        <f>COUNTIF(Probeabholungen!B:B,$B32)*1/3</f>
        <v>0</v>
      </c>
    </row>
    <row r="33" spans="1:15" ht="27.6">
      <c r="A33" s="8" t="s">
        <v>37</v>
      </c>
      <c r="B33" s="8">
        <v>579938</v>
      </c>
      <c r="D33" s="29"/>
      <c r="E33" s="1">
        <v>7.67</v>
      </c>
      <c r="F33" s="8">
        <v>6</v>
      </c>
      <c r="G33" s="30">
        <f t="shared" si="0"/>
        <v>13.67</v>
      </c>
      <c r="H33" s="8">
        <f t="shared" si="1"/>
        <v>-7.67</v>
      </c>
      <c r="I33">
        <f t="shared" si="2"/>
        <v>0</v>
      </c>
      <c r="J33">
        <f>SUMIF(Oeffentlichkeitsarbeit!$D:$D,$B33,Oeffentlichkeitsarbeit!$F:$F)</f>
        <v>0</v>
      </c>
      <c r="K33">
        <f>COUNTIF(Fairteiler!$D:$D,$B33)*1/2</f>
        <v>0</v>
      </c>
      <c r="L33">
        <f>COUNTIF('NP-Betrieb'!D:D,$B33)*1/3</f>
        <v>0</v>
      </c>
      <c r="M33">
        <f>COUNTIF(Fairteilungen!$D:$D,$B33)*3/4</f>
        <v>0</v>
      </c>
      <c r="N33">
        <f>COUNTIF(Anlieferung!D:D,$B33)*1/2</f>
        <v>0</v>
      </c>
      <c r="O33">
        <f>COUNTIF(Probeabholungen!B:B,$B33)*1/3</f>
        <v>0</v>
      </c>
    </row>
    <row r="34" spans="1:15" ht="27.6">
      <c r="A34" s="8" t="s">
        <v>38</v>
      </c>
      <c r="B34" s="8">
        <v>479121</v>
      </c>
      <c r="D34" s="29"/>
      <c r="E34" s="1">
        <v>0</v>
      </c>
      <c r="F34" s="8">
        <v>6</v>
      </c>
      <c r="G34" s="30">
        <f t="shared" si="0"/>
        <v>-1.166666666666667</v>
      </c>
      <c r="H34" s="8">
        <f t="shared" ref="H34:H65" si="3">I34-E34</f>
        <v>7.166666666666667</v>
      </c>
      <c r="I34">
        <f t="shared" si="2"/>
        <v>7.166666666666667</v>
      </c>
      <c r="J34">
        <f>SUMIF(Oeffentlichkeitsarbeit!$D:$D,$B34,Oeffentlichkeitsarbeit!$F:$F)</f>
        <v>1.5</v>
      </c>
      <c r="K34">
        <f>COUNTIF(Fairteiler!$D:$D,$B34)*1/2</f>
        <v>0</v>
      </c>
      <c r="L34">
        <f>COUNTIF('NP-Betrieb'!D:D,$B34)*1/3</f>
        <v>4.666666666666667</v>
      </c>
      <c r="M34">
        <f>COUNTIF(Fairteilungen!$D:$D,$B34)*3/4</f>
        <v>0</v>
      </c>
      <c r="N34">
        <f>COUNTIF(Anlieferung!D:D,$B34)*1/2</f>
        <v>0</v>
      </c>
      <c r="O34">
        <f>COUNTIF(Probeabholungen!B:B,$B34)*1/3</f>
        <v>1</v>
      </c>
    </row>
    <row r="35" spans="1:15" s="11" customFormat="1" ht="27.6">
      <c r="A35" s="16" t="s">
        <v>39</v>
      </c>
      <c r="B35" s="16">
        <v>299942</v>
      </c>
      <c r="C35" s="16" t="s">
        <v>831</v>
      </c>
      <c r="D35" s="29"/>
      <c r="E35" s="1">
        <v>0</v>
      </c>
      <c r="F35" s="16">
        <v>0</v>
      </c>
      <c r="G35" s="30">
        <f t="shared" si="0"/>
        <v>-1</v>
      </c>
      <c r="H35" s="16">
        <f t="shared" si="3"/>
        <v>1</v>
      </c>
      <c r="I35" s="11">
        <f t="shared" si="2"/>
        <v>1</v>
      </c>
      <c r="J35" s="11">
        <f>SUMIF(Oeffentlichkeitsarbeit!$D:$D,$B35,Oeffentlichkeitsarbeit!$F:$F)</f>
        <v>0</v>
      </c>
      <c r="K35" s="11">
        <f>COUNTIF(Fairteiler!$D:$D,$B35)*1/2</f>
        <v>0</v>
      </c>
      <c r="L35" s="11">
        <f>COUNTIF('NP-Betrieb'!D:D,$B35)*1/3</f>
        <v>1</v>
      </c>
      <c r="M35" s="11">
        <f>COUNTIF(Fairteilungen!$D:$D,$B35)*3/4</f>
        <v>0</v>
      </c>
      <c r="N35" s="11">
        <f>COUNTIF(Anlieferung!D:D,$B35)*1/2</f>
        <v>0</v>
      </c>
      <c r="O35" s="11">
        <f>COUNTIF(Probeabholungen!B:B,$B35)*1/3</f>
        <v>0</v>
      </c>
    </row>
    <row r="36" spans="1:15" ht="27.6">
      <c r="A36" s="8" t="s">
        <v>40</v>
      </c>
      <c r="B36" s="8">
        <v>477377</v>
      </c>
      <c r="D36" s="29"/>
      <c r="E36" s="1">
        <v>0</v>
      </c>
      <c r="F36" s="8">
        <v>6</v>
      </c>
      <c r="G36" s="30">
        <f t="shared" si="0"/>
        <v>3.3333333333333335</v>
      </c>
      <c r="H36" s="8">
        <f t="shared" si="3"/>
        <v>2.6666666666666665</v>
      </c>
      <c r="I36">
        <f t="shared" si="2"/>
        <v>2.6666666666666665</v>
      </c>
      <c r="J36">
        <f>SUMIF(Oeffentlichkeitsarbeit!$D:$D,$B36,Oeffentlichkeitsarbeit!$F:$F)</f>
        <v>0</v>
      </c>
      <c r="K36">
        <f>COUNTIF(Fairteiler!$D:$D,$B36)*1/2</f>
        <v>0</v>
      </c>
      <c r="L36">
        <f>COUNTIF('NP-Betrieb'!D:D,$B36)*1/3</f>
        <v>2.6666666666666665</v>
      </c>
      <c r="M36">
        <f>COUNTIF(Fairteilungen!$D:$D,$B36)*3/4</f>
        <v>0</v>
      </c>
      <c r="N36">
        <f>COUNTIF(Anlieferung!D:D,$B36)*1/2</f>
        <v>0</v>
      </c>
      <c r="O36">
        <f>COUNTIF(Probeabholungen!B:B,$B36)*1/3</f>
        <v>0</v>
      </c>
    </row>
    <row r="37" spans="1:15" ht="27.6">
      <c r="A37" s="8" t="s">
        <v>41</v>
      </c>
      <c r="B37" s="8">
        <v>576311</v>
      </c>
      <c r="D37" s="29"/>
      <c r="E37" s="1">
        <v>6</v>
      </c>
      <c r="F37" s="8">
        <v>6</v>
      </c>
      <c r="G37" s="30">
        <f t="shared" si="0"/>
        <v>12</v>
      </c>
      <c r="H37" s="8">
        <f t="shared" si="3"/>
        <v>-6</v>
      </c>
      <c r="I37">
        <f t="shared" si="2"/>
        <v>0</v>
      </c>
      <c r="J37">
        <f>SUMIF(Oeffentlichkeitsarbeit!$D:$D,$B37,Oeffentlichkeitsarbeit!$F:$F)</f>
        <v>0</v>
      </c>
      <c r="K37">
        <f>COUNTIF(Fairteiler!$D:$D,$B37)*1/2</f>
        <v>0</v>
      </c>
      <c r="L37">
        <f>COUNTIF('NP-Betrieb'!D:D,$B37)*1/3</f>
        <v>0</v>
      </c>
      <c r="M37">
        <f>COUNTIF(Fairteilungen!$D:$D,$B37)*3/4</f>
        <v>0</v>
      </c>
      <c r="N37">
        <f>COUNTIF(Anlieferung!D:D,$B37)*1/2</f>
        <v>0</v>
      </c>
      <c r="O37">
        <f>COUNTIF(Probeabholungen!B:B,$B37)*1/3</f>
        <v>0</v>
      </c>
    </row>
    <row r="38" spans="1:15" ht="27.6">
      <c r="A38" s="8" t="s">
        <v>42</v>
      </c>
      <c r="B38" s="8">
        <v>224426</v>
      </c>
      <c r="D38" s="29"/>
      <c r="E38" s="1">
        <v>16</v>
      </c>
      <c r="F38" s="8">
        <v>6</v>
      </c>
      <c r="G38" s="30">
        <f t="shared" si="0"/>
        <v>22</v>
      </c>
      <c r="H38" s="8">
        <f t="shared" si="3"/>
        <v>-16</v>
      </c>
      <c r="I38">
        <f t="shared" si="2"/>
        <v>0</v>
      </c>
      <c r="J38">
        <f>SUMIF(Oeffentlichkeitsarbeit!$D:$D,$B38,Oeffentlichkeitsarbeit!$F:$F)</f>
        <v>0</v>
      </c>
      <c r="K38">
        <f>COUNTIF(Fairteiler!$D:$D,$B38)*1/2</f>
        <v>0</v>
      </c>
      <c r="L38">
        <f>COUNTIF('NP-Betrieb'!D:D,$B38)*1/3</f>
        <v>0</v>
      </c>
      <c r="M38">
        <f>COUNTIF(Fairteilungen!$D:$D,$B38)*3/4</f>
        <v>0</v>
      </c>
      <c r="N38">
        <f>COUNTIF(Anlieferung!D:D,$B38)*1/2</f>
        <v>0</v>
      </c>
      <c r="O38">
        <f>COUNTIF(Probeabholungen!B:B,$B38)*1/3</f>
        <v>0</v>
      </c>
    </row>
    <row r="39" spans="1:15" ht="27.6">
      <c r="A39" s="8" t="s">
        <v>43</v>
      </c>
      <c r="B39" s="8">
        <v>743536</v>
      </c>
      <c r="D39" s="29"/>
      <c r="E39" s="1">
        <v>1.3333333333333299</v>
      </c>
      <c r="F39" s="8">
        <v>6</v>
      </c>
      <c r="G39" s="30">
        <f t="shared" si="0"/>
        <v>7.3333333333333304</v>
      </c>
      <c r="H39" s="8">
        <f t="shared" si="3"/>
        <v>-1.3333333333333299</v>
      </c>
      <c r="I39">
        <f t="shared" si="2"/>
        <v>0</v>
      </c>
      <c r="J39">
        <f>SUMIF(Oeffentlichkeitsarbeit!$D:$D,$B39,Oeffentlichkeitsarbeit!$F:$F)</f>
        <v>0</v>
      </c>
      <c r="K39">
        <f>COUNTIF(Fairteiler!$D:$D,$B39)*1/2</f>
        <v>0</v>
      </c>
      <c r="L39">
        <f>COUNTIF('NP-Betrieb'!D:D,$B39)*1/3</f>
        <v>0</v>
      </c>
      <c r="M39">
        <f>COUNTIF(Fairteilungen!$D:$D,$B39)*3/4</f>
        <v>0</v>
      </c>
      <c r="N39">
        <f>COUNTIF(Anlieferung!D:D,$B39)*1/2</f>
        <v>0</v>
      </c>
      <c r="O39">
        <f>COUNTIF(Probeabholungen!B:B,$B39)*1/3</f>
        <v>0</v>
      </c>
    </row>
    <row r="40" spans="1:15">
      <c r="A40" s="8" t="s">
        <v>44</v>
      </c>
      <c r="B40" s="8">
        <v>466403</v>
      </c>
      <c r="D40" s="29"/>
      <c r="E40" s="1">
        <v>15.67</v>
      </c>
      <c r="F40" s="8">
        <v>6</v>
      </c>
      <c r="G40" s="30">
        <f t="shared" si="0"/>
        <v>21.67</v>
      </c>
      <c r="H40" s="8">
        <f t="shared" si="3"/>
        <v>-15.67</v>
      </c>
      <c r="I40">
        <f t="shared" si="2"/>
        <v>0</v>
      </c>
      <c r="J40">
        <f>SUMIF(Oeffentlichkeitsarbeit!$D:$D,$B40,Oeffentlichkeitsarbeit!$F:$F)</f>
        <v>0</v>
      </c>
      <c r="K40">
        <f>COUNTIF(Fairteiler!$D:$D,$B40)*1/2</f>
        <v>0</v>
      </c>
      <c r="L40">
        <f>COUNTIF('NP-Betrieb'!D:D,$B40)*1/3</f>
        <v>0</v>
      </c>
      <c r="M40">
        <f>COUNTIF(Fairteilungen!$D:$D,$B40)*3/4</f>
        <v>0</v>
      </c>
      <c r="N40">
        <f>COUNTIF(Anlieferung!D:D,$B40)*1/2</f>
        <v>0</v>
      </c>
      <c r="O40">
        <f>COUNTIF(Probeabholungen!B:B,$B40)*1/3</f>
        <v>0</v>
      </c>
    </row>
    <row r="41" spans="1:15">
      <c r="A41" s="8" t="s">
        <v>45</v>
      </c>
      <c r="B41" s="8">
        <v>645363</v>
      </c>
      <c r="D41" s="29"/>
      <c r="E41" s="1">
        <v>0</v>
      </c>
      <c r="F41" s="8">
        <v>6</v>
      </c>
      <c r="G41" s="30">
        <f t="shared" si="0"/>
        <v>5.5</v>
      </c>
      <c r="H41" s="8">
        <f t="shared" si="3"/>
        <v>0.5</v>
      </c>
      <c r="I41">
        <f t="shared" si="2"/>
        <v>0.5</v>
      </c>
      <c r="J41">
        <f>SUMIF(Oeffentlichkeitsarbeit!$D:$D,$B41,Oeffentlichkeitsarbeit!$F:$F)</f>
        <v>0</v>
      </c>
      <c r="K41">
        <f>COUNTIF(Fairteiler!$D:$D,$B41)*1/2</f>
        <v>0.5</v>
      </c>
      <c r="L41">
        <f>COUNTIF('NP-Betrieb'!D:D,$B41)*1/3</f>
        <v>0</v>
      </c>
      <c r="M41">
        <f>COUNTIF(Fairteilungen!$D:$D,$B41)*3/4</f>
        <v>0</v>
      </c>
      <c r="N41">
        <f>COUNTIF(Anlieferung!D:D,$B41)*1/2</f>
        <v>0</v>
      </c>
      <c r="O41">
        <f>COUNTIF(Probeabholungen!B:B,$B41)*1/3</f>
        <v>0</v>
      </c>
    </row>
    <row r="42" spans="1:15" ht="27.6">
      <c r="A42" s="8" t="s">
        <v>46</v>
      </c>
      <c r="B42" s="8">
        <v>70410</v>
      </c>
      <c r="D42" s="29"/>
      <c r="E42" s="1">
        <v>0</v>
      </c>
      <c r="F42" s="8">
        <v>6</v>
      </c>
      <c r="G42" s="30">
        <f t="shared" si="0"/>
        <v>6</v>
      </c>
      <c r="H42" s="8">
        <f t="shared" si="3"/>
        <v>0</v>
      </c>
      <c r="I42">
        <f t="shared" si="2"/>
        <v>0</v>
      </c>
      <c r="J42">
        <f>SUMIF(Oeffentlichkeitsarbeit!$D:$D,$B42,Oeffentlichkeitsarbeit!$F:$F)</f>
        <v>0</v>
      </c>
      <c r="K42">
        <f>COUNTIF(Fairteiler!$D:$D,$B42)*1/2</f>
        <v>0</v>
      </c>
      <c r="L42">
        <f>COUNTIF('NP-Betrieb'!D:D,$B42)*1/3</f>
        <v>0</v>
      </c>
      <c r="M42">
        <f>COUNTIF(Fairteilungen!$D:$D,$B42)*3/4</f>
        <v>0</v>
      </c>
      <c r="N42">
        <f>COUNTIF(Anlieferung!D:D,$B42)*1/2</f>
        <v>0</v>
      </c>
      <c r="O42">
        <f>COUNTIF(Probeabholungen!B:B,$B42)*1/3</f>
        <v>0</v>
      </c>
    </row>
    <row r="43" spans="1:15" ht="27.6">
      <c r="A43" s="15" t="s">
        <v>47</v>
      </c>
      <c r="B43" s="15">
        <v>597434</v>
      </c>
      <c r="C43" s="15" t="s">
        <v>833</v>
      </c>
      <c r="D43" s="34"/>
      <c r="E43" s="1">
        <v>0</v>
      </c>
      <c r="F43" s="15">
        <v>0</v>
      </c>
      <c r="G43" s="35">
        <f t="shared" si="0"/>
        <v>-13.833333333333332</v>
      </c>
      <c r="H43" s="15">
        <f t="shared" si="3"/>
        <v>13.833333333333332</v>
      </c>
      <c r="I43" s="36">
        <f t="shared" si="2"/>
        <v>13.833333333333332</v>
      </c>
      <c r="J43" s="36">
        <f>SUMIF(Oeffentlichkeitsarbeit!$D:$D,$B43,Oeffentlichkeitsarbeit!$F:$F)</f>
        <v>0</v>
      </c>
      <c r="K43" s="36">
        <f>COUNTIF(Fairteiler!$D:$D,$B43)*1/2</f>
        <v>0</v>
      </c>
      <c r="L43" s="36">
        <f>COUNTIF('NP-Betrieb'!D:D,$B43)*1/3</f>
        <v>6.333333333333333</v>
      </c>
      <c r="M43" s="36">
        <f>COUNTIF(Fairteilungen!$D:$D,$B43)*3/4</f>
        <v>0</v>
      </c>
      <c r="N43" s="36">
        <f>COUNTIF(Anlieferung!D:D,$B43)*1/2</f>
        <v>7.5</v>
      </c>
      <c r="O43" s="36">
        <f>COUNTIF(Probeabholungen!B:B,$B43)*1/3</f>
        <v>0</v>
      </c>
    </row>
    <row r="44" spans="1:15" ht="41.4">
      <c r="A44" s="8" t="s">
        <v>48</v>
      </c>
      <c r="B44" s="8">
        <v>765474</v>
      </c>
      <c r="D44" s="29">
        <v>45129</v>
      </c>
      <c r="E44" s="1">
        <v>0</v>
      </c>
      <c r="F44" s="8">
        <v>6</v>
      </c>
      <c r="G44" s="30">
        <f t="shared" si="0"/>
        <v>0.66666666666666696</v>
      </c>
      <c r="H44" s="8">
        <f t="shared" si="3"/>
        <v>5.333333333333333</v>
      </c>
      <c r="I44">
        <f t="shared" si="2"/>
        <v>5.333333333333333</v>
      </c>
      <c r="J44">
        <f>SUMIF(Oeffentlichkeitsarbeit!$D:$D,$B44,Oeffentlichkeitsarbeit!$F:$F)</f>
        <v>0</v>
      </c>
      <c r="K44">
        <f>COUNTIF(Fairteiler!$D:$D,$B44)*1/2</f>
        <v>0</v>
      </c>
      <c r="L44">
        <f>COUNTIF('NP-Betrieb'!D:D,$B44)*1/3</f>
        <v>5.333333333333333</v>
      </c>
      <c r="M44">
        <f>COUNTIF(Fairteilungen!$D:$D,$B44)*3/4</f>
        <v>0</v>
      </c>
      <c r="N44">
        <f>COUNTIF(Anlieferung!D:D,$B44)*1/2</f>
        <v>0</v>
      </c>
      <c r="O44">
        <f>COUNTIF(Probeabholungen!B:B,$B44)*1/3</f>
        <v>0</v>
      </c>
    </row>
    <row r="45" spans="1:15" ht="27.6">
      <c r="A45" s="8" t="s">
        <v>49</v>
      </c>
      <c r="B45" s="8">
        <v>401614</v>
      </c>
      <c r="D45" s="29"/>
      <c r="E45" s="1">
        <v>0</v>
      </c>
      <c r="F45" s="8">
        <v>6</v>
      </c>
      <c r="G45" s="30">
        <f t="shared" si="0"/>
        <v>3.6666666666666665</v>
      </c>
      <c r="H45" s="8">
        <f t="shared" si="3"/>
        <v>2.3333333333333335</v>
      </c>
      <c r="I45">
        <f t="shared" si="2"/>
        <v>2.3333333333333335</v>
      </c>
      <c r="J45">
        <f>SUMIF(Oeffentlichkeitsarbeit!$D:$D,$B45,Oeffentlichkeitsarbeit!$F:$F)</f>
        <v>0</v>
      </c>
      <c r="K45">
        <f>COUNTIF(Fairteiler!$D:$D,$B45)*1/2</f>
        <v>0</v>
      </c>
      <c r="L45">
        <f>COUNTIF('NP-Betrieb'!D:D,$B45)*1/3</f>
        <v>2.3333333333333335</v>
      </c>
      <c r="M45">
        <f>COUNTIF(Fairteilungen!$D:$D,$B45)*3/4</f>
        <v>0</v>
      </c>
      <c r="N45">
        <f>COUNTIF(Anlieferung!D:D,$B45)*1/2</f>
        <v>0</v>
      </c>
      <c r="O45">
        <f>COUNTIF(Probeabholungen!B:B,$B45)*1/3</f>
        <v>0</v>
      </c>
    </row>
    <row r="46" spans="1:15" ht="27.6">
      <c r="A46" s="8" t="s">
        <v>50</v>
      </c>
      <c r="B46" s="8">
        <v>675489</v>
      </c>
      <c r="D46" s="29">
        <v>45404</v>
      </c>
      <c r="E46" s="1">
        <v>10</v>
      </c>
      <c r="F46" s="8">
        <v>6</v>
      </c>
      <c r="G46" s="30">
        <f t="shared" si="0"/>
        <v>16</v>
      </c>
      <c r="H46" s="8">
        <f t="shared" si="3"/>
        <v>-10</v>
      </c>
      <c r="I46">
        <f t="shared" si="2"/>
        <v>0</v>
      </c>
      <c r="J46">
        <f>SUMIF(Oeffentlichkeitsarbeit!$D:$D,$B46,Oeffentlichkeitsarbeit!$F:$F)</f>
        <v>0</v>
      </c>
      <c r="K46">
        <f>COUNTIF(Fairteiler!$D:$D,$B46)*1/2</f>
        <v>0</v>
      </c>
      <c r="L46">
        <f>COUNTIF('NP-Betrieb'!D:D,$B46)*1/3</f>
        <v>0</v>
      </c>
      <c r="M46">
        <f>COUNTIF(Fairteilungen!$D:$D,$B46)*3/4</f>
        <v>0</v>
      </c>
      <c r="N46">
        <f>COUNTIF(Anlieferung!D:D,$B46)*1/2</f>
        <v>0</v>
      </c>
      <c r="O46">
        <f>COUNTIF(Probeabholungen!B:B,$B46)*1/3</f>
        <v>0</v>
      </c>
    </row>
    <row r="47" spans="1:15">
      <c r="A47" s="8" t="s">
        <v>834</v>
      </c>
      <c r="B47" s="8">
        <v>936159</v>
      </c>
      <c r="D47" s="24">
        <v>46028</v>
      </c>
      <c r="E47">
        <v>0</v>
      </c>
      <c r="F47">
        <v>6</v>
      </c>
      <c r="G47" s="30">
        <f t="shared" si="0"/>
        <v>3.833333333333333</v>
      </c>
      <c r="H47" s="8">
        <f t="shared" si="3"/>
        <v>2.166666666666667</v>
      </c>
      <c r="I47">
        <f t="shared" si="2"/>
        <v>2.166666666666667</v>
      </c>
      <c r="J47">
        <f>SUMIF(Oeffentlichkeitsarbeit!$D:$D,$B47,Oeffentlichkeitsarbeit!$F:$F)</f>
        <v>0</v>
      </c>
      <c r="K47">
        <f>COUNTIF(Fairteiler!$D:$D,$B47)*1/2</f>
        <v>0</v>
      </c>
      <c r="L47">
        <f>COUNTIF('NP-Betrieb'!D:D,$B47)*1/3</f>
        <v>1.6666666666666667</v>
      </c>
      <c r="M47">
        <f>COUNTIF(Fairteilungen!$D:$D,$B47)*3/4</f>
        <v>0</v>
      </c>
      <c r="N47">
        <f>COUNTIF(Anlieferung!D:D,$B47)*1/2</f>
        <v>0.5</v>
      </c>
      <c r="O47">
        <f>COUNTIF(Probeabholungen!B:B,$B47)*1/3</f>
        <v>0</v>
      </c>
    </row>
    <row r="48" spans="1:15" s="11" customFormat="1" ht="41.4">
      <c r="A48" s="16" t="s">
        <v>51</v>
      </c>
      <c r="B48" s="16">
        <v>629424</v>
      </c>
      <c r="C48" s="31" t="s">
        <v>835</v>
      </c>
      <c r="D48" s="32"/>
      <c r="E48" s="1">
        <v>0</v>
      </c>
      <c r="F48" s="16">
        <v>0</v>
      </c>
      <c r="G48" s="33">
        <f t="shared" si="0"/>
        <v>-4</v>
      </c>
      <c r="H48" s="16">
        <f t="shared" si="3"/>
        <v>4</v>
      </c>
      <c r="I48" s="31">
        <f t="shared" si="2"/>
        <v>4</v>
      </c>
      <c r="J48" s="31">
        <f>SUMIF(Oeffentlichkeitsarbeit!$D:$D,$B48,Oeffentlichkeitsarbeit!$F:$F)</f>
        <v>0</v>
      </c>
      <c r="K48" s="31">
        <f>COUNTIF(Fairteiler!$D:$D,$B48)*1/2</f>
        <v>0</v>
      </c>
      <c r="L48" s="31">
        <f>COUNTIF('NP-Betrieb'!D:D,$B48)*1/3</f>
        <v>3</v>
      </c>
      <c r="M48" s="31">
        <f>COUNTIF(Fairteilungen!$D:$D,$B48)*3/4</f>
        <v>0</v>
      </c>
      <c r="N48" s="31">
        <f>COUNTIF(Anlieferung!D:D,$B48)*1/2</f>
        <v>0</v>
      </c>
      <c r="O48" s="31">
        <f>COUNTIF(Probeabholungen!B:B,$B48)*1/3</f>
        <v>1</v>
      </c>
    </row>
    <row r="49" spans="1:15" ht="27.6">
      <c r="A49" s="8" t="s">
        <v>52</v>
      </c>
      <c r="B49" s="8">
        <v>886712</v>
      </c>
      <c r="D49" s="37">
        <v>45680</v>
      </c>
      <c r="E49" s="1">
        <v>0</v>
      </c>
      <c r="F49">
        <v>6</v>
      </c>
      <c r="G49" s="30">
        <f t="shared" si="0"/>
        <v>6</v>
      </c>
      <c r="H49" s="8">
        <f t="shared" si="3"/>
        <v>0</v>
      </c>
      <c r="I49">
        <f t="shared" si="2"/>
        <v>0</v>
      </c>
      <c r="J49">
        <f>SUMIF(Oeffentlichkeitsarbeit!$D:$D,$B49,Oeffentlichkeitsarbeit!$F:$F)</f>
        <v>0</v>
      </c>
      <c r="K49">
        <f>COUNTIF(Fairteiler!$D:$D,$B49)*1/2</f>
        <v>0</v>
      </c>
      <c r="L49">
        <f>COUNTIF('NP-Betrieb'!D:D,$B49)*1/3</f>
        <v>0</v>
      </c>
      <c r="M49">
        <f>COUNTIF(Fairteilungen!$D:$D,$B49)*3/4</f>
        <v>0</v>
      </c>
      <c r="N49">
        <f>COUNTIF(Anlieferung!D:D,$B49)*1/2</f>
        <v>0</v>
      </c>
      <c r="O49">
        <f>COUNTIF(Probeabholungen!B:B,$B49)*1/3</f>
        <v>0</v>
      </c>
    </row>
    <row r="50" spans="1:15">
      <c r="A50" t="s">
        <v>53</v>
      </c>
      <c r="B50" s="8">
        <v>638862</v>
      </c>
      <c r="D50" s="24">
        <v>45563</v>
      </c>
      <c r="E50" s="1">
        <v>7.5</v>
      </c>
      <c r="F50" s="8">
        <v>6</v>
      </c>
      <c r="G50" s="30">
        <f t="shared" si="0"/>
        <v>13.5</v>
      </c>
      <c r="H50" s="8">
        <f t="shared" si="3"/>
        <v>-7.5</v>
      </c>
      <c r="I50">
        <f t="shared" si="2"/>
        <v>0</v>
      </c>
      <c r="J50">
        <f>SUMIF(Oeffentlichkeitsarbeit!$D:$D,$B50,Oeffentlichkeitsarbeit!$F:$F)</f>
        <v>0</v>
      </c>
      <c r="K50">
        <f>COUNTIF(Fairteiler!$D:$D,$B50)*1/2</f>
        <v>0</v>
      </c>
      <c r="L50">
        <f>COUNTIF('NP-Betrieb'!D:D,$B50)*1/3</f>
        <v>0</v>
      </c>
      <c r="M50">
        <f>COUNTIF(Fairteilungen!$D:$D,$B50)*3/4</f>
        <v>0</v>
      </c>
      <c r="N50">
        <f>COUNTIF(Anlieferung!D:D,$B50)*1/2</f>
        <v>0</v>
      </c>
      <c r="O50">
        <f>COUNTIF(Probeabholungen!B:B,$B50)*1/3</f>
        <v>0</v>
      </c>
    </row>
    <row r="51" spans="1:15">
      <c r="A51" s="8" t="s">
        <v>54</v>
      </c>
      <c r="B51" s="8">
        <v>773719</v>
      </c>
      <c r="D51" s="24">
        <v>45799</v>
      </c>
      <c r="E51" s="1">
        <v>3.5</v>
      </c>
      <c r="F51">
        <v>6</v>
      </c>
      <c r="G51" s="30">
        <f t="shared" si="0"/>
        <v>9.5</v>
      </c>
      <c r="H51" s="8">
        <f t="shared" si="3"/>
        <v>-3.5</v>
      </c>
      <c r="I51">
        <f t="shared" si="2"/>
        <v>0</v>
      </c>
      <c r="J51">
        <f>SUMIF(Oeffentlichkeitsarbeit!$D:$D,$B51,Oeffentlichkeitsarbeit!$F:$F)</f>
        <v>0</v>
      </c>
      <c r="K51">
        <f>COUNTIF(Fairteiler!$D:$D,$B51)*1/2</f>
        <v>0</v>
      </c>
      <c r="L51">
        <f>COUNTIF('NP-Betrieb'!D:D,$B51)*1/3</f>
        <v>0</v>
      </c>
      <c r="M51">
        <f>COUNTIF(Fairteilungen!$D:$D,$B51)*3/4</f>
        <v>0</v>
      </c>
      <c r="N51">
        <f>COUNTIF(Anlieferung!D:D,$B51)*1/2</f>
        <v>0</v>
      </c>
      <c r="O51">
        <f>COUNTIF(Probeabholungen!B:B,$B51)*1/3</f>
        <v>0</v>
      </c>
    </row>
    <row r="52" spans="1:15" ht="27.6">
      <c r="A52" s="16" t="s">
        <v>55</v>
      </c>
      <c r="B52" s="16">
        <v>22091</v>
      </c>
      <c r="C52" s="16" t="s">
        <v>831</v>
      </c>
      <c r="D52" s="29"/>
      <c r="E52" s="1">
        <v>0</v>
      </c>
      <c r="F52" s="16">
        <v>0</v>
      </c>
      <c r="G52" s="30">
        <f t="shared" si="0"/>
        <v>-5</v>
      </c>
      <c r="H52" s="16">
        <f t="shared" si="3"/>
        <v>5</v>
      </c>
      <c r="I52">
        <f t="shared" si="2"/>
        <v>5</v>
      </c>
      <c r="J52">
        <f>SUMIF(Oeffentlichkeitsarbeit!$D:$D,$B52,Oeffentlichkeitsarbeit!$F:$F)</f>
        <v>0</v>
      </c>
      <c r="K52">
        <f>COUNTIF(Fairteiler!$D:$D,$B52)*1/2</f>
        <v>0</v>
      </c>
      <c r="L52">
        <f>COUNTIF('NP-Betrieb'!D:D,$B52)*1/3</f>
        <v>5</v>
      </c>
      <c r="M52">
        <f>COUNTIF(Fairteilungen!$D:$D,$B52)*3/4</f>
        <v>0</v>
      </c>
      <c r="N52">
        <f>COUNTIF(Anlieferung!D:D,$B52)*1/2</f>
        <v>0</v>
      </c>
      <c r="O52">
        <f>COUNTIF(Probeabholungen!B:B,$B52)*1/3</f>
        <v>0</v>
      </c>
    </row>
    <row r="53" spans="1:15">
      <c r="A53" s="8" t="s">
        <v>56</v>
      </c>
      <c r="B53" s="8">
        <v>96959</v>
      </c>
      <c r="D53" s="24">
        <v>45826</v>
      </c>
      <c r="E53" s="1">
        <v>0</v>
      </c>
      <c r="F53">
        <v>6</v>
      </c>
      <c r="G53" s="30">
        <f t="shared" si="0"/>
        <v>-4</v>
      </c>
      <c r="H53" s="8">
        <f t="shared" si="3"/>
        <v>10</v>
      </c>
      <c r="I53">
        <f t="shared" si="2"/>
        <v>10</v>
      </c>
      <c r="J53">
        <f>SUMIF(Oeffentlichkeitsarbeit!$D:$D,$B53,Oeffentlichkeitsarbeit!$F:$F)</f>
        <v>4</v>
      </c>
      <c r="K53">
        <f>COUNTIF(Fairteiler!$D:$D,$B53)*1/2</f>
        <v>1</v>
      </c>
      <c r="L53">
        <f>COUNTIF('NP-Betrieb'!D:D,$B53)*1/3</f>
        <v>5</v>
      </c>
      <c r="M53">
        <f>COUNTIF(Fairteilungen!$D:$D,$B53)*3/4</f>
        <v>0</v>
      </c>
      <c r="N53">
        <f>COUNTIF(Anlieferung!D:D,$B53)*1/2</f>
        <v>0</v>
      </c>
      <c r="O53">
        <f>COUNTIF(Probeabholungen!B:B,$B53)*1/3</f>
        <v>0</v>
      </c>
    </row>
    <row r="54" spans="1:15">
      <c r="A54" s="8" t="s">
        <v>57</v>
      </c>
      <c r="B54" s="8">
        <v>457847</v>
      </c>
      <c r="D54" s="29"/>
      <c r="E54" s="1">
        <v>5</v>
      </c>
      <c r="F54" s="8">
        <v>6</v>
      </c>
      <c r="G54" s="30">
        <f t="shared" si="0"/>
        <v>11</v>
      </c>
      <c r="H54" s="8">
        <f t="shared" si="3"/>
        <v>-5</v>
      </c>
      <c r="I54">
        <f t="shared" si="2"/>
        <v>0</v>
      </c>
      <c r="J54">
        <f>SUMIF(Oeffentlichkeitsarbeit!$D:$D,$B54,Oeffentlichkeitsarbeit!$F:$F)</f>
        <v>0</v>
      </c>
      <c r="K54">
        <f>COUNTIF(Fairteiler!$D:$D,$B54)*1/2</f>
        <v>0</v>
      </c>
      <c r="L54">
        <f>COUNTIF('NP-Betrieb'!D:D,$B54)*1/3</f>
        <v>0</v>
      </c>
      <c r="M54">
        <f>COUNTIF(Fairteilungen!$D:$D,$B54)*3/4</f>
        <v>0</v>
      </c>
      <c r="N54">
        <f>COUNTIF(Anlieferung!D:D,$B54)*1/2</f>
        <v>0</v>
      </c>
      <c r="O54">
        <f>COUNTIF(Probeabholungen!B:B,$B54)*1/3</f>
        <v>0</v>
      </c>
    </row>
    <row r="55" spans="1:15">
      <c r="A55" s="14" t="s">
        <v>836</v>
      </c>
      <c r="B55" s="14">
        <v>970202</v>
      </c>
      <c r="C55" s="38" t="s">
        <v>837</v>
      </c>
      <c r="D55" s="39">
        <v>46043</v>
      </c>
      <c r="E55" s="40">
        <v>0</v>
      </c>
      <c r="F55" s="14">
        <v>0</v>
      </c>
      <c r="G55" s="41">
        <f t="shared" si="0"/>
        <v>-10.666666666666666</v>
      </c>
      <c r="H55" s="14">
        <f t="shared" si="3"/>
        <v>10.666666666666666</v>
      </c>
      <c r="I55" s="38">
        <f t="shared" si="2"/>
        <v>10.666666666666666</v>
      </c>
      <c r="J55" s="38">
        <f>SUMIF(Oeffentlichkeitsarbeit!$D:$D,$B55,Oeffentlichkeitsarbeit!$F:$F)</f>
        <v>0</v>
      </c>
      <c r="K55" s="38">
        <f>COUNTIF(Fairteiler!$D:$D,$B55)*1/2</f>
        <v>0</v>
      </c>
      <c r="L55" s="38">
        <f>COUNTIF('NP-Betrieb'!D:D,$B55)*1/3</f>
        <v>10.666666666666666</v>
      </c>
      <c r="M55" s="38">
        <f>COUNTIF(Fairteilungen!$D:$D,$B55)*3/4</f>
        <v>0</v>
      </c>
      <c r="N55" s="38">
        <f>COUNTIF(Anlieferung!D:D,$B55)*1/2</f>
        <v>0</v>
      </c>
      <c r="O55" s="38">
        <f>COUNTIF(Probeabholungen!B:B,$B55)*1/3</f>
        <v>0</v>
      </c>
    </row>
    <row r="56" spans="1:15" ht="27.6">
      <c r="A56" s="8" t="s">
        <v>58</v>
      </c>
      <c r="B56" s="8">
        <v>641151</v>
      </c>
      <c r="D56" s="29"/>
      <c r="E56" s="1">
        <v>4.84</v>
      </c>
      <c r="F56" s="8">
        <v>6</v>
      </c>
      <c r="G56" s="30">
        <f t="shared" si="0"/>
        <v>9.5066666666666677</v>
      </c>
      <c r="H56" s="8">
        <f t="shared" si="3"/>
        <v>-3.5066666666666668</v>
      </c>
      <c r="I56">
        <f t="shared" si="2"/>
        <v>1.3333333333333333</v>
      </c>
      <c r="J56">
        <f>SUMIF(Oeffentlichkeitsarbeit!$D:$D,$B56,Oeffentlichkeitsarbeit!$F:$F)</f>
        <v>0</v>
      </c>
      <c r="K56">
        <f>COUNTIF(Fairteiler!$D:$D,$B56)*1/2</f>
        <v>0</v>
      </c>
      <c r="L56">
        <f>COUNTIF('NP-Betrieb'!D:D,$B56)*1/3</f>
        <v>1.3333333333333333</v>
      </c>
      <c r="M56">
        <f>COUNTIF(Fairteilungen!$D:$D,$B56)*3/4</f>
        <v>0</v>
      </c>
      <c r="N56">
        <f>COUNTIF(Anlieferung!D:D,$B56)*1/2</f>
        <v>0</v>
      </c>
      <c r="O56">
        <f>COUNTIF(Probeabholungen!B:B,$B56)*1/3</f>
        <v>0</v>
      </c>
    </row>
    <row r="57" spans="1:15" ht="27.6">
      <c r="A57" s="8" t="s">
        <v>59</v>
      </c>
      <c r="B57" s="8">
        <v>719951</v>
      </c>
      <c r="D57" s="29">
        <v>45142</v>
      </c>
      <c r="E57" s="1">
        <v>8.8333333333333304</v>
      </c>
      <c r="F57" s="8">
        <v>6</v>
      </c>
      <c r="G57" s="30">
        <f t="shared" si="0"/>
        <v>14.83333333333333</v>
      </c>
      <c r="H57" s="8">
        <f t="shared" si="3"/>
        <v>-8.8333333333333304</v>
      </c>
      <c r="I57">
        <f t="shared" si="2"/>
        <v>0</v>
      </c>
      <c r="J57">
        <f>SUMIF(Oeffentlichkeitsarbeit!$D:$D,$B57,Oeffentlichkeitsarbeit!$F:$F)</f>
        <v>0</v>
      </c>
      <c r="K57">
        <f>COUNTIF(Fairteiler!$D:$D,$B57)*1/2</f>
        <v>0</v>
      </c>
      <c r="L57">
        <f>COUNTIF('NP-Betrieb'!D:D,$B57)*1/3</f>
        <v>0</v>
      </c>
      <c r="M57">
        <f>COUNTIF(Fairteilungen!$D:$D,$B57)*3/4</f>
        <v>0</v>
      </c>
      <c r="N57">
        <f>COUNTIF(Anlieferung!D:D,$B57)*1/2</f>
        <v>0</v>
      </c>
      <c r="O57">
        <f>COUNTIF(Probeabholungen!B:B,$B57)*1/3</f>
        <v>0</v>
      </c>
    </row>
    <row r="58" spans="1:15" ht="27.6">
      <c r="A58" s="8" t="s">
        <v>60</v>
      </c>
      <c r="B58" s="8">
        <v>150976</v>
      </c>
      <c r="C58" s="8"/>
      <c r="D58" s="29"/>
      <c r="E58" s="1">
        <v>13.34</v>
      </c>
      <c r="F58" s="8">
        <v>6</v>
      </c>
      <c r="G58" s="30">
        <f t="shared" si="0"/>
        <v>19.34</v>
      </c>
      <c r="H58" s="8">
        <f t="shared" si="3"/>
        <v>-13.34</v>
      </c>
      <c r="I58">
        <f t="shared" si="2"/>
        <v>0</v>
      </c>
      <c r="J58">
        <f>SUMIF(Oeffentlichkeitsarbeit!$D:$D,$B58,Oeffentlichkeitsarbeit!$F:$F)</f>
        <v>0</v>
      </c>
      <c r="K58">
        <f>COUNTIF(Fairteiler!$D:$D,$B58)*1/2</f>
        <v>0</v>
      </c>
      <c r="L58">
        <f>COUNTIF('NP-Betrieb'!D:D,$B58)*1/3</f>
        <v>0</v>
      </c>
      <c r="M58">
        <f>COUNTIF(Fairteilungen!$D:$D,$B58)*3/4</f>
        <v>0</v>
      </c>
      <c r="N58">
        <f>COUNTIF(Anlieferung!D:D,$B58)*1/2</f>
        <v>0</v>
      </c>
      <c r="O58">
        <f>COUNTIF(Probeabholungen!B:B,$B58)*1/3</f>
        <v>0</v>
      </c>
    </row>
    <row r="59" spans="1:15" ht="27.6">
      <c r="A59" s="8" t="s">
        <v>61</v>
      </c>
      <c r="B59" s="8">
        <v>488314</v>
      </c>
      <c r="D59" s="29"/>
      <c r="E59" s="1">
        <v>10</v>
      </c>
      <c r="F59" s="8">
        <v>6</v>
      </c>
      <c r="G59" s="30">
        <f t="shared" si="0"/>
        <v>16</v>
      </c>
      <c r="H59" s="8">
        <f t="shared" si="3"/>
        <v>-10</v>
      </c>
      <c r="I59">
        <f t="shared" si="2"/>
        <v>0</v>
      </c>
      <c r="J59">
        <f>SUMIF(Oeffentlichkeitsarbeit!$D:$D,$B59,Oeffentlichkeitsarbeit!$F:$F)</f>
        <v>0</v>
      </c>
      <c r="K59">
        <f>COUNTIF(Fairteiler!$D:$D,$B59)*1/2</f>
        <v>0</v>
      </c>
      <c r="L59">
        <f>COUNTIF('NP-Betrieb'!D:D,$B59)*1/3</f>
        <v>0</v>
      </c>
      <c r="M59">
        <f>COUNTIF(Fairteilungen!$D:$D,$B59)*3/4</f>
        <v>0</v>
      </c>
      <c r="N59">
        <f>COUNTIF(Anlieferung!D:D,$B59)*1/2</f>
        <v>0</v>
      </c>
      <c r="O59">
        <f>COUNTIF(Probeabholungen!B:B,$B59)*1/3</f>
        <v>0</v>
      </c>
    </row>
    <row r="60" spans="1:15" ht="27.6">
      <c r="A60" s="8" t="s">
        <v>62</v>
      </c>
      <c r="B60" s="8">
        <v>532285</v>
      </c>
      <c r="D60" s="29"/>
      <c r="E60" s="1">
        <v>0</v>
      </c>
      <c r="F60" s="8">
        <v>6</v>
      </c>
      <c r="G60" s="30">
        <f t="shared" si="0"/>
        <v>5</v>
      </c>
      <c r="H60" s="8">
        <f t="shared" si="3"/>
        <v>1</v>
      </c>
      <c r="I60">
        <f t="shared" si="2"/>
        <v>1</v>
      </c>
      <c r="J60">
        <f>SUMIF(Oeffentlichkeitsarbeit!$D:$D,$B60,Oeffentlichkeitsarbeit!$F:$F)</f>
        <v>0</v>
      </c>
      <c r="K60">
        <f>COUNTIF(Fairteiler!$D:$D,$B60)*1/2</f>
        <v>0</v>
      </c>
      <c r="L60">
        <f>COUNTIF('NP-Betrieb'!D:D,$B60)*1/3</f>
        <v>1</v>
      </c>
      <c r="M60">
        <f>COUNTIF(Fairteilungen!$D:$D,$B60)*3/4</f>
        <v>0</v>
      </c>
      <c r="N60">
        <f>COUNTIF(Anlieferung!D:D,$B60)*1/2</f>
        <v>0</v>
      </c>
      <c r="O60">
        <f>COUNTIF(Probeabholungen!B:B,$B60)*1/3</f>
        <v>0</v>
      </c>
    </row>
    <row r="61" spans="1:15" ht="27.6">
      <c r="A61" s="8" t="s">
        <v>63</v>
      </c>
      <c r="B61" s="8">
        <v>168488</v>
      </c>
      <c r="C61" s="8"/>
      <c r="D61" s="29"/>
      <c r="E61" s="1">
        <v>13.5</v>
      </c>
      <c r="F61" s="8">
        <v>6</v>
      </c>
      <c r="G61" s="30">
        <f t="shared" si="0"/>
        <v>17.833333333333336</v>
      </c>
      <c r="H61" s="8">
        <f t="shared" si="3"/>
        <v>-11.833333333333334</v>
      </c>
      <c r="I61">
        <f t="shared" si="2"/>
        <v>1.6666666666666667</v>
      </c>
      <c r="J61">
        <f>SUMIF(Oeffentlichkeitsarbeit!$D:$D,$B61,Oeffentlichkeitsarbeit!$F:$F)</f>
        <v>0</v>
      </c>
      <c r="K61">
        <f>COUNTIF(Fairteiler!$D:$D,$B61)*1/2</f>
        <v>0</v>
      </c>
      <c r="L61">
        <f>COUNTIF('NP-Betrieb'!D:D,$B61)*1/3</f>
        <v>1.6666666666666667</v>
      </c>
      <c r="M61">
        <f>COUNTIF(Fairteilungen!$D:$D,$B61)*3/4</f>
        <v>0</v>
      </c>
      <c r="N61">
        <f>COUNTIF(Anlieferung!D:D,$B61)*1/2</f>
        <v>0</v>
      </c>
      <c r="O61">
        <f>COUNTIF(Probeabholungen!B:B,$B61)*1/3</f>
        <v>0</v>
      </c>
    </row>
    <row r="62" spans="1:15" ht="27.6">
      <c r="A62" s="8" t="s">
        <v>64</v>
      </c>
      <c r="B62" s="8">
        <v>7993</v>
      </c>
      <c r="D62" s="29"/>
      <c r="E62" s="1">
        <v>0</v>
      </c>
      <c r="F62" s="8">
        <v>6</v>
      </c>
      <c r="G62" s="30">
        <f t="shared" si="0"/>
        <v>6</v>
      </c>
      <c r="H62" s="8">
        <f t="shared" si="3"/>
        <v>0</v>
      </c>
      <c r="I62">
        <f t="shared" si="2"/>
        <v>0</v>
      </c>
      <c r="J62">
        <f>SUMIF(Oeffentlichkeitsarbeit!$D:$D,$B62,Oeffentlichkeitsarbeit!$F:$F)</f>
        <v>0</v>
      </c>
      <c r="K62">
        <f>COUNTIF(Fairteiler!$D:$D,$B62)*1/2</f>
        <v>0</v>
      </c>
      <c r="L62">
        <f>COUNTIF('NP-Betrieb'!D:D,$B62)*1/3</f>
        <v>0</v>
      </c>
      <c r="M62">
        <f>COUNTIF(Fairteilungen!$D:$D,$B62)*3/4</f>
        <v>0</v>
      </c>
      <c r="N62">
        <f>COUNTIF(Anlieferung!D:D,$B62)*1/2</f>
        <v>0</v>
      </c>
      <c r="O62">
        <f>COUNTIF(Probeabholungen!B:B,$B62)*1/3</f>
        <v>0</v>
      </c>
    </row>
    <row r="63" spans="1:15" ht="27.6">
      <c r="A63" s="8" t="s">
        <v>65</v>
      </c>
      <c r="B63" s="8">
        <v>495334</v>
      </c>
      <c r="D63" s="29"/>
      <c r="E63" s="1">
        <v>12</v>
      </c>
      <c r="F63" s="8">
        <v>6</v>
      </c>
      <c r="G63" s="30">
        <f t="shared" si="0"/>
        <v>18</v>
      </c>
      <c r="H63" s="8">
        <f t="shared" si="3"/>
        <v>-12</v>
      </c>
      <c r="I63">
        <f t="shared" si="2"/>
        <v>0</v>
      </c>
      <c r="J63">
        <f>SUMIF(Oeffentlichkeitsarbeit!$D:$D,$B63,Oeffentlichkeitsarbeit!$F:$F)</f>
        <v>0</v>
      </c>
      <c r="K63">
        <f>COUNTIF(Fairteiler!$D:$D,$B63)*1/2</f>
        <v>0</v>
      </c>
      <c r="L63">
        <f>COUNTIF('NP-Betrieb'!D:D,$B63)*1/3</f>
        <v>0</v>
      </c>
      <c r="M63">
        <f>COUNTIF(Fairteilungen!$D:$D,$B63)*3/4</f>
        <v>0</v>
      </c>
      <c r="N63">
        <f>COUNTIF(Anlieferung!D:D,$B63)*1/2</f>
        <v>0</v>
      </c>
      <c r="O63">
        <f>COUNTIF(Probeabholungen!B:B,$B63)*1/3</f>
        <v>0</v>
      </c>
    </row>
    <row r="64" spans="1:15">
      <c r="A64" s="8" t="s">
        <v>66</v>
      </c>
      <c r="B64" s="8">
        <v>698194</v>
      </c>
      <c r="D64" s="29"/>
      <c r="E64" s="1">
        <v>5.3333333333333304</v>
      </c>
      <c r="F64" s="8">
        <v>6</v>
      </c>
      <c r="G64" s="30">
        <f t="shared" si="0"/>
        <v>11.33333333333333</v>
      </c>
      <c r="H64" s="8">
        <f t="shared" si="3"/>
        <v>-5.3333333333333304</v>
      </c>
      <c r="I64">
        <f t="shared" si="2"/>
        <v>0</v>
      </c>
      <c r="J64">
        <f>SUMIF(Oeffentlichkeitsarbeit!$D:$D,$B64,Oeffentlichkeitsarbeit!$F:$F)</f>
        <v>0</v>
      </c>
      <c r="K64">
        <f>COUNTIF(Fairteiler!$D:$D,$B64)*1/2</f>
        <v>0</v>
      </c>
      <c r="L64">
        <f>COUNTIF('NP-Betrieb'!D:D,$B64)*1/3</f>
        <v>0</v>
      </c>
      <c r="M64">
        <f>COUNTIF(Fairteilungen!$D:$D,$B64)*3/4</f>
        <v>0</v>
      </c>
      <c r="N64">
        <f>COUNTIF(Anlieferung!D:D,$B64)*1/2</f>
        <v>0</v>
      </c>
      <c r="O64">
        <f>COUNTIF(Probeabholungen!B:B,$B64)*1/3</f>
        <v>0</v>
      </c>
    </row>
    <row r="65" spans="1:15" ht="27.6">
      <c r="A65" s="8" t="s">
        <v>70</v>
      </c>
      <c r="B65" s="8">
        <v>855449</v>
      </c>
      <c r="D65" s="24">
        <v>45799</v>
      </c>
      <c r="E65" s="1">
        <v>0</v>
      </c>
      <c r="F65">
        <v>6</v>
      </c>
      <c r="G65" s="30">
        <f t="shared" si="0"/>
        <v>5.333333333333333</v>
      </c>
      <c r="H65" s="8">
        <f t="shared" si="3"/>
        <v>0.66666666666666663</v>
      </c>
      <c r="I65">
        <f t="shared" si="2"/>
        <v>0.66666666666666663</v>
      </c>
      <c r="J65">
        <f>SUMIF(Oeffentlichkeitsarbeit!$D:$D,$B65,Oeffentlichkeitsarbeit!$F:$F)</f>
        <v>0</v>
      </c>
      <c r="K65">
        <f>COUNTIF(Fairteiler!$D:$D,$B65)*1/2</f>
        <v>0</v>
      </c>
      <c r="L65">
        <f>COUNTIF('NP-Betrieb'!D:D,$B65)*1/3</f>
        <v>0.66666666666666663</v>
      </c>
      <c r="M65">
        <f>COUNTIF(Fairteilungen!$D:$D,$B65)*3/4</f>
        <v>0</v>
      </c>
      <c r="N65">
        <f>COUNTIF(Anlieferung!D:D,$B65)*1/2</f>
        <v>0</v>
      </c>
      <c r="O65">
        <f>COUNTIF(Probeabholungen!B:B,$B65)*1/3</f>
        <v>0</v>
      </c>
    </row>
    <row r="66" spans="1:15" ht="41.4">
      <c r="A66" s="8" t="s">
        <v>67</v>
      </c>
      <c r="B66" s="8">
        <v>442578</v>
      </c>
      <c r="D66" s="29"/>
      <c r="E66" s="1">
        <v>0</v>
      </c>
      <c r="F66" s="8">
        <v>6</v>
      </c>
      <c r="G66" s="30">
        <f t="shared" ref="G66:G129" si="4">F66-H66</f>
        <v>2.3333333333333335</v>
      </c>
      <c r="H66" s="8">
        <f t="shared" ref="H66:H97" si="5">I66-E66</f>
        <v>3.6666666666666665</v>
      </c>
      <c r="I66">
        <f t="shared" ref="I66:I129" si="6">SUM(J66:O66)</f>
        <v>3.6666666666666665</v>
      </c>
      <c r="J66">
        <f>SUMIF(Oeffentlichkeitsarbeit!$D:$D,$B66,Oeffentlichkeitsarbeit!$F:$F)</f>
        <v>0</v>
      </c>
      <c r="K66">
        <f>COUNTIF(Fairteiler!$D:$D,$B66)*1/2</f>
        <v>0</v>
      </c>
      <c r="L66">
        <f>COUNTIF('NP-Betrieb'!D:D,$B66)*1/3</f>
        <v>3.6666666666666665</v>
      </c>
      <c r="M66">
        <f>COUNTIF(Fairteilungen!$D:$D,$B66)*3/4</f>
        <v>0</v>
      </c>
      <c r="N66">
        <f>COUNTIF(Anlieferung!D:D,$B66)*1/2</f>
        <v>0</v>
      </c>
      <c r="O66">
        <f>COUNTIF(Probeabholungen!B:B,$B66)*1/3</f>
        <v>0</v>
      </c>
    </row>
    <row r="67" spans="1:15" ht="41.4">
      <c r="A67" s="8" t="s">
        <v>68</v>
      </c>
      <c r="B67" s="8">
        <v>192237</v>
      </c>
      <c r="D67" s="24">
        <v>45917</v>
      </c>
      <c r="E67" s="1">
        <v>0</v>
      </c>
      <c r="F67">
        <v>6</v>
      </c>
      <c r="G67" s="30">
        <f t="shared" si="4"/>
        <v>4.8333333333333339</v>
      </c>
      <c r="H67" s="8">
        <f t="shared" si="5"/>
        <v>1.1666666666666665</v>
      </c>
      <c r="I67">
        <f t="shared" si="6"/>
        <v>1.1666666666666665</v>
      </c>
      <c r="J67">
        <f>SUMIF(Oeffentlichkeitsarbeit!$D:$D,$B67,Oeffentlichkeitsarbeit!$F:$F)</f>
        <v>0</v>
      </c>
      <c r="K67">
        <f>COUNTIF(Fairteiler!$D:$D,$B67)*1/2</f>
        <v>0.5</v>
      </c>
      <c r="L67">
        <f>COUNTIF('NP-Betrieb'!D:D,$B67)*1/3</f>
        <v>0.66666666666666663</v>
      </c>
      <c r="M67">
        <f>COUNTIF(Fairteilungen!$D:$D,$B67)*3/4</f>
        <v>0</v>
      </c>
      <c r="N67">
        <f>COUNTIF(Anlieferung!D:D,$B67)*1/2</f>
        <v>0</v>
      </c>
      <c r="O67">
        <f>COUNTIF(Probeabholungen!B:B,$B67)*1/3</f>
        <v>0</v>
      </c>
    </row>
    <row r="68" spans="1:15" ht="27.6">
      <c r="A68" s="16" t="s">
        <v>69</v>
      </c>
      <c r="B68" s="16">
        <v>678974</v>
      </c>
      <c r="C68" s="16" t="s">
        <v>831</v>
      </c>
      <c r="D68" s="29"/>
      <c r="E68" s="1">
        <v>0</v>
      </c>
      <c r="F68" s="16">
        <v>0</v>
      </c>
      <c r="G68" s="30">
        <f t="shared" si="4"/>
        <v>-1</v>
      </c>
      <c r="H68" s="16">
        <f t="shared" si="5"/>
        <v>1</v>
      </c>
      <c r="I68" s="11">
        <f t="shared" si="6"/>
        <v>1</v>
      </c>
      <c r="J68" s="11">
        <f>SUMIF(Oeffentlichkeitsarbeit!$D:$D,$B68,Oeffentlichkeitsarbeit!$F:$F)</f>
        <v>0</v>
      </c>
      <c r="K68" s="11">
        <f>COUNTIF(Fairteiler!$D:$D,$B68)*1/2</f>
        <v>0</v>
      </c>
      <c r="L68" s="11">
        <f>COUNTIF('NP-Betrieb'!D:D,$B68)*1/3</f>
        <v>1</v>
      </c>
      <c r="M68" s="11">
        <f>COUNTIF(Fairteilungen!$D:$D,$B68)*3/4</f>
        <v>0</v>
      </c>
      <c r="N68" s="11">
        <f>COUNTIF(Anlieferung!D:D,$B68)*1/2</f>
        <v>0</v>
      </c>
      <c r="O68" s="11">
        <f>COUNTIF(Probeabholungen!B:B,$B68)*1/3</f>
        <v>0</v>
      </c>
    </row>
    <row r="69" spans="1:15" ht="27.6">
      <c r="A69" s="8" t="s">
        <v>71</v>
      </c>
      <c r="B69" s="8">
        <v>453313</v>
      </c>
      <c r="D69" s="29"/>
      <c r="E69" s="1">
        <v>0</v>
      </c>
      <c r="F69" s="8">
        <v>6</v>
      </c>
      <c r="G69" s="30">
        <f t="shared" si="4"/>
        <v>3.3333333333333335</v>
      </c>
      <c r="H69" s="8">
        <f t="shared" si="5"/>
        <v>2.6666666666666665</v>
      </c>
      <c r="I69">
        <f t="shared" si="6"/>
        <v>2.6666666666666665</v>
      </c>
      <c r="J69">
        <f>SUMIF(Oeffentlichkeitsarbeit!$D:$D,$B69,Oeffentlichkeitsarbeit!$F:$F)</f>
        <v>0</v>
      </c>
      <c r="K69">
        <f>COUNTIF(Fairteiler!$D:$D,$B69)*1/2</f>
        <v>2</v>
      </c>
      <c r="L69">
        <f>COUNTIF('NP-Betrieb'!D:D,$B69)*1/3</f>
        <v>0</v>
      </c>
      <c r="M69">
        <f>COUNTIF(Fairteilungen!$D:$D,$B69)*3/4</f>
        <v>0</v>
      </c>
      <c r="N69">
        <f>COUNTIF(Anlieferung!D:D,$B69)*1/2</f>
        <v>0</v>
      </c>
      <c r="O69">
        <f>COUNTIF(Probeabholungen!B:B,$B69)*1/3</f>
        <v>0.66666666666666663</v>
      </c>
    </row>
    <row r="70" spans="1:15" ht="27.6">
      <c r="A70" s="8" t="s">
        <v>72</v>
      </c>
      <c r="B70" s="8">
        <v>76997</v>
      </c>
      <c r="C70" s="8"/>
      <c r="D70" s="29"/>
      <c r="E70" s="1">
        <v>0</v>
      </c>
      <c r="F70" s="8">
        <v>6</v>
      </c>
      <c r="G70" s="30">
        <f t="shared" si="4"/>
        <v>5</v>
      </c>
      <c r="H70" s="8">
        <f t="shared" si="5"/>
        <v>1</v>
      </c>
      <c r="I70">
        <f t="shared" si="6"/>
        <v>1</v>
      </c>
      <c r="J70">
        <f>SUMIF(Oeffentlichkeitsarbeit!$D:$D,$B70,Oeffentlichkeitsarbeit!$F:$F)</f>
        <v>0</v>
      </c>
      <c r="K70">
        <f>COUNTIF(Fairteiler!$D:$D,$B70)*1/2</f>
        <v>0</v>
      </c>
      <c r="L70">
        <f>COUNTIF('NP-Betrieb'!D:D,$B70)*1/3</f>
        <v>0.66666666666666663</v>
      </c>
      <c r="M70">
        <f>COUNTIF(Fairteilungen!$D:$D,$B70)*3/4</f>
        <v>0</v>
      </c>
      <c r="N70">
        <f>COUNTIF(Anlieferung!D:D,$B70)*1/2</f>
        <v>0</v>
      </c>
      <c r="O70">
        <f>COUNTIF(Probeabholungen!B:B,$B70)*1/3</f>
        <v>0.33333333333333331</v>
      </c>
    </row>
    <row r="71" spans="1:15">
      <c r="A71" s="8" t="s">
        <v>73</v>
      </c>
      <c r="B71">
        <v>806365</v>
      </c>
      <c r="D71" s="24">
        <v>45474</v>
      </c>
      <c r="E71" s="1">
        <v>0</v>
      </c>
      <c r="F71" s="8">
        <v>6</v>
      </c>
      <c r="G71" s="30">
        <f t="shared" si="4"/>
        <v>3.1666666666666665</v>
      </c>
      <c r="H71" s="8">
        <f t="shared" si="5"/>
        <v>2.8333333333333335</v>
      </c>
      <c r="I71">
        <f t="shared" si="6"/>
        <v>2.8333333333333335</v>
      </c>
      <c r="J71">
        <f>SUMIF(Oeffentlichkeitsarbeit!$D:$D,$B71,Oeffentlichkeitsarbeit!$F:$F)</f>
        <v>2.5</v>
      </c>
      <c r="K71">
        <f>COUNTIF(Fairteiler!$D:$D,$B71)*1/2</f>
        <v>0</v>
      </c>
      <c r="L71">
        <f>COUNTIF('NP-Betrieb'!D:D,$B71)*1/3</f>
        <v>0.33333333333333331</v>
      </c>
      <c r="M71">
        <f>COUNTIF(Fairteilungen!$D:$D,$B71)*3/4</f>
        <v>0</v>
      </c>
      <c r="N71">
        <f>COUNTIF(Anlieferung!D:D,$B71)*1/2</f>
        <v>0</v>
      </c>
      <c r="O71">
        <f>COUNTIF(Probeabholungen!B:B,$B71)*1/3</f>
        <v>0</v>
      </c>
    </row>
    <row r="72" spans="1:15">
      <c r="A72" s="8" t="s">
        <v>74</v>
      </c>
      <c r="B72" s="8">
        <v>756861</v>
      </c>
      <c r="D72" s="29">
        <v>45139</v>
      </c>
      <c r="E72" s="1">
        <v>10.67</v>
      </c>
      <c r="F72" s="8">
        <v>6</v>
      </c>
      <c r="G72" s="30">
        <f t="shared" si="4"/>
        <v>16.670000000000002</v>
      </c>
      <c r="H72" s="8">
        <f t="shared" si="5"/>
        <v>-10.67</v>
      </c>
      <c r="I72">
        <f t="shared" si="6"/>
        <v>0</v>
      </c>
      <c r="J72">
        <f>SUMIF(Oeffentlichkeitsarbeit!$D:$D,$B72,Oeffentlichkeitsarbeit!$F:$F)</f>
        <v>0</v>
      </c>
      <c r="K72">
        <f>COUNTIF(Fairteiler!$D:$D,$B72)*1/2</f>
        <v>0</v>
      </c>
      <c r="L72">
        <f>COUNTIF('NP-Betrieb'!D:D,$B72)*1/3</f>
        <v>0</v>
      </c>
      <c r="M72">
        <f>COUNTIF(Fairteilungen!$D:$D,$B72)*3/4</f>
        <v>0</v>
      </c>
      <c r="N72">
        <f>COUNTIF(Anlieferung!D:D,$B72)*1/2</f>
        <v>0</v>
      </c>
      <c r="O72">
        <f>COUNTIF(Probeabholungen!B:B,$B72)*1/3</f>
        <v>0</v>
      </c>
    </row>
    <row r="73" spans="1:15">
      <c r="A73" s="8" t="s">
        <v>75</v>
      </c>
      <c r="B73" s="8">
        <v>552211</v>
      </c>
      <c r="D73" s="29"/>
      <c r="E73" s="1">
        <v>0</v>
      </c>
      <c r="F73" s="8">
        <v>6</v>
      </c>
      <c r="G73" s="30">
        <f t="shared" si="4"/>
        <v>4.666666666666667</v>
      </c>
      <c r="H73" s="8">
        <f t="shared" si="5"/>
        <v>1.3333333333333333</v>
      </c>
      <c r="I73">
        <f t="shared" si="6"/>
        <v>1.3333333333333333</v>
      </c>
      <c r="J73">
        <f>SUMIF(Oeffentlichkeitsarbeit!$D:$D,$B73,Oeffentlichkeitsarbeit!$F:$F)</f>
        <v>0</v>
      </c>
      <c r="K73">
        <f>COUNTIF(Fairteiler!$D:$D,$B73)*1/2</f>
        <v>0</v>
      </c>
      <c r="L73">
        <f>COUNTIF('NP-Betrieb'!D:D,$B73)*1/3</f>
        <v>1.3333333333333333</v>
      </c>
      <c r="M73">
        <f>COUNTIF(Fairteilungen!$D:$D,$B73)*3/4</f>
        <v>0</v>
      </c>
      <c r="N73">
        <f>COUNTIF(Anlieferung!D:D,$B73)*1/2</f>
        <v>0</v>
      </c>
      <c r="O73">
        <f>COUNTIF(Probeabholungen!B:B,$B73)*1/3</f>
        <v>0</v>
      </c>
    </row>
    <row r="74" spans="1:15" ht="41.4">
      <c r="A74" s="8" t="s">
        <v>76</v>
      </c>
      <c r="B74" s="8">
        <v>427373</v>
      </c>
      <c r="C74" s="8"/>
      <c r="D74" s="29"/>
      <c r="E74" s="1">
        <v>11</v>
      </c>
      <c r="F74" s="8">
        <v>6</v>
      </c>
      <c r="G74" s="30">
        <f t="shared" si="4"/>
        <v>17</v>
      </c>
      <c r="H74" s="8">
        <f t="shared" si="5"/>
        <v>-11</v>
      </c>
      <c r="I74">
        <f t="shared" si="6"/>
        <v>0</v>
      </c>
      <c r="J74">
        <f>SUMIF(Oeffentlichkeitsarbeit!$D:$D,$B74,Oeffentlichkeitsarbeit!$F:$F)</f>
        <v>0</v>
      </c>
      <c r="K74">
        <f>COUNTIF(Fairteiler!$D:$D,$B74)*1/2</f>
        <v>0</v>
      </c>
      <c r="L74">
        <f>COUNTIF('NP-Betrieb'!D:D,$B74)*1/3</f>
        <v>0</v>
      </c>
      <c r="M74">
        <f>COUNTIF(Fairteilungen!$D:$D,$B74)*3/4</f>
        <v>0</v>
      </c>
      <c r="N74">
        <f>COUNTIF(Anlieferung!D:D,$B74)*1/2</f>
        <v>0</v>
      </c>
      <c r="O74">
        <f>COUNTIF(Probeabholungen!B:B,$B74)*1/3</f>
        <v>0</v>
      </c>
    </row>
    <row r="75" spans="1:15" ht="41.4">
      <c r="A75" s="8" t="s">
        <v>77</v>
      </c>
      <c r="B75" s="8">
        <v>665609</v>
      </c>
      <c r="D75" s="29"/>
      <c r="E75" s="1">
        <v>0</v>
      </c>
      <c r="F75" s="8">
        <v>6</v>
      </c>
      <c r="G75" s="30">
        <f t="shared" si="4"/>
        <v>-0.5</v>
      </c>
      <c r="H75" s="8">
        <f t="shared" si="5"/>
        <v>6.5</v>
      </c>
      <c r="I75">
        <f t="shared" si="6"/>
        <v>6.5</v>
      </c>
      <c r="J75">
        <f>SUMIF(Oeffentlichkeitsarbeit!$D:$D,$B75,Oeffentlichkeitsarbeit!$F:$F)</f>
        <v>0</v>
      </c>
      <c r="K75">
        <f>COUNTIF(Fairteiler!$D:$D,$B75)*1/2</f>
        <v>6.5</v>
      </c>
      <c r="L75">
        <f>COUNTIF('NP-Betrieb'!D:D,$B75)*1/3</f>
        <v>0</v>
      </c>
      <c r="M75">
        <f>COUNTIF(Fairteilungen!$D:$D,$B75)*3/4</f>
        <v>0</v>
      </c>
      <c r="N75">
        <f>COUNTIF(Anlieferung!D:D,$B75)*1/2</f>
        <v>0</v>
      </c>
      <c r="O75">
        <f>COUNTIF(Probeabholungen!B:B,$B75)*1/3</f>
        <v>0</v>
      </c>
    </row>
    <row r="76" spans="1:15" ht="27.6">
      <c r="A76" s="8" t="s">
        <v>78</v>
      </c>
      <c r="B76" s="8">
        <v>176452</v>
      </c>
      <c r="D76" s="29">
        <v>45308</v>
      </c>
      <c r="E76" s="1">
        <v>4.5</v>
      </c>
      <c r="F76" s="8">
        <v>6</v>
      </c>
      <c r="G76" s="30">
        <f t="shared" si="4"/>
        <v>10.5</v>
      </c>
      <c r="H76" s="8">
        <f t="shared" si="5"/>
        <v>-4.5</v>
      </c>
      <c r="I76">
        <f t="shared" si="6"/>
        <v>0</v>
      </c>
      <c r="J76">
        <f>SUMIF(Oeffentlichkeitsarbeit!$D:$D,$B76,Oeffentlichkeitsarbeit!$F:$F)</f>
        <v>0</v>
      </c>
      <c r="K76">
        <f>COUNTIF(Fairteiler!$D:$D,$B76)*1/2</f>
        <v>0</v>
      </c>
      <c r="L76">
        <f>COUNTIF('NP-Betrieb'!D:D,$B76)*1/3</f>
        <v>0</v>
      </c>
      <c r="M76">
        <f>COUNTIF(Fairteilungen!$D:$D,$B76)*3/4</f>
        <v>0</v>
      </c>
      <c r="N76">
        <f>COUNTIF(Anlieferung!D:D,$B76)*1/2</f>
        <v>0</v>
      </c>
      <c r="O76">
        <f>COUNTIF(Probeabholungen!B:B,$B76)*1/3</f>
        <v>0</v>
      </c>
    </row>
    <row r="77" spans="1:15" ht="27.6">
      <c r="A77" s="8" t="s">
        <v>79</v>
      </c>
      <c r="B77" s="8">
        <v>847682</v>
      </c>
      <c r="D77" s="24">
        <v>45530</v>
      </c>
      <c r="E77" s="1">
        <v>0</v>
      </c>
      <c r="F77" s="8">
        <v>6</v>
      </c>
      <c r="G77" s="30">
        <f t="shared" si="4"/>
        <v>4.666666666666667</v>
      </c>
      <c r="H77" s="8">
        <f t="shared" si="5"/>
        <v>1.3333333333333333</v>
      </c>
      <c r="I77">
        <f t="shared" si="6"/>
        <v>1.3333333333333333</v>
      </c>
      <c r="J77">
        <f>SUMIF(Oeffentlichkeitsarbeit!$D:$D,$B77,Oeffentlichkeitsarbeit!$F:$F)</f>
        <v>0</v>
      </c>
      <c r="K77">
        <f>COUNTIF(Fairteiler!$D:$D,$B77)*1/2</f>
        <v>0</v>
      </c>
      <c r="L77">
        <f>COUNTIF('NP-Betrieb'!D:D,$B77)*1/3</f>
        <v>1.3333333333333333</v>
      </c>
      <c r="M77">
        <f>COUNTIF(Fairteilungen!$D:$D,$B77)*3/4</f>
        <v>0</v>
      </c>
      <c r="N77">
        <f>COUNTIF(Anlieferung!D:D,$B77)*1/2</f>
        <v>0</v>
      </c>
      <c r="O77">
        <f>COUNTIF(Probeabholungen!B:B,$B77)*1/3</f>
        <v>0</v>
      </c>
    </row>
    <row r="78" spans="1:15" ht="27.6">
      <c r="A78" s="8" t="s">
        <v>80</v>
      </c>
      <c r="B78" s="8">
        <v>429426</v>
      </c>
      <c r="D78" s="29"/>
      <c r="E78" s="1">
        <v>0</v>
      </c>
      <c r="F78" s="8">
        <v>6</v>
      </c>
      <c r="G78" s="30">
        <f t="shared" si="4"/>
        <v>6</v>
      </c>
      <c r="H78" s="8">
        <f t="shared" si="5"/>
        <v>0</v>
      </c>
      <c r="I78">
        <f t="shared" si="6"/>
        <v>0</v>
      </c>
      <c r="J78">
        <f>SUMIF(Oeffentlichkeitsarbeit!$D:$D,$B78,Oeffentlichkeitsarbeit!$F:$F)</f>
        <v>0</v>
      </c>
      <c r="K78">
        <f>COUNTIF(Fairteiler!$D:$D,$B78)*1/2</f>
        <v>0</v>
      </c>
      <c r="L78">
        <f>COUNTIF('NP-Betrieb'!D:D,$B78)*1/3</f>
        <v>0</v>
      </c>
      <c r="M78">
        <f>COUNTIF(Fairteilungen!$D:$D,$B78)*3/4</f>
        <v>0</v>
      </c>
      <c r="N78">
        <f>COUNTIF(Anlieferung!D:D,$B78)*1/2</f>
        <v>0</v>
      </c>
      <c r="O78">
        <f>COUNTIF(Probeabholungen!B:B,$B78)*1/3</f>
        <v>0</v>
      </c>
    </row>
    <row r="79" spans="1:15" ht="27.6">
      <c r="A79" s="8" t="s">
        <v>81</v>
      </c>
      <c r="B79" s="8">
        <v>831512</v>
      </c>
      <c r="C79" t="s">
        <v>838</v>
      </c>
      <c r="D79" s="24">
        <v>45495</v>
      </c>
      <c r="E79" s="1">
        <v>0</v>
      </c>
      <c r="F79" s="8">
        <v>2.5</v>
      </c>
      <c r="G79" s="30">
        <f t="shared" si="4"/>
        <v>-4.666666666666667</v>
      </c>
      <c r="H79" s="8">
        <f t="shared" si="5"/>
        <v>7.166666666666667</v>
      </c>
      <c r="I79">
        <f t="shared" si="6"/>
        <v>7.166666666666667</v>
      </c>
      <c r="J79">
        <f>SUMIF(Oeffentlichkeitsarbeit!$D:$D,$B79,Oeffentlichkeitsarbeit!$F:$F)</f>
        <v>3</v>
      </c>
      <c r="K79">
        <f>COUNTIF(Fairteiler!$D:$D,$B79)*1/2</f>
        <v>0</v>
      </c>
      <c r="L79">
        <f>COUNTIF('NP-Betrieb'!D:D,$B79)*1/3</f>
        <v>3</v>
      </c>
      <c r="M79">
        <f>COUNTIF(Fairteilungen!$D:$D,$B79)*3/4</f>
        <v>0</v>
      </c>
      <c r="N79">
        <f>COUNTIF(Anlieferung!D:D,$B79)*1/2</f>
        <v>0.5</v>
      </c>
      <c r="O79">
        <f>COUNTIF(Probeabholungen!B:B,$B79)*1/3</f>
        <v>0.66666666666666663</v>
      </c>
    </row>
    <row r="80" spans="1:15" ht="27.6">
      <c r="A80" s="8" t="s">
        <v>82</v>
      </c>
      <c r="B80" s="8">
        <v>665898</v>
      </c>
      <c r="D80" s="29"/>
      <c r="E80" s="1">
        <v>0</v>
      </c>
      <c r="F80" s="8">
        <v>6</v>
      </c>
      <c r="G80" s="30">
        <f t="shared" si="4"/>
        <v>5.5</v>
      </c>
      <c r="H80" s="8">
        <f t="shared" si="5"/>
        <v>0.5</v>
      </c>
      <c r="I80">
        <f t="shared" si="6"/>
        <v>0.5</v>
      </c>
      <c r="J80">
        <f>SUMIF(Oeffentlichkeitsarbeit!$D:$D,$B80,Oeffentlichkeitsarbeit!$F:$F)</f>
        <v>0</v>
      </c>
      <c r="K80">
        <f>COUNTIF(Fairteiler!$D:$D,$B80)*1/2</f>
        <v>0.5</v>
      </c>
      <c r="L80">
        <f>COUNTIF('NP-Betrieb'!D:D,$B80)*1/3</f>
        <v>0</v>
      </c>
      <c r="M80">
        <f>COUNTIF(Fairteilungen!$D:$D,$B80)*3/4</f>
        <v>0</v>
      </c>
      <c r="N80">
        <f>COUNTIF(Anlieferung!D:D,$B80)*1/2</f>
        <v>0</v>
      </c>
      <c r="O80">
        <f>COUNTIF(Probeabholungen!B:B,$B80)*1/3</f>
        <v>0</v>
      </c>
    </row>
    <row r="81" spans="1:15" ht="27.6">
      <c r="A81" s="16" t="s">
        <v>83</v>
      </c>
      <c r="B81" s="16">
        <v>111631</v>
      </c>
      <c r="C81" s="16" t="s">
        <v>831</v>
      </c>
      <c r="D81" s="29"/>
      <c r="E81" s="1">
        <v>0</v>
      </c>
      <c r="F81" s="16">
        <v>0</v>
      </c>
      <c r="G81" s="30">
        <f t="shared" si="4"/>
        <v>-0.66666666666666663</v>
      </c>
      <c r="H81" s="16">
        <f t="shared" si="5"/>
        <v>0.66666666666666663</v>
      </c>
      <c r="I81" s="18">
        <f t="shared" si="6"/>
        <v>0.66666666666666663</v>
      </c>
      <c r="J81" s="18">
        <f>SUMIF(Oeffentlichkeitsarbeit!$D:$D,$B81,Oeffentlichkeitsarbeit!$F:$F)</f>
        <v>0</v>
      </c>
      <c r="K81" s="18">
        <f>COUNTIF(Fairteiler!$D:$D,$B81)*1/2</f>
        <v>0</v>
      </c>
      <c r="L81" s="18">
        <f>COUNTIF('NP-Betrieb'!D:D,$B81)*1/3</f>
        <v>0.66666666666666663</v>
      </c>
      <c r="M81" s="18">
        <f>COUNTIF(Fairteilungen!$D:$D,$B81)*3/4</f>
        <v>0</v>
      </c>
      <c r="N81" s="18">
        <f>COUNTIF(Anlieferung!D:D,$B81)*1/2</f>
        <v>0</v>
      </c>
      <c r="O81" s="18">
        <f>COUNTIF(Probeabholungen!B:B,$B81)*1/3</f>
        <v>0</v>
      </c>
    </row>
    <row r="82" spans="1:15">
      <c r="A82" s="8" t="s">
        <v>84</v>
      </c>
      <c r="B82" s="8">
        <v>308504</v>
      </c>
      <c r="D82" s="29"/>
      <c r="E82" s="1">
        <v>10.6733333333333</v>
      </c>
      <c r="F82" s="8">
        <v>6</v>
      </c>
      <c r="G82" s="30">
        <f t="shared" si="4"/>
        <v>16.6733333333333</v>
      </c>
      <c r="H82" s="8">
        <f t="shared" si="5"/>
        <v>-10.6733333333333</v>
      </c>
      <c r="I82">
        <f t="shared" si="6"/>
        <v>0</v>
      </c>
      <c r="J82">
        <f>SUMIF(Oeffentlichkeitsarbeit!$D:$D,$B82,Oeffentlichkeitsarbeit!$F:$F)</f>
        <v>0</v>
      </c>
      <c r="K82">
        <f>COUNTIF(Fairteiler!$D:$D,$B82)*1/2</f>
        <v>0</v>
      </c>
      <c r="L82">
        <f>COUNTIF('NP-Betrieb'!D:D,$B82)*1/3</f>
        <v>0</v>
      </c>
      <c r="M82">
        <f>COUNTIF(Fairteilungen!$D:$D,$B82)*3/4</f>
        <v>0</v>
      </c>
      <c r="N82">
        <f>COUNTIF(Anlieferung!D:D,$B82)*1/2</f>
        <v>0</v>
      </c>
      <c r="O82">
        <f>COUNTIF(Probeabholungen!B:B,$B82)*1/3</f>
        <v>0</v>
      </c>
    </row>
    <row r="83" spans="1:15" ht="27.6">
      <c r="A83" s="8" t="s">
        <v>85</v>
      </c>
      <c r="B83" s="8">
        <v>832249</v>
      </c>
      <c r="D83" s="29">
        <v>45387</v>
      </c>
      <c r="E83" s="1">
        <v>0</v>
      </c>
      <c r="F83" s="8">
        <v>6</v>
      </c>
      <c r="G83" s="30">
        <f t="shared" si="4"/>
        <v>1.166666666666667</v>
      </c>
      <c r="H83" s="8">
        <f t="shared" si="5"/>
        <v>4.833333333333333</v>
      </c>
      <c r="I83">
        <f t="shared" si="6"/>
        <v>4.833333333333333</v>
      </c>
      <c r="J83">
        <f>SUMIF(Oeffentlichkeitsarbeit!$D:$D,$B83,Oeffentlichkeitsarbeit!$F:$F)</f>
        <v>0</v>
      </c>
      <c r="K83">
        <f>COUNTIF(Fairteiler!$D:$D,$B83)*1/2</f>
        <v>3.5</v>
      </c>
      <c r="L83">
        <f>COUNTIF('NP-Betrieb'!D:D,$B83)*1/3</f>
        <v>1.3333333333333333</v>
      </c>
      <c r="M83">
        <f>COUNTIF(Fairteilungen!$D:$D,$B83)*3/4</f>
        <v>0</v>
      </c>
      <c r="N83">
        <f>COUNTIF(Anlieferung!D:D,$B83)*1/2</f>
        <v>0</v>
      </c>
      <c r="O83">
        <f>COUNTIF(Probeabholungen!B:B,$B83)*1/3</f>
        <v>0</v>
      </c>
    </row>
    <row r="84" spans="1:15" ht="27.6">
      <c r="A84" s="8" t="s">
        <v>86</v>
      </c>
      <c r="B84" s="8">
        <v>413196</v>
      </c>
      <c r="D84" s="29"/>
      <c r="E84" s="1">
        <v>12</v>
      </c>
      <c r="F84" s="8">
        <v>6</v>
      </c>
      <c r="G84" s="30">
        <f t="shared" si="4"/>
        <v>18</v>
      </c>
      <c r="H84" s="8">
        <f t="shared" si="5"/>
        <v>-12</v>
      </c>
      <c r="I84">
        <f t="shared" si="6"/>
        <v>0</v>
      </c>
      <c r="J84">
        <f>SUMIF(Oeffentlichkeitsarbeit!$D:$D,$B84,Oeffentlichkeitsarbeit!$F:$F)</f>
        <v>0</v>
      </c>
      <c r="K84">
        <f>COUNTIF(Fairteiler!$D:$D,$B84)*1/2</f>
        <v>0</v>
      </c>
      <c r="L84">
        <f>COUNTIF('NP-Betrieb'!D:D,$B84)*1/3</f>
        <v>0</v>
      </c>
      <c r="M84">
        <f>COUNTIF(Fairteilungen!$D:$D,$B84)*3/4</f>
        <v>0</v>
      </c>
      <c r="N84">
        <f>COUNTIF(Anlieferung!D:D,$B84)*1/2</f>
        <v>0</v>
      </c>
      <c r="O84">
        <f>COUNTIF(Probeabholungen!B:B,$B84)*1/3</f>
        <v>0</v>
      </c>
    </row>
    <row r="85" spans="1:15">
      <c r="A85" s="8" t="s">
        <v>87</v>
      </c>
      <c r="B85" s="8">
        <v>967743</v>
      </c>
      <c r="D85" s="24">
        <v>46005</v>
      </c>
      <c r="E85" s="1">
        <v>0</v>
      </c>
      <c r="F85">
        <v>6</v>
      </c>
      <c r="G85" s="30">
        <f t="shared" si="4"/>
        <v>2.3333333333333335</v>
      </c>
      <c r="H85" s="8">
        <f t="shared" si="5"/>
        <v>3.6666666666666665</v>
      </c>
      <c r="I85">
        <f t="shared" si="6"/>
        <v>3.6666666666666665</v>
      </c>
      <c r="J85">
        <f>SUMIF(Oeffentlichkeitsarbeit!$D:$D,$B85,Oeffentlichkeitsarbeit!$F:$F)</f>
        <v>0</v>
      </c>
      <c r="K85">
        <f>COUNTIF(Fairteiler!$D:$D,$B85)*1/2</f>
        <v>0</v>
      </c>
      <c r="L85">
        <f>COUNTIF('NP-Betrieb'!D:D,$B85)*1/3</f>
        <v>3.6666666666666665</v>
      </c>
      <c r="M85">
        <f>COUNTIF(Fairteilungen!$D:$D,$B85)*3/4</f>
        <v>0</v>
      </c>
      <c r="N85">
        <f>COUNTIF(Anlieferung!D:D,$B85)*1/2</f>
        <v>0</v>
      </c>
      <c r="O85">
        <f>COUNTIF(Probeabholungen!B:B,$B85)*1/3</f>
        <v>0</v>
      </c>
    </row>
    <row r="86" spans="1:15" ht="27.6">
      <c r="A86" s="8" t="s">
        <v>88</v>
      </c>
      <c r="B86" s="8">
        <v>925385</v>
      </c>
      <c r="D86" s="24">
        <v>45826</v>
      </c>
      <c r="E86" s="1">
        <v>3</v>
      </c>
      <c r="F86">
        <v>6</v>
      </c>
      <c r="G86" s="30">
        <f t="shared" si="4"/>
        <v>9</v>
      </c>
      <c r="H86" s="8">
        <f t="shared" si="5"/>
        <v>-3</v>
      </c>
      <c r="I86">
        <f t="shared" si="6"/>
        <v>0</v>
      </c>
      <c r="J86">
        <f>SUMIF(Oeffentlichkeitsarbeit!$D:$D,$B86,Oeffentlichkeitsarbeit!$F:$F)</f>
        <v>0</v>
      </c>
      <c r="K86">
        <f>COUNTIF(Fairteiler!$D:$D,$B86)*1/2</f>
        <v>0</v>
      </c>
      <c r="L86">
        <f>COUNTIF('NP-Betrieb'!D:D,$B86)*1/3</f>
        <v>0</v>
      </c>
      <c r="M86">
        <f>COUNTIF(Fairteilungen!$D:$D,$B86)*3/4</f>
        <v>0</v>
      </c>
      <c r="N86">
        <f>COUNTIF(Anlieferung!D:D,$B86)*1/2</f>
        <v>0</v>
      </c>
      <c r="O86">
        <f>COUNTIF(Probeabholungen!B:B,$B86)*1/3</f>
        <v>0</v>
      </c>
    </row>
    <row r="87" spans="1:15" ht="27.6">
      <c r="A87" s="8" t="s">
        <v>89</v>
      </c>
      <c r="B87" s="8">
        <v>686435</v>
      </c>
      <c r="C87" s="8"/>
      <c r="D87" s="29"/>
      <c r="E87" s="1">
        <v>6</v>
      </c>
      <c r="F87" s="8">
        <v>6</v>
      </c>
      <c r="G87" s="30">
        <f t="shared" si="4"/>
        <v>12</v>
      </c>
      <c r="H87" s="8">
        <f t="shared" si="5"/>
        <v>-6</v>
      </c>
      <c r="I87">
        <f t="shared" si="6"/>
        <v>0</v>
      </c>
      <c r="J87">
        <f>SUMIF(Oeffentlichkeitsarbeit!$D:$D,$B87,Oeffentlichkeitsarbeit!$F:$F)</f>
        <v>0</v>
      </c>
      <c r="K87">
        <f>COUNTIF(Fairteiler!$D:$D,$B87)*1/2</f>
        <v>0</v>
      </c>
      <c r="L87">
        <f>COUNTIF('NP-Betrieb'!D:D,$B87)*1/3</f>
        <v>0</v>
      </c>
      <c r="M87">
        <f>COUNTIF(Fairteilungen!$D:$D,$B87)*3/4</f>
        <v>0</v>
      </c>
      <c r="N87">
        <f>COUNTIF(Anlieferung!D:D,$B87)*1/2</f>
        <v>0</v>
      </c>
      <c r="O87">
        <f>COUNTIF(Probeabholungen!B:B,$B87)*1/3</f>
        <v>0</v>
      </c>
    </row>
    <row r="88" spans="1:15" ht="27.6">
      <c r="A88" s="8" t="s">
        <v>90</v>
      </c>
      <c r="B88" s="8">
        <v>339788</v>
      </c>
      <c r="D88" s="29"/>
      <c r="E88" s="1">
        <v>10.67</v>
      </c>
      <c r="F88" s="8">
        <v>6</v>
      </c>
      <c r="G88" s="30">
        <f t="shared" si="4"/>
        <v>16.670000000000002</v>
      </c>
      <c r="H88" s="8">
        <f t="shared" si="5"/>
        <v>-10.67</v>
      </c>
      <c r="I88">
        <f t="shared" si="6"/>
        <v>0</v>
      </c>
      <c r="J88">
        <f>SUMIF(Oeffentlichkeitsarbeit!$D:$D,$B88,Oeffentlichkeitsarbeit!$F:$F)</f>
        <v>0</v>
      </c>
      <c r="K88">
        <f>COUNTIF(Fairteiler!$D:$D,$B88)*1/2</f>
        <v>0</v>
      </c>
      <c r="L88">
        <f>COUNTIF('NP-Betrieb'!D:D,$B88)*1/3</f>
        <v>0</v>
      </c>
      <c r="M88">
        <f>COUNTIF(Fairteilungen!$D:$D,$B88)*3/4</f>
        <v>0</v>
      </c>
      <c r="N88">
        <f>COUNTIF(Anlieferung!D:D,$B88)*1/2</f>
        <v>0</v>
      </c>
      <c r="O88">
        <f>COUNTIF(Probeabholungen!B:B,$B88)*1/3</f>
        <v>0</v>
      </c>
    </row>
    <row r="89" spans="1:15" ht="27.6">
      <c r="A89" s="8" t="s">
        <v>91</v>
      </c>
      <c r="B89" s="8">
        <v>604621</v>
      </c>
      <c r="C89" s="8"/>
      <c r="D89" s="29"/>
      <c r="E89" s="1">
        <v>0</v>
      </c>
      <c r="F89" s="8">
        <v>6</v>
      </c>
      <c r="G89" s="30">
        <f t="shared" si="4"/>
        <v>5.333333333333333</v>
      </c>
      <c r="H89" s="8">
        <f t="shared" si="5"/>
        <v>0.66666666666666663</v>
      </c>
      <c r="I89">
        <f t="shared" si="6"/>
        <v>0.66666666666666663</v>
      </c>
      <c r="J89">
        <f>SUMIF(Oeffentlichkeitsarbeit!$D:$D,$B89,Oeffentlichkeitsarbeit!$F:$F)</f>
        <v>0</v>
      </c>
      <c r="K89">
        <f>COUNTIF(Fairteiler!$D:$D,$B89)*1/2</f>
        <v>0</v>
      </c>
      <c r="L89">
        <f>COUNTIF('NP-Betrieb'!D:D,$B89)*1/3</f>
        <v>0.66666666666666663</v>
      </c>
      <c r="M89">
        <f>COUNTIF(Fairteilungen!$D:$D,$B89)*3/4</f>
        <v>0</v>
      </c>
      <c r="N89">
        <f>COUNTIF(Anlieferung!D:D,$B89)*1/2</f>
        <v>0</v>
      </c>
      <c r="O89">
        <f>COUNTIF(Probeabholungen!B:B,$B89)*1/3</f>
        <v>0</v>
      </c>
    </row>
    <row r="90" spans="1:15" ht="27.6">
      <c r="A90" s="8" t="s">
        <v>92</v>
      </c>
      <c r="B90" s="8">
        <v>178109</v>
      </c>
      <c r="D90" s="29"/>
      <c r="E90" s="1">
        <v>0</v>
      </c>
      <c r="F90" s="8">
        <v>6</v>
      </c>
      <c r="G90" s="30">
        <f t="shared" si="4"/>
        <v>6</v>
      </c>
      <c r="H90" s="8">
        <f t="shared" si="5"/>
        <v>0</v>
      </c>
      <c r="I90">
        <f t="shared" si="6"/>
        <v>0</v>
      </c>
      <c r="J90">
        <f>SUMIF(Oeffentlichkeitsarbeit!$D:$D,$B90,Oeffentlichkeitsarbeit!$F:$F)</f>
        <v>0</v>
      </c>
      <c r="K90">
        <f>COUNTIF(Fairteiler!$D:$D,$B90)*1/2</f>
        <v>0</v>
      </c>
      <c r="L90">
        <f>COUNTIF('NP-Betrieb'!D:D,$B90)*1/3</f>
        <v>0</v>
      </c>
      <c r="M90">
        <f>COUNTIF(Fairteilungen!$D:$D,$B90)*3/4</f>
        <v>0</v>
      </c>
      <c r="N90">
        <f>COUNTIF(Anlieferung!D:D,$B90)*1/2</f>
        <v>0</v>
      </c>
      <c r="O90">
        <f>COUNTIF(Probeabholungen!B:B,$B90)*1/3</f>
        <v>0</v>
      </c>
    </row>
    <row r="91" spans="1:15" ht="27.6">
      <c r="A91" s="8" t="s">
        <v>93</v>
      </c>
      <c r="B91" s="8">
        <v>974730</v>
      </c>
      <c r="D91" s="24">
        <v>46005</v>
      </c>
      <c r="E91" s="1">
        <v>0</v>
      </c>
      <c r="F91">
        <v>6</v>
      </c>
      <c r="G91" s="30">
        <f t="shared" si="4"/>
        <v>-2.1666666666666679</v>
      </c>
      <c r="H91" s="8">
        <f t="shared" si="5"/>
        <v>8.1666666666666679</v>
      </c>
      <c r="I91">
        <f t="shared" si="6"/>
        <v>8.1666666666666679</v>
      </c>
      <c r="J91">
        <f>SUMIF(Oeffentlichkeitsarbeit!$D:$D,$B91,Oeffentlichkeitsarbeit!$F:$F)</f>
        <v>0</v>
      </c>
      <c r="K91">
        <f>COUNTIF(Fairteiler!$D:$D,$B91)*1/2</f>
        <v>1</v>
      </c>
      <c r="L91">
        <f>COUNTIF('NP-Betrieb'!D:D,$B91)*1/3</f>
        <v>6.666666666666667</v>
      </c>
      <c r="M91">
        <f>COUNTIF(Fairteilungen!$D:$D,$B91)*3/4</f>
        <v>0</v>
      </c>
      <c r="N91">
        <f>COUNTIF(Anlieferung!D:D,$B91)*1/2</f>
        <v>0.5</v>
      </c>
      <c r="O91">
        <f>COUNTIF(Probeabholungen!B:B,$B91)*1/3</f>
        <v>0</v>
      </c>
    </row>
    <row r="92" spans="1:15" ht="27.6">
      <c r="A92" s="8" t="s">
        <v>94</v>
      </c>
      <c r="B92" s="8">
        <v>489124</v>
      </c>
      <c r="D92" s="29"/>
      <c r="E92" s="1">
        <v>9.6733333333333302</v>
      </c>
      <c r="F92" s="8">
        <v>6</v>
      </c>
      <c r="G92" s="30">
        <f t="shared" si="4"/>
        <v>15.67333333333333</v>
      </c>
      <c r="H92" s="8">
        <f t="shared" si="5"/>
        <v>-9.6733333333333302</v>
      </c>
      <c r="I92">
        <f t="shared" si="6"/>
        <v>0</v>
      </c>
      <c r="J92">
        <f>SUMIF(Oeffentlichkeitsarbeit!$D:$D,$B92,Oeffentlichkeitsarbeit!$F:$F)</f>
        <v>0</v>
      </c>
      <c r="K92">
        <f>COUNTIF(Fairteiler!$D:$D,$B92)*1/2</f>
        <v>0</v>
      </c>
      <c r="L92">
        <f>COUNTIF('NP-Betrieb'!D:D,$B92)*1/3</f>
        <v>0</v>
      </c>
      <c r="M92">
        <f>COUNTIF(Fairteilungen!$D:$D,$B92)*3/4</f>
        <v>0</v>
      </c>
      <c r="N92">
        <f>COUNTIF(Anlieferung!D:D,$B92)*1/2</f>
        <v>0</v>
      </c>
      <c r="O92">
        <f>COUNTIF(Probeabholungen!B:B,$B92)*1/3</f>
        <v>0</v>
      </c>
    </row>
    <row r="93" spans="1:15" ht="27.6">
      <c r="A93" s="8" t="s">
        <v>95</v>
      </c>
      <c r="B93" s="8">
        <v>899549</v>
      </c>
      <c r="D93" s="24">
        <v>45895</v>
      </c>
      <c r="E93" s="1">
        <v>0</v>
      </c>
      <c r="F93">
        <v>6</v>
      </c>
      <c r="G93" s="30">
        <f t="shared" si="4"/>
        <v>6</v>
      </c>
      <c r="H93" s="8">
        <f t="shared" si="5"/>
        <v>0</v>
      </c>
      <c r="I93">
        <f t="shared" si="6"/>
        <v>0</v>
      </c>
      <c r="J93">
        <f>SUMIF(Oeffentlichkeitsarbeit!$D:$D,$B93,Oeffentlichkeitsarbeit!$F:$F)</f>
        <v>0</v>
      </c>
      <c r="K93">
        <f>COUNTIF(Fairteiler!$D:$D,$B93)*1/2</f>
        <v>0</v>
      </c>
      <c r="L93">
        <f>COUNTIF('NP-Betrieb'!D:D,$B93)*1/3</f>
        <v>0</v>
      </c>
      <c r="M93">
        <f>COUNTIF(Fairteilungen!$D:$D,$B93)*3/4</f>
        <v>0</v>
      </c>
      <c r="N93">
        <f>COUNTIF(Anlieferung!D:D,$B93)*1/2</f>
        <v>0</v>
      </c>
      <c r="O93">
        <f>COUNTIF(Probeabholungen!B:B,$B93)*1/3</f>
        <v>0</v>
      </c>
    </row>
    <row r="94" spans="1:15" ht="41.4">
      <c r="A94" s="8" t="s">
        <v>96</v>
      </c>
      <c r="B94" s="8">
        <v>729487</v>
      </c>
      <c r="D94" s="29">
        <v>45071</v>
      </c>
      <c r="E94" s="1">
        <v>0</v>
      </c>
      <c r="F94" s="8">
        <v>6</v>
      </c>
      <c r="G94" s="30">
        <f t="shared" si="4"/>
        <v>1.6666666666666661</v>
      </c>
      <c r="H94" s="8">
        <f t="shared" si="5"/>
        <v>4.3333333333333339</v>
      </c>
      <c r="I94">
        <f t="shared" si="6"/>
        <v>4.3333333333333339</v>
      </c>
      <c r="J94">
        <f>SUMIF(Oeffentlichkeitsarbeit!$D:$D,$B94,Oeffentlichkeitsarbeit!$F:$F)</f>
        <v>1.5</v>
      </c>
      <c r="K94">
        <f>COUNTIF(Fairteiler!$D:$D,$B94)*1/2</f>
        <v>0</v>
      </c>
      <c r="L94">
        <f>COUNTIF('NP-Betrieb'!D:D,$B94)*1/3</f>
        <v>2.3333333333333335</v>
      </c>
      <c r="M94">
        <f>COUNTIF(Fairteilungen!$D:$D,$B94)*3/4</f>
        <v>0</v>
      </c>
      <c r="N94">
        <f>COUNTIF(Anlieferung!D:D,$B94)*1/2</f>
        <v>0.5</v>
      </c>
      <c r="O94">
        <f>COUNTIF(Probeabholungen!B:B,$B94)*1/3</f>
        <v>0</v>
      </c>
    </row>
    <row r="95" spans="1:15" ht="27.6">
      <c r="A95" s="8" t="s">
        <v>97</v>
      </c>
      <c r="B95" s="8">
        <v>12277</v>
      </c>
      <c r="D95" s="29"/>
      <c r="E95" s="1">
        <v>0</v>
      </c>
      <c r="F95" s="8">
        <v>6</v>
      </c>
      <c r="G95" s="30">
        <f t="shared" si="4"/>
        <v>5.666666666666667</v>
      </c>
      <c r="H95" s="8">
        <f t="shared" si="5"/>
        <v>0.33333333333333331</v>
      </c>
      <c r="I95">
        <f t="shared" si="6"/>
        <v>0.33333333333333331</v>
      </c>
      <c r="J95">
        <f>SUMIF(Oeffentlichkeitsarbeit!$D:$D,$B95,Oeffentlichkeitsarbeit!$F:$F)</f>
        <v>0</v>
      </c>
      <c r="K95">
        <f>COUNTIF(Fairteiler!$D:$D,$B95)*1/2</f>
        <v>0</v>
      </c>
      <c r="L95">
        <f>COUNTIF('NP-Betrieb'!D:D,$B95)*1/3</f>
        <v>0.33333333333333331</v>
      </c>
      <c r="M95">
        <f>COUNTIF(Fairteilungen!$D:$D,$B95)*3/4</f>
        <v>0</v>
      </c>
      <c r="N95">
        <f>COUNTIF(Anlieferung!D:D,$B95)*1/2</f>
        <v>0</v>
      </c>
      <c r="O95">
        <f>COUNTIF(Probeabholungen!B:B,$B95)*1/3</f>
        <v>0</v>
      </c>
    </row>
    <row r="96" spans="1:15">
      <c r="A96" s="8" t="s">
        <v>98</v>
      </c>
      <c r="B96" s="8">
        <v>584608</v>
      </c>
      <c r="D96" s="29"/>
      <c r="E96" s="1">
        <v>0.66666666666666696</v>
      </c>
      <c r="F96" s="8">
        <v>6</v>
      </c>
      <c r="G96" s="30">
        <f t="shared" si="4"/>
        <v>6</v>
      </c>
      <c r="H96" s="8">
        <f t="shared" si="5"/>
        <v>0</v>
      </c>
      <c r="I96">
        <f t="shared" si="6"/>
        <v>0.66666666666666663</v>
      </c>
      <c r="J96">
        <f>SUMIF(Oeffentlichkeitsarbeit!$D:$D,$B96,Oeffentlichkeitsarbeit!$F:$F)</f>
        <v>0</v>
      </c>
      <c r="K96">
        <f>COUNTIF(Fairteiler!$D:$D,$B96)*1/2</f>
        <v>0</v>
      </c>
      <c r="L96">
        <f>COUNTIF('NP-Betrieb'!D:D,$B96)*1/3</f>
        <v>0.66666666666666663</v>
      </c>
      <c r="M96">
        <f>COUNTIF(Fairteilungen!$D:$D,$B96)*3/4</f>
        <v>0</v>
      </c>
      <c r="N96">
        <f>COUNTIF(Anlieferung!D:D,$B96)*1/2</f>
        <v>0</v>
      </c>
      <c r="O96">
        <f>COUNTIF(Probeabholungen!B:B,$B96)*1/3</f>
        <v>0</v>
      </c>
    </row>
    <row r="97" spans="1:15">
      <c r="A97" s="8" t="s">
        <v>99</v>
      </c>
      <c r="B97" s="8">
        <v>544588</v>
      </c>
      <c r="D97" s="29"/>
      <c r="E97" s="1">
        <v>15</v>
      </c>
      <c r="F97" s="8">
        <v>6</v>
      </c>
      <c r="G97" s="30">
        <f t="shared" si="4"/>
        <v>21</v>
      </c>
      <c r="H97" s="8">
        <f t="shared" si="5"/>
        <v>-15</v>
      </c>
      <c r="I97">
        <f t="shared" si="6"/>
        <v>0</v>
      </c>
      <c r="J97">
        <f>SUMIF(Oeffentlichkeitsarbeit!$D:$D,$B97,Oeffentlichkeitsarbeit!$F:$F)</f>
        <v>0</v>
      </c>
      <c r="K97">
        <f>COUNTIF(Fairteiler!$D:$D,$B97)*1/2</f>
        <v>0</v>
      </c>
      <c r="L97">
        <f>COUNTIF('NP-Betrieb'!D:D,$B97)*1/3</f>
        <v>0</v>
      </c>
      <c r="M97">
        <f>COUNTIF(Fairteilungen!$D:$D,$B97)*3/4</f>
        <v>0</v>
      </c>
      <c r="N97">
        <f>COUNTIF(Anlieferung!D:D,$B97)*1/2</f>
        <v>0</v>
      </c>
      <c r="O97">
        <f>COUNTIF(Probeabholungen!B:B,$B97)*1/3</f>
        <v>0</v>
      </c>
    </row>
    <row r="98" spans="1:15" ht="27.6">
      <c r="A98" s="8" t="s">
        <v>100</v>
      </c>
      <c r="B98" s="8">
        <v>563467</v>
      </c>
      <c r="D98" s="29"/>
      <c r="E98" s="1">
        <v>14.67</v>
      </c>
      <c r="F98" s="8">
        <v>6</v>
      </c>
      <c r="G98" s="30">
        <f t="shared" si="4"/>
        <v>20.67</v>
      </c>
      <c r="H98" s="8">
        <f t="shared" ref="H98:H129" si="7">I98-E98</f>
        <v>-14.67</v>
      </c>
      <c r="I98">
        <f t="shared" si="6"/>
        <v>0</v>
      </c>
      <c r="J98">
        <f>SUMIF(Oeffentlichkeitsarbeit!$D:$D,$B98,Oeffentlichkeitsarbeit!$F:$F)</f>
        <v>0</v>
      </c>
      <c r="K98">
        <f>COUNTIF(Fairteiler!$D:$D,$B98)*1/2</f>
        <v>0</v>
      </c>
      <c r="L98">
        <f>COUNTIF('NP-Betrieb'!D:D,$B98)*1/3</f>
        <v>0</v>
      </c>
      <c r="M98">
        <f>COUNTIF(Fairteilungen!$D:$D,$B98)*3/4</f>
        <v>0</v>
      </c>
      <c r="N98">
        <f>COUNTIF(Anlieferung!D:D,$B98)*1/2</f>
        <v>0</v>
      </c>
      <c r="O98">
        <f>COUNTIF(Probeabholungen!B:B,$B98)*1/3</f>
        <v>0</v>
      </c>
    </row>
    <row r="99" spans="1:15" ht="27.6">
      <c r="A99" s="8" t="s">
        <v>101</v>
      </c>
      <c r="B99" s="8">
        <v>320478</v>
      </c>
      <c r="D99" s="29"/>
      <c r="E99" s="1">
        <v>0</v>
      </c>
      <c r="F99" s="8">
        <v>6</v>
      </c>
      <c r="G99" s="30">
        <f t="shared" si="4"/>
        <v>5.666666666666667</v>
      </c>
      <c r="H99" s="8">
        <f t="shared" si="7"/>
        <v>0.33333333333333331</v>
      </c>
      <c r="I99">
        <f t="shared" si="6"/>
        <v>0.33333333333333331</v>
      </c>
      <c r="J99">
        <f>SUMIF(Oeffentlichkeitsarbeit!$D:$D,$B99,Oeffentlichkeitsarbeit!$F:$F)</f>
        <v>0</v>
      </c>
      <c r="K99">
        <f>COUNTIF(Fairteiler!$D:$D,$B99)*1/2</f>
        <v>0</v>
      </c>
      <c r="L99">
        <f>COUNTIF('NP-Betrieb'!D:D,$B99)*1/3</f>
        <v>0.33333333333333331</v>
      </c>
      <c r="M99">
        <f>COUNTIF(Fairteilungen!$D:$D,$B99)*3/4</f>
        <v>0</v>
      </c>
      <c r="N99">
        <f>COUNTIF(Anlieferung!D:D,$B99)*1/2</f>
        <v>0</v>
      </c>
      <c r="O99">
        <f>COUNTIF(Probeabholungen!B:B,$B99)*1/3</f>
        <v>0</v>
      </c>
    </row>
    <row r="100" spans="1:15" ht="27.6">
      <c r="A100" s="8" t="s">
        <v>102</v>
      </c>
      <c r="B100" s="8">
        <v>816531</v>
      </c>
      <c r="D100" s="29"/>
      <c r="E100" s="1">
        <v>0</v>
      </c>
      <c r="F100" s="8">
        <v>6</v>
      </c>
      <c r="G100" s="30">
        <f t="shared" si="4"/>
        <v>-1.5</v>
      </c>
      <c r="H100" s="8">
        <f t="shared" si="7"/>
        <v>7.5</v>
      </c>
      <c r="I100">
        <f t="shared" si="6"/>
        <v>7.5</v>
      </c>
      <c r="J100">
        <f>SUMIF(Oeffentlichkeitsarbeit!$D:$D,$B100,Oeffentlichkeitsarbeit!$F:$F)</f>
        <v>0</v>
      </c>
      <c r="K100">
        <f>COUNTIF(Fairteiler!$D:$D,$B100)*1/2</f>
        <v>2.5</v>
      </c>
      <c r="L100">
        <f>COUNTIF('NP-Betrieb'!D:D,$B100)*1/3</f>
        <v>5</v>
      </c>
      <c r="M100">
        <f>COUNTIF(Fairteilungen!$D:$D,$B100)*3/4</f>
        <v>0</v>
      </c>
      <c r="N100">
        <f>COUNTIF(Anlieferung!D:D,$B100)*1/2</f>
        <v>0</v>
      </c>
      <c r="O100">
        <f>COUNTIF(Probeabholungen!B:B,$B100)*1/3</f>
        <v>0</v>
      </c>
    </row>
    <row r="101" spans="1:15" ht="27.6">
      <c r="A101" s="8" t="s">
        <v>103</v>
      </c>
      <c r="B101" s="8">
        <v>710236</v>
      </c>
      <c r="D101" s="29"/>
      <c r="E101" s="1">
        <v>0</v>
      </c>
      <c r="F101" s="8">
        <v>6</v>
      </c>
      <c r="G101" s="30">
        <f t="shared" si="4"/>
        <v>2</v>
      </c>
      <c r="H101" s="8">
        <f t="shared" si="7"/>
        <v>4</v>
      </c>
      <c r="I101">
        <f t="shared" si="6"/>
        <v>4</v>
      </c>
      <c r="J101">
        <f>SUMIF(Oeffentlichkeitsarbeit!$D:$D,$B101,Oeffentlichkeitsarbeit!$F:$F)</f>
        <v>0</v>
      </c>
      <c r="K101">
        <f>COUNTIF(Fairteiler!$D:$D,$B101)*1/2</f>
        <v>0</v>
      </c>
      <c r="L101">
        <f>COUNTIF('NP-Betrieb'!D:D,$B101)*1/3</f>
        <v>4</v>
      </c>
      <c r="M101">
        <f>COUNTIF(Fairteilungen!$D:$D,$B101)*3/4</f>
        <v>0</v>
      </c>
      <c r="N101">
        <f>COUNTIF(Anlieferung!D:D,$B101)*1/2</f>
        <v>0</v>
      </c>
      <c r="O101">
        <f>COUNTIF(Probeabholungen!B:B,$B101)*1/3</f>
        <v>0</v>
      </c>
    </row>
    <row r="102" spans="1:15">
      <c r="A102" s="8" t="s">
        <v>104</v>
      </c>
      <c r="B102" s="8">
        <v>326161</v>
      </c>
      <c r="D102" s="29">
        <v>45387</v>
      </c>
      <c r="E102" s="1">
        <v>0</v>
      </c>
      <c r="F102" s="8">
        <v>6</v>
      </c>
      <c r="G102" s="30">
        <f t="shared" si="4"/>
        <v>3.6666666666666665</v>
      </c>
      <c r="H102" s="8">
        <f t="shared" si="7"/>
        <v>2.3333333333333335</v>
      </c>
      <c r="I102">
        <f t="shared" si="6"/>
        <v>2.3333333333333335</v>
      </c>
      <c r="J102">
        <f>SUMIF(Oeffentlichkeitsarbeit!$D:$D,$B102,Oeffentlichkeitsarbeit!$F:$F)</f>
        <v>0</v>
      </c>
      <c r="K102">
        <f>COUNTIF(Fairteiler!$D:$D,$B102)*1/2</f>
        <v>0</v>
      </c>
      <c r="L102">
        <f>COUNTIF('NP-Betrieb'!D:D,$B102)*1/3</f>
        <v>2.3333333333333335</v>
      </c>
      <c r="M102">
        <f>COUNTIF(Fairteilungen!$D:$D,$B102)*3/4</f>
        <v>0</v>
      </c>
      <c r="N102">
        <f>COUNTIF(Anlieferung!D:D,$B102)*1/2</f>
        <v>0</v>
      </c>
      <c r="O102">
        <f>COUNTIF(Probeabholungen!B:B,$B102)*1/3</f>
        <v>0</v>
      </c>
    </row>
    <row r="103" spans="1:15" ht="27.6">
      <c r="A103" s="8" t="s">
        <v>105</v>
      </c>
      <c r="B103" s="8">
        <v>321533</v>
      </c>
      <c r="D103" s="29">
        <v>45992</v>
      </c>
      <c r="E103" s="1">
        <v>0</v>
      </c>
      <c r="F103">
        <v>6</v>
      </c>
      <c r="G103" s="30">
        <f t="shared" si="4"/>
        <v>6</v>
      </c>
      <c r="H103" s="8">
        <f t="shared" si="7"/>
        <v>0</v>
      </c>
      <c r="I103">
        <f t="shared" si="6"/>
        <v>0</v>
      </c>
      <c r="J103">
        <f>SUMIF(Oeffentlichkeitsarbeit!$D:$D,$B103,Oeffentlichkeitsarbeit!$F:$F)</f>
        <v>0</v>
      </c>
      <c r="K103">
        <f>COUNTIF(Fairteiler!$D:$D,$B103)*1/2</f>
        <v>0</v>
      </c>
      <c r="L103">
        <f>COUNTIF('NP-Betrieb'!D:D,$B103)*1/3</f>
        <v>0</v>
      </c>
      <c r="M103">
        <f>COUNTIF(Fairteilungen!$D:$D,$B103)*3/4</f>
        <v>0</v>
      </c>
      <c r="N103">
        <f>COUNTIF(Anlieferung!D:D,$B103)*1/2</f>
        <v>0</v>
      </c>
      <c r="O103">
        <f>COUNTIF(Probeabholungen!B:B,$B103)*1/3</f>
        <v>0</v>
      </c>
    </row>
    <row r="104" spans="1:15">
      <c r="A104" s="14" t="s">
        <v>106</v>
      </c>
      <c r="B104" s="14">
        <v>11382</v>
      </c>
      <c r="C104" s="14" t="s">
        <v>839</v>
      </c>
      <c r="D104" s="29"/>
      <c r="E104" s="1">
        <v>0</v>
      </c>
      <c r="F104" s="14">
        <v>0</v>
      </c>
      <c r="G104" s="30">
        <f t="shared" si="4"/>
        <v>0</v>
      </c>
      <c r="H104" s="14">
        <f t="shared" si="7"/>
        <v>0</v>
      </c>
      <c r="I104">
        <f t="shared" si="6"/>
        <v>0</v>
      </c>
      <c r="J104">
        <f>SUMIF(Oeffentlichkeitsarbeit!$D:$D,$B104,Oeffentlichkeitsarbeit!$F:$F)</f>
        <v>0</v>
      </c>
      <c r="K104">
        <f>COUNTIF(Fairteiler!$D:$D,$B104)*1/2</f>
        <v>0</v>
      </c>
      <c r="L104">
        <f>COUNTIF('NP-Betrieb'!D:D,$B104)*1/3</f>
        <v>0</v>
      </c>
      <c r="M104">
        <f>COUNTIF(Fairteilungen!$D:$D,$B104)*3/4</f>
        <v>0</v>
      </c>
      <c r="N104">
        <f>COUNTIF(Anlieferung!D:D,$B104)*1/2</f>
        <v>0</v>
      </c>
      <c r="O104">
        <f>COUNTIF(Probeabholungen!B:B,$B104)*1/3</f>
        <v>0</v>
      </c>
    </row>
    <row r="105" spans="1:15" ht="41.4">
      <c r="A105" s="14" t="s">
        <v>107</v>
      </c>
      <c r="B105" s="14">
        <v>396854</v>
      </c>
      <c r="C105" s="14" t="s">
        <v>839</v>
      </c>
      <c r="D105" s="29"/>
      <c r="E105" s="1">
        <v>0</v>
      </c>
      <c r="F105" s="14">
        <v>0</v>
      </c>
      <c r="G105" s="30">
        <f t="shared" si="4"/>
        <v>0</v>
      </c>
      <c r="H105" s="14">
        <f t="shared" si="7"/>
        <v>0</v>
      </c>
      <c r="I105">
        <f t="shared" si="6"/>
        <v>0</v>
      </c>
      <c r="J105">
        <f>SUMIF(Oeffentlichkeitsarbeit!$D:$D,$B105,Oeffentlichkeitsarbeit!$F:$F)</f>
        <v>0</v>
      </c>
      <c r="K105">
        <f>COUNTIF(Fairteiler!$D:$D,$B105)*1/2</f>
        <v>0</v>
      </c>
      <c r="L105">
        <f>COUNTIF('NP-Betrieb'!D:D,$B105)*1/3</f>
        <v>0</v>
      </c>
      <c r="M105">
        <f>COUNTIF(Fairteilungen!$D:$D,$B105)*3/4</f>
        <v>0</v>
      </c>
      <c r="N105">
        <f>COUNTIF(Anlieferung!D:D,$B105)*1/2</f>
        <v>0</v>
      </c>
      <c r="O105">
        <f>COUNTIF(Probeabholungen!B:B,$B105)*1/3</f>
        <v>0</v>
      </c>
    </row>
    <row r="106" spans="1:15" ht="27.6">
      <c r="A106" s="8" t="s">
        <v>108</v>
      </c>
      <c r="B106" s="8">
        <v>35574</v>
      </c>
      <c r="D106" s="29"/>
      <c r="E106" s="1">
        <v>0</v>
      </c>
      <c r="F106" s="8">
        <v>6</v>
      </c>
      <c r="G106" s="30">
        <f t="shared" si="4"/>
        <v>5.666666666666667</v>
      </c>
      <c r="H106" s="8">
        <f t="shared" si="7"/>
        <v>0.33333333333333331</v>
      </c>
      <c r="I106">
        <f t="shared" si="6"/>
        <v>0.33333333333333331</v>
      </c>
      <c r="J106">
        <f>SUMIF(Oeffentlichkeitsarbeit!$D:$D,$B106,Oeffentlichkeitsarbeit!$F:$F)</f>
        <v>0</v>
      </c>
      <c r="K106">
        <f>COUNTIF(Fairteiler!$D:$D,$B106)*1/2</f>
        <v>0</v>
      </c>
      <c r="L106">
        <f>COUNTIF('NP-Betrieb'!D:D,$B106)*1/3</f>
        <v>0.33333333333333331</v>
      </c>
      <c r="M106">
        <f>COUNTIF(Fairteilungen!$D:$D,$B106)*3/4</f>
        <v>0</v>
      </c>
      <c r="N106">
        <f>COUNTIF(Anlieferung!D:D,$B106)*1/2</f>
        <v>0</v>
      </c>
      <c r="O106">
        <f>COUNTIF(Probeabholungen!B:B,$B106)*1/3</f>
        <v>0</v>
      </c>
    </row>
    <row r="107" spans="1:15" ht="27.6">
      <c r="A107" s="16" t="s">
        <v>109</v>
      </c>
      <c r="B107" s="16">
        <v>211216</v>
      </c>
      <c r="C107" s="16" t="s">
        <v>831</v>
      </c>
      <c r="D107" s="29"/>
      <c r="E107" s="1">
        <v>0</v>
      </c>
      <c r="F107" s="16">
        <v>0</v>
      </c>
      <c r="G107" s="30">
        <f t="shared" si="4"/>
        <v>-0.5</v>
      </c>
      <c r="H107" s="16">
        <f t="shared" si="7"/>
        <v>0.5</v>
      </c>
      <c r="I107">
        <f t="shared" si="6"/>
        <v>0.5</v>
      </c>
      <c r="J107">
        <f>SUMIF(Oeffentlichkeitsarbeit!$D:$D,$B107,Oeffentlichkeitsarbeit!$F:$F)</f>
        <v>0</v>
      </c>
      <c r="K107">
        <f>COUNTIF(Fairteiler!$D:$D,$B107)*1/2</f>
        <v>0.5</v>
      </c>
      <c r="L107">
        <f>COUNTIF('NP-Betrieb'!D:D,$B107)*1/3</f>
        <v>0</v>
      </c>
      <c r="M107">
        <f>COUNTIF(Fairteilungen!$D:$D,$B107)*3/4</f>
        <v>0</v>
      </c>
      <c r="N107">
        <f>COUNTIF(Anlieferung!D:D,$B107)*1/2</f>
        <v>0</v>
      </c>
      <c r="O107">
        <f>COUNTIF(Probeabholungen!B:B,$B107)*1/3</f>
        <v>0</v>
      </c>
    </row>
    <row r="108" spans="1:15" ht="27.6">
      <c r="A108" s="8" t="s">
        <v>110</v>
      </c>
      <c r="B108" s="8">
        <v>927352</v>
      </c>
      <c r="D108" s="24">
        <v>45826</v>
      </c>
      <c r="E108" s="1">
        <v>0</v>
      </c>
      <c r="F108">
        <v>6</v>
      </c>
      <c r="G108" s="30">
        <f t="shared" si="4"/>
        <v>4.666666666666667</v>
      </c>
      <c r="H108" s="8">
        <f t="shared" si="7"/>
        <v>1.3333333333333333</v>
      </c>
      <c r="I108">
        <f t="shared" si="6"/>
        <v>1.3333333333333333</v>
      </c>
      <c r="J108">
        <f>SUMIF(Oeffentlichkeitsarbeit!$D:$D,$B108,Oeffentlichkeitsarbeit!$F:$F)</f>
        <v>0</v>
      </c>
      <c r="K108">
        <f>COUNTIF(Fairteiler!$D:$D,$B108)*1/2</f>
        <v>0</v>
      </c>
      <c r="L108">
        <f>COUNTIF('NP-Betrieb'!D:D,$B108)*1/3</f>
        <v>1.3333333333333333</v>
      </c>
      <c r="M108">
        <f>COUNTIF(Fairteilungen!$D:$D,$B108)*3/4</f>
        <v>0</v>
      </c>
      <c r="N108">
        <f>COUNTIF(Anlieferung!D:D,$B108)*1/2</f>
        <v>0</v>
      </c>
      <c r="O108">
        <f>COUNTIF(Probeabholungen!B:B,$B108)*1/3</f>
        <v>0</v>
      </c>
    </row>
    <row r="109" spans="1:15" ht="27.6">
      <c r="A109" s="8" t="s">
        <v>111</v>
      </c>
      <c r="B109" s="8">
        <v>821988</v>
      </c>
      <c r="D109" s="24">
        <v>45530</v>
      </c>
      <c r="E109" s="1">
        <v>0</v>
      </c>
      <c r="F109" s="8">
        <v>6</v>
      </c>
      <c r="G109" s="30">
        <f t="shared" si="4"/>
        <v>3</v>
      </c>
      <c r="H109" s="8">
        <f t="shared" si="7"/>
        <v>3</v>
      </c>
      <c r="I109">
        <f t="shared" si="6"/>
        <v>3</v>
      </c>
      <c r="J109">
        <f>SUMIF(Oeffentlichkeitsarbeit!$D:$D,$B109,Oeffentlichkeitsarbeit!$F:$F)</f>
        <v>0.5</v>
      </c>
      <c r="K109">
        <f>COUNTIF(Fairteiler!$D:$D,$B109)*1/2</f>
        <v>0.5</v>
      </c>
      <c r="L109">
        <f>COUNTIF('NP-Betrieb'!D:D,$B109)*1/3</f>
        <v>2</v>
      </c>
      <c r="M109">
        <f>COUNTIF(Fairteilungen!$D:$D,$B109)*3/4</f>
        <v>0</v>
      </c>
      <c r="N109">
        <f>COUNTIF(Anlieferung!D:D,$B109)*1/2</f>
        <v>0</v>
      </c>
      <c r="O109">
        <f>COUNTIF(Probeabholungen!B:B,$B109)*1/3</f>
        <v>0</v>
      </c>
    </row>
    <row r="110" spans="1:15">
      <c r="A110" s="8" t="s">
        <v>112</v>
      </c>
      <c r="B110" s="8">
        <v>161886</v>
      </c>
      <c r="D110" s="29"/>
      <c r="E110" s="1">
        <v>12</v>
      </c>
      <c r="F110" s="8">
        <v>6</v>
      </c>
      <c r="G110" s="30">
        <f t="shared" si="4"/>
        <v>18</v>
      </c>
      <c r="H110" s="8">
        <f t="shared" si="7"/>
        <v>-12</v>
      </c>
      <c r="I110">
        <f t="shared" si="6"/>
        <v>0</v>
      </c>
      <c r="J110">
        <f>SUMIF(Oeffentlichkeitsarbeit!$D:$D,$B110,Oeffentlichkeitsarbeit!$F:$F)</f>
        <v>0</v>
      </c>
      <c r="K110">
        <f>COUNTIF(Fairteiler!$D:$D,$B110)*1/2</f>
        <v>0</v>
      </c>
      <c r="L110">
        <f>COUNTIF('NP-Betrieb'!D:D,$B110)*1/3</f>
        <v>0</v>
      </c>
      <c r="M110">
        <f>COUNTIF(Fairteilungen!$D:$D,$B110)*3/4</f>
        <v>0</v>
      </c>
      <c r="N110">
        <f>COUNTIF(Anlieferung!D:D,$B110)*1/2</f>
        <v>0</v>
      </c>
      <c r="O110">
        <f>COUNTIF(Probeabholungen!B:B,$B110)*1/3</f>
        <v>0</v>
      </c>
    </row>
    <row r="111" spans="1:15" ht="27.6">
      <c r="A111" s="8" t="s">
        <v>113</v>
      </c>
      <c r="B111" s="8">
        <v>105763</v>
      </c>
      <c r="D111" s="29"/>
      <c r="E111" s="1">
        <v>7.6733333333333302</v>
      </c>
      <c r="F111" s="8">
        <v>6</v>
      </c>
      <c r="G111" s="30">
        <f t="shared" si="4"/>
        <v>13.339999999999996</v>
      </c>
      <c r="H111" s="8">
        <f t="shared" si="7"/>
        <v>-7.3399999999999972</v>
      </c>
      <c r="I111">
        <f t="shared" si="6"/>
        <v>0.33333333333333331</v>
      </c>
      <c r="J111">
        <f>SUMIF(Oeffentlichkeitsarbeit!$D:$D,$B111,Oeffentlichkeitsarbeit!$F:$F)</f>
        <v>0</v>
      </c>
      <c r="K111">
        <f>COUNTIF(Fairteiler!$D:$D,$B111)*1/2</f>
        <v>0</v>
      </c>
      <c r="L111">
        <f>COUNTIF('NP-Betrieb'!D:D,$B111)*1/3</f>
        <v>0.33333333333333331</v>
      </c>
      <c r="M111">
        <f>COUNTIF(Fairteilungen!$D:$D,$B111)*3/4</f>
        <v>0</v>
      </c>
      <c r="N111">
        <f>COUNTIF(Anlieferung!D:D,$B111)*1/2</f>
        <v>0</v>
      </c>
      <c r="O111">
        <f>COUNTIF(Probeabholungen!B:B,$B111)*1/3</f>
        <v>0</v>
      </c>
    </row>
    <row r="112" spans="1:15" ht="27.6">
      <c r="A112" s="8" t="s">
        <v>114</v>
      </c>
      <c r="B112" s="8">
        <v>712984</v>
      </c>
      <c r="D112" s="29"/>
      <c r="E112" s="1">
        <v>0</v>
      </c>
      <c r="F112" s="8">
        <v>6</v>
      </c>
      <c r="G112" s="30">
        <f t="shared" si="4"/>
        <v>5.333333333333333</v>
      </c>
      <c r="H112" s="8">
        <f t="shared" si="7"/>
        <v>0.66666666666666663</v>
      </c>
      <c r="I112">
        <f t="shared" si="6"/>
        <v>0.66666666666666663</v>
      </c>
      <c r="J112">
        <f>SUMIF(Oeffentlichkeitsarbeit!$D:$D,$B112,Oeffentlichkeitsarbeit!$F:$F)</f>
        <v>0</v>
      </c>
      <c r="K112">
        <f>COUNTIF(Fairteiler!$D:$D,$B112)*1/2</f>
        <v>0</v>
      </c>
      <c r="L112">
        <f>COUNTIF('NP-Betrieb'!D:D,$B112)*1/3</f>
        <v>0.66666666666666663</v>
      </c>
      <c r="M112">
        <f>COUNTIF(Fairteilungen!$D:$D,$B112)*3/4</f>
        <v>0</v>
      </c>
      <c r="N112">
        <f>COUNTIF(Anlieferung!D:D,$B112)*1/2</f>
        <v>0</v>
      </c>
      <c r="O112">
        <f>COUNTIF(Probeabholungen!B:B,$B112)*1/3</f>
        <v>0</v>
      </c>
    </row>
    <row r="113" spans="1:15" ht="27.6">
      <c r="A113" s="8" t="s">
        <v>115</v>
      </c>
      <c r="B113" s="8">
        <v>751054</v>
      </c>
      <c r="D113" s="29">
        <v>45120</v>
      </c>
      <c r="E113" s="1">
        <v>0</v>
      </c>
      <c r="F113" s="8">
        <v>6</v>
      </c>
      <c r="G113" s="30">
        <f t="shared" si="4"/>
        <v>4.666666666666667</v>
      </c>
      <c r="H113" s="8">
        <f t="shared" si="7"/>
        <v>1.3333333333333333</v>
      </c>
      <c r="I113">
        <f t="shared" si="6"/>
        <v>1.3333333333333333</v>
      </c>
      <c r="J113">
        <f>SUMIF(Oeffentlichkeitsarbeit!$D:$D,$B113,Oeffentlichkeitsarbeit!$F:$F)</f>
        <v>0</v>
      </c>
      <c r="K113">
        <f>COUNTIF(Fairteiler!$D:$D,$B113)*1/2</f>
        <v>0</v>
      </c>
      <c r="L113">
        <f>COUNTIF('NP-Betrieb'!D:D,$B113)*1/3</f>
        <v>1.3333333333333333</v>
      </c>
      <c r="M113">
        <f>COUNTIF(Fairteilungen!$D:$D,$B113)*3/4</f>
        <v>0</v>
      </c>
      <c r="N113">
        <f>COUNTIF(Anlieferung!D:D,$B113)*1/2</f>
        <v>0</v>
      </c>
      <c r="O113">
        <f>COUNTIF(Probeabholungen!B:B,$B113)*1/3</f>
        <v>0</v>
      </c>
    </row>
    <row r="114" spans="1:15">
      <c r="A114" s="8" t="s">
        <v>116</v>
      </c>
      <c r="B114" s="8">
        <v>246792</v>
      </c>
      <c r="D114" s="29"/>
      <c r="E114" s="1">
        <v>0</v>
      </c>
      <c r="F114" s="8">
        <v>6</v>
      </c>
      <c r="G114" s="30">
        <f t="shared" si="4"/>
        <v>1.333333333333333</v>
      </c>
      <c r="H114" s="8">
        <f t="shared" si="7"/>
        <v>4.666666666666667</v>
      </c>
      <c r="I114">
        <f t="shared" si="6"/>
        <v>4.666666666666667</v>
      </c>
      <c r="J114">
        <f>SUMIF(Oeffentlichkeitsarbeit!$D:$D,$B114,Oeffentlichkeitsarbeit!$F:$F)</f>
        <v>0</v>
      </c>
      <c r="K114">
        <f>COUNTIF(Fairteiler!$D:$D,$B114)*1/2</f>
        <v>0</v>
      </c>
      <c r="L114">
        <f>COUNTIF('NP-Betrieb'!D:D,$B114)*1/3</f>
        <v>4.666666666666667</v>
      </c>
      <c r="M114">
        <f>COUNTIF(Fairteilungen!$D:$D,$B114)*3/4</f>
        <v>0</v>
      </c>
      <c r="N114">
        <f>COUNTIF(Anlieferung!D:D,$B114)*1/2</f>
        <v>0</v>
      </c>
      <c r="O114">
        <f>COUNTIF(Probeabholungen!B:B,$B114)*1/3</f>
        <v>0</v>
      </c>
    </row>
    <row r="115" spans="1:15" ht="27.6">
      <c r="A115" s="8" t="s">
        <v>117</v>
      </c>
      <c r="B115" s="8">
        <v>343330</v>
      </c>
      <c r="D115" s="24">
        <v>45940</v>
      </c>
      <c r="E115" s="1">
        <v>0</v>
      </c>
      <c r="F115">
        <v>6</v>
      </c>
      <c r="G115" s="30">
        <f t="shared" si="4"/>
        <v>1.666666666666667</v>
      </c>
      <c r="H115" s="8">
        <f t="shared" si="7"/>
        <v>4.333333333333333</v>
      </c>
      <c r="I115">
        <f t="shared" si="6"/>
        <v>4.333333333333333</v>
      </c>
      <c r="J115">
        <f>SUMIF(Oeffentlichkeitsarbeit!$D:$D,$B115,Oeffentlichkeitsarbeit!$F:$F)</f>
        <v>0</v>
      </c>
      <c r="K115">
        <f>COUNTIF(Fairteiler!$D:$D,$B115)*1/2</f>
        <v>0</v>
      </c>
      <c r="L115">
        <f>COUNTIF('NP-Betrieb'!D:D,$B115)*1/3</f>
        <v>4.333333333333333</v>
      </c>
      <c r="M115">
        <f>COUNTIF(Fairteilungen!$D:$D,$B115)*3/4</f>
        <v>0</v>
      </c>
      <c r="N115">
        <f>COUNTIF(Anlieferung!D:D,$B115)*1/2</f>
        <v>0</v>
      </c>
      <c r="O115">
        <f>COUNTIF(Probeabholungen!B:B,$B115)*1/3</f>
        <v>0</v>
      </c>
    </row>
    <row r="116" spans="1:15" ht="27.6">
      <c r="A116" s="8" t="s">
        <v>118</v>
      </c>
      <c r="B116" s="8">
        <v>251888</v>
      </c>
      <c r="D116" s="29"/>
      <c r="E116" s="1">
        <v>0</v>
      </c>
      <c r="F116" s="8">
        <v>3</v>
      </c>
      <c r="G116" s="30">
        <f t="shared" si="4"/>
        <v>3</v>
      </c>
      <c r="H116" s="8">
        <f t="shared" si="7"/>
        <v>0</v>
      </c>
      <c r="I116">
        <f t="shared" si="6"/>
        <v>0</v>
      </c>
      <c r="J116">
        <f>SUMIF(Oeffentlichkeitsarbeit!$D:$D,$B116,Oeffentlichkeitsarbeit!$F:$F)</f>
        <v>0</v>
      </c>
      <c r="K116">
        <f>COUNTIF(Fairteiler!$D:$D,$B116)*1/2</f>
        <v>0</v>
      </c>
      <c r="L116">
        <f>COUNTIF('NP-Betrieb'!D:D,$B116)*1/3</f>
        <v>0</v>
      </c>
      <c r="M116">
        <f>COUNTIF(Fairteilungen!$D:$D,$B116)*3/4</f>
        <v>0</v>
      </c>
      <c r="N116">
        <f>COUNTIF(Anlieferung!D:D,$B116)*1/2</f>
        <v>0</v>
      </c>
      <c r="O116">
        <f>COUNTIF(Probeabholungen!B:B,$B116)*1/3</f>
        <v>0</v>
      </c>
    </row>
    <row r="117" spans="1:15" ht="27.6">
      <c r="A117" s="8" t="s">
        <v>119</v>
      </c>
      <c r="B117" s="8">
        <v>239594</v>
      </c>
      <c r="D117" s="29">
        <v>45129</v>
      </c>
      <c r="E117" s="1">
        <v>0</v>
      </c>
      <c r="F117" s="8">
        <v>6</v>
      </c>
      <c r="G117" s="30">
        <f t="shared" si="4"/>
        <v>-0.66666666666666607</v>
      </c>
      <c r="H117" s="8">
        <f t="shared" si="7"/>
        <v>6.6666666666666661</v>
      </c>
      <c r="I117">
        <f t="shared" si="6"/>
        <v>6.6666666666666661</v>
      </c>
      <c r="J117">
        <f>SUMIF(Oeffentlichkeitsarbeit!$D:$D,$B117,Oeffentlichkeitsarbeit!$F:$F)</f>
        <v>4</v>
      </c>
      <c r="K117">
        <f>COUNTIF(Fairteiler!$D:$D,$B117)*1/2</f>
        <v>0</v>
      </c>
      <c r="L117">
        <f>COUNTIF('NP-Betrieb'!D:D,$B117)*1/3</f>
        <v>2.6666666666666665</v>
      </c>
      <c r="M117">
        <f>COUNTIF(Fairteilungen!$D:$D,$B117)*3/4</f>
        <v>0</v>
      </c>
      <c r="N117">
        <f>COUNTIF(Anlieferung!D:D,$B117)*1/2</f>
        <v>0</v>
      </c>
      <c r="O117">
        <f>COUNTIF(Probeabholungen!B:B,$B117)*1/3</f>
        <v>0</v>
      </c>
    </row>
    <row r="118" spans="1:15" ht="27.6">
      <c r="A118" s="14" t="s">
        <v>120</v>
      </c>
      <c r="B118" s="14">
        <v>593512</v>
      </c>
      <c r="C118" s="38" t="s">
        <v>840</v>
      </c>
      <c r="D118" s="42"/>
      <c r="E118" s="1">
        <v>0</v>
      </c>
      <c r="F118" s="14">
        <v>0</v>
      </c>
      <c r="G118" s="43">
        <f t="shared" si="4"/>
        <v>-5.333333333333333</v>
      </c>
      <c r="H118" s="14">
        <f t="shared" si="7"/>
        <v>5.333333333333333</v>
      </c>
      <c r="I118" s="38">
        <f t="shared" si="6"/>
        <v>5.333333333333333</v>
      </c>
      <c r="J118" s="38">
        <f>SUMIF(Oeffentlichkeitsarbeit!$D:$D,$B118,Oeffentlichkeitsarbeit!$F:$F)</f>
        <v>0</v>
      </c>
      <c r="K118" s="38">
        <f>COUNTIF(Fairteiler!$D:$D,$B118)*1/2</f>
        <v>0</v>
      </c>
      <c r="L118" s="38">
        <f>COUNTIF('NP-Betrieb'!D:D,$B118)*1/3</f>
        <v>5.333333333333333</v>
      </c>
      <c r="M118" s="38">
        <f>COUNTIF(Fairteilungen!$D:$D,$B118)*3/4</f>
        <v>0</v>
      </c>
      <c r="N118" s="38">
        <f>COUNTIF(Anlieferung!D:D,$B118)*1/2</f>
        <v>0</v>
      </c>
      <c r="O118" s="38">
        <f>COUNTIF(Probeabholungen!B:B,$B118)*1/3</f>
        <v>0</v>
      </c>
    </row>
    <row r="119" spans="1:15">
      <c r="A119" s="8" t="s">
        <v>121</v>
      </c>
      <c r="B119" s="8">
        <v>378341</v>
      </c>
      <c r="D119" s="29"/>
      <c r="E119" s="1">
        <v>0</v>
      </c>
      <c r="F119" s="8">
        <v>6</v>
      </c>
      <c r="G119" s="30">
        <f t="shared" si="4"/>
        <v>2</v>
      </c>
      <c r="H119" s="8">
        <f t="shared" si="7"/>
        <v>4</v>
      </c>
      <c r="I119">
        <f t="shared" si="6"/>
        <v>4</v>
      </c>
      <c r="J119">
        <f>SUMIF(Oeffentlichkeitsarbeit!$D:$D,$B119,Oeffentlichkeitsarbeit!$F:$F)</f>
        <v>0</v>
      </c>
      <c r="K119">
        <f>COUNTIF(Fairteiler!$D:$D,$B119)*1/2</f>
        <v>0</v>
      </c>
      <c r="L119">
        <f>COUNTIF('NP-Betrieb'!D:D,$B119)*1/3</f>
        <v>4</v>
      </c>
      <c r="M119">
        <f>COUNTIF(Fairteilungen!$D:$D,$B119)*3/4</f>
        <v>0</v>
      </c>
      <c r="N119">
        <f>COUNTIF(Anlieferung!D:D,$B119)*1/2</f>
        <v>0</v>
      </c>
      <c r="O119">
        <f>COUNTIF(Probeabholungen!B:B,$B119)*1/3</f>
        <v>0</v>
      </c>
    </row>
    <row r="120" spans="1:15">
      <c r="A120" t="s">
        <v>122</v>
      </c>
      <c r="B120">
        <v>706887</v>
      </c>
      <c r="D120" s="24">
        <v>45698</v>
      </c>
      <c r="E120" s="1">
        <v>0</v>
      </c>
      <c r="F120" s="8">
        <v>6</v>
      </c>
      <c r="G120" s="30">
        <f t="shared" si="4"/>
        <v>5.333333333333333</v>
      </c>
      <c r="H120" s="8">
        <f t="shared" si="7"/>
        <v>0.66666666666666663</v>
      </c>
      <c r="I120">
        <f t="shared" si="6"/>
        <v>0.66666666666666663</v>
      </c>
      <c r="J120">
        <f>SUMIF(Oeffentlichkeitsarbeit!$D:$D,$B120,Oeffentlichkeitsarbeit!$F:$F)</f>
        <v>0</v>
      </c>
      <c r="K120">
        <f>COUNTIF(Fairteiler!$D:$D,$B120)*1/2</f>
        <v>0</v>
      </c>
      <c r="L120">
        <f>COUNTIF('NP-Betrieb'!D:D,$B120)*1/3</f>
        <v>0.66666666666666663</v>
      </c>
      <c r="M120">
        <f>COUNTIF(Fairteilungen!$D:$D,$B120)*3/4</f>
        <v>0</v>
      </c>
      <c r="N120">
        <f>COUNTIF(Anlieferung!D:D,$B120)*1/2</f>
        <v>0</v>
      </c>
      <c r="O120">
        <f>COUNTIF(Probeabholungen!B:B,$B120)*1/3</f>
        <v>0</v>
      </c>
    </row>
    <row r="121" spans="1:15" ht="27.6">
      <c r="A121" s="8" t="s">
        <v>123</v>
      </c>
      <c r="B121" s="8">
        <v>574493</v>
      </c>
      <c r="D121" s="29">
        <v>45107</v>
      </c>
      <c r="E121" s="1">
        <v>12</v>
      </c>
      <c r="F121" s="8">
        <v>6</v>
      </c>
      <c r="G121" s="30">
        <f t="shared" si="4"/>
        <v>18</v>
      </c>
      <c r="H121" s="8">
        <f t="shared" si="7"/>
        <v>-12</v>
      </c>
      <c r="I121">
        <f t="shared" si="6"/>
        <v>0</v>
      </c>
      <c r="J121">
        <f>SUMIF(Oeffentlichkeitsarbeit!$D:$D,$B121,Oeffentlichkeitsarbeit!$F:$F)</f>
        <v>0</v>
      </c>
      <c r="K121">
        <f>COUNTIF(Fairteiler!$D:$D,$B121)*1/2</f>
        <v>0</v>
      </c>
      <c r="L121">
        <f>COUNTIF('NP-Betrieb'!D:D,$B121)*1/3</f>
        <v>0</v>
      </c>
      <c r="M121">
        <f>COUNTIF(Fairteilungen!$D:$D,$B121)*3/4</f>
        <v>0</v>
      </c>
      <c r="N121">
        <f>COUNTIF(Anlieferung!D:D,$B121)*1/2</f>
        <v>0</v>
      </c>
      <c r="O121">
        <f>COUNTIF(Probeabholungen!B:B,$B121)*1/3</f>
        <v>0</v>
      </c>
    </row>
    <row r="122" spans="1:15" ht="27.6">
      <c r="A122" s="16" t="s">
        <v>124</v>
      </c>
      <c r="B122" s="16">
        <v>229379</v>
      </c>
      <c r="C122" s="16" t="s">
        <v>831</v>
      </c>
      <c r="D122" s="29"/>
      <c r="E122" s="1">
        <v>0</v>
      </c>
      <c r="F122" s="16">
        <v>0</v>
      </c>
      <c r="G122" s="30">
        <f t="shared" si="4"/>
        <v>-0.66666666666666663</v>
      </c>
      <c r="H122" s="16">
        <f t="shared" si="7"/>
        <v>0.66666666666666663</v>
      </c>
      <c r="I122">
        <f t="shared" si="6"/>
        <v>0.66666666666666663</v>
      </c>
      <c r="J122">
        <f>SUMIF(Oeffentlichkeitsarbeit!$D:$D,$B122,Oeffentlichkeitsarbeit!$F:$F)</f>
        <v>0</v>
      </c>
      <c r="K122">
        <f>COUNTIF(Fairteiler!$D:$D,$B122)*1/2</f>
        <v>0</v>
      </c>
      <c r="L122">
        <f>COUNTIF('NP-Betrieb'!D:D,$B122)*1/3</f>
        <v>0.66666666666666663</v>
      </c>
      <c r="M122">
        <f>COUNTIF(Fairteilungen!$D:$D,$B122)*3/4</f>
        <v>0</v>
      </c>
      <c r="N122">
        <f>COUNTIF(Anlieferung!D:D,$B122)*1/2</f>
        <v>0</v>
      </c>
      <c r="O122">
        <f>COUNTIF(Probeabholungen!B:B,$B122)*1/3</f>
        <v>0</v>
      </c>
    </row>
    <row r="123" spans="1:15">
      <c r="A123" s="8" t="s">
        <v>125</v>
      </c>
      <c r="B123" s="8">
        <v>112263</v>
      </c>
      <c r="D123" s="29">
        <v>45201</v>
      </c>
      <c r="E123" s="1">
        <v>11</v>
      </c>
      <c r="F123" s="8">
        <v>6</v>
      </c>
      <c r="G123" s="30">
        <f t="shared" si="4"/>
        <v>17</v>
      </c>
      <c r="H123" s="8">
        <f t="shared" si="7"/>
        <v>-11</v>
      </c>
      <c r="I123">
        <f t="shared" si="6"/>
        <v>0</v>
      </c>
      <c r="J123">
        <f>SUMIF(Oeffentlichkeitsarbeit!$D:$D,$B123,Oeffentlichkeitsarbeit!$F:$F)</f>
        <v>0</v>
      </c>
      <c r="K123">
        <f>COUNTIF(Fairteiler!$D:$D,$B123)*1/2</f>
        <v>0</v>
      </c>
      <c r="L123">
        <f>COUNTIF('NP-Betrieb'!D:D,$B123)*1/3</f>
        <v>0</v>
      </c>
      <c r="M123">
        <f>COUNTIF(Fairteilungen!$D:$D,$B123)*3/4</f>
        <v>0</v>
      </c>
      <c r="N123">
        <f>COUNTIF(Anlieferung!D:D,$B123)*1/2</f>
        <v>0</v>
      </c>
      <c r="O123">
        <f>COUNTIF(Probeabholungen!B:B,$B123)*1/3</f>
        <v>0</v>
      </c>
    </row>
    <row r="124" spans="1:15">
      <c r="A124" s="8" t="s">
        <v>126</v>
      </c>
      <c r="B124" s="8">
        <v>620545</v>
      </c>
      <c r="D124" s="24">
        <v>45749</v>
      </c>
      <c r="E124" s="1">
        <v>0</v>
      </c>
      <c r="F124">
        <v>6</v>
      </c>
      <c r="G124" s="30">
        <f t="shared" si="4"/>
        <v>1</v>
      </c>
      <c r="H124" s="8">
        <f t="shared" si="7"/>
        <v>5</v>
      </c>
      <c r="I124">
        <f t="shared" si="6"/>
        <v>5</v>
      </c>
      <c r="J124">
        <f>SUMIF(Oeffentlichkeitsarbeit!$D:$D,$B124,Oeffentlichkeitsarbeit!$F:$F)</f>
        <v>0</v>
      </c>
      <c r="K124">
        <f>COUNTIF(Fairteiler!$D:$D,$B124)*1/2</f>
        <v>0</v>
      </c>
      <c r="L124">
        <f>COUNTIF('NP-Betrieb'!D:D,$B124)*1/3</f>
        <v>5</v>
      </c>
      <c r="M124">
        <f>COUNTIF(Fairteilungen!$D:$D,$B124)*3/4</f>
        <v>0</v>
      </c>
      <c r="N124">
        <f>COUNTIF(Anlieferung!D:D,$B124)*1/2</f>
        <v>0</v>
      </c>
      <c r="O124">
        <f>COUNTIF(Probeabholungen!B:B,$B124)*1/3</f>
        <v>0</v>
      </c>
    </row>
    <row r="125" spans="1:15" ht="27.6">
      <c r="A125" s="8" t="s">
        <v>127</v>
      </c>
      <c r="B125" s="8">
        <v>758341</v>
      </c>
      <c r="D125" s="29">
        <v>45117</v>
      </c>
      <c r="E125" s="1">
        <v>6</v>
      </c>
      <c r="F125" s="8">
        <v>6</v>
      </c>
      <c r="G125" s="30">
        <f t="shared" si="4"/>
        <v>12</v>
      </c>
      <c r="H125" s="8">
        <f t="shared" si="7"/>
        <v>-6</v>
      </c>
      <c r="I125">
        <f t="shared" si="6"/>
        <v>0</v>
      </c>
      <c r="J125">
        <f>SUMIF(Oeffentlichkeitsarbeit!$D:$D,$B125,Oeffentlichkeitsarbeit!$F:$F)</f>
        <v>0</v>
      </c>
      <c r="K125">
        <f>COUNTIF(Fairteiler!$D:$D,$B125)*1/2</f>
        <v>0</v>
      </c>
      <c r="L125">
        <f>COUNTIF('NP-Betrieb'!D:D,$B125)*1/3</f>
        <v>0</v>
      </c>
      <c r="M125">
        <f>COUNTIF(Fairteilungen!$D:$D,$B125)*3/4</f>
        <v>0</v>
      </c>
      <c r="N125">
        <f>COUNTIF(Anlieferung!D:D,$B125)*1/2</f>
        <v>0</v>
      </c>
      <c r="O125">
        <f>COUNTIF(Probeabholungen!B:B,$B125)*1/3</f>
        <v>0</v>
      </c>
    </row>
    <row r="126" spans="1:15" ht="27.6">
      <c r="A126" s="8" t="s">
        <v>128</v>
      </c>
      <c r="B126" s="8">
        <v>735827</v>
      </c>
      <c r="D126" s="24">
        <v>45551</v>
      </c>
      <c r="E126" s="1">
        <v>0</v>
      </c>
      <c r="F126" s="8">
        <v>6</v>
      </c>
      <c r="G126" s="30">
        <f t="shared" si="4"/>
        <v>3.3333333333333335</v>
      </c>
      <c r="H126" s="8">
        <f t="shared" si="7"/>
        <v>2.6666666666666665</v>
      </c>
      <c r="I126">
        <f t="shared" si="6"/>
        <v>2.6666666666666665</v>
      </c>
      <c r="J126">
        <f>SUMIF(Oeffentlichkeitsarbeit!$D:$D,$B126,Oeffentlichkeitsarbeit!$F:$F)</f>
        <v>0</v>
      </c>
      <c r="K126">
        <f>COUNTIF(Fairteiler!$D:$D,$B126)*1/2</f>
        <v>0</v>
      </c>
      <c r="L126">
        <f>COUNTIF('NP-Betrieb'!D:D,$B126)*1/3</f>
        <v>2.6666666666666665</v>
      </c>
      <c r="M126">
        <f>COUNTIF(Fairteilungen!$D:$D,$B126)*3/4</f>
        <v>0</v>
      </c>
      <c r="N126">
        <f>COUNTIF(Anlieferung!D:D,$B126)*1/2</f>
        <v>0</v>
      </c>
      <c r="O126">
        <f>COUNTIF(Probeabholungen!B:B,$B126)*1/3</f>
        <v>0</v>
      </c>
    </row>
    <row r="127" spans="1:15" ht="27.6">
      <c r="A127" s="8" t="s">
        <v>129</v>
      </c>
      <c r="B127" s="8">
        <v>794490</v>
      </c>
      <c r="D127" s="29">
        <v>45387</v>
      </c>
      <c r="E127" s="1">
        <v>1.6666666666666701</v>
      </c>
      <c r="F127" s="8">
        <v>6</v>
      </c>
      <c r="G127" s="30">
        <f t="shared" si="4"/>
        <v>6.0000000000000036</v>
      </c>
      <c r="H127" s="8">
        <f t="shared" si="7"/>
        <v>-3.3306690738754696E-15</v>
      </c>
      <c r="I127">
        <f t="shared" si="6"/>
        <v>1.6666666666666667</v>
      </c>
      <c r="J127">
        <f>SUMIF(Oeffentlichkeitsarbeit!$D:$D,$B127,Oeffentlichkeitsarbeit!$F:$F)</f>
        <v>0</v>
      </c>
      <c r="K127">
        <f>COUNTIF(Fairteiler!$D:$D,$B127)*1/2</f>
        <v>0</v>
      </c>
      <c r="L127">
        <f>COUNTIF('NP-Betrieb'!D:D,$B127)*1/3</f>
        <v>1.6666666666666667</v>
      </c>
      <c r="M127">
        <f>COUNTIF(Fairteilungen!$D:$D,$B127)*3/4</f>
        <v>0</v>
      </c>
      <c r="N127">
        <f>COUNTIF(Anlieferung!D:D,$B127)*1/2</f>
        <v>0</v>
      </c>
      <c r="O127">
        <f>COUNTIF(Probeabholungen!B:B,$B127)*1/3</f>
        <v>0</v>
      </c>
    </row>
    <row r="128" spans="1:15" ht="27.6">
      <c r="A128" s="8" t="s">
        <v>130</v>
      </c>
      <c r="B128" s="8">
        <v>488514</v>
      </c>
      <c r="D128" s="29"/>
      <c r="E128" s="1">
        <v>5.6666666666666696</v>
      </c>
      <c r="F128" s="8">
        <v>6</v>
      </c>
      <c r="G128" s="30">
        <f t="shared" si="4"/>
        <v>11.66666666666667</v>
      </c>
      <c r="H128" s="8">
        <f t="shared" si="7"/>
        <v>-5.6666666666666696</v>
      </c>
      <c r="I128">
        <f t="shared" si="6"/>
        <v>0</v>
      </c>
      <c r="J128">
        <f>SUMIF(Oeffentlichkeitsarbeit!$D:$D,$B128,Oeffentlichkeitsarbeit!$F:$F)</f>
        <v>0</v>
      </c>
      <c r="K128">
        <f>COUNTIF(Fairteiler!$D:$D,$B128)*1/2</f>
        <v>0</v>
      </c>
      <c r="L128">
        <f>COUNTIF('NP-Betrieb'!D:D,$B128)*1/3</f>
        <v>0</v>
      </c>
      <c r="M128">
        <f>COUNTIF(Fairteilungen!$D:$D,$B128)*3/4</f>
        <v>0</v>
      </c>
      <c r="N128">
        <f>COUNTIF(Anlieferung!D:D,$B128)*1/2</f>
        <v>0</v>
      </c>
      <c r="O128">
        <f>COUNTIF(Probeabholungen!B:B,$B128)*1/3</f>
        <v>0</v>
      </c>
    </row>
    <row r="129" spans="1:15" ht="27.6">
      <c r="A129" s="8" t="s">
        <v>131</v>
      </c>
      <c r="B129" s="8">
        <v>439207</v>
      </c>
      <c r="D129" s="29"/>
      <c r="E129" s="1">
        <v>0</v>
      </c>
      <c r="F129" s="8">
        <v>6</v>
      </c>
      <c r="G129" s="30">
        <f t="shared" si="4"/>
        <v>4.333333333333333</v>
      </c>
      <c r="H129" s="8">
        <f t="shared" si="7"/>
        <v>1.6666666666666667</v>
      </c>
      <c r="I129">
        <f t="shared" si="6"/>
        <v>1.6666666666666667</v>
      </c>
      <c r="J129">
        <f>SUMIF(Oeffentlichkeitsarbeit!$D:$D,$B129,Oeffentlichkeitsarbeit!$F:$F)</f>
        <v>0</v>
      </c>
      <c r="K129">
        <f>COUNTIF(Fairteiler!$D:$D,$B129)*1/2</f>
        <v>0</v>
      </c>
      <c r="L129">
        <f>COUNTIF('NP-Betrieb'!D:D,$B129)*1/3</f>
        <v>1.6666666666666667</v>
      </c>
      <c r="M129">
        <f>COUNTIF(Fairteilungen!$D:$D,$B129)*3/4</f>
        <v>0</v>
      </c>
      <c r="N129">
        <f>COUNTIF(Anlieferung!D:D,$B129)*1/2</f>
        <v>0</v>
      </c>
      <c r="O129">
        <f>COUNTIF(Probeabholungen!B:B,$B129)*1/3</f>
        <v>0</v>
      </c>
    </row>
    <row r="130" spans="1:15" ht="27.6">
      <c r="A130" s="8" t="s">
        <v>132</v>
      </c>
      <c r="B130" s="8">
        <v>338081</v>
      </c>
      <c r="D130" s="29"/>
      <c r="E130" s="1">
        <v>15.5</v>
      </c>
      <c r="F130" s="8">
        <v>6</v>
      </c>
      <c r="G130" s="30">
        <f t="shared" ref="G130:G193" si="8">F130-H130</f>
        <v>21.5</v>
      </c>
      <c r="H130" s="8">
        <f t="shared" ref="H130:H154" si="9">I130-E130</f>
        <v>-15.5</v>
      </c>
      <c r="I130">
        <f t="shared" ref="I130:I193" si="10">SUM(J130:O130)</f>
        <v>0</v>
      </c>
      <c r="J130">
        <f>SUMIF(Oeffentlichkeitsarbeit!$D:$D,$B130,Oeffentlichkeitsarbeit!$F:$F)</f>
        <v>0</v>
      </c>
      <c r="K130">
        <f>COUNTIF(Fairteiler!$D:$D,$B130)*1/2</f>
        <v>0</v>
      </c>
      <c r="L130">
        <f>COUNTIF('NP-Betrieb'!D:D,$B130)*1/3</f>
        <v>0</v>
      </c>
      <c r="M130">
        <f>COUNTIF(Fairteilungen!$D:$D,$B130)*3/4</f>
        <v>0</v>
      </c>
      <c r="N130">
        <f>COUNTIF(Anlieferung!D:D,$B130)*1/2</f>
        <v>0</v>
      </c>
      <c r="O130">
        <f>COUNTIF(Probeabholungen!B:B,$B130)*1/3</f>
        <v>0</v>
      </c>
    </row>
    <row r="131" spans="1:15" ht="27.6">
      <c r="A131" s="8" t="s">
        <v>133</v>
      </c>
      <c r="B131" s="8">
        <v>504028</v>
      </c>
      <c r="D131" s="29"/>
      <c r="E131" s="1">
        <v>6</v>
      </c>
      <c r="F131" s="8">
        <v>6</v>
      </c>
      <c r="G131" s="30">
        <f t="shared" si="8"/>
        <v>12</v>
      </c>
      <c r="H131" s="8">
        <f t="shared" si="9"/>
        <v>-6</v>
      </c>
      <c r="I131">
        <f t="shared" si="10"/>
        <v>0</v>
      </c>
      <c r="J131">
        <f>SUMIF(Oeffentlichkeitsarbeit!$D:$D,$B131,Oeffentlichkeitsarbeit!$F:$F)</f>
        <v>0</v>
      </c>
      <c r="K131">
        <f>COUNTIF(Fairteiler!$D:$D,$B131)*1/2</f>
        <v>0</v>
      </c>
      <c r="L131">
        <f>COUNTIF('NP-Betrieb'!D:D,$B131)*1/3</f>
        <v>0</v>
      </c>
      <c r="M131">
        <f>COUNTIF(Fairteilungen!$D:$D,$B131)*3/4</f>
        <v>0</v>
      </c>
      <c r="N131">
        <f>COUNTIF(Anlieferung!D:D,$B131)*1/2</f>
        <v>0</v>
      </c>
      <c r="O131">
        <f>COUNTIF(Probeabholungen!B:B,$B131)*1/3</f>
        <v>0</v>
      </c>
    </row>
    <row r="132" spans="1:15" ht="27.6">
      <c r="A132" s="8" t="s">
        <v>134</v>
      </c>
      <c r="B132" s="8">
        <v>597830</v>
      </c>
      <c r="D132" s="29"/>
      <c r="E132" s="1">
        <v>0</v>
      </c>
      <c r="F132" s="8">
        <v>6</v>
      </c>
      <c r="G132" s="30">
        <f t="shared" si="8"/>
        <v>2.333333333333333</v>
      </c>
      <c r="H132" s="8">
        <f t="shared" si="9"/>
        <v>3.666666666666667</v>
      </c>
      <c r="I132">
        <f t="shared" si="10"/>
        <v>3.666666666666667</v>
      </c>
      <c r="J132">
        <f>SUMIF(Oeffentlichkeitsarbeit!$D:$D,$B132,Oeffentlichkeitsarbeit!$F:$F)</f>
        <v>0</v>
      </c>
      <c r="K132">
        <f>COUNTIF(Fairteiler!$D:$D,$B132)*1/2</f>
        <v>2</v>
      </c>
      <c r="L132">
        <f>COUNTIF('NP-Betrieb'!D:D,$B132)*1/3</f>
        <v>1.6666666666666667</v>
      </c>
      <c r="M132">
        <f>COUNTIF(Fairteilungen!$D:$D,$B132)*3/4</f>
        <v>0</v>
      </c>
      <c r="N132">
        <f>COUNTIF(Anlieferung!D:D,$B132)*1/2</f>
        <v>0</v>
      </c>
      <c r="O132">
        <f>COUNTIF(Probeabholungen!B:B,$B132)*1/3</f>
        <v>0</v>
      </c>
    </row>
    <row r="133" spans="1:15" ht="27.6">
      <c r="A133" s="8" t="s">
        <v>135</v>
      </c>
      <c r="B133" s="8">
        <v>472114</v>
      </c>
      <c r="D133" s="29"/>
      <c r="E133" s="1">
        <v>0</v>
      </c>
      <c r="F133" s="8">
        <v>6</v>
      </c>
      <c r="G133" s="30">
        <f t="shared" si="8"/>
        <v>3.166666666666667</v>
      </c>
      <c r="H133" s="8">
        <f t="shared" si="9"/>
        <v>2.833333333333333</v>
      </c>
      <c r="I133">
        <f t="shared" si="10"/>
        <v>2.833333333333333</v>
      </c>
      <c r="J133">
        <f>SUMIF(Oeffentlichkeitsarbeit!$D:$D,$B133,Oeffentlichkeitsarbeit!$F:$F)</f>
        <v>0</v>
      </c>
      <c r="K133">
        <f>COUNTIF(Fairteiler!$D:$D,$B133)*1/2</f>
        <v>1.5</v>
      </c>
      <c r="L133">
        <f>COUNTIF('NP-Betrieb'!D:D,$B133)*1/3</f>
        <v>1.3333333333333333</v>
      </c>
      <c r="M133">
        <f>COUNTIF(Fairteilungen!$D:$D,$B133)*3/4</f>
        <v>0</v>
      </c>
      <c r="N133">
        <f>COUNTIF(Anlieferung!D:D,$B133)*1/2</f>
        <v>0</v>
      </c>
      <c r="O133">
        <f>COUNTIF(Probeabholungen!B:B,$B133)*1/3</f>
        <v>0</v>
      </c>
    </row>
    <row r="134" spans="1:15" ht="27.6">
      <c r="A134" s="8" t="s">
        <v>136</v>
      </c>
      <c r="B134" s="8">
        <v>234073</v>
      </c>
      <c r="D134" s="29"/>
      <c r="E134" s="1">
        <v>7.6666666666666696</v>
      </c>
      <c r="F134" s="8">
        <v>6</v>
      </c>
      <c r="G134" s="30">
        <f t="shared" si="8"/>
        <v>13.66666666666667</v>
      </c>
      <c r="H134" s="8">
        <f t="shared" si="9"/>
        <v>-7.6666666666666696</v>
      </c>
      <c r="I134">
        <f t="shared" si="10"/>
        <v>0</v>
      </c>
      <c r="J134">
        <f>SUMIF(Oeffentlichkeitsarbeit!$D:$D,$B134,Oeffentlichkeitsarbeit!$F:$F)</f>
        <v>0</v>
      </c>
      <c r="K134">
        <f>COUNTIF(Fairteiler!$D:$D,$B134)*1/2</f>
        <v>0</v>
      </c>
      <c r="L134">
        <f>COUNTIF('NP-Betrieb'!D:D,$B134)*1/3</f>
        <v>0</v>
      </c>
      <c r="M134">
        <f>COUNTIF(Fairteilungen!$D:$D,$B134)*3/4</f>
        <v>0</v>
      </c>
      <c r="N134">
        <f>COUNTIF(Anlieferung!D:D,$B134)*1/2</f>
        <v>0</v>
      </c>
      <c r="O134">
        <f>COUNTIF(Probeabholungen!B:B,$B134)*1/3</f>
        <v>0</v>
      </c>
    </row>
    <row r="135" spans="1:15" ht="27.6">
      <c r="A135" s="8" t="s">
        <v>137</v>
      </c>
      <c r="B135" s="8">
        <v>473781</v>
      </c>
      <c r="D135" s="29"/>
      <c r="E135" s="1">
        <v>0</v>
      </c>
      <c r="F135" s="8">
        <v>6</v>
      </c>
      <c r="G135" s="30">
        <f t="shared" si="8"/>
        <v>6</v>
      </c>
      <c r="H135" s="8">
        <f t="shared" si="9"/>
        <v>0</v>
      </c>
      <c r="I135">
        <f t="shared" si="10"/>
        <v>0</v>
      </c>
      <c r="J135">
        <f>SUMIF(Oeffentlichkeitsarbeit!$D:$D,$B135,Oeffentlichkeitsarbeit!$F:$F)</f>
        <v>0</v>
      </c>
      <c r="K135">
        <f>COUNTIF(Fairteiler!$D:$D,$B135)*1/2</f>
        <v>0</v>
      </c>
      <c r="L135">
        <f>COUNTIF('NP-Betrieb'!D:D,$B135)*1/3</f>
        <v>0</v>
      </c>
      <c r="M135">
        <f>COUNTIF(Fairteilungen!$D:$D,$B135)*3/4</f>
        <v>0</v>
      </c>
      <c r="N135">
        <f>COUNTIF(Anlieferung!D:D,$B135)*1/2</f>
        <v>0</v>
      </c>
      <c r="O135">
        <f>COUNTIF(Probeabholungen!B:B,$B135)*1/3</f>
        <v>0</v>
      </c>
    </row>
    <row r="136" spans="1:15" ht="27.6">
      <c r="A136" s="8" t="s">
        <v>138</v>
      </c>
      <c r="B136" s="8">
        <v>584071</v>
      </c>
      <c r="D136" s="29"/>
      <c r="E136" s="1">
        <v>0</v>
      </c>
      <c r="F136" s="8">
        <v>6</v>
      </c>
      <c r="G136" s="30">
        <f t="shared" si="8"/>
        <v>-6</v>
      </c>
      <c r="H136" s="8">
        <f t="shared" si="9"/>
        <v>12</v>
      </c>
      <c r="I136">
        <f t="shared" si="10"/>
        <v>12</v>
      </c>
      <c r="J136">
        <f>SUMIF(Oeffentlichkeitsarbeit!$D:$D,$B136,Oeffentlichkeitsarbeit!$F:$F)</f>
        <v>0</v>
      </c>
      <c r="K136">
        <f>COUNTIF(Fairteiler!$D:$D,$B136)*1/2</f>
        <v>0</v>
      </c>
      <c r="L136">
        <f>COUNTIF('NP-Betrieb'!D:D,$B136)*1/3</f>
        <v>12</v>
      </c>
      <c r="M136">
        <f>COUNTIF(Fairteilungen!$D:$D,$B136)*3/4</f>
        <v>0</v>
      </c>
      <c r="N136">
        <f>COUNTIF(Anlieferung!D:D,$B136)*1/2</f>
        <v>0</v>
      </c>
      <c r="O136">
        <f>COUNTIF(Probeabholungen!B:B,$B136)*1/3</f>
        <v>0</v>
      </c>
    </row>
    <row r="137" spans="1:15">
      <c r="A137" s="82" t="s">
        <v>2985</v>
      </c>
      <c r="B137" s="82">
        <v>980962</v>
      </c>
      <c r="D137" s="24">
        <v>46143</v>
      </c>
      <c r="E137" s="1">
        <v>0</v>
      </c>
      <c r="F137" s="8">
        <v>4</v>
      </c>
      <c r="G137" s="30">
        <f t="shared" si="8"/>
        <v>4</v>
      </c>
      <c r="H137" s="8">
        <f t="shared" si="9"/>
        <v>0</v>
      </c>
      <c r="I137">
        <f t="shared" si="10"/>
        <v>0</v>
      </c>
      <c r="J137">
        <f>SUMIF(Oeffentlichkeitsarbeit!$D:$D,$B137,Oeffentlichkeitsarbeit!$F:$F)</f>
        <v>0</v>
      </c>
      <c r="K137">
        <f>COUNTIF(Fairteiler!$D:$D,$B137)*1/2</f>
        <v>0</v>
      </c>
      <c r="L137">
        <f>COUNTIF('NP-Betrieb'!D:D,$B137)*1/3</f>
        <v>0</v>
      </c>
      <c r="M137">
        <f>COUNTIF(Fairteilungen!$D:$D,$B137)*3/4</f>
        <v>0</v>
      </c>
      <c r="N137">
        <f>COUNTIF(Anlieferung!D:D,$B137)*1/2</f>
        <v>0</v>
      </c>
      <c r="O137">
        <f>COUNTIF(Probeabholungen!B:B,$B137)*1/3</f>
        <v>0</v>
      </c>
    </row>
    <row r="138" spans="1:15" ht="27.6">
      <c r="A138" s="8" t="s">
        <v>139</v>
      </c>
      <c r="B138" s="8">
        <v>568137</v>
      </c>
      <c r="D138" s="29">
        <v>45253</v>
      </c>
      <c r="E138" s="1">
        <v>0</v>
      </c>
      <c r="F138" s="8">
        <v>6</v>
      </c>
      <c r="G138" s="30">
        <f t="shared" si="8"/>
        <v>6</v>
      </c>
      <c r="H138" s="8">
        <f t="shared" si="9"/>
        <v>0</v>
      </c>
      <c r="I138">
        <f t="shared" si="10"/>
        <v>0</v>
      </c>
      <c r="J138">
        <f>SUMIF(Oeffentlichkeitsarbeit!$D:$D,$B138,Oeffentlichkeitsarbeit!$F:$F)</f>
        <v>0</v>
      </c>
      <c r="K138">
        <f>COUNTIF(Fairteiler!$D:$D,$B138)*1/2</f>
        <v>0</v>
      </c>
      <c r="L138">
        <f>COUNTIF('NP-Betrieb'!D:D,$B138)*1/3</f>
        <v>0</v>
      </c>
      <c r="M138">
        <f>COUNTIF(Fairteilungen!$D:$D,$B138)*3/4</f>
        <v>0</v>
      </c>
      <c r="N138">
        <f>COUNTIF(Anlieferung!D:D,$B138)*1/2</f>
        <v>0</v>
      </c>
      <c r="O138">
        <f>COUNTIF(Probeabholungen!B:B,$B138)*1/3</f>
        <v>0</v>
      </c>
    </row>
    <row r="139" spans="1:15" ht="27.6">
      <c r="A139" s="8" t="s">
        <v>841</v>
      </c>
      <c r="B139" s="8">
        <v>265674</v>
      </c>
      <c r="D139" s="24">
        <v>46055</v>
      </c>
      <c r="E139" s="1">
        <v>0</v>
      </c>
      <c r="F139" s="8">
        <v>5.5</v>
      </c>
      <c r="G139" s="25">
        <f t="shared" si="8"/>
        <v>5.5</v>
      </c>
      <c r="H139" s="8">
        <f t="shared" si="9"/>
        <v>0</v>
      </c>
      <c r="I139">
        <f t="shared" si="10"/>
        <v>0</v>
      </c>
      <c r="J139">
        <f>SUMIF(Oeffentlichkeitsarbeit!$D:$D,$B139,Oeffentlichkeitsarbeit!$F:$F)</f>
        <v>0</v>
      </c>
      <c r="K139">
        <f>COUNTIF(Fairteiler!$D:$D,$B139)*1/2</f>
        <v>0</v>
      </c>
      <c r="L139">
        <f>COUNTIF('NP-Betrieb'!D:D,$B139)*1/3</f>
        <v>0</v>
      </c>
      <c r="M139">
        <f>COUNTIF(Fairteilungen!$D:$D,$B139)*3/4</f>
        <v>0</v>
      </c>
      <c r="N139">
        <f>COUNTIF(Anlieferung!D:D,$B139)*1/2</f>
        <v>0</v>
      </c>
      <c r="O139">
        <f>COUNTIF(Probeabholungen!B:B,$B139)*1/3</f>
        <v>0</v>
      </c>
    </row>
    <row r="140" spans="1:15" ht="27.6">
      <c r="A140" s="8" t="s">
        <v>140</v>
      </c>
      <c r="B140" s="8">
        <v>630360</v>
      </c>
      <c r="D140" s="29"/>
      <c r="E140" s="1">
        <v>13.67</v>
      </c>
      <c r="F140" s="8">
        <v>6</v>
      </c>
      <c r="G140" s="30">
        <f t="shared" si="8"/>
        <v>19.670000000000002</v>
      </c>
      <c r="H140" s="8">
        <f t="shared" si="9"/>
        <v>-13.67</v>
      </c>
      <c r="I140">
        <f t="shared" si="10"/>
        <v>0</v>
      </c>
      <c r="J140">
        <f>SUMIF(Oeffentlichkeitsarbeit!$D:$D,$B140,Oeffentlichkeitsarbeit!$F:$F)</f>
        <v>0</v>
      </c>
      <c r="K140">
        <f>COUNTIF(Fairteiler!$D:$D,$B140)*1/2</f>
        <v>0</v>
      </c>
      <c r="L140">
        <f>COUNTIF('NP-Betrieb'!D:D,$B140)*1/3</f>
        <v>0</v>
      </c>
      <c r="M140">
        <f>COUNTIF(Fairteilungen!$D:$D,$B140)*3/4</f>
        <v>0</v>
      </c>
      <c r="N140">
        <f>COUNTIF(Anlieferung!D:D,$B140)*1/2</f>
        <v>0</v>
      </c>
      <c r="O140">
        <f>COUNTIF(Probeabholungen!B:B,$B140)*1/3</f>
        <v>0</v>
      </c>
    </row>
    <row r="141" spans="1:15" ht="41.4">
      <c r="A141" s="8" t="s">
        <v>141</v>
      </c>
      <c r="B141" s="8">
        <v>887353</v>
      </c>
      <c r="D141" s="24">
        <v>45622</v>
      </c>
      <c r="E141" s="1">
        <v>0</v>
      </c>
      <c r="F141" s="8">
        <v>6</v>
      </c>
      <c r="G141" s="30">
        <f t="shared" si="8"/>
        <v>5.666666666666667</v>
      </c>
      <c r="H141" s="8">
        <f t="shared" si="9"/>
        <v>0.33333333333333331</v>
      </c>
      <c r="I141">
        <f t="shared" si="10"/>
        <v>0.33333333333333331</v>
      </c>
      <c r="J141">
        <f>SUMIF(Oeffentlichkeitsarbeit!$D:$D,$B141,Oeffentlichkeitsarbeit!$F:$F)</f>
        <v>0</v>
      </c>
      <c r="K141">
        <f>COUNTIF(Fairteiler!$D:$D,$B141)*1/2</f>
        <v>0</v>
      </c>
      <c r="L141">
        <f>COUNTIF('NP-Betrieb'!D:D,$B141)*1/3</f>
        <v>0.33333333333333331</v>
      </c>
      <c r="M141">
        <f>COUNTIF(Fairteilungen!$D:$D,$B141)*3/4</f>
        <v>0</v>
      </c>
      <c r="N141">
        <f>COUNTIF(Anlieferung!D:D,$B141)*1/2</f>
        <v>0</v>
      </c>
      <c r="O141">
        <f>COUNTIF(Probeabholungen!B:B,$B141)*1/3</f>
        <v>0</v>
      </c>
    </row>
    <row r="142" spans="1:15" ht="27.6">
      <c r="A142" s="8" t="s">
        <v>142</v>
      </c>
      <c r="B142" s="8">
        <v>330352</v>
      </c>
      <c r="D142" s="29"/>
      <c r="E142" s="1">
        <v>12</v>
      </c>
      <c r="F142" s="8">
        <v>6</v>
      </c>
      <c r="G142" s="30">
        <f t="shared" si="8"/>
        <v>18</v>
      </c>
      <c r="H142" s="8">
        <f t="shared" si="9"/>
        <v>-12</v>
      </c>
      <c r="I142">
        <f t="shared" si="10"/>
        <v>0</v>
      </c>
      <c r="J142">
        <f>SUMIF(Oeffentlichkeitsarbeit!$D:$D,$B142,Oeffentlichkeitsarbeit!$F:$F)</f>
        <v>0</v>
      </c>
      <c r="K142">
        <f>COUNTIF(Fairteiler!$D:$D,$B142)*1/2</f>
        <v>0</v>
      </c>
      <c r="L142">
        <f>COUNTIF('NP-Betrieb'!D:D,$B142)*1/3</f>
        <v>0</v>
      </c>
      <c r="M142">
        <f>COUNTIF(Fairteilungen!$D:$D,$B142)*3/4</f>
        <v>0</v>
      </c>
      <c r="N142">
        <f>COUNTIF(Anlieferung!D:D,$B142)*1/2</f>
        <v>0</v>
      </c>
      <c r="O142">
        <f>COUNTIF(Probeabholungen!B:B,$B142)*1/3</f>
        <v>0</v>
      </c>
    </row>
    <row r="143" spans="1:15">
      <c r="A143" s="8" t="s">
        <v>143</v>
      </c>
      <c r="B143" s="8">
        <v>968584</v>
      </c>
      <c r="D143" s="24">
        <v>45985</v>
      </c>
      <c r="E143" s="1">
        <v>0</v>
      </c>
      <c r="F143">
        <v>6</v>
      </c>
      <c r="G143" s="30">
        <f t="shared" si="8"/>
        <v>0.66666666666666696</v>
      </c>
      <c r="H143" s="8">
        <f t="shared" si="9"/>
        <v>5.333333333333333</v>
      </c>
      <c r="I143">
        <f t="shared" si="10"/>
        <v>5.333333333333333</v>
      </c>
      <c r="J143">
        <f>SUMIF(Oeffentlichkeitsarbeit!$D:$D,$B143,Oeffentlichkeitsarbeit!$F:$F)</f>
        <v>0</v>
      </c>
      <c r="K143">
        <f>COUNTIF(Fairteiler!$D:$D,$B143)*1/2</f>
        <v>0</v>
      </c>
      <c r="L143">
        <f>COUNTIF('NP-Betrieb'!D:D,$B143)*1/3</f>
        <v>5.333333333333333</v>
      </c>
      <c r="M143">
        <f>COUNTIF(Fairteilungen!$D:$D,$B143)*3/4</f>
        <v>0</v>
      </c>
      <c r="N143">
        <f>COUNTIF(Anlieferung!D:D,$B143)*1/2</f>
        <v>0</v>
      </c>
      <c r="O143">
        <f>COUNTIF(Probeabholungen!B:B,$B143)*1/3</f>
        <v>0</v>
      </c>
    </row>
    <row r="144" spans="1:15" ht="27.6">
      <c r="A144" s="8" t="s">
        <v>144</v>
      </c>
      <c r="B144" s="8">
        <v>468386</v>
      </c>
      <c r="D144" s="29"/>
      <c r="E144" s="1">
        <v>0</v>
      </c>
      <c r="F144" s="8">
        <v>0.5</v>
      </c>
      <c r="G144" s="30">
        <f t="shared" si="8"/>
        <v>0.5</v>
      </c>
      <c r="H144" s="8">
        <f t="shared" si="9"/>
        <v>0</v>
      </c>
      <c r="I144">
        <f t="shared" si="10"/>
        <v>0</v>
      </c>
      <c r="J144">
        <f>SUMIF(Oeffentlichkeitsarbeit!$D:$D,$B144,Oeffentlichkeitsarbeit!$F:$F)</f>
        <v>0</v>
      </c>
      <c r="K144">
        <f>COUNTIF(Fairteiler!$D:$D,$B144)*1/2</f>
        <v>0</v>
      </c>
      <c r="L144">
        <f>COUNTIF('NP-Betrieb'!D:D,$B144)*1/3</f>
        <v>0</v>
      </c>
      <c r="M144">
        <f>COUNTIF(Fairteilungen!$D:$D,$B144)*3/4</f>
        <v>0</v>
      </c>
      <c r="N144">
        <f>COUNTIF(Anlieferung!D:D,$B144)*1/2</f>
        <v>0</v>
      </c>
      <c r="O144">
        <f>COUNTIF(Probeabholungen!B:B,$B144)*1/3</f>
        <v>0</v>
      </c>
    </row>
    <row r="145" spans="1:15" s="31" customFormat="1" ht="27.6">
      <c r="A145" s="8" t="s">
        <v>145</v>
      </c>
      <c r="B145" s="8">
        <v>804250</v>
      </c>
      <c r="C145"/>
      <c r="D145" s="24">
        <v>45622</v>
      </c>
      <c r="E145" s="1">
        <v>6</v>
      </c>
      <c r="F145" s="8">
        <v>6</v>
      </c>
      <c r="G145" s="30">
        <f t="shared" si="8"/>
        <v>9.6666666666666661</v>
      </c>
      <c r="H145" s="8">
        <f t="shared" si="9"/>
        <v>-3.6666666666666665</v>
      </c>
      <c r="I145">
        <f t="shared" si="10"/>
        <v>2.3333333333333335</v>
      </c>
      <c r="J145">
        <f>SUMIF(Oeffentlichkeitsarbeit!$D:$D,$B145,Oeffentlichkeitsarbeit!$F:$F)</f>
        <v>0</v>
      </c>
      <c r="K145">
        <f>COUNTIF(Fairteiler!$D:$D,$B145)*1/2</f>
        <v>0</v>
      </c>
      <c r="L145">
        <f>COUNTIF('NP-Betrieb'!D:D,$B145)*1/3</f>
        <v>2.3333333333333335</v>
      </c>
      <c r="M145">
        <f>COUNTIF(Fairteilungen!$D:$D,$B145)*3/4</f>
        <v>0</v>
      </c>
      <c r="N145">
        <f>COUNTIF(Anlieferung!D:D,$B145)*1/2</f>
        <v>0</v>
      </c>
      <c r="O145">
        <f>COUNTIF(Probeabholungen!B:B,$B145)*1/3</f>
        <v>0</v>
      </c>
    </row>
    <row r="146" spans="1:15" ht="27.6">
      <c r="A146" s="8" t="s">
        <v>146</v>
      </c>
      <c r="B146" s="8">
        <v>603616</v>
      </c>
      <c r="C146" s="8"/>
      <c r="D146" s="29"/>
      <c r="E146" s="1">
        <v>6</v>
      </c>
      <c r="F146" s="8">
        <v>6</v>
      </c>
      <c r="G146" s="30">
        <f t="shared" si="8"/>
        <v>12</v>
      </c>
      <c r="H146" s="8">
        <f t="shared" si="9"/>
        <v>-6</v>
      </c>
      <c r="I146" s="31">
        <f t="shared" si="10"/>
        <v>0</v>
      </c>
      <c r="J146" s="31">
        <f>SUMIF(Oeffentlichkeitsarbeit!$D:$D,$B146,Oeffentlichkeitsarbeit!$F:$F)</f>
        <v>0</v>
      </c>
      <c r="K146" s="31">
        <f>COUNTIF(Fairteiler!$D:$D,$B146)*1/2</f>
        <v>0</v>
      </c>
      <c r="L146" s="31">
        <f>COUNTIF('NP-Betrieb'!D:D,$B146)*1/3</f>
        <v>0</v>
      </c>
      <c r="M146" s="31">
        <f>COUNTIF(Fairteilungen!$D:$D,$B146)*3/4</f>
        <v>0</v>
      </c>
      <c r="N146" s="31">
        <f>COUNTIF(Anlieferung!D:D,$B146)*1/2</f>
        <v>0</v>
      </c>
      <c r="O146" s="31">
        <f>COUNTIF(Probeabholungen!B:B,$B146)*1/3</f>
        <v>0</v>
      </c>
    </row>
    <row r="147" spans="1:15" ht="27.6">
      <c r="A147" s="8" t="s">
        <v>147</v>
      </c>
      <c r="B147" s="8">
        <v>495533</v>
      </c>
      <c r="D147" s="29"/>
      <c r="E147" s="1">
        <v>0.83333333333333404</v>
      </c>
      <c r="F147" s="8">
        <v>6</v>
      </c>
      <c r="G147" s="30">
        <f t="shared" si="8"/>
        <v>-3.6666666666666661</v>
      </c>
      <c r="H147" s="8">
        <f t="shared" si="9"/>
        <v>9.6666666666666661</v>
      </c>
      <c r="I147">
        <f t="shared" si="10"/>
        <v>10.5</v>
      </c>
      <c r="J147">
        <f>SUMIF(Oeffentlichkeitsarbeit!$D:$D,$B147,Oeffentlichkeitsarbeit!$F:$F)</f>
        <v>0</v>
      </c>
      <c r="K147">
        <f>COUNTIF(Fairteiler!$D:$D,$B147)*1/2</f>
        <v>5.5</v>
      </c>
      <c r="L147">
        <f>COUNTIF('NP-Betrieb'!D:D,$B147)*1/3</f>
        <v>5</v>
      </c>
      <c r="M147">
        <f>COUNTIF(Fairteilungen!$D:$D,$B147)*3/4</f>
        <v>0</v>
      </c>
      <c r="N147">
        <f>COUNTIF(Anlieferung!D:D,$B147)*1/2</f>
        <v>0</v>
      </c>
      <c r="O147">
        <f>COUNTIF(Probeabholungen!B:B,$B147)*1/3</f>
        <v>0</v>
      </c>
    </row>
    <row r="148" spans="1:15" ht="27.6">
      <c r="A148" s="14" t="s">
        <v>148</v>
      </c>
      <c r="B148" s="14">
        <v>149668</v>
      </c>
      <c r="C148" s="14" t="s">
        <v>839</v>
      </c>
      <c r="D148" s="29"/>
      <c r="E148" s="1">
        <v>0</v>
      </c>
      <c r="F148" s="14">
        <v>0</v>
      </c>
      <c r="G148" s="30">
        <f t="shared" si="8"/>
        <v>-0.33333333333333331</v>
      </c>
      <c r="H148" s="14">
        <f t="shared" si="9"/>
        <v>0.33333333333333331</v>
      </c>
      <c r="I148" s="31">
        <f t="shared" si="10"/>
        <v>0.33333333333333331</v>
      </c>
      <c r="J148" s="31">
        <f>SUMIF(Oeffentlichkeitsarbeit!$D:$D,$B148,Oeffentlichkeitsarbeit!$F:$F)</f>
        <v>0</v>
      </c>
      <c r="K148" s="31">
        <f>COUNTIF(Fairteiler!$D:$D,$B148)*1/2</f>
        <v>0</v>
      </c>
      <c r="L148" s="31">
        <f>COUNTIF('NP-Betrieb'!D:D,$B148)*1/3</f>
        <v>0.33333333333333331</v>
      </c>
      <c r="M148" s="31">
        <f>COUNTIF(Fairteilungen!$D:$D,$B148)*3/4</f>
        <v>0</v>
      </c>
      <c r="N148" s="31">
        <f>COUNTIF(Anlieferung!D:D,$B148)*1/2</f>
        <v>0</v>
      </c>
      <c r="O148" s="31">
        <f>COUNTIF(Probeabholungen!B:B,$B148)*1/3</f>
        <v>0</v>
      </c>
    </row>
    <row r="149" spans="1:15" ht="27.6">
      <c r="A149" s="8" t="s">
        <v>149</v>
      </c>
      <c r="B149" s="8">
        <v>559062</v>
      </c>
      <c r="D149" s="29"/>
      <c r="E149" s="1">
        <v>4.5033333333333303</v>
      </c>
      <c r="F149" s="8">
        <v>6</v>
      </c>
      <c r="G149" s="30">
        <f t="shared" si="8"/>
        <v>10.50333333333333</v>
      </c>
      <c r="H149" s="8">
        <f t="shared" si="9"/>
        <v>-4.5033333333333303</v>
      </c>
      <c r="I149">
        <f t="shared" si="10"/>
        <v>0</v>
      </c>
      <c r="J149">
        <f>SUMIF(Oeffentlichkeitsarbeit!$D:$D,$B149,Oeffentlichkeitsarbeit!$F:$F)</f>
        <v>0</v>
      </c>
      <c r="K149">
        <f>COUNTIF(Fairteiler!$D:$D,$B149)*1/2</f>
        <v>0</v>
      </c>
      <c r="L149">
        <f>COUNTIF('NP-Betrieb'!D:D,$B149)*1/3</f>
        <v>0</v>
      </c>
      <c r="M149">
        <f>COUNTIF(Fairteilungen!$D:$D,$B149)*3/4</f>
        <v>0</v>
      </c>
      <c r="N149">
        <f>COUNTIF(Anlieferung!D:D,$B149)*1/2</f>
        <v>0</v>
      </c>
      <c r="O149">
        <f>COUNTIF(Probeabholungen!B:B,$B149)*1/3</f>
        <v>0</v>
      </c>
    </row>
    <row r="150" spans="1:15" ht="27.6">
      <c r="A150" s="8" t="s">
        <v>150</v>
      </c>
      <c r="B150" s="8">
        <v>711240</v>
      </c>
      <c r="D150" s="29"/>
      <c r="E150" s="1">
        <v>0</v>
      </c>
      <c r="F150" s="8">
        <v>6</v>
      </c>
      <c r="G150" s="30">
        <f t="shared" si="8"/>
        <v>4.666666666666667</v>
      </c>
      <c r="H150" s="8">
        <f t="shared" si="9"/>
        <v>1.3333333333333333</v>
      </c>
      <c r="I150">
        <f t="shared" si="10"/>
        <v>1.3333333333333333</v>
      </c>
      <c r="J150">
        <f>SUMIF(Oeffentlichkeitsarbeit!$D:$D,$B150,Oeffentlichkeitsarbeit!$F:$F)</f>
        <v>0</v>
      </c>
      <c r="K150">
        <f>COUNTIF(Fairteiler!$D:$D,$B150)*1/2</f>
        <v>0</v>
      </c>
      <c r="L150">
        <f>COUNTIF('NP-Betrieb'!D:D,$B150)*1/3</f>
        <v>1.3333333333333333</v>
      </c>
      <c r="M150">
        <f>COUNTIF(Fairteilungen!$D:$D,$B150)*3/4</f>
        <v>0</v>
      </c>
      <c r="N150">
        <f>COUNTIF(Anlieferung!D:D,$B150)*1/2</f>
        <v>0</v>
      </c>
      <c r="O150">
        <f>COUNTIF(Probeabholungen!B:B,$B150)*1/3</f>
        <v>0</v>
      </c>
    </row>
    <row r="151" spans="1:15" ht="27.6">
      <c r="A151" s="8" t="s">
        <v>151</v>
      </c>
      <c r="B151" s="8">
        <v>532286</v>
      </c>
      <c r="D151" s="29"/>
      <c r="E151" s="1">
        <v>0</v>
      </c>
      <c r="F151" s="8">
        <v>6</v>
      </c>
      <c r="G151" s="30">
        <f t="shared" si="8"/>
        <v>6</v>
      </c>
      <c r="H151" s="8">
        <f t="shared" si="9"/>
        <v>0</v>
      </c>
      <c r="I151">
        <f t="shared" si="10"/>
        <v>0</v>
      </c>
      <c r="J151">
        <f>SUMIF(Oeffentlichkeitsarbeit!$D:$D,$B151,Oeffentlichkeitsarbeit!$F:$F)</f>
        <v>0</v>
      </c>
      <c r="K151">
        <f>COUNTIF(Fairteiler!$D:$D,$B151)*1/2</f>
        <v>0</v>
      </c>
      <c r="L151">
        <f>COUNTIF('NP-Betrieb'!D:D,$B151)*1/3</f>
        <v>0</v>
      </c>
      <c r="M151">
        <f>COUNTIF(Fairteilungen!$D:$D,$B151)*3/4</f>
        <v>0</v>
      </c>
      <c r="N151">
        <f>COUNTIF(Anlieferung!D:D,$B151)*1/2</f>
        <v>0</v>
      </c>
      <c r="O151">
        <f>COUNTIF(Probeabholungen!B:B,$B151)*1/3</f>
        <v>0</v>
      </c>
    </row>
    <row r="152" spans="1:15" ht="27.6">
      <c r="A152" s="8" t="s">
        <v>842</v>
      </c>
      <c r="B152" s="8">
        <v>973988</v>
      </c>
      <c r="D152" s="29">
        <v>46118</v>
      </c>
      <c r="E152" s="1">
        <v>0</v>
      </c>
      <c r="F152" s="8">
        <v>4.5</v>
      </c>
      <c r="G152" s="30">
        <f t="shared" si="8"/>
        <v>3.8333333333333335</v>
      </c>
      <c r="H152" s="8">
        <f t="shared" si="9"/>
        <v>0.66666666666666663</v>
      </c>
      <c r="I152">
        <f t="shared" si="10"/>
        <v>0.66666666666666663</v>
      </c>
      <c r="J152">
        <f>SUMIF(Oeffentlichkeitsarbeit!$D:$D,$B152,Oeffentlichkeitsarbeit!$F:$F)</f>
        <v>0</v>
      </c>
      <c r="K152">
        <f>COUNTIF(Fairteiler!$D:$D,$B152)*1/2</f>
        <v>0</v>
      </c>
      <c r="L152">
        <f>COUNTIF('NP-Betrieb'!D:D,$B152)*1/3</f>
        <v>0.66666666666666663</v>
      </c>
      <c r="M152">
        <f>COUNTIF(Fairteilungen!$D:$D,$B152)*3/4</f>
        <v>0</v>
      </c>
      <c r="N152">
        <f>COUNTIF(Anlieferung!D:D,$B152)*1/2</f>
        <v>0</v>
      </c>
      <c r="O152">
        <f>COUNTIF(Probeabholungen!B:B,$B152)*1/3</f>
        <v>0</v>
      </c>
    </row>
    <row r="153" spans="1:15" ht="27.6">
      <c r="A153" s="8" t="s">
        <v>152</v>
      </c>
      <c r="B153" s="8">
        <v>366232</v>
      </c>
      <c r="D153" s="29"/>
      <c r="E153" s="1">
        <v>2</v>
      </c>
      <c r="F153" s="8">
        <v>6</v>
      </c>
      <c r="G153" s="30">
        <f t="shared" si="8"/>
        <v>4.6666666666666661</v>
      </c>
      <c r="H153" s="8">
        <f t="shared" si="9"/>
        <v>1.3333333333333335</v>
      </c>
      <c r="I153">
        <f t="shared" si="10"/>
        <v>3.3333333333333335</v>
      </c>
      <c r="J153">
        <f>SUMIF(Oeffentlichkeitsarbeit!$D:$D,$B153,Oeffentlichkeitsarbeit!$F:$F)</f>
        <v>0</v>
      </c>
      <c r="K153">
        <f>COUNTIF(Fairteiler!$D:$D,$B153)*1/2</f>
        <v>1</v>
      </c>
      <c r="L153">
        <f>COUNTIF('NP-Betrieb'!D:D,$B153)*1/3</f>
        <v>2.3333333333333335</v>
      </c>
      <c r="M153">
        <f>COUNTIF(Fairteilungen!$D:$D,$B153)*3/4</f>
        <v>0</v>
      </c>
      <c r="N153">
        <f>COUNTIF(Anlieferung!D:D,$B153)*1/2</f>
        <v>0</v>
      </c>
      <c r="O153">
        <f>COUNTIF(Probeabholungen!B:B,$B153)*1/3</f>
        <v>0</v>
      </c>
    </row>
    <row r="154" spans="1:15" ht="27.6">
      <c r="A154" s="16" t="s">
        <v>153</v>
      </c>
      <c r="B154" s="16">
        <v>447184</v>
      </c>
      <c r="C154" s="31" t="s">
        <v>843</v>
      </c>
      <c r="D154" s="32"/>
      <c r="E154" s="1">
        <v>0</v>
      </c>
      <c r="F154" s="16">
        <v>6</v>
      </c>
      <c r="G154" s="33">
        <f t="shared" si="8"/>
        <v>3</v>
      </c>
      <c r="H154" s="16">
        <f t="shared" si="9"/>
        <v>3</v>
      </c>
      <c r="I154" s="31">
        <f t="shared" si="10"/>
        <v>3</v>
      </c>
      <c r="J154" s="31">
        <f>SUMIF(Oeffentlichkeitsarbeit!$D:$D,$B154,Oeffentlichkeitsarbeit!$F:$F)</f>
        <v>0</v>
      </c>
      <c r="K154" s="31">
        <f>COUNTIF(Fairteiler!$D:$D,$B154)*1/2</f>
        <v>1</v>
      </c>
      <c r="L154" s="31">
        <f>COUNTIF('NP-Betrieb'!D:D,$B154)*1/3</f>
        <v>2</v>
      </c>
      <c r="M154" s="31">
        <f>COUNTIF(Fairteilungen!$D:$D,$B154)*3/4</f>
        <v>0</v>
      </c>
      <c r="N154" s="31">
        <f>COUNTIF(Anlieferung!D:D,$B154)*1/2</f>
        <v>0</v>
      </c>
      <c r="O154" s="31">
        <f>COUNTIF(Probeabholungen!B:B,$B154)*1/3</f>
        <v>0</v>
      </c>
    </row>
    <row r="155" spans="1:15" ht="27.6">
      <c r="A155" s="14" t="s">
        <v>154</v>
      </c>
      <c r="B155" s="14">
        <v>896944</v>
      </c>
      <c r="C155" s="38" t="s">
        <v>840</v>
      </c>
      <c r="D155" s="37">
        <v>45680</v>
      </c>
      <c r="E155" s="1">
        <v>0</v>
      </c>
      <c r="F155" s="14">
        <v>0</v>
      </c>
      <c r="G155" s="30">
        <f t="shared" si="8"/>
        <v>0</v>
      </c>
      <c r="H155" s="14">
        <v>0</v>
      </c>
      <c r="I155">
        <f t="shared" si="10"/>
        <v>0</v>
      </c>
      <c r="J155">
        <f>SUMIF(Oeffentlichkeitsarbeit!$D:$D,$B155,Oeffentlichkeitsarbeit!$F:$F)</f>
        <v>0</v>
      </c>
      <c r="K155">
        <f>COUNTIF(Fairteiler!$D:$D,$B155)*1/2</f>
        <v>0</v>
      </c>
      <c r="L155">
        <f>COUNTIF('NP-Betrieb'!D:D,$B155)*1/3</f>
        <v>0</v>
      </c>
      <c r="M155">
        <f>COUNTIF(Fairteilungen!$D:$D,$B155)*3/4</f>
        <v>0</v>
      </c>
      <c r="N155">
        <f>COUNTIF(Anlieferung!D:D,$B155)*1/2</f>
        <v>0</v>
      </c>
      <c r="O155">
        <f>COUNTIF(Probeabholungen!B:B,$B155)*1/3</f>
        <v>0</v>
      </c>
    </row>
    <row r="156" spans="1:15" ht="41.4">
      <c r="A156" s="8" t="s">
        <v>155</v>
      </c>
      <c r="B156" s="8">
        <v>2551</v>
      </c>
      <c r="D156" s="29">
        <v>45228</v>
      </c>
      <c r="E156" s="1">
        <v>6.0033333333333303</v>
      </c>
      <c r="F156" s="8">
        <v>6</v>
      </c>
      <c r="G156" s="30">
        <f t="shared" si="8"/>
        <v>12.00333333333333</v>
      </c>
      <c r="H156" s="8">
        <f t="shared" ref="H156:H219" si="11">I156-E156</f>
        <v>-6.0033333333333303</v>
      </c>
      <c r="I156">
        <f t="shared" si="10"/>
        <v>0</v>
      </c>
      <c r="J156">
        <f>SUMIF(Oeffentlichkeitsarbeit!$D:$D,$B156,Oeffentlichkeitsarbeit!$F:$F)</f>
        <v>0</v>
      </c>
      <c r="K156">
        <f>COUNTIF(Fairteiler!$D:$D,$B156)*1/2</f>
        <v>0</v>
      </c>
      <c r="L156">
        <f>COUNTIF('NP-Betrieb'!D:D,$B156)*1/3</f>
        <v>0</v>
      </c>
      <c r="M156">
        <f>COUNTIF(Fairteilungen!$D:$D,$B156)*3/4</f>
        <v>0</v>
      </c>
      <c r="N156">
        <f>COUNTIF(Anlieferung!D:D,$B156)*1/2</f>
        <v>0</v>
      </c>
      <c r="O156">
        <f>COUNTIF(Probeabholungen!B:B,$B156)*1/3</f>
        <v>0</v>
      </c>
    </row>
    <row r="157" spans="1:15" ht="27.6">
      <c r="A157" s="8" t="s">
        <v>156</v>
      </c>
      <c r="B157" s="8">
        <v>697569</v>
      </c>
      <c r="D157" s="29"/>
      <c r="E157" s="1">
        <v>12</v>
      </c>
      <c r="F157" s="8">
        <v>6</v>
      </c>
      <c r="G157" s="30">
        <f t="shared" si="8"/>
        <v>18</v>
      </c>
      <c r="H157" s="8">
        <f t="shared" si="11"/>
        <v>-12</v>
      </c>
      <c r="I157">
        <f t="shared" si="10"/>
        <v>0</v>
      </c>
      <c r="J157">
        <f>SUMIF(Oeffentlichkeitsarbeit!$D:$D,$B157,Oeffentlichkeitsarbeit!$F:$F)</f>
        <v>0</v>
      </c>
      <c r="K157">
        <f>COUNTIF(Fairteiler!$D:$D,$B157)*1/2</f>
        <v>0</v>
      </c>
      <c r="L157">
        <f>COUNTIF('NP-Betrieb'!D:D,$B157)*1/3</f>
        <v>0</v>
      </c>
      <c r="M157">
        <f>COUNTIF(Fairteilungen!$D:$D,$B157)*3/4</f>
        <v>0</v>
      </c>
      <c r="N157">
        <f>COUNTIF(Anlieferung!D:D,$B157)*1/2</f>
        <v>0</v>
      </c>
      <c r="O157">
        <f>COUNTIF(Probeabholungen!B:B,$B157)*1/3</f>
        <v>0</v>
      </c>
    </row>
    <row r="158" spans="1:15" s="18" customFormat="1" ht="27.6">
      <c r="A158" s="8" t="s">
        <v>157</v>
      </c>
      <c r="B158" s="8">
        <v>590029</v>
      </c>
      <c r="C158"/>
      <c r="D158" s="24">
        <v>45961</v>
      </c>
      <c r="E158" s="1">
        <v>1</v>
      </c>
      <c r="F158">
        <v>6</v>
      </c>
      <c r="G158" s="30">
        <f t="shared" si="8"/>
        <v>2.666666666666667</v>
      </c>
      <c r="H158" s="8">
        <f t="shared" si="11"/>
        <v>3.333333333333333</v>
      </c>
      <c r="I158">
        <f t="shared" si="10"/>
        <v>4.333333333333333</v>
      </c>
      <c r="J158">
        <f>SUMIF(Oeffentlichkeitsarbeit!$D:$D,$B158,Oeffentlichkeitsarbeit!$F:$F)</f>
        <v>0</v>
      </c>
      <c r="K158">
        <f>COUNTIF(Fairteiler!$D:$D,$B158)*1/2</f>
        <v>0</v>
      </c>
      <c r="L158">
        <f>COUNTIF('NP-Betrieb'!D:D,$B158)*1/3</f>
        <v>4.333333333333333</v>
      </c>
      <c r="M158">
        <f>COUNTIF(Fairteilungen!$D:$D,$B158)*3/4</f>
        <v>0</v>
      </c>
      <c r="N158">
        <f>COUNTIF(Anlieferung!D:D,$B158)*1/2</f>
        <v>0</v>
      </c>
      <c r="O158">
        <f>COUNTIF(Probeabholungen!B:B,$B158)*1/3</f>
        <v>0</v>
      </c>
    </row>
    <row r="159" spans="1:15" ht="27.6">
      <c r="A159" s="8" t="s">
        <v>158</v>
      </c>
      <c r="B159" s="8">
        <v>944892</v>
      </c>
      <c r="C159" s="18"/>
      <c r="D159" s="24">
        <v>46005</v>
      </c>
      <c r="E159" s="1">
        <v>0</v>
      </c>
      <c r="F159" s="18">
        <v>6</v>
      </c>
      <c r="G159" s="30">
        <f t="shared" si="8"/>
        <v>-2.6666666666666679</v>
      </c>
      <c r="H159" s="8">
        <f t="shared" si="11"/>
        <v>8.6666666666666679</v>
      </c>
      <c r="I159" s="18">
        <f t="shared" si="10"/>
        <v>8.6666666666666679</v>
      </c>
      <c r="J159" s="18">
        <f>SUMIF(Oeffentlichkeitsarbeit!$D:$D,$B159,Oeffentlichkeitsarbeit!$F:$F)</f>
        <v>0</v>
      </c>
      <c r="K159" s="18">
        <f>COUNTIF(Fairteiler!$D:$D,$B159)*1/2</f>
        <v>1</v>
      </c>
      <c r="L159" s="18">
        <f>COUNTIF('NP-Betrieb'!D:D,$B159)*1/3</f>
        <v>7.666666666666667</v>
      </c>
      <c r="M159" s="18">
        <f>COUNTIF(Fairteilungen!$D:$D,$B159)*3/4</f>
        <v>0</v>
      </c>
      <c r="N159" s="18">
        <f>COUNTIF(Anlieferung!D:D,$B159)*1/2</f>
        <v>0</v>
      </c>
      <c r="O159" s="18">
        <f>COUNTIF(Probeabholungen!B:B,$B159)*1/3</f>
        <v>0</v>
      </c>
    </row>
    <row r="160" spans="1:15" ht="27.6">
      <c r="A160" s="8" t="s">
        <v>159</v>
      </c>
      <c r="B160" s="8">
        <v>175069</v>
      </c>
      <c r="C160" s="18"/>
      <c r="D160" s="29"/>
      <c r="E160" s="1">
        <v>0</v>
      </c>
      <c r="F160" s="8">
        <v>6</v>
      </c>
      <c r="G160" s="30">
        <f t="shared" si="8"/>
        <v>4.666666666666667</v>
      </c>
      <c r="H160" s="8">
        <f t="shared" si="11"/>
        <v>1.3333333333333333</v>
      </c>
      <c r="I160" s="18">
        <f t="shared" si="10"/>
        <v>1.3333333333333333</v>
      </c>
      <c r="J160" s="18">
        <f>SUMIF(Oeffentlichkeitsarbeit!$D:$D,$B160,Oeffentlichkeitsarbeit!$F:$F)</f>
        <v>0</v>
      </c>
      <c r="K160" s="18">
        <f>COUNTIF(Fairteiler!$D:$D,$B160)*1/2</f>
        <v>0</v>
      </c>
      <c r="L160" s="18">
        <f>COUNTIF('NP-Betrieb'!D:D,$B160)*1/3</f>
        <v>1.3333333333333333</v>
      </c>
      <c r="M160" s="18">
        <f>COUNTIF(Fairteilungen!$D:$D,$B160)*3/4</f>
        <v>0</v>
      </c>
      <c r="N160" s="18">
        <f>COUNTIF(Anlieferung!D:D,$B160)*1/2</f>
        <v>0</v>
      </c>
      <c r="O160" s="18">
        <f>COUNTIF(Probeabholungen!B:B,$B160)*1/3</f>
        <v>0</v>
      </c>
    </row>
    <row r="161" spans="1:15" ht="41.4">
      <c r="A161" s="8" t="s">
        <v>160</v>
      </c>
      <c r="B161" s="8">
        <v>875441</v>
      </c>
      <c r="D161" s="24">
        <v>45961</v>
      </c>
      <c r="E161" s="1">
        <v>0</v>
      </c>
      <c r="F161">
        <v>6</v>
      </c>
      <c r="G161" s="30">
        <f t="shared" si="8"/>
        <v>0.33333333333333304</v>
      </c>
      <c r="H161" s="8">
        <f t="shared" si="11"/>
        <v>5.666666666666667</v>
      </c>
      <c r="I161">
        <f t="shared" si="10"/>
        <v>5.666666666666667</v>
      </c>
      <c r="J161">
        <f>SUMIF(Oeffentlichkeitsarbeit!$D:$D,$B161,Oeffentlichkeitsarbeit!$F:$F)</f>
        <v>0</v>
      </c>
      <c r="K161">
        <f>COUNTIF(Fairteiler!$D:$D,$B161)*1/2</f>
        <v>0</v>
      </c>
      <c r="L161">
        <f>COUNTIF('NP-Betrieb'!D:D,$B161)*1/3</f>
        <v>5.666666666666667</v>
      </c>
      <c r="M161">
        <f>COUNTIF(Fairteilungen!$D:$D,$B161)*3/4</f>
        <v>0</v>
      </c>
      <c r="N161">
        <f>COUNTIF(Anlieferung!D:D,$B161)*1/2</f>
        <v>0</v>
      </c>
      <c r="O161">
        <f>COUNTIF(Probeabholungen!B:B,$B161)*1/3</f>
        <v>0</v>
      </c>
    </row>
    <row r="162" spans="1:15" ht="27.6">
      <c r="A162" s="16" t="s">
        <v>161</v>
      </c>
      <c r="B162" s="16">
        <v>676575</v>
      </c>
      <c r="C162" s="16" t="s">
        <v>831</v>
      </c>
      <c r="D162" s="29"/>
      <c r="E162" s="1">
        <v>0</v>
      </c>
      <c r="F162" s="16">
        <v>0</v>
      </c>
      <c r="G162" s="30">
        <f t="shared" si="8"/>
        <v>0</v>
      </c>
      <c r="H162" s="16">
        <f t="shared" si="11"/>
        <v>0</v>
      </c>
      <c r="I162" s="18">
        <f t="shared" si="10"/>
        <v>0</v>
      </c>
      <c r="J162" s="18">
        <f>SUMIF(Oeffentlichkeitsarbeit!$D:$D,$B162,Oeffentlichkeitsarbeit!$F:$F)</f>
        <v>0</v>
      </c>
      <c r="K162" s="18">
        <f>COUNTIF(Fairteiler!$D:$D,$B162)*1/2</f>
        <v>0</v>
      </c>
      <c r="L162" s="18">
        <f>COUNTIF('NP-Betrieb'!D:D,$B162)*1/3</f>
        <v>0</v>
      </c>
      <c r="M162" s="18">
        <f>COUNTIF(Fairteilungen!$D:$D,$B162)*3/4</f>
        <v>0</v>
      </c>
      <c r="N162" s="18">
        <f>COUNTIF(Anlieferung!D:D,$B162)*1/2</f>
        <v>0</v>
      </c>
      <c r="O162" s="18">
        <f>COUNTIF(Probeabholungen!B:B,$B162)*1/3</f>
        <v>0</v>
      </c>
    </row>
    <row r="163" spans="1:15" ht="27.6">
      <c r="A163" s="8" t="s">
        <v>162</v>
      </c>
      <c r="B163" s="8">
        <v>127590</v>
      </c>
      <c r="D163" s="29"/>
      <c r="E163" s="1">
        <v>0</v>
      </c>
      <c r="F163" s="8">
        <v>6</v>
      </c>
      <c r="G163" s="30">
        <f t="shared" si="8"/>
        <v>3.6666666666666665</v>
      </c>
      <c r="H163" s="8">
        <f t="shared" si="11"/>
        <v>2.3333333333333335</v>
      </c>
      <c r="I163">
        <f t="shared" si="10"/>
        <v>2.3333333333333335</v>
      </c>
      <c r="J163">
        <f>SUMIF(Oeffentlichkeitsarbeit!$D:$D,$B163,Oeffentlichkeitsarbeit!$F:$F)</f>
        <v>0</v>
      </c>
      <c r="K163">
        <f>COUNTIF(Fairteiler!$D:$D,$B163)*1/2</f>
        <v>0</v>
      </c>
      <c r="L163">
        <f>COUNTIF('NP-Betrieb'!D:D,$B163)*1/3</f>
        <v>2.3333333333333335</v>
      </c>
      <c r="M163">
        <f>COUNTIF(Fairteilungen!$D:$D,$B163)*3/4</f>
        <v>0</v>
      </c>
      <c r="N163">
        <f>COUNTIF(Anlieferung!D:D,$B163)*1/2</f>
        <v>0</v>
      </c>
      <c r="O163">
        <f>COUNTIF(Probeabholungen!B:B,$B163)*1/3</f>
        <v>0</v>
      </c>
    </row>
    <row r="164" spans="1:15" ht="27.6">
      <c r="A164" s="8" t="s">
        <v>163</v>
      </c>
      <c r="B164" s="8">
        <v>394592</v>
      </c>
      <c r="D164" s="29"/>
      <c r="E164" s="1">
        <v>15</v>
      </c>
      <c r="F164" s="8">
        <v>6</v>
      </c>
      <c r="G164" s="30">
        <f t="shared" si="8"/>
        <v>21</v>
      </c>
      <c r="H164" s="8">
        <f t="shared" si="11"/>
        <v>-15</v>
      </c>
      <c r="I164">
        <f t="shared" si="10"/>
        <v>0</v>
      </c>
      <c r="J164">
        <f>SUMIF(Oeffentlichkeitsarbeit!$D:$D,$B164,Oeffentlichkeitsarbeit!$F:$F)</f>
        <v>0</v>
      </c>
      <c r="K164">
        <f>COUNTIF(Fairteiler!$D:$D,$B164)*1/2</f>
        <v>0</v>
      </c>
      <c r="L164">
        <f>COUNTIF('NP-Betrieb'!D:D,$B164)*1/3</f>
        <v>0</v>
      </c>
      <c r="M164">
        <f>COUNTIF(Fairteilungen!$D:$D,$B164)*3/4</f>
        <v>0</v>
      </c>
      <c r="N164">
        <f>COUNTIF(Anlieferung!D:D,$B164)*1/2</f>
        <v>0</v>
      </c>
      <c r="O164">
        <f>COUNTIF(Probeabholungen!B:B,$B164)*1/3</f>
        <v>0</v>
      </c>
    </row>
    <row r="165" spans="1:15" s="11" customFormat="1">
      <c r="A165" s="8" t="s">
        <v>164</v>
      </c>
      <c r="B165" s="8">
        <v>3790</v>
      </c>
      <c r="C165"/>
      <c r="D165" s="29"/>
      <c r="E165" s="1">
        <v>5.3333333333333401</v>
      </c>
      <c r="F165" s="8">
        <v>6</v>
      </c>
      <c r="G165" s="30">
        <f t="shared" si="8"/>
        <v>11.333333333333339</v>
      </c>
      <c r="H165" s="8">
        <f t="shared" si="11"/>
        <v>-5.3333333333333401</v>
      </c>
      <c r="I165">
        <f t="shared" si="10"/>
        <v>0</v>
      </c>
      <c r="J165">
        <f>SUMIF(Oeffentlichkeitsarbeit!$D:$D,$B165,Oeffentlichkeitsarbeit!$F:$F)</f>
        <v>0</v>
      </c>
      <c r="K165">
        <f>COUNTIF(Fairteiler!$D:$D,$B165)*1/2</f>
        <v>0</v>
      </c>
      <c r="L165">
        <f>COUNTIF('NP-Betrieb'!D:D,$B165)*1/3</f>
        <v>0</v>
      </c>
      <c r="M165">
        <f>COUNTIF(Fairteilungen!$D:$D,$B165)*3/4</f>
        <v>0</v>
      </c>
      <c r="N165">
        <f>COUNTIF(Anlieferung!D:D,$B165)*1/2</f>
        <v>0</v>
      </c>
      <c r="O165">
        <f>COUNTIF(Probeabholungen!B:B,$B165)*1/3</f>
        <v>0</v>
      </c>
    </row>
    <row r="166" spans="1:15">
      <c r="A166" s="8" t="s">
        <v>165</v>
      </c>
      <c r="B166" s="8">
        <v>214441</v>
      </c>
      <c r="C166" s="11"/>
      <c r="D166" s="24">
        <v>45563</v>
      </c>
      <c r="E166" s="1">
        <v>6</v>
      </c>
      <c r="F166" s="8">
        <v>6</v>
      </c>
      <c r="G166" s="30">
        <f t="shared" si="8"/>
        <v>12</v>
      </c>
      <c r="H166" s="8">
        <f t="shared" si="11"/>
        <v>-6</v>
      </c>
      <c r="I166" s="11">
        <f t="shared" si="10"/>
        <v>0</v>
      </c>
      <c r="J166" s="11">
        <f>SUMIF(Oeffentlichkeitsarbeit!$D:$D,$B166,Oeffentlichkeitsarbeit!$F:$F)</f>
        <v>0</v>
      </c>
      <c r="K166" s="11">
        <f>COUNTIF(Fairteiler!$D:$D,$B166)*1/2</f>
        <v>0</v>
      </c>
      <c r="L166" s="11">
        <f>COUNTIF('NP-Betrieb'!D:D,$B166)*1/3</f>
        <v>0</v>
      </c>
      <c r="M166" s="11">
        <f>COUNTIF(Fairteilungen!$D:$D,$B166)*3/4</f>
        <v>0</v>
      </c>
      <c r="N166" s="11">
        <f>COUNTIF(Anlieferung!D:D,$B166)*1/2</f>
        <v>0</v>
      </c>
      <c r="O166" s="11">
        <f>COUNTIF(Probeabholungen!B:B,$B166)*1/3</f>
        <v>0</v>
      </c>
    </row>
    <row r="167" spans="1:15">
      <c r="A167" s="8" t="s">
        <v>166</v>
      </c>
      <c r="B167" s="8">
        <v>333374</v>
      </c>
      <c r="C167" s="11"/>
      <c r="D167" s="29">
        <v>45058</v>
      </c>
      <c r="E167" s="1">
        <v>6</v>
      </c>
      <c r="F167" s="8">
        <v>6</v>
      </c>
      <c r="G167" s="30">
        <f t="shared" si="8"/>
        <v>12</v>
      </c>
      <c r="H167" s="8">
        <f t="shared" si="11"/>
        <v>-6</v>
      </c>
      <c r="I167" s="11">
        <f t="shared" si="10"/>
        <v>0</v>
      </c>
      <c r="J167" s="11">
        <f>SUMIF(Oeffentlichkeitsarbeit!$D:$D,$B167,Oeffentlichkeitsarbeit!$F:$F)</f>
        <v>0</v>
      </c>
      <c r="K167" s="11">
        <f>COUNTIF(Fairteiler!$D:$D,$B167)*1/2</f>
        <v>0</v>
      </c>
      <c r="L167" s="11">
        <f>COUNTIF('NP-Betrieb'!D:D,$B167)*1/3</f>
        <v>0</v>
      </c>
      <c r="M167" s="11">
        <f>COUNTIF(Fairteilungen!$D:$D,$B167)*3/4</f>
        <v>0</v>
      </c>
      <c r="N167" s="11">
        <f>COUNTIF(Anlieferung!D:D,$B167)*1/2</f>
        <v>0</v>
      </c>
      <c r="O167" s="11">
        <f>COUNTIF(Probeabholungen!B:B,$B167)*1/3</f>
        <v>0</v>
      </c>
    </row>
    <row r="168" spans="1:15" ht="27.6">
      <c r="A168" s="8" t="s">
        <v>167</v>
      </c>
      <c r="B168" s="8">
        <v>801886</v>
      </c>
      <c r="D168" s="29"/>
      <c r="E168" s="1">
        <v>0</v>
      </c>
      <c r="F168" s="8">
        <v>6</v>
      </c>
      <c r="G168" s="30">
        <f t="shared" si="8"/>
        <v>4.666666666666667</v>
      </c>
      <c r="H168" s="8">
        <f t="shared" si="11"/>
        <v>1.3333333333333333</v>
      </c>
      <c r="I168">
        <f t="shared" si="10"/>
        <v>1.3333333333333333</v>
      </c>
      <c r="J168">
        <f>SUMIF(Oeffentlichkeitsarbeit!$D:$D,$B168,Oeffentlichkeitsarbeit!$F:$F)</f>
        <v>0</v>
      </c>
      <c r="K168">
        <f>COUNTIF(Fairteiler!$D:$D,$B168)*1/2</f>
        <v>0</v>
      </c>
      <c r="L168">
        <f>COUNTIF('NP-Betrieb'!D:D,$B168)*1/3</f>
        <v>1.3333333333333333</v>
      </c>
      <c r="M168">
        <f>COUNTIF(Fairteilungen!$D:$D,$B168)*3/4</f>
        <v>0</v>
      </c>
      <c r="N168">
        <f>COUNTIF(Anlieferung!D:D,$B168)*1/2</f>
        <v>0</v>
      </c>
      <c r="O168">
        <f>COUNTIF(Probeabholungen!B:B,$B168)*1/3</f>
        <v>0</v>
      </c>
    </row>
    <row r="169" spans="1:15" ht="41.4">
      <c r="A169" s="16" t="s">
        <v>168</v>
      </c>
      <c r="B169" s="16">
        <v>270157</v>
      </c>
      <c r="C169" s="16" t="s">
        <v>831</v>
      </c>
      <c r="D169" s="29"/>
      <c r="E169" s="1">
        <v>0</v>
      </c>
      <c r="F169" s="16">
        <v>0</v>
      </c>
      <c r="G169" s="30">
        <f t="shared" si="8"/>
        <v>-1.6666666666666667</v>
      </c>
      <c r="H169" s="16">
        <f t="shared" si="11"/>
        <v>1.6666666666666667</v>
      </c>
      <c r="I169" s="18">
        <f t="shared" si="10"/>
        <v>1.6666666666666667</v>
      </c>
      <c r="J169" s="18">
        <f>SUMIF(Oeffentlichkeitsarbeit!$D:$D,$B169,Oeffentlichkeitsarbeit!$F:$F)</f>
        <v>0</v>
      </c>
      <c r="K169" s="18">
        <f>COUNTIF(Fairteiler!$D:$D,$B169)*1/2</f>
        <v>0</v>
      </c>
      <c r="L169" s="18">
        <f>COUNTIF('NP-Betrieb'!D:D,$B169)*1/3</f>
        <v>1.6666666666666667</v>
      </c>
      <c r="M169" s="18">
        <f>COUNTIF(Fairteilungen!$D:$D,$B169)*3/4</f>
        <v>0</v>
      </c>
      <c r="N169" s="18">
        <f>COUNTIF(Anlieferung!D:D,$B169)*1/2</f>
        <v>0</v>
      </c>
      <c r="O169" s="18">
        <f>COUNTIF(Probeabholungen!B:B,$B169)*1/3</f>
        <v>0</v>
      </c>
    </row>
    <row r="170" spans="1:15" ht="27.6">
      <c r="A170" s="8" t="s">
        <v>169</v>
      </c>
      <c r="B170" s="8">
        <v>821407</v>
      </c>
      <c r="C170" s="8"/>
      <c r="D170" s="29">
        <v>45404</v>
      </c>
      <c r="E170" s="1">
        <v>0</v>
      </c>
      <c r="F170" s="8">
        <v>6</v>
      </c>
      <c r="G170" s="30">
        <f t="shared" si="8"/>
        <v>5.333333333333333</v>
      </c>
      <c r="H170" s="8">
        <f t="shared" si="11"/>
        <v>0.66666666666666663</v>
      </c>
      <c r="I170">
        <f t="shared" si="10"/>
        <v>0.66666666666666663</v>
      </c>
      <c r="J170">
        <f>SUMIF(Oeffentlichkeitsarbeit!$D:$D,$B170,Oeffentlichkeitsarbeit!$F:$F)</f>
        <v>0</v>
      </c>
      <c r="K170">
        <f>COUNTIF(Fairteiler!$D:$D,$B170)*1/2</f>
        <v>0</v>
      </c>
      <c r="L170">
        <f>COUNTIF('NP-Betrieb'!D:D,$B170)*1/3</f>
        <v>0.66666666666666663</v>
      </c>
      <c r="M170">
        <f>COUNTIF(Fairteilungen!$D:$D,$B170)*3/4</f>
        <v>0</v>
      </c>
      <c r="N170">
        <f>COUNTIF(Anlieferung!D:D,$B170)*1/2</f>
        <v>0</v>
      </c>
      <c r="O170">
        <f>COUNTIF(Probeabholungen!B:B,$B170)*1/3</f>
        <v>0</v>
      </c>
    </row>
    <row r="171" spans="1:15" ht="27.6">
      <c r="A171" s="8" t="s">
        <v>170</v>
      </c>
      <c r="B171" s="8">
        <v>609293</v>
      </c>
      <c r="D171" s="29"/>
      <c r="E171" s="1">
        <v>12</v>
      </c>
      <c r="F171" s="8">
        <v>6</v>
      </c>
      <c r="G171" s="30">
        <f t="shared" si="8"/>
        <v>18</v>
      </c>
      <c r="H171" s="8">
        <f t="shared" si="11"/>
        <v>-12</v>
      </c>
      <c r="I171">
        <f t="shared" si="10"/>
        <v>0</v>
      </c>
      <c r="J171">
        <f>SUMIF(Oeffentlichkeitsarbeit!$D:$D,$B171,Oeffentlichkeitsarbeit!$F:$F)</f>
        <v>0</v>
      </c>
      <c r="K171">
        <f>COUNTIF(Fairteiler!$D:$D,$B171)*1/2</f>
        <v>0</v>
      </c>
      <c r="L171">
        <f>COUNTIF('NP-Betrieb'!D:D,$B171)*1/3</f>
        <v>0</v>
      </c>
      <c r="M171">
        <f>COUNTIF(Fairteilungen!$D:$D,$B171)*3/4</f>
        <v>0</v>
      </c>
      <c r="N171">
        <f>COUNTIF(Anlieferung!D:D,$B171)*1/2</f>
        <v>0</v>
      </c>
      <c r="O171">
        <f>COUNTIF(Probeabholungen!B:B,$B171)*1/3</f>
        <v>0</v>
      </c>
    </row>
    <row r="172" spans="1:15" ht="27.6">
      <c r="A172" s="8" t="s">
        <v>171</v>
      </c>
      <c r="B172" s="8">
        <v>529283</v>
      </c>
      <c r="D172" s="29"/>
      <c r="E172" s="1">
        <v>12.5</v>
      </c>
      <c r="F172" s="8">
        <v>6</v>
      </c>
      <c r="G172" s="30">
        <f t="shared" si="8"/>
        <v>18.5</v>
      </c>
      <c r="H172" s="8">
        <f t="shared" si="11"/>
        <v>-12.5</v>
      </c>
      <c r="I172">
        <f t="shared" si="10"/>
        <v>0</v>
      </c>
      <c r="J172">
        <f>SUMIF(Oeffentlichkeitsarbeit!$D:$D,$B172,Oeffentlichkeitsarbeit!$F:$F)</f>
        <v>0</v>
      </c>
      <c r="K172">
        <f>COUNTIF(Fairteiler!$D:$D,$B172)*1/2</f>
        <v>0</v>
      </c>
      <c r="L172">
        <f>COUNTIF('NP-Betrieb'!D:D,$B172)*1/3</f>
        <v>0</v>
      </c>
      <c r="M172">
        <f>COUNTIF(Fairteilungen!$D:$D,$B172)*3/4</f>
        <v>0</v>
      </c>
      <c r="N172">
        <f>COUNTIF(Anlieferung!D:D,$B172)*1/2</f>
        <v>0</v>
      </c>
      <c r="O172">
        <f>COUNTIF(Probeabholungen!B:B,$B172)*1/3</f>
        <v>0</v>
      </c>
    </row>
    <row r="173" spans="1:15" ht="27.6">
      <c r="A173" s="8" t="s">
        <v>172</v>
      </c>
      <c r="B173" s="8">
        <v>734566</v>
      </c>
      <c r="D173" s="29">
        <v>45247</v>
      </c>
      <c r="E173" s="1">
        <v>0</v>
      </c>
      <c r="F173" s="8">
        <v>6</v>
      </c>
      <c r="G173" s="30">
        <f t="shared" si="8"/>
        <v>3</v>
      </c>
      <c r="H173" s="8">
        <f t="shared" si="11"/>
        <v>3</v>
      </c>
      <c r="I173">
        <f t="shared" si="10"/>
        <v>3</v>
      </c>
      <c r="J173">
        <f>SUMIF(Oeffentlichkeitsarbeit!$D:$D,$B173,Oeffentlichkeitsarbeit!$F:$F)</f>
        <v>0</v>
      </c>
      <c r="K173">
        <f>COUNTIF(Fairteiler!$D:$D,$B173)*1/2</f>
        <v>3</v>
      </c>
      <c r="L173">
        <f>COUNTIF('NP-Betrieb'!D:D,$B173)*1/3</f>
        <v>0</v>
      </c>
      <c r="M173">
        <f>COUNTIF(Fairteilungen!$D:$D,$B173)*3/4</f>
        <v>0</v>
      </c>
      <c r="N173">
        <f>COUNTIF(Anlieferung!D:D,$B173)*1/2</f>
        <v>0</v>
      </c>
      <c r="O173">
        <f>COUNTIF(Probeabholungen!B:B,$B173)*1/3</f>
        <v>0</v>
      </c>
    </row>
    <row r="174" spans="1:15" ht="41.4">
      <c r="A174" s="8" t="s">
        <v>173</v>
      </c>
      <c r="B174" s="8">
        <v>761921</v>
      </c>
      <c r="D174" s="29">
        <v>45142</v>
      </c>
      <c r="E174" s="1">
        <v>14.17</v>
      </c>
      <c r="F174" s="8">
        <v>6</v>
      </c>
      <c r="G174" s="30">
        <f t="shared" si="8"/>
        <v>20.170000000000002</v>
      </c>
      <c r="H174" s="8">
        <f t="shared" si="11"/>
        <v>-14.17</v>
      </c>
      <c r="I174">
        <f t="shared" si="10"/>
        <v>0</v>
      </c>
      <c r="J174">
        <f>SUMIF(Oeffentlichkeitsarbeit!$D:$D,$B174,Oeffentlichkeitsarbeit!$F:$F)</f>
        <v>0</v>
      </c>
      <c r="K174">
        <f>COUNTIF(Fairteiler!$D:$D,$B174)*1/2</f>
        <v>0</v>
      </c>
      <c r="L174">
        <f>COUNTIF('NP-Betrieb'!D:D,$B174)*1/3</f>
        <v>0</v>
      </c>
      <c r="M174">
        <f>COUNTIF(Fairteilungen!$D:$D,$B174)*3/4</f>
        <v>0</v>
      </c>
      <c r="N174">
        <f>COUNTIF(Anlieferung!D:D,$B174)*1/2</f>
        <v>0</v>
      </c>
      <c r="O174">
        <f>COUNTIF(Probeabholungen!B:B,$B174)*1/3</f>
        <v>0</v>
      </c>
    </row>
    <row r="175" spans="1:15">
      <c r="A175" s="8" t="s">
        <v>174</v>
      </c>
      <c r="B175" s="8">
        <v>873830</v>
      </c>
      <c r="D175" s="24">
        <v>45563</v>
      </c>
      <c r="E175" s="1">
        <v>0</v>
      </c>
      <c r="F175" s="8">
        <v>6</v>
      </c>
      <c r="G175" s="30">
        <f t="shared" si="8"/>
        <v>2.166666666666667</v>
      </c>
      <c r="H175" s="8">
        <f t="shared" si="11"/>
        <v>3.833333333333333</v>
      </c>
      <c r="I175">
        <f t="shared" si="10"/>
        <v>3.833333333333333</v>
      </c>
      <c r="J175">
        <f>SUMIF(Oeffentlichkeitsarbeit!$D:$D,$B175,Oeffentlichkeitsarbeit!$F:$F)</f>
        <v>0</v>
      </c>
      <c r="K175">
        <f>COUNTIF(Fairteiler!$D:$D,$B175)*1/2</f>
        <v>2.5</v>
      </c>
      <c r="L175">
        <f>COUNTIF('NP-Betrieb'!D:D,$B175)*1/3</f>
        <v>1.3333333333333333</v>
      </c>
      <c r="M175">
        <f>COUNTIF(Fairteilungen!$D:$D,$B175)*3/4</f>
        <v>0</v>
      </c>
      <c r="N175">
        <f>COUNTIF(Anlieferung!D:D,$B175)*1/2</f>
        <v>0</v>
      </c>
      <c r="O175">
        <f>COUNTIF(Probeabholungen!B:B,$B175)*1/3</f>
        <v>0</v>
      </c>
    </row>
    <row r="176" spans="1:15" ht="27.6">
      <c r="A176" s="8" t="s">
        <v>175</v>
      </c>
      <c r="B176" s="8">
        <v>115740</v>
      </c>
      <c r="D176" s="29"/>
      <c r="E176" s="1">
        <v>0</v>
      </c>
      <c r="F176" s="8">
        <v>6</v>
      </c>
      <c r="G176" s="30">
        <f t="shared" si="8"/>
        <v>5.666666666666667</v>
      </c>
      <c r="H176" s="8">
        <f t="shared" si="11"/>
        <v>0.33333333333333331</v>
      </c>
      <c r="I176">
        <f t="shared" si="10"/>
        <v>0.33333333333333331</v>
      </c>
      <c r="J176">
        <f>SUMIF(Oeffentlichkeitsarbeit!$D:$D,$B176,Oeffentlichkeitsarbeit!$F:$F)</f>
        <v>0</v>
      </c>
      <c r="K176">
        <f>COUNTIF(Fairteiler!$D:$D,$B176)*1/2</f>
        <v>0</v>
      </c>
      <c r="L176">
        <f>COUNTIF('NP-Betrieb'!D:D,$B176)*1/3</f>
        <v>0.33333333333333331</v>
      </c>
      <c r="M176">
        <f>COUNTIF(Fairteilungen!$D:$D,$B176)*3/4</f>
        <v>0</v>
      </c>
      <c r="N176">
        <f>COUNTIF(Anlieferung!D:D,$B176)*1/2</f>
        <v>0</v>
      </c>
      <c r="O176">
        <f>COUNTIF(Probeabholungen!B:B,$B176)*1/3</f>
        <v>0</v>
      </c>
    </row>
    <row r="177" spans="1:15">
      <c r="A177" s="8" t="s">
        <v>176</v>
      </c>
      <c r="B177" s="8">
        <v>724841</v>
      </c>
      <c r="D177" s="29">
        <v>45078</v>
      </c>
      <c r="E177" s="1">
        <v>0</v>
      </c>
      <c r="F177" s="8">
        <v>6</v>
      </c>
      <c r="G177" s="30">
        <f t="shared" si="8"/>
        <v>3.6666666666666665</v>
      </c>
      <c r="H177" s="8">
        <f t="shared" si="11"/>
        <v>2.3333333333333335</v>
      </c>
      <c r="I177">
        <f t="shared" si="10"/>
        <v>2.3333333333333335</v>
      </c>
      <c r="J177">
        <f>SUMIF(Oeffentlichkeitsarbeit!$D:$D,$B177,Oeffentlichkeitsarbeit!$F:$F)</f>
        <v>0</v>
      </c>
      <c r="K177">
        <f>COUNTIF(Fairteiler!$D:$D,$B177)*1/2</f>
        <v>2</v>
      </c>
      <c r="L177">
        <f>COUNTIF('NP-Betrieb'!D:D,$B177)*1/3</f>
        <v>0.33333333333333331</v>
      </c>
      <c r="M177">
        <f>COUNTIF(Fairteilungen!$D:$D,$B177)*3/4</f>
        <v>0</v>
      </c>
      <c r="N177">
        <f>COUNTIF(Anlieferung!D:D,$B177)*1/2</f>
        <v>0</v>
      </c>
      <c r="O177">
        <f>COUNTIF(Probeabholungen!B:B,$B177)*1/3</f>
        <v>0</v>
      </c>
    </row>
    <row r="178" spans="1:15" ht="27.6">
      <c r="A178" s="8" t="s">
        <v>177</v>
      </c>
      <c r="B178" s="8">
        <v>100699</v>
      </c>
      <c r="D178" s="29"/>
      <c r="E178" s="1">
        <v>0</v>
      </c>
      <c r="F178" s="8">
        <v>6</v>
      </c>
      <c r="G178" s="30">
        <f t="shared" si="8"/>
        <v>6</v>
      </c>
      <c r="H178" s="8">
        <f t="shared" si="11"/>
        <v>0</v>
      </c>
      <c r="I178">
        <f t="shared" si="10"/>
        <v>0</v>
      </c>
      <c r="J178">
        <f>SUMIF(Oeffentlichkeitsarbeit!$D:$D,$B178,Oeffentlichkeitsarbeit!$F:$F)</f>
        <v>0</v>
      </c>
      <c r="K178">
        <f>COUNTIF(Fairteiler!$D:$D,$B178)*1/2</f>
        <v>0</v>
      </c>
      <c r="L178">
        <f>COUNTIF('NP-Betrieb'!D:D,$B178)*1/3</f>
        <v>0</v>
      </c>
      <c r="M178">
        <f>COUNTIF(Fairteilungen!$D:$D,$B178)*3/4</f>
        <v>0</v>
      </c>
      <c r="N178">
        <f>COUNTIF(Anlieferung!D:D,$B178)*1/2</f>
        <v>0</v>
      </c>
      <c r="O178">
        <f>COUNTIF(Probeabholungen!B:B,$B178)*1/3</f>
        <v>0</v>
      </c>
    </row>
    <row r="179" spans="1:15" ht="27.6">
      <c r="A179" s="8" t="s">
        <v>179</v>
      </c>
      <c r="B179" s="8">
        <v>359909</v>
      </c>
      <c r="D179" s="29"/>
      <c r="E179" s="1">
        <v>0</v>
      </c>
      <c r="F179" s="8">
        <v>6</v>
      </c>
      <c r="G179" s="30">
        <f t="shared" si="8"/>
        <v>6</v>
      </c>
      <c r="H179" s="8">
        <f t="shared" si="11"/>
        <v>0</v>
      </c>
      <c r="I179">
        <f t="shared" si="10"/>
        <v>0</v>
      </c>
      <c r="J179">
        <f>SUMIF(Oeffentlichkeitsarbeit!$D:$D,$B179,Oeffentlichkeitsarbeit!$F:$F)</f>
        <v>0</v>
      </c>
      <c r="K179">
        <f>COUNTIF(Fairteiler!$D:$D,$B179)*1/2</f>
        <v>0</v>
      </c>
      <c r="L179">
        <f>COUNTIF('NP-Betrieb'!D:D,$B179)*1/3</f>
        <v>0</v>
      </c>
      <c r="M179">
        <f>COUNTIF(Fairteilungen!$D:$D,$B179)*3/4</f>
        <v>0</v>
      </c>
      <c r="N179">
        <f>COUNTIF(Anlieferung!D:D,$B179)*1/2</f>
        <v>0</v>
      </c>
      <c r="O179">
        <f>COUNTIF(Probeabholungen!B:B,$B179)*1/3</f>
        <v>0</v>
      </c>
    </row>
    <row r="180" spans="1:15" ht="27.6">
      <c r="A180" s="8" t="s">
        <v>180</v>
      </c>
      <c r="B180" s="8">
        <v>151929</v>
      </c>
      <c r="D180" s="29"/>
      <c r="E180" s="1">
        <v>0</v>
      </c>
      <c r="F180" s="8">
        <v>6</v>
      </c>
      <c r="G180" s="30">
        <f t="shared" si="8"/>
        <v>4</v>
      </c>
      <c r="H180" s="8">
        <f t="shared" si="11"/>
        <v>2</v>
      </c>
      <c r="I180">
        <f t="shared" si="10"/>
        <v>2</v>
      </c>
      <c r="J180">
        <f>SUMIF(Oeffentlichkeitsarbeit!$D:$D,$B180,Oeffentlichkeitsarbeit!$F:$F)</f>
        <v>0</v>
      </c>
      <c r="K180">
        <f>COUNTIF(Fairteiler!$D:$D,$B180)*1/2</f>
        <v>0</v>
      </c>
      <c r="L180">
        <f>COUNTIF('NP-Betrieb'!D:D,$B180)*1/3</f>
        <v>2</v>
      </c>
      <c r="M180">
        <f>COUNTIF(Fairteilungen!$D:$D,$B180)*3/4</f>
        <v>0</v>
      </c>
      <c r="N180">
        <f>COUNTIF(Anlieferung!D:D,$B180)*1/2</f>
        <v>0</v>
      </c>
      <c r="O180">
        <f>COUNTIF(Probeabholungen!B:B,$B180)*1/3</f>
        <v>0</v>
      </c>
    </row>
    <row r="181" spans="1:15" ht="27.6">
      <c r="A181" s="8" t="s">
        <v>181</v>
      </c>
      <c r="B181" s="8">
        <v>621916</v>
      </c>
      <c r="D181" s="29"/>
      <c r="E181" s="1">
        <v>0</v>
      </c>
      <c r="F181" s="8">
        <v>6</v>
      </c>
      <c r="G181" s="30">
        <f t="shared" si="8"/>
        <v>2</v>
      </c>
      <c r="H181" s="8">
        <f t="shared" si="11"/>
        <v>4</v>
      </c>
      <c r="I181">
        <f t="shared" si="10"/>
        <v>4</v>
      </c>
      <c r="J181">
        <f>SUMIF(Oeffentlichkeitsarbeit!$D:$D,$B181,Oeffentlichkeitsarbeit!$F:$F)</f>
        <v>0</v>
      </c>
      <c r="K181">
        <f>COUNTIF(Fairteiler!$D:$D,$B181)*1/2</f>
        <v>2</v>
      </c>
      <c r="L181">
        <f>COUNTIF('NP-Betrieb'!D:D,$B181)*1/3</f>
        <v>2</v>
      </c>
      <c r="M181">
        <f>COUNTIF(Fairteilungen!$D:$D,$B181)*3/4</f>
        <v>0</v>
      </c>
      <c r="N181">
        <f>COUNTIF(Anlieferung!D:D,$B181)*1/2</f>
        <v>0</v>
      </c>
      <c r="O181">
        <f>COUNTIF(Probeabholungen!B:B,$B181)*1/3</f>
        <v>0</v>
      </c>
    </row>
    <row r="182" spans="1:15" ht="27.6">
      <c r="A182" s="8" t="s">
        <v>178</v>
      </c>
      <c r="B182" s="8">
        <v>847592</v>
      </c>
      <c r="D182" s="24">
        <v>45526</v>
      </c>
      <c r="E182" s="1">
        <v>13.67</v>
      </c>
      <c r="F182" s="8">
        <v>6</v>
      </c>
      <c r="G182" s="30">
        <f t="shared" si="8"/>
        <v>13.67</v>
      </c>
      <c r="H182" s="8">
        <f t="shared" si="11"/>
        <v>-7.67</v>
      </c>
      <c r="I182">
        <f t="shared" si="10"/>
        <v>6</v>
      </c>
      <c r="J182">
        <f>SUMIF(Oeffentlichkeitsarbeit!$D:$D,$B182,Oeffentlichkeitsarbeit!$F:$F)</f>
        <v>0</v>
      </c>
      <c r="K182">
        <f>COUNTIF(Fairteiler!$D:$D,$B182)*1/2</f>
        <v>3</v>
      </c>
      <c r="L182">
        <f>COUNTIF('NP-Betrieb'!D:D,$B182)*1/3</f>
        <v>3</v>
      </c>
      <c r="M182">
        <f>COUNTIF(Fairteilungen!$D:$D,$B182)*3/4</f>
        <v>0</v>
      </c>
      <c r="N182">
        <f>COUNTIF(Anlieferung!D:D,$B182)*1/2</f>
        <v>0</v>
      </c>
      <c r="O182">
        <f>COUNTIF(Probeabholungen!B:B,$B182)*1/3</f>
        <v>0</v>
      </c>
    </row>
    <row r="183" spans="1:15">
      <c r="A183" t="s">
        <v>182</v>
      </c>
      <c r="B183">
        <v>638067</v>
      </c>
      <c r="D183" s="24">
        <v>45720</v>
      </c>
      <c r="E183" s="1">
        <v>0</v>
      </c>
      <c r="F183">
        <v>6</v>
      </c>
      <c r="G183" s="30">
        <f t="shared" si="8"/>
        <v>4.333333333333333</v>
      </c>
      <c r="H183" s="8">
        <f t="shared" si="11"/>
        <v>1.6666666666666667</v>
      </c>
      <c r="I183">
        <f t="shared" si="10"/>
        <v>1.6666666666666667</v>
      </c>
      <c r="J183">
        <f>SUMIF(Oeffentlichkeitsarbeit!$D:$D,$B183,Oeffentlichkeitsarbeit!$F:$F)</f>
        <v>0</v>
      </c>
      <c r="K183">
        <f>COUNTIF(Fairteiler!$D:$D,$B183)*1/2</f>
        <v>0</v>
      </c>
      <c r="L183">
        <f>COUNTIF('NP-Betrieb'!D:D,$B183)*1/3</f>
        <v>1.6666666666666667</v>
      </c>
      <c r="M183">
        <f>COUNTIF(Fairteilungen!$D:$D,$B183)*3/4</f>
        <v>0</v>
      </c>
      <c r="N183">
        <f>COUNTIF(Anlieferung!D:D,$B183)*1/2</f>
        <v>0</v>
      </c>
      <c r="O183">
        <f>COUNTIF(Probeabholungen!B:B,$B183)*1/3</f>
        <v>0</v>
      </c>
    </row>
    <row r="184" spans="1:15" ht="27.6">
      <c r="A184" s="8" t="s">
        <v>183</v>
      </c>
      <c r="B184" s="8">
        <v>467716</v>
      </c>
      <c r="D184" s="29"/>
      <c r="E184" s="1">
        <v>10.5033333333333</v>
      </c>
      <c r="F184" s="8">
        <v>6</v>
      </c>
      <c r="G184" s="30">
        <f t="shared" si="8"/>
        <v>16.503333333333302</v>
      </c>
      <c r="H184" s="8">
        <f t="shared" si="11"/>
        <v>-10.5033333333333</v>
      </c>
      <c r="I184">
        <f t="shared" si="10"/>
        <v>0</v>
      </c>
      <c r="J184">
        <f>SUMIF(Oeffentlichkeitsarbeit!$D:$D,$B184,Oeffentlichkeitsarbeit!$F:$F)</f>
        <v>0</v>
      </c>
      <c r="K184">
        <f>COUNTIF(Fairteiler!$D:$D,$B184)*1/2</f>
        <v>0</v>
      </c>
      <c r="L184">
        <f>COUNTIF('NP-Betrieb'!D:D,$B184)*1/3</f>
        <v>0</v>
      </c>
      <c r="M184">
        <f>COUNTIF(Fairteilungen!$D:$D,$B184)*3/4</f>
        <v>0</v>
      </c>
      <c r="N184">
        <f>COUNTIF(Anlieferung!D:D,$B184)*1/2</f>
        <v>0</v>
      </c>
      <c r="O184">
        <f>COUNTIF(Probeabholungen!B:B,$B184)*1/3</f>
        <v>0</v>
      </c>
    </row>
    <row r="185" spans="1:15" s="11" customFormat="1" ht="27.6">
      <c r="A185" s="8" t="s">
        <v>184</v>
      </c>
      <c r="B185" s="8">
        <v>95394</v>
      </c>
      <c r="C185"/>
      <c r="D185" s="29"/>
      <c r="E185" s="1">
        <v>0</v>
      </c>
      <c r="F185" s="8">
        <v>6</v>
      </c>
      <c r="G185" s="30">
        <f t="shared" si="8"/>
        <v>3</v>
      </c>
      <c r="H185" s="8">
        <f t="shared" si="11"/>
        <v>3</v>
      </c>
      <c r="I185">
        <f t="shared" si="10"/>
        <v>3</v>
      </c>
      <c r="J185">
        <f>SUMIF(Oeffentlichkeitsarbeit!$D:$D,$B185,Oeffentlichkeitsarbeit!$F:$F)</f>
        <v>0</v>
      </c>
      <c r="K185">
        <f>COUNTIF(Fairteiler!$D:$D,$B185)*1/2</f>
        <v>3</v>
      </c>
      <c r="L185">
        <f>COUNTIF('NP-Betrieb'!D:D,$B185)*1/3</f>
        <v>0</v>
      </c>
      <c r="M185">
        <f>COUNTIF(Fairteilungen!$D:$D,$B185)*3/4</f>
        <v>0</v>
      </c>
      <c r="N185">
        <f>COUNTIF(Anlieferung!D:D,$B185)*1/2</f>
        <v>0</v>
      </c>
      <c r="O185">
        <f>COUNTIF(Probeabholungen!B:B,$B185)*1/3</f>
        <v>0</v>
      </c>
    </row>
    <row r="186" spans="1:15" ht="27.6">
      <c r="A186" s="8" t="s">
        <v>185</v>
      </c>
      <c r="B186" s="8">
        <v>766442</v>
      </c>
      <c r="C186" s="11"/>
      <c r="D186" s="29">
        <v>45129</v>
      </c>
      <c r="E186" s="1">
        <v>7.1666666666666696</v>
      </c>
      <c r="F186" s="8">
        <v>6</v>
      </c>
      <c r="G186" s="30">
        <f t="shared" si="8"/>
        <v>13.16666666666667</v>
      </c>
      <c r="H186" s="8">
        <f t="shared" si="11"/>
        <v>-7.1666666666666696</v>
      </c>
      <c r="I186" s="11">
        <f t="shared" si="10"/>
        <v>0</v>
      </c>
      <c r="J186" s="11">
        <f>SUMIF(Oeffentlichkeitsarbeit!$D:$D,$B186,Oeffentlichkeitsarbeit!$F:$F)</f>
        <v>0</v>
      </c>
      <c r="K186" s="11">
        <f>COUNTIF(Fairteiler!$D:$D,$B186)*1/2</f>
        <v>0</v>
      </c>
      <c r="L186" s="11">
        <f>COUNTIF('NP-Betrieb'!D:D,$B186)*1/3</f>
        <v>0</v>
      </c>
      <c r="M186" s="11">
        <f>COUNTIF(Fairteilungen!$D:$D,$B186)*3/4</f>
        <v>0</v>
      </c>
      <c r="N186" s="11">
        <f>COUNTIF(Anlieferung!D:D,$B186)*1/2</f>
        <v>0</v>
      </c>
      <c r="O186" s="11">
        <f>COUNTIF(Probeabholungen!B:B,$B186)*1/3</f>
        <v>0</v>
      </c>
    </row>
    <row r="187" spans="1:15" ht="27.6">
      <c r="A187" s="8" t="s">
        <v>186</v>
      </c>
      <c r="B187" s="8">
        <v>105562</v>
      </c>
      <c r="C187" s="11"/>
      <c r="D187" s="24">
        <v>45622</v>
      </c>
      <c r="E187" s="1">
        <v>6</v>
      </c>
      <c r="F187" s="8">
        <v>6</v>
      </c>
      <c r="G187" s="30">
        <f t="shared" si="8"/>
        <v>12</v>
      </c>
      <c r="H187" s="8">
        <f t="shared" si="11"/>
        <v>-6</v>
      </c>
      <c r="I187" s="11">
        <f t="shared" si="10"/>
        <v>0</v>
      </c>
      <c r="J187" s="11">
        <f>SUMIF(Oeffentlichkeitsarbeit!$D:$D,$B187,Oeffentlichkeitsarbeit!$F:$F)</f>
        <v>0</v>
      </c>
      <c r="K187" s="11">
        <f>COUNTIF(Fairteiler!$D:$D,$B187)*1/2</f>
        <v>0</v>
      </c>
      <c r="L187" s="11">
        <f>COUNTIF('NP-Betrieb'!D:D,$B187)*1/3</f>
        <v>0</v>
      </c>
      <c r="M187" s="11">
        <f>COUNTIF(Fairteilungen!$D:$D,$B187)*3/4</f>
        <v>0</v>
      </c>
      <c r="N187" s="11">
        <f>COUNTIF(Anlieferung!D:D,$B187)*1/2</f>
        <v>0</v>
      </c>
      <c r="O187" s="11">
        <f>COUNTIF(Probeabholungen!B:B,$B187)*1/3</f>
        <v>0</v>
      </c>
    </row>
    <row r="188" spans="1:15" ht="27.6">
      <c r="A188" s="8" t="s">
        <v>187</v>
      </c>
      <c r="B188" s="8">
        <v>591896</v>
      </c>
      <c r="D188" s="29"/>
      <c r="E188" s="1">
        <v>12</v>
      </c>
      <c r="F188" s="8">
        <v>6</v>
      </c>
      <c r="G188" s="30">
        <f t="shared" si="8"/>
        <v>18</v>
      </c>
      <c r="H188" s="8">
        <f t="shared" si="11"/>
        <v>-12</v>
      </c>
      <c r="I188">
        <f t="shared" si="10"/>
        <v>0</v>
      </c>
      <c r="J188">
        <f>SUMIF(Oeffentlichkeitsarbeit!$D:$D,$B188,Oeffentlichkeitsarbeit!$F:$F)</f>
        <v>0</v>
      </c>
      <c r="K188">
        <f>COUNTIF(Fairteiler!$D:$D,$B188)*1/2</f>
        <v>0</v>
      </c>
      <c r="L188">
        <f>COUNTIF('NP-Betrieb'!D:D,$B188)*1/3</f>
        <v>0</v>
      </c>
      <c r="M188">
        <f>COUNTIF(Fairteilungen!$D:$D,$B188)*3/4</f>
        <v>0</v>
      </c>
      <c r="N188">
        <f>COUNTIF(Anlieferung!D:D,$B188)*1/2</f>
        <v>0</v>
      </c>
      <c r="O188">
        <f>COUNTIF(Probeabholungen!B:B,$B188)*1/3</f>
        <v>0</v>
      </c>
    </row>
    <row r="189" spans="1:15" ht="27.6">
      <c r="A189" s="16" t="s">
        <v>188</v>
      </c>
      <c r="B189" s="16">
        <v>406588</v>
      </c>
      <c r="C189" s="16" t="s">
        <v>831</v>
      </c>
      <c r="D189" s="29"/>
      <c r="E189" s="1">
        <v>0</v>
      </c>
      <c r="F189" s="16">
        <v>0</v>
      </c>
      <c r="G189" s="30">
        <f t="shared" si="8"/>
        <v>-0.33333333333333331</v>
      </c>
      <c r="H189" s="16">
        <f t="shared" si="11"/>
        <v>0.33333333333333331</v>
      </c>
      <c r="I189" s="11">
        <f t="shared" si="10"/>
        <v>0.33333333333333331</v>
      </c>
      <c r="J189" s="11">
        <f>SUMIF(Oeffentlichkeitsarbeit!$D:$D,$B189,Oeffentlichkeitsarbeit!$F:$F)</f>
        <v>0</v>
      </c>
      <c r="K189" s="11">
        <f>COUNTIF(Fairteiler!$D:$D,$B189)*1/2</f>
        <v>0</v>
      </c>
      <c r="L189" s="11">
        <f>COUNTIF('NP-Betrieb'!D:D,$B189)*1/3</f>
        <v>0.33333333333333331</v>
      </c>
      <c r="M189" s="11">
        <f>COUNTIF(Fairteilungen!$D:$D,$B189)*3/4</f>
        <v>0</v>
      </c>
      <c r="N189" s="11">
        <f>COUNTIF(Anlieferung!D:D,$B189)*1/2</f>
        <v>0</v>
      </c>
      <c r="O189" s="11">
        <f>COUNTIF(Probeabholungen!B:B,$B189)*1/3</f>
        <v>0</v>
      </c>
    </row>
    <row r="190" spans="1:15" ht="27.6">
      <c r="A190" s="8" t="s">
        <v>189</v>
      </c>
      <c r="B190" s="8">
        <v>606741</v>
      </c>
      <c r="D190" s="29"/>
      <c r="E190" s="1">
        <v>10</v>
      </c>
      <c r="F190" s="8">
        <v>6</v>
      </c>
      <c r="G190" s="30">
        <f t="shared" si="8"/>
        <v>16</v>
      </c>
      <c r="H190" s="8">
        <f t="shared" si="11"/>
        <v>-10</v>
      </c>
      <c r="I190">
        <f t="shared" si="10"/>
        <v>0</v>
      </c>
      <c r="J190">
        <f>SUMIF(Oeffentlichkeitsarbeit!$D:$D,$B190,Oeffentlichkeitsarbeit!$F:$F)</f>
        <v>0</v>
      </c>
      <c r="K190">
        <f>COUNTIF(Fairteiler!$D:$D,$B190)*1/2</f>
        <v>0</v>
      </c>
      <c r="L190">
        <f>COUNTIF('NP-Betrieb'!D:D,$B190)*1/3</f>
        <v>0</v>
      </c>
      <c r="M190">
        <f>COUNTIF(Fairteilungen!$D:$D,$B190)*3/4</f>
        <v>0</v>
      </c>
      <c r="N190">
        <f>COUNTIF(Anlieferung!D:D,$B190)*1/2</f>
        <v>0</v>
      </c>
      <c r="O190">
        <f>COUNTIF(Probeabholungen!B:B,$B190)*1/3</f>
        <v>0</v>
      </c>
    </row>
    <row r="191" spans="1:15" ht="27.6">
      <c r="A191" s="8" t="s">
        <v>190</v>
      </c>
      <c r="B191" s="8">
        <v>474341</v>
      </c>
      <c r="D191" s="24">
        <v>45799</v>
      </c>
      <c r="E191" s="1">
        <v>1.1666666666666701</v>
      </c>
      <c r="F191">
        <v>6</v>
      </c>
      <c r="G191" s="30">
        <f t="shared" si="8"/>
        <v>7.1666666666666696</v>
      </c>
      <c r="H191" s="8">
        <f t="shared" si="11"/>
        <v>-1.1666666666666701</v>
      </c>
      <c r="I191">
        <f t="shared" si="10"/>
        <v>0</v>
      </c>
      <c r="J191">
        <f>SUMIF(Oeffentlichkeitsarbeit!$D:$D,$B191,Oeffentlichkeitsarbeit!$F:$F)</f>
        <v>0</v>
      </c>
      <c r="K191">
        <f>COUNTIF(Fairteiler!$D:$D,$B191)*1/2</f>
        <v>0</v>
      </c>
      <c r="L191">
        <f>COUNTIF('NP-Betrieb'!D:D,$B191)*1/3</f>
        <v>0</v>
      </c>
      <c r="M191">
        <f>COUNTIF(Fairteilungen!$D:$D,$B191)*3/4</f>
        <v>0</v>
      </c>
      <c r="N191">
        <f>COUNTIF(Anlieferung!D:D,$B191)*1/2</f>
        <v>0</v>
      </c>
      <c r="O191">
        <f>COUNTIF(Probeabholungen!B:B,$B191)*1/3</f>
        <v>0</v>
      </c>
    </row>
    <row r="192" spans="1:15" ht="27.6">
      <c r="A192" s="8" t="s">
        <v>191</v>
      </c>
      <c r="B192" s="8">
        <v>174416</v>
      </c>
      <c r="D192" s="29"/>
      <c r="E192" s="1">
        <v>3</v>
      </c>
      <c r="F192" s="8">
        <v>6</v>
      </c>
      <c r="G192" s="30">
        <f t="shared" si="8"/>
        <v>3.1666666666666661</v>
      </c>
      <c r="H192" s="8">
        <f t="shared" si="11"/>
        <v>2.8333333333333339</v>
      </c>
      <c r="I192">
        <f t="shared" si="10"/>
        <v>5.8333333333333339</v>
      </c>
      <c r="J192">
        <f>SUMIF(Oeffentlichkeitsarbeit!$D:$D,$B192,Oeffentlichkeitsarbeit!$F:$F)</f>
        <v>0</v>
      </c>
      <c r="K192">
        <f>COUNTIF(Fairteiler!$D:$D,$B192)*1/2</f>
        <v>2.5</v>
      </c>
      <c r="L192">
        <f>COUNTIF('NP-Betrieb'!D:D,$B192)*1/3</f>
        <v>3.3333333333333335</v>
      </c>
      <c r="M192">
        <f>COUNTIF(Fairteilungen!$D:$D,$B192)*3/4</f>
        <v>0</v>
      </c>
      <c r="N192">
        <f>COUNTIF(Anlieferung!D:D,$B192)*1/2</f>
        <v>0</v>
      </c>
      <c r="O192">
        <f>COUNTIF(Probeabholungen!B:B,$B192)*1/3</f>
        <v>0</v>
      </c>
    </row>
    <row r="193" spans="1:15" ht="27.6">
      <c r="A193" s="8" t="s">
        <v>192</v>
      </c>
      <c r="B193">
        <v>755301</v>
      </c>
      <c r="D193" s="24">
        <v>45526</v>
      </c>
      <c r="E193" s="1">
        <v>0</v>
      </c>
      <c r="F193" s="8">
        <v>6</v>
      </c>
      <c r="G193" s="30">
        <f t="shared" si="8"/>
        <v>-4.6666666666666661</v>
      </c>
      <c r="H193" s="8">
        <f t="shared" si="11"/>
        <v>10.666666666666666</v>
      </c>
      <c r="I193">
        <f t="shared" si="10"/>
        <v>10.666666666666666</v>
      </c>
      <c r="J193">
        <f>SUMIF(Oeffentlichkeitsarbeit!$D:$D,$B193,Oeffentlichkeitsarbeit!$F:$F)</f>
        <v>0</v>
      </c>
      <c r="K193">
        <f>COUNTIF(Fairteiler!$D:$D,$B193)*1/2</f>
        <v>0</v>
      </c>
      <c r="L193">
        <f>COUNTIF('NP-Betrieb'!D:D,$B193)*1/3</f>
        <v>10.666666666666666</v>
      </c>
      <c r="M193">
        <f>COUNTIF(Fairteilungen!$D:$D,$B193)*3/4</f>
        <v>0</v>
      </c>
      <c r="N193">
        <f>COUNTIF(Anlieferung!D:D,$B193)*1/2</f>
        <v>0</v>
      </c>
      <c r="O193">
        <f>COUNTIF(Probeabholungen!B:B,$B193)*1/3</f>
        <v>0</v>
      </c>
    </row>
    <row r="194" spans="1:15" ht="27.6">
      <c r="A194" s="8" t="s">
        <v>193</v>
      </c>
      <c r="B194" s="8">
        <v>871573</v>
      </c>
      <c r="D194" s="24">
        <v>45622</v>
      </c>
      <c r="E194" s="1">
        <v>0</v>
      </c>
      <c r="F194" s="8">
        <v>6</v>
      </c>
      <c r="G194" s="30">
        <f t="shared" ref="G194:G257" si="12">F194-H194</f>
        <v>2</v>
      </c>
      <c r="H194" s="8">
        <f t="shared" si="11"/>
        <v>4</v>
      </c>
      <c r="I194">
        <f t="shared" ref="I194:I257" si="13">SUM(J194:O194)</f>
        <v>4</v>
      </c>
      <c r="J194">
        <f>SUMIF(Oeffentlichkeitsarbeit!$D:$D,$B194,Oeffentlichkeitsarbeit!$F:$F)</f>
        <v>0</v>
      </c>
      <c r="K194">
        <f>COUNTIF(Fairteiler!$D:$D,$B194)*1/2</f>
        <v>0</v>
      </c>
      <c r="L194">
        <f>COUNTIF('NP-Betrieb'!D:D,$B194)*1/3</f>
        <v>4</v>
      </c>
      <c r="M194">
        <f>COUNTIF(Fairteilungen!$D:$D,$B194)*3/4</f>
        <v>0</v>
      </c>
      <c r="N194">
        <f>COUNTIF(Anlieferung!D:D,$B194)*1/2</f>
        <v>0</v>
      </c>
      <c r="O194">
        <f>COUNTIF(Probeabholungen!B:B,$B194)*1/3</f>
        <v>0</v>
      </c>
    </row>
    <row r="195" spans="1:15" ht="27.6">
      <c r="A195" s="8" t="s">
        <v>194</v>
      </c>
      <c r="B195" s="8">
        <v>385751</v>
      </c>
      <c r="D195" s="29"/>
      <c r="E195" s="1">
        <v>10</v>
      </c>
      <c r="F195" s="8">
        <v>6</v>
      </c>
      <c r="G195" s="30">
        <f t="shared" si="12"/>
        <v>16</v>
      </c>
      <c r="H195" s="8">
        <f t="shared" si="11"/>
        <v>-10</v>
      </c>
      <c r="I195">
        <f t="shared" si="13"/>
        <v>0</v>
      </c>
      <c r="J195">
        <f>SUMIF(Oeffentlichkeitsarbeit!$D:$D,$B195,Oeffentlichkeitsarbeit!$F:$F)</f>
        <v>0</v>
      </c>
      <c r="K195">
        <f>COUNTIF(Fairteiler!$D:$D,$B195)*1/2</f>
        <v>0</v>
      </c>
      <c r="L195">
        <f>COUNTIF('NP-Betrieb'!D:D,$B195)*1/3</f>
        <v>0</v>
      </c>
      <c r="M195">
        <f>COUNTIF(Fairteilungen!$D:$D,$B195)*3/4</f>
        <v>0</v>
      </c>
      <c r="N195">
        <f>COUNTIF(Anlieferung!D:D,$B195)*1/2</f>
        <v>0</v>
      </c>
      <c r="O195">
        <f>COUNTIF(Probeabholungen!B:B,$B195)*1/3</f>
        <v>0</v>
      </c>
    </row>
    <row r="196" spans="1:15" ht="27.6">
      <c r="A196" s="8" t="s">
        <v>195</v>
      </c>
      <c r="B196" s="8">
        <v>826687</v>
      </c>
      <c r="D196" s="24">
        <v>45917</v>
      </c>
      <c r="E196" s="1">
        <v>1.1666666666666701</v>
      </c>
      <c r="F196">
        <v>6</v>
      </c>
      <c r="G196" s="30">
        <f t="shared" si="12"/>
        <v>7.1666666666666696</v>
      </c>
      <c r="H196" s="8">
        <f t="shared" si="11"/>
        <v>-1.1666666666666701</v>
      </c>
      <c r="I196">
        <f t="shared" si="13"/>
        <v>0</v>
      </c>
      <c r="J196">
        <f>SUMIF(Oeffentlichkeitsarbeit!$D:$D,$B196,Oeffentlichkeitsarbeit!$F:$F)</f>
        <v>0</v>
      </c>
      <c r="K196">
        <f>COUNTIF(Fairteiler!$D:$D,$B196)*1/2</f>
        <v>0</v>
      </c>
      <c r="L196">
        <f>COUNTIF('NP-Betrieb'!D:D,$B196)*1/3</f>
        <v>0</v>
      </c>
      <c r="M196">
        <f>COUNTIF(Fairteilungen!$D:$D,$B196)*3/4</f>
        <v>0</v>
      </c>
      <c r="N196">
        <f>COUNTIF(Anlieferung!D:D,$B196)*1/2</f>
        <v>0</v>
      </c>
      <c r="O196">
        <f>COUNTIF(Probeabholungen!B:B,$B196)*1/3</f>
        <v>0</v>
      </c>
    </row>
    <row r="197" spans="1:15" ht="27.6">
      <c r="A197" s="8" t="s">
        <v>196</v>
      </c>
      <c r="B197" s="8">
        <v>223372</v>
      </c>
      <c r="D197" s="29"/>
      <c r="E197" s="1">
        <v>0</v>
      </c>
      <c r="F197" s="8">
        <v>6</v>
      </c>
      <c r="G197" s="30">
        <f t="shared" si="12"/>
        <v>4.5</v>
      </c>
      <c r="H197" s="8">
        <f t="shared" si="11"/>
        <v>1.5</v>
      </c>
      <c r="I197">
        <f t="shared" si="13"/>
        <v>1.5</v>
      </c>
      <c r="J197">
        <f>SUMIF(Oeffentlichkeitsarbeit!$D:$D,$B197,Oeffentlichkeitsarbeit!$F:$F)</f>
        <v>0</v>
      </c>
      <c r="K197">
        <f>COUNTIF(Fairteiler!$D:$D,$B197)*1/2</f>
        <v>1.5</v>
      </c>
      <c r="L197">
        <f>COUNTIF('NP-Betrieb'!D:D,$B197)*1/3</f>
        <v>0</v>
      </c>
      <c r="M197">
        <f>COUNTIF(Fairteilungen!$D:$D,$B197)*3/4</f>
        <v>0</v>
      </c>
      <c r="N197">
        <f>COUNTIF(Anlieferung!D:D,$B197)*1/2</f>
        <v>0</v>
      </c>
      <c r="O197">
        <f>COUNTIF(Probeabholungen!B:B,$B197)*1/3</f>
        <v>0</v>
      </c>
    </row>
    <row r="198" spans="1:15" ht="27.6">
      <c r="A198" s="8" t="s">
        <v>197</v>
      </c>
      <c r="B198" s="8">
        <v>175002</v>
      </c>
      <c r="D198" s="29"/>
      <c r="E198" s="1">
        <v>0</v>
      </c>
      <c r="F198" s="8">
        <v>6</v>
      </c>
      <c r="G198" s="30">
        <f t="shared" si="12"/>
        <v>-5.6666666666666679</v>
      </c>
      <c r="H198" s="8">
        <f t="shared" si="11"/>
        <v>11.666666666666668</v>
      </c>
      <c r="I198">
        <f t="shared" si="13"/>
        <v>11.666666666666668</v>
      </c>
      <c r="J198">
        <f>SUMIF(Oeffentlichkeitsarbeit!$D:$D,$B198,Oeffentlichkeitsarbeit!$F:$F)</f>
        <v>4</v>
      </c>
      <c r="K198">
        <f>COUNTIF(Fairteiler!$D:$D,$B198)*1/2</f>
        <v>0</v>
      </c>
      <c r="L198">
        <f>COUNTIF('NP-Betrieb'!D:D,$B198)*1/3</f>
        <v>7.666666666666667</v>
      </c>
      <c r="M198">
        <f>COUNTIF(Fairteilungen!$D:$D,$B198)*3/4</f>
        <v>0</v>
      </c>
      <c r="N198">
        <f>COUNTIF(Anlieferung!D:D,$B198)*1/2</f>
        <v>0</v>
      </c>
      <c r="O198">
        <f>COUNTIF(Probeabholungen!B:B,$B198)*1/3</f>
        <v>0</v>
      </c>
    </row>
    <row r="199" spans="1:15" ht="27.6">
      <c r="A199" s="8" t="s">
        <v>198</v>
      </c>
      <c r="B199" s="8">
        <v>136136</v>
      </c>
      <c r="D199" s="29"/>
      <c r="E199" s="1">
        <v>0</v>
      </c>
      <c r="F199" s="8">
        <v>6</v>
      </c>
      <c r="G199" s="30">
        <f t="shared" si="12"/>
        <v>1.666666666666667</v>
      </c>
      <c r="H199" s="8">
        <f t="shared" si="11"/>
        <v>4.333333333333333</v>
      </c>
      <c r="I199">
        <f t="shared" si="13"/>
        <v>4.333333333333333</v>
      </c>
      <c r="J199">
        <f>SUMIF(Oeffentlichkeitsarbeit!$D:$D,$B199,Oeffentlichkeitsarbeit!$F:$F)</f>
        <v>4</v>
      </c>
      <c r="K199">
        <f>COUNTIF(Fairteiler!$D:$D,$B199)*1/2</f>
        <v>0</v>
      </c>
      <c r="L199">
        <f>COUNTIF('NP-Betrieb'!D:D,$B199)*1/3</f>
        <v>0.33333333333333331</v>
      </c>
      <c r="M199">
        <f>COUNTIF(Fairteilungen!$D:$D,$B199)*3/4</f>
        <v>0</v>
      </c>
      <c r="N199">
        <f>COUNTIF(Anlieferung!D:D,$B199)*1/2</f>
        <v>0</v>
      </c>
      <c r="O199">
        <f>COUNTIF(Probeabholungen!B:B,$B199)*1/3</f>
        <v>0</v>
      </c>
    </row>
    <row r="200" spans="1:15" ht="27.6">
      <c r="A200" s="8" t="s">
        <v>199</v>
      </c>
      <c r="B200" s="8">
        <v>922976</v>
      </c>
      <c r="D200" s="24">
        <v>45845</v>
      </c>
      <c r="E200" s="1">
        <v>0</v>
      </c>
      <c r="F200">
        <v>6</v>
      </c>
      <c r="G200" s="30">
        <f t="shared" si="12"/>
        <v>4</v>
      </c>
      <c r="H200" s="8">
        <f t="shared" si="11"/>
        <v>2</v>
      </c>
      <c r="I200">
        <f t="shared" si="13"/>
        <v>2</v>
      </c>
      <c r="J200">
        <f>SUMIF(Oeffentlichkeitsarbeit!$D:$D,$B200,Oeffentlichkeitsarbeit!$F:$F)</f>
        <v>0</v>
      </c>
      <c r="K200">
        <f>COUNTIF(Fairteiler!$D:$D,$B200)*1/2</f>
        <v>0</v>
      </c>
      <c r="L200">
        <f>COUNTIF('NP-Betrieb'!D:D,$B200)*1/3</f>
        <v>2</v>
      </c>
      <c r="M200">
        <f>COUNTIF(Fairteilungen!$D:$D,$B200)*3/4</f>
        <v>0</v>
      </c>
      <c r="N200">
        <f>COUNTIF(Anlieferung!D:D,$B200)*1/2</f>
        <v>0</v>
      </c>
      <c r="O200">
        <f>COUNTIF(Probeabholungen!B:B,$B200)*1/3</f>
        <v>0</v>
      </c>
    </row>
    <row r="201" spans="1:15">
      <c r="A201" s="8" t="s">
        <v>200</v>
      </c>
      <c r="B201" s="8">
        <v>788731</v>
      </c>
      <c r="D201" s="24">
        <v>45622</v>
      </c>
      <c r="E201" s="1">
        <v>6</v>
      </c>
      <c r="F201" s="8">
        <v>6</v>
      </c>
      <c r="G201" s="30">
        <f t="shared" si="12"/>
        <v>12</v>
      </c>
      <c r="H201" s="8">
        <f t="shared" si="11"/>
        <v>-6</v>
      </c>
      <c r="I201">
        <f t="shared" si="13"/>
        <v>0</v>
      </c>
      <c r="J201">
        <f>SUMIF(Oeffentlichkeitsarbeit!$D:$D,$B201,Oeffentlichkeitsarbeit!$F:$F)</f>
        <v>0</v>
      </c>
      <c r="K201">
        <f>COUNTIF(Fairteiler!$D:$D,$B201)*1/2</f>
        <v>0</v>
      </c>
      <c r="L201">
        <f>COUNTIF('NP-Betrieb'!D:D,$B201)*1/3</f>
        <v>0</v>
      </c>
      <c r="M201">
        <f>COUNTIF(Fairteilungen!$D:$D,$B201)*3/4</f>
        <v>0</v>
      </c>
      <c r="N201">
        <f>COUNTIF(Anlieferung!D:D,$B201)*1/2</f>
        <v>0</v>
      </c>
      <c r="O201">
        <f>COUNTIF(Probeabholungen!B:B,$B201)*1/3</f>
        <v>0</v>
      </c>
    </row>
    <row r="202" spans="1:15" s="11" customFormat="1" ht="27.6">
      <c r="A202" s="8" t="s">
        <v>201</v>
      </c>
      <c r="B202" s="8">
        <v>693215</v>
      </c>
      <c r="C202"/>
      <c r="D202" s="29"/>
      <c r="E202" s="1">
        <v>0</v>
      </c>
      <c r="F202" s="8">
        <v>6</v>
      </c>
      <c r="G202" s="30">
        <f t="shared" si="12"/>
        <v>5</v>
      </c>
      <c r="H202" s="8">
        <f t="shared" si="11"/>
        <v>1</v>
      </c>
      <c r="I202">
        <f t="shared" si="13"/>
        <v>1</v>
      </c>
      <c r="J202">
        <f>SUMIF(Oeffentlichkeitsarbeit!$D:$D,$B202,Oeffentlichkeitsarbeit!$F:$F)</f>
        <v>0</v>
      </c>
      <c r="K202">
        <f>COUNTIF(Fairteiler!$D:$D,$B202)*1/2</f>
        <v>0</v>
      </c>
      <c r="L202">
        <f>COUNTIF('NP-Betrieb'!D:D,$B202)*1/3</f>
        <v>0.33333333333333331</v>
      </c>
      <c r="M202">
        <f>COUNTIF(Fairteilungen!$D:$D,$B202)*3/4</f>
        <v>0</v>
      </c>
      <c r="N202">
        <f>COUNTIF(Anlieferung!D:D,$B202)*1/2</f>
        <v>0</v>
      </c>
      <c r="O202">
        <f>COUNTIF(Probeabholungen!B:B,$B202)*1/3</f>
        <v>0.66666666666666663</v>
      </c>
    </row>
    <row r="203" spans="1:15">
      <c r="A203" s="11" t="s">
        <v>202</v>
      </c>
      <c r="B203" s="11">
        <v>772113</v>
      </c>
      <c r="C203" s="11"/>
      <c r="D203" s="24">
        <v>45720</v>
      </c>
      <c r="E203" s="1">
        <v>0</v>
      </c>
      <c r="F203" s="11">
        <v>6</v>
      </c>
      <c r="G203" s="30">
        <f t="shared" si="12"/>
        <v>-3.6666666666666661</v>
      </c>
      <c r="H203" s="8">
        <f t="shared" si="11"/>
        <v>9.6666666666666661</v>
      </c>
      <c r="I203" s="11">
        <f t="shared" si="13"/>
        <v>9.6666666666666661</v>
      </c>
      <c r="J203" s="11">
        <f>SUMIF(Oeffentlichkeitsarbeit!$D:$D,$B203,Oeffentlichkeitsarbeit!$F:$F)</f>
        <v>0</v>
      </c>
      <c r="K203" s="11">
        <f>COUNTIF(Fairteiler!$D:$D,$B203)*1/2</f>
        <v>0</v>
      </c>
      <c r="L203" s="11">
        <f>COUNTIF('NP-Betrieb'!D:D,$B203)*1/3</f>
        <v>9.6666666666666661</v>
      </c>
      <c r="M203" s="11">
        <f>COUNTIF(Fairteilungen!$D:$D,$B203)*3/4</f>
        <v>0</v>
      </c>
      <c r="N203" s="11">
        <f>COUNTIF(Anlieferung!D:D,$B203)*1/2</f>
        <v>0</v>
      </c>
      <c r="O203" s="11">
        <f>COUNTIF(Probeabholungen!B:B,$B203)*1/3</f>
        <v>0</v>
      </c>
    </row>
    <row r="204" spans="1:15" ht="41.4">
      <c r="A204" s="8" t="s">
        <v>203</v>
      </c>
      <c r="B204" s="8">
        <v>600132</v>
      </c>
      <c r="C204" s="11"/>
      <c r="D204" s="29">
        <v>45058</v>
      </c>
      <c r="E204" s="1">
        <v>1</v>
      </c>
      <c r="F204" s="8">
        <v>6</v>
      </c>
      <c r="G204" s="30">
        <f t="shared" si="12"/>
        <v>3</v>
      </c>
      <c r="H204" s="8">
        <f t="shared" si="11"/>
        <v>3</v>
      </c>
      <c r="I204" s="11">
        <f t="shared" si="13"/>
        <v>4</v>
      </c>
      <c r="J204" s="11">
        <f>SUMIF(Oeffentlichkeitsarbeit!$D:$D,$B204,Oeffentlichkeitsarbeit!$F:$F)</f>
        <v>4</v>
      </c>
      <c r="K204" s="11">
        <f>COUNTIF(Fairteiler!$D:$D,$B204)*1/2</f>
        <v>0</v>
      </c>
      <c r="L204" s="11">
        <f>COUNTIF('NP-Betrieb'!D:D,$B204)*1/3</f>
        <v>0</v>
      </c>
      <c r="M204" s="11">
        <f>COUNTIF(Fairteilungen!$D:$D,$B204)*3/4</f>
        <v>0</v>
      </c>
      <c r="N204" s="11">
        <f>COUNTIF(Anlieferung!D:D,$B204)*1/2</f>
        <v>0</v>
      </c>
      <c r="O204" s="11">
        <f>COUNTIF(Probeabholungen!B:B,$B204)*1/3</f>
        <v>0</v>
      </c>
    </row>
    <row r="205" spans="1:15" ht="27.6">
      <c r="A205" s="8" t="s">
        <v>844</v>
      </c>
      <c r="B205" s="8">
        <v>985544</v>
      </c>
      <c r="D205" s="24">
        <v>46087</v>
      </c>
      <c r="E205">
        <v>0</v>
      </c>
      <c r="F205">
        <v>5</v>
      </c>
      <c r="G205" s="30">
        <f t="shared" si="12"/>
        <v>4.333333333333333</v>
      </c>
      <c r="H205" s="8">
        <f t="shared" si="11"/>
        <v>0.66666666666666663</v>
      </c>
      <c r="I205">
        <f t="shared" si="13"/>
        <v>0.66666666666666663</v>
      </c>
      <c r="J205">
        <f>SUMIF(Oeffentlichkeitsarbeit!$D:$D,$B205,Oeffentlichkeitsarbeit!$F:$F)</f>
        <v>0</v>
      </c>
      <c r="K205">
        <f>COUNTIF(Fairteiler!$D:$D,$B205)*1/2</f>
        <v>0</v>
      </c>
      <c r="L205">
        <f>COUNTIF('NP-Betrieb'!D:D,$B205)*1/3</f>
        <v>0.66666666666666663</v>
      </c>
      <c r="M205">
        <f>COUNTIF(Fairteilungen!$D:$D,$B205)*3/4</f>
        <v>0</v>
      </c>
      <c r="N205">
        <f>COUNTIF(Anlieferung!D:D,$B205)*1/2</f>
        <v>0</v>
      </c>
      <c r="O205">
        <f>COUNTIF(Probeabholungen!B:B,$B205)*1/3</f>
        <v>0</v>
      </c>
    </row>
    <row r="206" spans="1:15" ht="27.6">
      <c r="A206" s="8" t="s">
        <v>204</v>
      </c>
      <c r="B206" s="8">
        <v>659843</v>
      </c>
      <c r="D206" s="29"/>
      <c r="E206" s="1">
        <v>0</v>
      </c>
      <c r="F206" s="8">
        <v>6</v>
      </c>
      <c r="G206" s="30">
        <f t="shared" si="12"/>
        <v>4</v>
      </c>
      <c r="H206" s="8">
        <f t="shared" si="11"/>
        <v>2</v>
      </c>
      <c r="I206">
        <f t="shared" si="13"/>
        <v>2</v>
      </c>
      <c r="J206">
        <f>SUMIF(Oeffentlichkeitsarbeit!$D:$D,$B206,Oeffentlichkeitsarbeit!$F:$F)</f>
        <v>0</v>
      </c>
      <c r="K206">
        <f>COUNTIF(Fairteiler!$D:$D,$B206)*1/2</f>
        <v>2</v>
      </c>
      <c r="L206">
        <f>COUNTIF('NP-Betrieb'!D:D,$B206)*1/3</f>
        <v>0</v>
      </c>
      <c r="M206">
        <f>COUNTIF(Fairteilungen!$D:$D,$B206)*3/4</f>
        <v>0</v>
      </c>
      <c r="N206">
        <f>COUNTIF(Anlieferung!D:D,$B206)*1/2</f>
        <v>0</v>
      </c>
      <c r="O206">
        <f>COUNTIF(Probeabholungen!B:B,$B206)*1/3</f>
        <v>0</v>
      </c>
    </row>
    <row r="207" spans="1:15" ht="27.6">
      <c r="A207" s="15" t="s">
        <v>205</v>
      </c>
      <c r="B207" s="15">
        <v>375936</v>
      </c>
      <c r="C207" s="15" t="s">
        <v>833</v>
      </c>
      <c r="D207" s="29"/>
      <c r="E207" s="1">
        <v>0</v>
      </c>
      <c r="F207" s="15">
        <v>0</v>
      </c>
      <c r="G207" s="30">
        <f t="shared" si="12"/>
        <v>0</v>
      </c>
      <c r="H207" s="15">
        <f t="shared" si="11"/>
        <v>0</v>
      </c>
      <c r="I207" s="11">
        <f t="shared" si="13"/>
        <v>0</v>
      </c>
      <c r="J207" s="11">
        <f>SUMIF(Oeffentlichkeitsarbeit!$D:$D,$B207,Oeffentlichkeitsarbeit!$F:$F)</f>
        <v>0</v>
      </c>
      <c r="K207" s="11">
        <f>COUNTIF(Fairteiler!$D:$D,$B207)*1/2</f>
        <v>0</v>
      </c>
      <c r="L207" s="11">
        <f>COUNTIF('NP-Betrieb'!D:D,$B207)*1/3</f>
        <v>0</v>
      </c>
      <c r="M207" s="11">
        <f>COUNTIF(Fairteilungen!$D:$D,$B207)*3/4</f>
        <v>0</v>
      </c>
      <c r="N207" s="11">
        <f>COUNTIF(Anlieferung!D:D,$B207)*1/2</f>
        <v>0</v>
      </c>
      <c r="O207" s="11">
        <f>COUNTIF(Probeabholungen!B:B,$B207)*1/3</f>
        <v>0</v>
      </c>
    </row>
    <row r="208" spans="1:15" ht="27.6">
      <c r="A208" s="16" t="s">
        <v>206</v>
      </c>
      <c r="B208" s="16">
        <v>267168</v>
      </c>
      <c r="C208" s="16" t="s">
        <v>831</v>
      </c>
      <c r="D208" s="32"/>
      <c r="E208" s="1">
        <v>0</v>
      </c>
      <c r="F208" s="16">
        <v>0</v>
      </c>
      <c r="G208" s="33">
        <f t="shared" si="12"/>
        <v>-8.6666666666666661</v>
      </c>
      <c r="H208" s="16">
        <f t="shared" si="11"/>
        <v>8.6666666666666661</v>
      </c>
      <c r="I208" s="31">
        <f t="shared" si="13"/>
        <v>8.6666666666666661</v>
      </c>
      <c r="J208" s="31">
        <f>SUMIF(Oeffentlichkeitsarbeit!$D:$D,$B208,Oeffentlichkeitsarbeit!$F:$F)</f>
        <v>0</v>
      </c>
      <c r="K208" s="31">
        <f>COUNTIF(Fairteiler!$D:$D,$B208)*1/2</f>
        <v>0</v>
      </c>
      <c r="L208" s="31">
        <f>COUNTIF('NP-Betrieb'!D:D,$B208)*1/3</f>
        <v>7</v>
      </c>
      <c r="M208" s="31">
        <f>COUNTIF(Fairteilungen!$D:$D,$B208)*3/4</f>
        <v>0</v>
      </c>
      <c r="N208" s="31">
        <f>COUNTIF(Anlieferung!D:D,$B208)*1/2</f>
        <v>0</v>
      </c>
      <c r="O208" s="31">
        <f>COUNTIF(Probeabholungen!B:B,$B208)*1/3</f>
        <v>1.6666666666666667</v>
      </c>
    </row>
    <row r="209" spans="1:15" ht="41.4">
      <c r="A209" s="8" t="s">
        <v>207</v>
      </c>
      <c r="B209" s="8">
        <v>105114</v>
      </c>
      <c r="D209" s="29"/>
      <c r="E209" s="1">
        <v>4.34</v>
      </c>
      <c r="F209" s="8">
        <v>6</v>
      </c>
      <c r="G209" s="30">
        <f t="shared" si="12"/>
        <v>10.34</v>
      </c>
      <c r="H209" s="8">
        <f t="shared" si="11"/>
        <v>-4.34</v>
      </c>
      <c r="I209">
        <f t="shared" si="13"/>
        <v>0</v>
      </c>
      <c r="J209">
        <f>SUMIF(Oeffentlichkeitsarbeit!$D:$D,$B209,Oeffentlichkeitsarbeit!$F:$F)</f>
        <v>0</v>
      </c>
      <c r="K209">
        <f>COUNTIF(Fairteiler!$D:$D,$B209)*1/2</f>
        <v>0</v>
      </c>
      <c r="L209">
        <f>COUNTIF('NP-Betrieb'!D:D,$B209)*1/3</f>
        <v>0</v>
      </c>
      <c r="M209">
        <f>COUNTIF(Fairteilungen!$D:$D,$B209)*3/4</f>
        <v>0</v>
      </c>
      <c r="N209">
        <f>COUNTIF(Anlieferung!D:D,$B209)*1/2</f>
        <v>0</v>
      </c>
      <c r="O209">
        <f>COUNTIF(Probeabholungen!B:B,$B209)*1/3</f>
        <v>0</v>
      </c>
    </row>
    <row r="210" spans="1:15" ht="27.6">
      <c r="A210" s="8" t="s">
        <v>208</v>
      </c>
      <c r="B210" s="8">
        <v>116455</v>
      </c>
      <c r="C210" s="8"/>
      <c r="D210" s="29"/>
      <c r="E210" s="1">
        <v>6.1666666666666696</v>
      </c>
      <c r="F210" s="8">
        <v>6</v>
      </c>
      <c r="G210" s="30">
        <f t="shared" si="12"/>
        <v>12.16666666666667</v>
      </c>
      <c r="H210" s="8">
        <f t="shared" si="11"/>
        <v>-6.1666666666666696</v>
      </c>
      <c r="I210">
        <f t="shared" si="13"/>
        <v>0</v>
      </c>
      <c r="J210">
        <f>SUMIF(Oeffentlichkeitsarbeit!$D:$D,$B210,Oeffentlichkeitsarbeit!$F:$F)</f>
        <v>0</v>
      </c>
      <c r="K210">
        <f>COUNTIF(Fairteiler!$D:$D,$B210)*1/2</f>
        <v>0</v>
      </c>
      <c r="L210">
        <f>COUNTIF('NP-Betrieb'!D:D,$B210)*1/3</f>
        <v>0</v>
      </c>
      <c r="M210">
        <f>COUNTIF(Fairteilungen!$D:$D,$B210)*3/4</f>
        <v>0</v>
      </c>
      <c r="N210">
        <f>COUNTIF(Anlieferung!D:D,$B210)*1/2</f>
        <v>0</v>
      </c>
      <c r="O210">
        <f>COUNTIF(Probeabholungen!B:B,$B210)*1/3</f>
        <v>0</v>
      </c>
    </row>
    <row r="211" spans="1:15" ht="27.6">
      <c r="A211" s="8" t="s">
        <v>209</v>
      </c>
      <c r="B211" s="8">
        <v>304985</v>
      </c>
      <c r="D211" s="29"/>
      <c r="E211" s="1">
        <v>0</v>
      </c>
      <c r="F211" s="8">
        <v>6</v>
      </c>
      <c r="G211" s="30">
        <f t="shared" si="12"/>
        <v>6</v>
      </c>
      <c r="H211" s="8">
        <f t="shared" si="11"/>
        <v>0</v>
      </c>
      <c r="I211">
        <f t="shared" si="13"/>
        <v>0</v>
      </c>
      <c r="J211">
        <f>SUMIF(Oeffentlichkeitsarbeit!$D:$D,$B211,Oeffentlichkeitsarbeit!$F:$F)</f>
        <v>0</v>
      </c>
      <c r="K211">
        <f>COUNTIF(Fairteiler!$D:$D,$B211)*1/2</f>
        <v>0</v>
      </c>
      <c r="L211">
        <f>COUNTIF('NP-Betrieb'!D:D,$B211)*1/3</f>
        <v>0</v>
      </c>
      <c r="M211">
        <f>COUNTIF(Fairteilungen!$D:$D,$B211)*3/4</f>
        <v>0</v>
      </c>
      <c r="N211">
        <f>COUNTIF(Anlieferung!D:D,$B211)*1/2</f>
        <v>0</v>
      </c>
      <c r="O211">
        <f>COUNTIF(Probeabholungen!B:B,$B211)*1/3</f>
        <v>0</v>
      </c>
    </row>
    <row r="212" spans="1:15" ht="27.6">
      <c r="A212" s="8" t="s">
        <v>210</v>
      </c>
      <c r="B212" s="8">
        <v>616050</v>
      </c>
      <c r="D212" s="29">
        <v>45215</v>
      </c>
      <c r="E212" s="1">
        <v>6</v>
      </c>
      <c r="F212" s="8">
        <v>6</v>
      </c>
      <c r="G212" s="30">
        <f t="shared" si="12"/>
        <v>12</v>
      </c>
      <c r="H212" s="8">
        <f t="shared" si="11"/>
        <v>-6</v>
      </c>
      <c r="I212">
        <f t="shared" si="13"/>
        <v>0</v>
      </c>
      <c r="J212">
        <f>SUMIF(Oeffentlichkeitsarbeit!$D:$D,$B212,Oeffentlichkeitsarbeit!$F:$F)</f>
        <v>0</v>
      </c>
      <c r="K212">
        <f>COUNTIF(Fairteiler!$D:$D,$B212)*1/2</f>
        <v>0</v>
      </c>
      <c r="L212">
        <f>COUNTIF('NP-Betrieb'!D:D,$B212)*1/3</f>
        <v>0</v>
      </c>
      <c r="M212">
        <f>COUNTIF(Fairteilungen!$D:$D,$B212)*3/4</f>
        <v>0</v>
      </c>
      <c r="N212">
        <f>COUNTIF(Anlieferung!D:D,$B212)*1/2</f>
        <v>0</v>
      </c>
      <c r="O212">
        <f>COUNTIF(Probeabholungen!B:B,$B212)*1/3</f>
        <v>0</v>
      </c>
    </row>
    <row r="213" spans="1:15" ht="27.6">
      <c r="A213" s="8" t="s">
        <v>211</v>
      </c>
      <c r="B213" s="8">
        <v>661416</v>
      </c>
      <c r="D213" s="29"/>
      <c r="E213" s="1">
        <v>0</v>
      </c>
      <c r="F213" s="8">
        <v>6</v>
      </c>
      <c r="G213" s="30">
        <f t="shared" si="12"/>
        <v>3.3333333333333335</v>
      </c>
      <c r="H213" s="8">
        <f t="shared" si="11"/>
        <v>2.6666666666666665</v>
      </c>
      <c r="I213">
        <f t="shared" si="13"/>
        <v>2.6666666666666665</v>
      </c>
      <c r="J213">
        <f>SUMIF(Oeffentlichkeitsarbeit!$D:$D,$B213,Oeffentlichkeitsarbeit!$F:$F)</f>
        <v>0</v>
      </c>
      <c r="K213">
        <f>COUNTIF(Fairteiler!$D:$D,$B213)*1/2</f>
        <v>0</v>
      </c>
      <c r="L213">
        <f>COUNTIF('NP-Betrieb'!D:D,$B213)*1/3</f>
        <v>2.6666666666666665</v>
      </c>
      <c r="M213">
        <f>COUNTIF(Fairteilungen!$D:$D,$B213)*3/4</f>
        <v>0</v>
      </c>
      <c r="N213">
        <f>COUNTIF(Anlieferung!D:D,$B213)*1/2</f>
        <v>0</v>
      </c>
      <c r="O213">
        <f>COUNTIF(Probeabholungen!B:B,$B213)*1/3</f>
        <v>0</v>
      </c>
    </row>
    <row r="214" spans="1:15" s="18" customFormat="1" ht="27.6">
      <c r="A214" s="8" t="s">
        <v>212</v>
      </c>
      <c r="B214" s="8">
        <v>948789</v>
      </c>
      <c r="C214"/>
      <c r="D214" s="24">
        <v>45985</v>
      </c>
      <c r="E214" s="1">
        <v>0</v>
      </c>
      <c r="F214">
        <v>6</v>
      </c>
      <c r="G214" s="30">
        <f t="shared" si="12"/>
        <v>-2.6666666666666661</v>
      </c>
      <c r="H214" s="8">
        <f t="shared" si="11"/>
        <v>8.6666666666666661</v>
      </c>
      <c r="I214">
        <f t="shared" si="13"/>
        <v>8.6666666666666661</v>
      </c>
      <c r="J214">
        <f>SUMIF(Oeffentlichkeitsarbeit!$D:$D,$B214,Oeffentlichkeitsarbeit!$F:$F)</f>
        <v>0</v>
      </c>
      <c r="K214">
        <f>COUNTIF(Fairteiler!$D:$D,$B214)*1/2</f>
        <v>0</v>
      </c>
      <c r="L214">
        <f>COUNTIF('NP-Betrieb'!D:D,$B214)*1/3</f>
        <v>8.6666666666666661</v>
      </c>
      <c r="M214">
        <f>COUNTIF(Fairteilungen!$D:$D,$B214)*3/4</f>
        <v>0</v>
      </c>
      <c r="N214">
        <f>COUNTIF(Anlieferung!D:D,$B214)*1/2</f>
        <v>0</v>
      </c>
      <c r="O214">
        <f>COUNTIF(Probeabholungen!B:B,$B214)*1/3</f>
        <v>0</v>
      </c>
    </row>
    <row r="215" spans="1:15" ht="41.4">
      <c r="A215" s="8" t="s">
        <v>213</v>
      </c>
      <c r="B215" s="8">
        <v>893896</v>
      </c>
      <c r="C215" s="18"/>
      <c r="D215" s="24">
        <v>45749</v>
      </c>
      <c r="E215" s="1">
        <v>3.8333333333333299</v>
      </c>
      <c r="F215" s="18">
        <v>6</v>
      </c>
      <c r="G215" s="30">
        <f t="shared" si="12"/>
        <v>9.8333333333333304</v>
      </c>
      <c r="H215" s="8">
        <f t="shared" si="11"/>
        <v>-3.8333333333333299</v>
      </c>
      <c r="I215" s="18">
        <f t="shared" si="13"/>
        <v>0</v>
      </c>
      <c r="J215" s="18">
        <f>SUMIF(Oeffentlichkeitsarbeit!$D:$D,$B215,Oeffentlichkeitsarbeit!$F:$F)</f>
        <v>0</v>
      </c>
      <c r="K215" s="18">
        <f>COUNTIF(Fairteiler!$D:$D,$B215)*1/2</f>
        <v>0</v>
      </c>
      <c r="L215" s="18">
        <f>COUNTIF('NP-Betrieb'!D:D,$B215)*1/3</f>
        <v>0</v>
      </c>
      <c r="M215" s="18">
        <f>COUNTIF(Fairteilungen!$D:$D,$B215)*3/4</f>
        <v>0</v>
      </c>
      <c r="N215" s="18">
        <f>COUNTIF(Anlieferung!D:D,$B215)*1/2</f>
        <v>0</v>
      </c>
      <c r="O215" s="18">
        <f>COUNTIF(Probeabholungen!B:B,$B215)*1/3</f>
        <v>0</v>
      </c>
    </row>
    <row r="216" spans="1:15" ht="27.6">
      <c r="A216" s="8" t="s">
        <v>214</v>
      </c>
      <c r="B216" s="8">
        <v>577608</v>
      </c>
      <c r="D216" s="29"/>
      <c r="E216" s="1">
        <v>4.3366666666666696</v>
      </c>
      <c r="F216" s="8">
        <v>6</v>
      </c>
      <c r="G216" s="30">
        <f t="shared" si="12"/>
        <v>10.33666666666667</v>
      </c>
      <c r="H216" s="8">
        <f t="shared" si="11"/>
        <v>-4.3366666666666696</v>
      </c>
      <c r="I216">
        <f t="shared" si="13"/>
        <v>0</v>
      </c>
      <c r="J216">
        <f>SUMIF(Oeffentlichkeitsarbeit!$D:$D,$B216,Oeffentlichkeitsarbeit!$F:$F)</f>
        <v>0</v>
      </c>
      <c r="K216">
        <f>COUNTIF(Fairteiler!$D:$D,$B216)*1/2</f>
        <v>0</v>
      </c>
      <c r="L216">
        <f>COUNTIF('NP-Betrieb'!D:D,$B216)*1/3</f>
        <v>0</v>
      </c>
      <c r="M216">
        <f>COUNTIF(Fairteilungen!$D:$D,$B216)*3/4</f>
        <v>0</v>
      </c>
      <c r="N216">
        <f>COUNTIF(Anlieferung!D:D,$B216)*1/2</f>
        <v>0</v>
      </c>
      <c r="O216">
        <f>COUNTIF(Probeabholungen!B:B,$B216)*1/3</f>
        <v>0</v>
      </c>
    </row>
    <row r="217" spans="1:15">
      <c r="A217" s="8" t="s">
        <v>215</v>
      </c>
      <c r="B217" s="8">
        <v>910139</v>
      </c>
      <c r="C217" s="18"/>
      <c r="D217" s="24">
        <v>45799</v>
      </c>
      <c r="E217" s="1">
        <v>0</v>
      </c>
      <c r="F217" s="18">
        <v>6</v>
      </c>
      <c r="G217" s="30">
        <f t="shared" si="12"/>
        <v>4</v>
      </c>
      <c r="H217" s="8">
        <f t="shared" si="11"/>
        <v>2</v>
      </c>
      <c r="I217" s="18">
        <f t="shared" si="13"/>
        <v>2</v>
      </c>
      <c r="J217" s="18">
        <f>SUMIF(Oeffentlichkeitsarbeit!$D:$D,$B217,Oeffentlichkeitsarbeit!$F:$F)</f>
        <v>0</v>
      </c>
      <c r="K217" s="18">
        <f>COUNTIF(Fairteiler!$D:$D,$B217)*1/2</f>
        <v>0</v>
      </c>
      <c r="L217" s="18">
        <f>COUNTIF('NP-Betrieb'!D:D,$B217)*1/3</f>
        <v>2</v>
      </c>
      <c r="M217" s="18">
        <f>COUNTIF(Fairteilungen!$D:$D,$B217)*3/4</f>
        <v>0</v>
      </c>
      <c r="N217" s="18">
        <f>COUNTIF(Anlieferung!D:D,$B217)*1/2</f>
        <v>0</v>
      </c>
      <c r="O217" s="18">
        <f>COUNTIF(Probeabholungen!B:B,$B217)*1/3</f>
        <v>0</v>
      </c>
    </row>
    <row r="218" spans="1:15" ht="27.6">
      <c r="A218" s="8" t="s">
        <v>216</v>
      </c>
      <c r="B218" s="8">
        <v>444448</v>
      </c>
      <c r="D218" s="29"/>
      <c r="E218" s="1">
        <v>15.67</v>
      </c>
      <c r="F218" s="8">
        <v>6</v>
      </c>
      <c r="G218" s="30">
        <f t="shared" si="12"/>
        <v>21.67</v>
      </c>
      <c r="H218" s="8">
        <f t="shared" si="11"/>
        <v>-15.67</v>
      </c>
      <c r="I218">
        <f t="shared" si="13"/>
        <v>0</v>
      </c>
      <c r="J218">
        <f>SUMIF(Oeffentlichkeitsarbeit!$D:$D,$B218,Oeffentlichkeitsarbeit!$F:$F)</f>
        <v>0</v>
      </c>
      <c r="K218">
        <f>COUNTIF(Fairteiler!$D:$D,$B218)*1/2</f>
        <v>0</v>
      </c>
      <c r="L218">
        <f>COUNTIF('NP-Betrieb'!D:D,$B218)*1/3</f>
        <v>0</v>
      </c>
      <c r="M218">
        <f>COUNTIF(Fairteilungen!$D:$D,$B218)*3/4</f>
        <v>0</v>
      </c>
      <c r="N218">
        <f>COUNTIF(Anlieferung!D:D,$B218)*1/2</f>
        <v>0</v>
      </c>
      <c r="O218">
        <f>COUNTIF(Probeabholungen!B:B,$B218)*1/3</f>
        <v>0</v>
      </c>
    </row>
    <row r="219" spans="1:15" ht="41.4">
      <c r="A219" s="16" t="s">
        <v>217</v>
      </c>
      <c r="B219" s="16">
        <v>592582</v>
      </c>
      <c r="C219" s="16" t="s">
        <v>831</v>
      </c>
      <c r="D219" s="29"/>
      <c r="E219" s="1">
        <v>0</v>
      </c>
      <c r="F219" s="16">
        <v>0</v>
      </c>
      <c r="G219" s="30">
        <f t="shared" si="12"/>
        <v>0</v>
      </c>
      <c r="H219" s="16">
        <f t="shared" si="11"/>
        <v>0</v>
      </c>
      <c r="I219" s="18">
        <f t="shared" si="13"/>
        <v>0</v>
      </c>
      <c r="J219" s="18">
        <f>SUMIF(Oeffentlichkeitsarbeit!$D:$D,$B219,Oeffentlichkeitsarbeit!$F:$F)</f>
        <v>0</v>
      </c>
      <c r="K219" s="18">
        <f>COUNTIF(Fairteiler!$D:$D,$B219)*1/2</f>
        <v>0</v>
      </c>
      <c r="L219" s="18">
        <f>COUNTIF('NP-Betrieb'!D:D,$B219)*1/3</f>
        <v>0</v>
      </c>
      <c r="M219" s="18">
        <f>COUNTIF(Fairteilungen!$D:$D,$B219)*3/4</f>
        <v>0</v>
      </c>
      <c r="N219" s="18">
        <f>COUNTIF(Anlieferung!D:D,$B219)*1/2</f>
        <v>0</v>
      </c>
      <c r="O219" s="18">
        <f>COUNTIF(Probeabholungen!B:B,$B219)*1/3</f>
        <v>0</v>
      </c>
    </row>
    <row r="220" spans="1:15">
      <c r="A220" s="8" t="s">
        <v>218</v>
      </c>
      <c r="B220" s="8">
        <v>341374</v>
      </c>
      <c r="D220" s="29"/>
      <c r="E220" s="1">
        <v>12.1666666666667</v>
      </c>
      <c r="F220" s="8">
        <v>6</v>
      </c>
      <c r="G220" s="30">
        <f t="shared" si="12"/>
        <v>18.1666666666667</v>
      </c>
      <c r="H220" s="8">
        <f t="shared" ref="H220:H283" si="14">I220-E220</f>
        <v>-12.1666666666667</v>
      </c>
      <c r="I220">
        <f t="shared" si="13"/>
        <v>0</v>
      </c>
      <c r="J220">
        <f>SUMIF(Oeffentlichkeitsarbeit!$D:$D,$B220,Oeffentlichkeitsarbeit!$F:$F)</f>
        <v>0</v>
      </c>
      <c r="K220">
        <f>COUNTIF(Fairteiler!$D:$D,$B220)*1/2</f>
        <v>0</v>
      </c>
      <c r="L220">
        <f>COUNTIF('NP-Betrieb'!D:D,$B220)*1/3</f>
        <v>0</v>
      </c>
      <c r="M220">
        <f>COUNTIF(Fairteilungen!$D:$D,$B220)*3/4</f>
        <v>0</v>
      </c>
      <c r="N220">
        <f>COUNTIF(Anlieferung!D:D,$B220)*1/2</f>
        <v>0</v>
      </c>
      <c r="O220">
        <f>COUNTIF(Probeabholungen!B:B,$B220)*1/3</f>
        <v>0</v>
      </c>
    </row>
    <row r="221" spans="1:15" ht="27.6">
      <c r="A221" s="8" t="s">
        <v>219</v>
      </c>
      <c r="B221" s="8">
        <v>613604</v>
      </c>
      <c r="D221" s="29"/>
      <c r="E221" s="1">
        <v>0</v>
      </c>
      <c r="F221" s="8">
        <v>6</v>
      </c>
      <c r="G221" s="30">
        <f t="shared" si="12"/>
        <v>0.66666666666666696</v>
      </c>
      <c r="H221" s="8">
        <f t="shared" si="14"/>
        <v>5.333333333333333</v>
      </c>
      <c r="I221">
        <f t="shared" si="13"/>
        <v>5.333333333333333</v>
      </c>
      <c r="J221">
        <f>SUMIF(Oeffentlichkeitsarbeit!$D:$D,$B221,Oeffentlichkeitsarbeit!$F:$F)</f>
        <v>1</v>
      </c>
      <c r="K221">
        <f>COUNTIF(Fairteiler!$D:$D,$B221)*1/2</f>
        <v>0</v>
      </c>
      <c r="L221">
        <f>COUNTIF('NP-Betrieb'!D:D,$B221)*1/3</f>
        <v>4.333333333333333</v>
      </c>
      <c r="M221">
        <f>COUNTIF(Fairteilungen!$D:$D,$B221)*3/4</f>
        <v>0</v>
      </c>
      <c r="N221">
        <f>COUNTIF(Anlieferung!D:D,$B221)*1/2</f>
        <v>0</v>
      </c>
      <c r="O221">
        <f>COUNTIF(Probeabholungen!B:B,$B221)*1/3</f>
        <v>0</v>
      </c>
    </row>
    <row r="222" spans="1:15">
      <c r="A222" s="8" t="s">
        <v>220</v>
      </c>
      <c r="B222" s="8">
        <v>681379</v>
      </c>
      <c r="D222" s="24">
        <v>45594</v>
      </c>
      <c r="E222" s="1">
        <v>7</v>
      </c>
      <c r="F222" s="8">
        <v>6</v>
      </c>
      <c r="G222" s="30">
        <f t="shared" si="12"/>
        <v>13</v>
      </c>
      <c r="H222" s="8">
        <f t="shared" si="14"/>
        <v>-7</v>
      </c>
      <c r="I222">
        <f t="shared" si="13"/>
        <v>0</v>
      </c>
      <c r="J222">
        <f>SUMIF(Oeffentlichkeitsarbeit!$D:$D,$B222,Oeffentlichkeitsarbeit!$F:$F)</f>
        <v>0</v>
      </c>
      <c r="K222">
        <f>COUNTIF(Fairteiler!$D:$D,$B222)*1/2</f>
        <v>0</v>
      </c>
      <c r="L222">
        <f>COUNTIF('NP-Betrieb'!D:D,$B222)*1/3</f>
        <v>0</v>
      </c>
      <c r="M222">
        <f>COUNTIF(Fairteilungen!$D:$D,$B222)*3/4</f>
        <v>0</v>
      </c>
      <c r="N222">
        <f>COUNTIF(Anlieferung!D:D,$B222)*1/2</f>
        <v>0</v>
      </c>
      <c r="O222">
        <f>COUNTIF(Probeabholungen!B:B,$B222)*1/3</f>
        <v>0</v>
      </c>
    </row>
    <row r="223" spans="1:15" ht="27.6">
      <c r="A223" s="16" t="s">
        <v>221</v>
      </c>
      <c r="B223" s="16">
        <v>297914</v>
      </c>
      <c r="C223" s="16" t="s">
        <v>831</v>
      </c>
      <c r="D223" s="29"/>
      <c r="E223" s="1">
        <v>0</v>
      </c>
      <c r="F223" s="16">
        <v>0</v>
      </c>
      <c r="G223" s="30">
        <f t="shared" si="12"/>
        <v>-0.33333333333333331</v>
      </c>
      <c r="H223" s="16">
        <f t="shared" si="14"/>
        <v>0.33333333333333331</v>
      </c>
      <c r="I223" s="18">
        <f t="shared" si="13"/>
        <v>0.33333333333333331</v>
      </c>
      <c r="J223" s="18">
        <f>SUMIF(Oeffentlichkeitsarbeit!$D:$D,$B223,Oeffentlichkeitsarbeit!$F:$F)</f>
        <v>0</v>
      </c>
      <c r="K223" s="18">
        <f>COUNTIF(Fairteiler!$D:$D,$B223)*1/2</f>
        <v>0</v>
      </c>
      <c r="L223" s="18">
        <f>COUNTIF('NP-Betrieb'!D:D,$B223)*1/3</f>
        <v>0.33333333333333331</v>
      </c>
      <c r="M223" s="18">
        <f>COUNTIF(Fairteilungen!$D:$D,$B223)*3/4</f>
        <v>0</v>
      </c>
      <c r="N223" s="18">
        <f>COUNTIF(Anlieferung!D:D,$B223)*1/2</f>
        <v>0</v>
      </c>
      <c r="O223" s="18">
        <f>COUNTIF(Probeabholungen!B:B,$B223)*1/3</f>
        <v>0</v>
      </c>
    </row>
    <row r="224" spans="1:15" ht="27.6">
      <c r="A224" s="16" t="s">
        <v>222</v>
      </c>
      <c r="B224" s="16">
        <v>248564</v>
      </c>
      <c r="C224" s="16" t="s">
        <v>831</v>
      </c>
      <c r="D224" s="29"/>
      <c r="E224" s="1">
        <v>0</v>
      </c>
      <c r="F224" s="16">
        <v>0</v>
      </c>
      <c r="G224" s="30">
        <f t="shared" si="12"/>
        <v>0</v>
      </c>
      <c r="H224" s="16">
        <f t="shared" si="14"/>
        <v>0</v>
      </c>
      <c r="I224">
        <f t="shared" si="13"/>
        <v>0</v>
      </c>
      <c r="J224">
        <f>SUMIF(Oeffentlichkeitsarbeit!$D:$D,$B224,Oeffentlichkeitsarbeit!$F:$F)</f>
        <v>0</v>
      </c>
      <c r="K224">
        <f>COUNTIF(Fairteiler!$D:$D,$B224)*1/2</f>
        <v>0</v>
      </c>
      <c r="L224">
        <f>COUNTIF('NP-Betrieb'!D:D,$B224)*1/3</f>
        <v>0</v>
      </c>
      <c r="M224">
        <f>COUNTIF(Fairteilungen!$D:$D,$B224)*3/4</f>
        <v>0</v>
      </c>
      <c r="N224">
        <f>COUNTIF(Anlieferung!D:D,$B224)*1/2</f>
        <v>0</v>
      </c>
      <c r="O224">
        <f>COUNTIF(Probeabholungen!B:B,$B224)*1/3</f>
        <v>0</v>
      </c>
    </row>
    <row r="225" spans="1:15">
      <c r="A225" s="8" t="s">
        <v>223</v>
      </c>
      <c r="B225" s="8">
        <v>987543</v>
      </c>
      <c r="D225" s="24">
        <v>46005</v>
      </c>
      <c r="E225" s="1">
        <v>0</v>
      </c>
      <c r="F225">
        <v>6</v>
      </c>
      <c r="G225" s="30">
        <f t="shared" si="12"/>
        <v>0</v>
      </c>
      <c r="H225" s="8">
        <f t="shared" si="14"/>
        <v>6</v>
      </c>
      <c r="I225">
        <f t="shared" si="13"/>
        <v>6</v>
      </c>
      <c r="J225">
        <f>SUMIF(Oeffentlichkeitsarbeit!$D:$D,$B225,Oeffentlichkeitsarbeit!$F:$F)</f>
        <v>0</v>
      </c>
      <c r="K225">
        <f>COUNTIF(Fairteiler!$D:$D,$B225)*1/2</f>
        <v>4</v>
      </c>
      <c r="L225">
        <f>COUNTIF('NP-Betrieb'!D:D,$B225)*1/3</f>
        <v>2</v>
      </c>
      <c r="M225">
        <f>COUNTIF(Fairteilungen!$D:$D,$B225)*3/4</f>
        <v>0</v>
      </c>
      <c r="N225">
        <f>COUNTIF(Anlieferung!D:D,$B225)*1/2</f>
        <v>0</v>
      </c>
      <c r="O225">
        <f>COUNTIF(Probeabholungen!B:B,$B225)*1/3</f>
        <v>0</v>
      </c>
    </row>
    <row r="226" spans="1:15" ht="27.6">
      <c r="A226" s="8" t="s">
        <v>224</v>
      </c>
      <c r="B226" s="8">
        <v>646465</v>
      </c>
      <c r="D226" s="29"/>
      <c r="E226" s="1">
        <v>0</v>
      </c>
      <c r="F226" s="8">
        <v>6</v>
      </c>
      <c r="G226" s="30">
        <f t="shared" si="12"/>
        <v>2.1666666666666665</v>
      </c>
      <c r="H226" s="8">
        <f t="shared" si="14"/>
        <v>3.8333333333333335</v>
      </c>
      <c r="I226">
        <f t="shared" si="13"/>
        <v>3.8333333333333335</v>
      </c>
      <c r="J226">
        <f>SUMIF(Oeffentlichkeitsarbeit!$D:$D,$B226,Oeffentlichkeitsarbeit!$F:$F)</f>
        <v>3.5</v>
      </c>
      <c r="K226">
        <f>COUNTIF(Fairteiler!$D:$D,$B226)*1/2</f>
        <v>0</v>
      </c>
      <c r="L226">
        <f>COUNTIF('NP-Betrieb'!D:D,$B226)*1/3</f>
        <v>0.33333333333333331</v>
      </c>
      <c r="M226">
        <f>COUNTIF(Fairteilungen!$D:$D,$B226)*3/4</f>
        <v>0</v>
      </c>
      <c r="N226">
        <f>COUNTIF(Anlieferung!D:D,$B226)*1/2</f>
        <v>0</v>
      </c>
      <c r="O226">
        <f>COUNTIF(Probeabholungen!B:B,$B226)*1/3</f>
        <v>0</v>
      </c>
    </row>
    <row r="227" spans="1:15">
      <c r="A227" s="8" t="s">
        <v>225</v>
      </c>
      <c r="B227" s="8">
        <v>286770</v>
      </c>
      <c r="D227" s="29"/>
      <c r="E227" s="1">
        <v>8.5033333333333303</v>
      </c>
      <c r="F227" s="8">
        <v>6</v>
      </c>
      <c r="G227" s="30">
        <f t="shared" si="12"/>
        <v>14.50333333333333</v>
      </c>
      <c r="H227" s="8">
        <f t="shared" si="14"/>
        <v>-8.5033333333333303</v>
      </c>
      <c r="I227">
        <f t="shared" si="13"/>
        <v>0</v>
      </c>
      <c r="J227">
        <f>SUMIF(Oeffentlichkeitsarbeit!$D:$D,$B227,Oeffentlichkeitsarbeit!$F:$F)</f>
        <v>0</v>
      </c>
      <c r="K227">
        <f>COUNTIF(Fairteiler!$D:$D,$B227)*1/2</f>
        <v>0</v>
      </c>
      <c r="L227">
        <f>COUNTIF('NP-Betrieb'!D:D,$B227)*1/3</f>
        <v>0</v>
      </c>
      <c r="M227">
        <f>COUNTIF(Fairteilungen!$D:$D,$B227)*3/4</f>
        <v>0</v>
      </c>
      <c r="N227">
        <f>COUNTIF(Anlieferung!D:D,$B227)*1/2</f>
        <v>0</v>
      </c>
      <c r="O227">
        <f>COUNTIF(Probeabholungen!B:B,$B227)*1/3</f>
        <v>0</v>
      </c>
    </row>
    <row r="228" spans="1:15" ht="27.6">
      <c r="A228" s="8" t="s">
        <v>845</v>
      </c>
      <c r="B228" s="8">
        <v>1005096</v>
      </c>
      <c r="D228" s="29">
        <v>46118</v>
      </c>
      <c r="E228" s="1">
        <v>0</v>
      </c>
      <c r="F228" s="8">
        <v>4.5</v>
      </c>
      <c r="G228" s="30">
        <f t="shared" si="12"/>
        <v>4.166666666666667</v>
      </c>
      <c r="H228" s="8">
        <f t="shared" si="14"/>
        <v>0.33333333333333331</v>
      </c>
      <c r="I228">
        <f t="shared" si="13"/>
        <v>0.33333333333333331</v>
      </c>
      <c r="J228">
        <f>SUMIF(Oeffentlichkeitsarbeit!$D:$D,$B228,Oeffentlichkeitsarbeit!$F:$F)</f>
        <v>0</v>
      </c>
      <c r="K228">
        <f>COUNTIF(Fairteiler!$D:$D,$B228)*1/2</f>
        <v>0</v>
      </c>
      <c r="L228">
        <f>COUNTIF('NP-Betrieb'!D:D,$B228)*1/3</f>
        <v>0.33333333333333331</v>
      </c>
      <c r="M228">
        <f>COUNTIF(Fairteilungen!$D:$D,$B228)*3/4</f>
        <v>0</v>
      </c>
      <c r="N228">
        <f>COUNTIF(Anlieferung!D:D,$B228)*1/2</f>
        <v>0</v>
      </c>
      <c r="O228">
        <f>COUNTIF(Probeabholungen!B:B,$B228)*1/3</f>
        <v>0</v>
      </c>
    </row>
    <row r="229" spans="1:15" ht="27.6">
      <c r="A229" s="8" t="s">
        <v>226</v>
      </c>
      <c r="B229" s="8">
        <v>894556</v>
      </c>
      <c r="D229" s="24">
        <v>45985</v>
      </c>
      <c r="E229" s="1">
        <v>0</v>
      </c>
      <c r="F229">
        <v>6</v>
      </c>
      <c r="G229" s="30">
        <f t="shared" si="12"/>
        <v>5.666666666666667</v>
      </c>
      <c r="H229" s="8">
        <f t="shared" si="14"/>
        <v>0.33333333333333331</v>
      </c>
      <c r="I229">
        <f t="shared" si="13"/>
        <v>0.33333333333333331</v>
      </c>
      <c r="J229">
        <f>SUMIF(Oeffentlichkeitsarbeit!$D:$D,$B229,Oeffentlichkeitsarbeit!$F:$F)</f>
        <v>0</v>
      </c>
      <c r="K229">
        <f>COUNTIF(Fairteiler!$D:$D,$B229)*1/2</f>
        <v>0</v>
      </c>
      <c r="L229">
        <f>COUNTIF('NP-Betrieb'!D:D,$B229)*1/3</f>
        <v>0.33333333333333331</v>
      </c>
      <c r="M229">
        <f>COUNTIF(Fairteilungen!$D:$D,$B229)*3/4</f>
        <v>0</v>
      </c>
      <c r="N229">
        <f>COUNTIF(Anlieferung!D:D,$B229)*1/2</f>
        <v>0</v>
      </c>
      <c r="O229">
        <f>COUNTIF(Probeabholungen!B:B,$B229)*1/3</f>
        <v>0</v>
      </c>
    </row>
    <row r="230" spans="1:15">
      <c r="A230" s="8" t="s">
        <v>227</v>
      </c>
      <c r="B230" s="8">
        <v>311332</v>
      </c>
      <c r="D230" s="24">
        <v>45754</v>
      </c>
      <c r="E230" s="1">
        <v>3.5</v>
      </c>
      <c r="F230">
        <v>6</v>
      </c>
      <c r="G230" s="30">
        <f t="shared" si="12"/>
        <v>9.5</v>
      </c>
      <c r="H230" s="8">
        <f t="shared" si="14"/>
        <v>-3.5</v>
      </c>
      <c r="I230">
        <f t="shared" si="13"/>
        <v>0</v>
      </c>
      <c r="J230">
        <f>SUMIF(Oeffentlichkeitsarbeit!$D:$D,$B230,Oeffentlichkeitsarbeit!$F:$F)</f>
        <v>0</v>
      </c>
      <c r="K230">
        <f>COUNTIF(Fairteiler!$D:$D,$B230)*1/2</f>
        <v>0</v>
      </c>
      <c r="L230">
        <f>COUNTIF('NP-Betrieb'!D:D,$B230)*1/3</f>
        <v>0</v>
      </c>
      <c r="M230">
        <f>COUNTIF(Fairteilungen!$D:$D,$B230)*3/4</f>
        <v>0</v>
      </c>
      <c r="N230">
        <f>COUNTIF(Anlieferung!D:D,$B230)*1/2</f>
        <v>0</v>
      </c>
      <c r="O230">
        <f>COUNTIF(Probeabholungen!B:B,$B230)*1/3</f>
        <v>0</v>
      </c>
    </row>
    <row r="231" spans="1:15" ht="27.6">
      <c r="A231" s="8" t="s">
        <v>228</v>
      </c>
      <c r="B231" s="8">
        <v>571947</v>
      </c>
      <c r="D231" s="29"/>
      <c r="E231" s="1">
        <v>4.3333333333333304</v>
      </c>
      <c r="F231" s="8">
        <v>6</v>
      </c>
      <c r="G231" s="30">
        <f t="shared" si="12"/>
        <v>9.3333333333333304</v>
      </c>
      <c r="H231" s="8">
        <f t="shared" si="14"/>
        <v>-3.3333333333333304</v>
      </c>
      <c r="I231">
        <f t="shared" si="13"/>
        <v>1</v>
      </c>
      <c r="J231">
        <f>SUMIF(Oeffentlichkeitsarbeit!$D:$D,$B231,Oeffentlichkeitsarbeit!$F:$F)</f>
        <v>0</v>
      </c>
      <c r="K231">
        <f>COUNTIF(Fairteiler!$D:$D,$B231)*1/2</f>
        <v>0</v>
      </c>
      <c r="L231">
        <f>COUNTIF('NP-Betrieb'!D:D,$B231)*1/3</f>
        <v>1</v>
      </c>
      <c r="M231">
        <f>COUNTIF(Fairteilungen!$D:$D,$B231)*3/4</f>
        <v>0</v>
      </c>
      <c r="N231">
        <f>COUNTIF(Anlieferung!D:D,$B231)*1/2</f>
        <v>0</v>
      </c>
      <c r="O231">
        <f>COUNTIF(Probeabholungen!B:B,$B231)*1/3</f>
        <v>0</v>
      </c>
    </row>
    <row r="232" spans="1:15" ht="27.6">
      <c r="A232" s="8" t="s">
        <v>846</v>
      </c>
      <c r="B232" s="8">
        <v>978517</v>
      </c>
      <c r="D232" s="24">
        <v>46087</v>
      </c>
      <c r="E232">
        <v>0</v>
      </c>
      <c r="F232">
        <v>5</v>
      </c>
      <c r="G232" s="30">
        <f t="shared" si="12"/>
        <v>3</v>
      </c>
      <c r="H232" s="8">
        <f t="shared" si="14"/>
        <v>2</v>
      </c>
      <c r="I232">
        <f t="shared" si="13"/>
        <v>2</v>
      </c>
      <c r="J232">
        <f>SUMIF(Oeffentlichkeitsarbeit!$D:$D,$B232,Oeffentlichkeitsarbeit!$F:$F)</f>
        <v>0</v>
      </c>
      <c r="K232">
        <f>COUNTIF(Fairteiler!$D:$D,$B232)*1/2</f>
        <v>0</v>
      </c>
      <c r="L232">
        <f>COUNTIF('NP-Betrieb'!D:D,$B232)*1/3</f>
        <v>2</v>
      </c>
      <c r="M232">
        <f>COUNTIF(Fairteilungen!$D:$D,$B232)*3/4</f>
        <v>0</v>
      </c>
      <c r="N232">
        <f>COUNTIF(Anlieferung!D:D,$B232)*1/2</f>
        <v>0</v>
      </c>
      <c r="O232">
        <f>COUNTIF(Probeabholungen!B:B,$B232)*1/3</f>
        <v>0</v>
      </c>
    </row>
    <row r="233" spans="1:15">
      <c r="A233" s="8" t="s">
        <v>229</v>
      </c>
      <c r="B233" s="8">
        <v>949198</v>
      </c>
      <c r="D233" s="24">
        <v>45895</v>
      </c>
      <c r="E233" s="1">
        <v>0</v>
      </c>
      <c r="F233">
        <v>6</v>
      </c>
      <c r="G233" s="30">
        <f t="shared" si="12"/>
        <v>5</v>
      </c>
      <c r="H233" s="8">
        <f t="shared" si="14"/>
        <v>1</v>
      </c>
      <c r="I233">
        <f t="shared" si="13"/>
        <v>1</v>
      </c>
      <c r="J233">
        <f>SUMIF(Oeffentlichkeitsarbeit!$D:$D,$B233,Oeffentlichkeitsarbeit!$F:$F)</f>
        <v>0</v>
      </c>
      <c r="K233">
        <f>COUNTIF(Fairteiler!$D:$D,$B233)*1/2</f>
        <v>0</v>
      </c>
      <c r="L233">
        <f>COUNTIF('NP-Betrieb'!D:D,$B233)*1/3</f>
        <v>1</v>
      </c>
      <c r="M233">
        <f>COUNTIF(Fairteilungen!$D:$D,$B233)*3/4</f>
        <v>0</v>
      </c>
      <c r="N233">
        <f>COUNTIF(Anlieferung!D:D,$B233)*1/2</f>
        <v>0</v>
      </c>
      <c r="O233">
        <f>COUNTIF(Probeabholungen!B:B,$B233)*1/3</f>
        <v>0</v>
      </c>
    </row>
    <row r="234" spans="1:15" ht="27.6">
      <c r="A234" s="8" t="s">
        <v>230</v>
      </c>
      <c r="B234" s="8">
        <v>833503</v>
      </c>
      <c r="D234" s="24">
        <v>45622</v>
      </c>
      <c r="E234" s="1">
        <v>0</v>
      </c>
      <c r="F234" s="8">
        <v>6</v>
      </c>
      <c r="G234" s="30">
        <f t="shared" si="12"/>
        <v>3.333333333333333</v>
      </c>
      <c r="H234" s="8">
        <f t="shared" si="14"/>
        <v>2.666666666666667</v>
      </c>
      <c r="I234">
        <f t="shared" si="13"/>
        <v>2.666666666666667</v>
      </c>
      <c r="J234">
        <f>SUMIF(Oeffentlichkeitsarbeit!$D:$D,$B234,Oeffentlichkeitsarbeit!$F:$F)</f>
        <v>0</v>
      </c>
      <c r="K234">
        <f>COUNTIF(Fairteiler!$D:$D,$B234)*1/2</f>
        <v>1</v>
      </c>
      <c r="L234">
        <f>COUNTIF('NP-Betrieb'!D:D,$B234)*1/3</f>
        <v>1.6666666666666667</v>
      </c>
      <c r="M234">
        <f>COUNTIF(Fairteilungen!$D:$D,$B234)*3/4</f>
        <v>0</v>
      </c>
      <c r="N234">
        <f>COUNTIF(Anlieferung!D:D,$B234)*1/2</f>
        <v>0</v>
      </c>
      <c r="O234">
        <f>COUNTIF(Probeabholungen!B:B,$B234)*1/3</f>
        <v>0</v>
      </c>
    </row>
    <row r="235" spans="1:15" ht="27.6">
      <c r="A235" s="8" t="s">
        <v>231</v>
      </c>
      <c r="B235" s="8">
        <v>902755</v>
      </c>
      <c r="D235" s="24">
        <v>45799</v>
      </c>
      <c r="E235" s="1">
        <v>2.1666666666666701</v>
      </c>
      <c r="F235">
        <v>6</v>
      </c>
      <c r="G235" s="30">
        <f t="shared" si="12"/>
        <v>4.5000000000000036</v>
      </c>
      <c r="H235" s="8">
        <f t="shared" si="14"/>
        <v>1.4999999999999969</v>
      </c>
      <c r="I235">
        <f t="shared" si="13"/>
        <v>3.666666666666667</v>
      </c>
      <c r="J235">
        <f>SUMIF(Oeffentlichkeitsarbeit!$D:$D,$B235,Oeffentlichkeitsarbeit!$F:$F)</f>
        <v>0</v>
      </c>
      <c r="K235">
        <f>COUNTIF(Fairteiler!$D:$D,$B235)*1/2</f>
        <v>2</v>
      </c>
      <c r="L235">
        <f>COUNTIF('NP-Betrieb'!D:D,$B235)*1/3</f>
        <v>1.6666666666666667</v>
      </c>
      <c r="M235">
        <f>COUNTIF(Fairteilungen!$D:$D,$B235)*3/4</f>
        <v>0</v>
      </c>
      <c r="N235">
        <f>COUNTIF(Anlieferung!D:D,$B235)*1/2</f>
        <v>0</v>
      </c>
      <c r="O235">
        <f>COUNTIF(Probeabholungen!B:B,$B235)*1/3</f>
        <v>0</v>
      </c>
    </row>
    <row r="236" spans="1:15" ht="41.4">
      <c r="A236" s="8" t="s">
        <v>847</v>
      </c>
      <c r="B236" s="8">
        <v>967972</v>
      </c>
      <c r="D236" s="29">
        <v>46118</v>
      </c>
      <c r="E236" s="1">
        <v>0</v>
      </c>
      <c r="F236" s="8">
        <v>4.5</v>
      </c>
      <c r="G236" s="30">
        <f t="shared" si="12"/>
        <v>4.5</v>
      </c>
      <c r="H236" s="8">
        <f t="shared" si="14"/>
        <v>0</v>
      </c>
      <c r="I236">
        <f t="shared" si="13"/>
        <v>0</v>
      </c>
      <c r="J236">
        <f>SUMIF(Oeffentlichkeitsarbeit!$D:$D,$B236,Oeffentlichkeitsarbeit!$F:$F)</f>
        <v>0</v>
      </c>
      <c r="K236">
        <f>COUNTIF(Fairteiler!$D:$D,$B236)*1/2</f>
        <v>0</v>
      </c>
      <c r="L236">
        <f>COUNTIF('NP-Betrieb'!D:D,$B236)*1/3</f>
        <v>0</v>
      </c>
      <c r="M236">
        <f>COUNTIF(Fairteilungen!$D:$D,$B236)*3/4</f>
        <v>0</v>
      </c>
      <c r="N236">
        <f>COUNTIF(Anlieferung!D:D,$B236)*1/2</f>
        <v>0</v>
      </c>
      <c r="O236">
        <f>COUNTIF(Probeabholungen!B:B,$B236)*1/3</f>
        <v>0</v>
      </c>
    </row>
    <row r="237" spans="1:15" ht="27.6">
      <c r="A237" s="16" t="s">
        <v>232</v>
      </c>
      <c r="B237" s="16">
        <v>168317</v>
      </c>
      <c r="C237" s="16" t="s">
        <v>831</v>
      </c>
      <c r="D237" s="29"/>
      <c r="E237" s="1">
        <v>0</v>
      </c>
      <c r="F237" s="16">
        <v>0</v>
      </c>
      <c r="G237" s="30">
        <f t="shared" si="12"/>
        <v>0</v>
      </c>
      <c r="H237" s="16">
        <f t="shared" si="14"/>
        <v>0</v>
      </c>
      <c r="I237">
        <f t="shared" si="13"/>
        <v>0</v>
      </c>
      <c r="J237">
        <f>SUMIF(Oeffentlichkeitsarbeit!$D:$D,$B237,Oeffentlichkeitsarbeit!$F:$F)</f>
        <v>0</v>
      </c>
      <c r="K237">
        <f>COUNTIF(Fairteiler!$D:$D,$B237)*1/2</f>
        <v>0</v>
      </c>
      <c r="L237">
        <f>COUNTIF('NP-Betrieb'!D:D,$B237)*1/3</f>
        <v>0</v>
      </c>
      <c r="M237">
        <f>COUNTIF(Fairteilungen!$D:$D,$B237)*3/4</f>
        <v>0</v>
      </c>
      <c r="N237">
        <f>COUNTIF(Anlieferung!D:D,$B237)*1/2</f>
        <v>0</v>
      </c>
      <c r="O237">
        <f>COUNTIF(Probeabholungen!B:B,$B237)*1/3</f>
        <v>0</v>
      </c>
    </row>
    <row r="238" spans="1:15" ht="27.6">
      <c r="A238" s="8" t="s">
        <v>233</v>
      </c>
      <c r="B238" s="8">
        <v>717272</v>
      </c>
      <c r="D238" s="29">
        <v>45107</v>
      </c>
      <c r="E238" s="1">
        <v>15</v>
      </c>
      <c r="F238" s="8">
        <v>6</v>
      </c>
      <c r="G238" s="30">
        <f t="shared" si="12"/>
        <v>21</v>
      </c>
      <c r="H238" s="8">
        <f t="shared" si="14"/>
        <v>-15</v>
      </c>
      <c r="I238">
        <f t="shared" si="13"/>
        <v>0</v>
      </c>
      <c r="J238">
        <f>SUMIF(Oeffentlichkeitsarbeit!$D:$D,$B238,Oeffentlichkeitsarbeit!$F:$F)</f>
        <v>0</v>
      </c>
      <c r="K238">
        <f>COUNTIF(Fairteiler!$D:$D,$B238)*1/2</f>
        <v>0</v>
      </c>
      <c r="L238">
        <f>COUNTIF('NP-Betrieb'!D:D,$B238)*1/3</f>
        <v>0</v>
      </c>
      <c r="M238">
        <f>COUNTIF(Fairteilungen!$D:$D,$B238)*3/4</f>
        <v>0</v>
      </c>
      <c r="N238">
        <f>COUNTIF(Anlieferung!D:D,$B238)*1/2</f>
        <v>0</v>
      </c>
      <c r="O238">
        <f>COUNTIF(Probeabholungen!B:B,$B238)*1/3</f>
        <v>0</v>
      </c>
    </row>
    <row r="239" spans="1:15" ht="27.6">
      <c r="A239" s="16" t="s">
        <v>234</v>
      </c>
      <c r="B239" s="16">
        <v>130177</v>
      </c>
      <c r="C239" s="16" t="s">
        <v>848</v>
      </c>
      <c r="D239" s="29"/>
      <c r="E239" s="1">
        <v>0</v>
      </c>
      <c r="F239" s="16">
        <v>0</v>
      </c>
      <c r="G239" s="30">
        <f t="shared" si="12"/>
        <v>-1</v>
      </c>
      <c r="H239" s="16">
        <f t="shared" si="14"/>
        <v>1</v>
      </c>
      <c r="I239" s="18">
        <f t="shared" si="13"/>
        <v>1</v>
      </c>
      <c r="J239" s="18">
        <f>SUMIF(Oeffentlichkeitsarbeit!$D:$D,$B239,Oeffentlichkeitsarbeit!$F:$F)</f>
        <v>0</v>
      </c>
      <c r="K239" s="18">
        <f>COUNTIF(Fairteiler!$D:$D,$B239)*1/2</f>
        <v>1</v>
      </c>
      <c r="L239" s="18">
        <f>COUNTIF('NP-Betrieb'!D:D,$B239)*1/3</f>
        <v>0</v>
      </c>
      <c r="M239" s="18">
        <f>COUNTIF(Fairteilungen!$D:$D,$B239)*3/4</f>
        <v>0</v>
      </c>
      <c r="N239" s="18">
        <f>COUNTIF(Anlieferung!D:D,$B239)*1/2</f>
        <v>0</v>
      </c>
      <c r="O239" s="18">
        <f>COUNTIF(Probeabholungen!B:B,$B239)*1/3</f>
        <v>0</v>
      </c>
    </row>
    <row r="240" spans="1:15" ht="27.6">
      <c r="A240" s="8" t="s">
        <v>235</v>
      </c>
      <c r="B240" s="8">
        <v>425464</v>
      </c>
      <c r="D240" s="24">
        <v>45961</v>
      </c>
      <c r="E240" s="1">
        <v>0</v>
      </c>
      <c r="F240">
        <v>6</v>
      </c>
      <c r="G240" s="30">
        <f t="shared" si="12"/>
        <v>0</v>
      </c>
      <c r="H240" s="8">
        <f t="shared" si="14"/>
        <v>6</v>
      </c>
      <c r="I240">
        <f t="shared" si="13"/>
        <v>6</v>
      </c>
      <c r="J240">
        <f>SUMIF(Oeffentlichkeitsarbeit!$D:$D,$B240,Oeffentlichkeitsarbeit!$F:$F)</f>
        <v>4</v>
      </c>
      <c r="K240">
        <f>COUNTIF(Fairteiler!$D:$D,$B240)*1/2</f>
        <v>0</v>
      </c>
      <c r="L240">
        <f>COUNTIF('NP-Betrieb'!D:D,$B240)*1/3</f>
        <v>2</v>
      </c>
      <c r="M240">
        <f>COUNTIF(Fairteilungen!$D:$D,$B240)*3/4</f>
        <v>0</v>
      </c>
      <c r="N240">
        <f>COUNTIF(Anlieferung!D:D,$B240)*1/2</f>
        <v>0</v>
      </c>
      <c r="O240">
        <f>COUNTIF(Probeabholungen!B:B,$B240)*1/3</f>
        <v>0</v>
      </c>
    </row>
    <row r="241" spans="1:1024" ht="27.6">
      <c r="A241" s="8" t="s">
        <v>236</v>
      </c>
      <c r="B241" s="8">
        <v>384287</v>
      </c>
      <c r="C241" s="44"/>
      <c r="D241" s="29"/>
      <c r="E241" s="1">
        <v>0</v>
      </c>
      <c r="F241" s="8">
        <v>6</v>
      </c>
      <c r="G241" s="30">
        <f t="shared" si="12"/>
        <v>2.3333333333333335</v>
      </c>
      <c r="H241" s="8">
        <f t="shared" si="14"/>
        <v>3.6666666666666665</v>
      </c>
      <c r="I241" s="44">
        <f t="shared" si="13"/>
        <v>3.6666666666666665</v>
      </c>
      <c r="J241" s="44">
        <f>SUMIF(Oeffentlichkeitsarbeit!$D:$D,$B241,Oeffentlichkeitsarbeit!$F:$F)</f>
        <v>0</v>
      </c>
      <c r="K241" s="44">
        <f>COUNTIF(Fairteiler!$D:$D,$B241)*1/2</f>
        <v>0</v>
      </c>
      <c r="L241" s="44">
        <f>COUNTIF('NP-Betrieb'!D:D,$B241)*1/3</f>
        <v>3.6666666666666665</v>
      </c>
      <c r="M241" s="44">
        <f>COUNTIF(Fairteilungen!$D:$D,$B241)*3/4</f>
        <v>0</v>
      </c>
      <c r="N241" s="44">
        <f>COUNTIF(Anlieferung!D:D,$B241)*1/2</f>
        <v>0</v>
      </c>
      <c r="O241" s="44">
        <f>COUNTIF(Probeabholungen!B:B,$B241)*1/3</f>
        <v>0</v>
      </c>
    </row>
    <row r="242" spans="1:1024" ht="27.6">
      <c r="A242" s="8" t="s">
        <v>237</v>
      </c>
      <c r="B242" s="8">
        <v>898260</v>
      </c>
      <c r="D242" s="37">
        <v>45680</v>
      </c>
      <c r="E242" s="1">
        <v>3.1666666666666701</v>
      </c>
      <c r="F242">
        <v>6</v>
      </c>
      <c r="G242" s="30">
        <f t="shared" si="12"/>
        <v>9.1666666666666696</v>
      </c>
      <c r="H242" s="8">
        <f t="shared" si="14"/>
        <v>-3.1666666666666701</v>
      </c>
      <c r="I242">
        <f t="shared" si="13"/>
        <v>0</v>
      </c>
      <c r="J242">
        <f>SUMIF(Oeffentlichkeitsarbeit!$D:$D,$B242,Oeffentlichkeitsarbeit!$F:$F)</f>
        <v>0</v>
      </c>
      <c r="K242">
        <f>COUNTIF(Fairteiler!$D:$D,$B242)*1/2</f>
        <v>0</v>
      </c>
      <c r="L242">
        <f>COUNTIF('NP-Betrieb'!D:D,$B242)*1/3</f>
        <v>0</v>
      </c>
      <c r="M242">
        <f>COUNTIF(Fairteilungen!$D:$D,$B242)*3/4</f>
        <v>0</v>
      </c>
      <c r="N242">
        <f>COUNTIF(Anlieferung!D:D,$B242)*1/2</f>
        <v>0</v>
      </c>
      <c r="O242">
        <f>COUNTIF(Probeabholungen!B:B,$B242)*1/3</f>
        <v>0</v>
      </c>
    </row>
    <row r="243" spans="1:1024" ht="27.6">
      <c r="A243" s="8" t="s">
        <v>849</v>
      </c>
      <c r="B243" s="8">
        <v>985317</v>
      </c>
      <c r="D243" s="29">
        <v>46118</v>
      </c>
      <c r="E243" s="1">
        <v>0</v>
      </c>
      <c r="F243" s="8">
        <v>4.5</v>
      </c>
      <c r="G243" s="30">
        <f t="shared" si="12"/>
        <v>4.166666666666667</v>
      </c>
      <c r="H243" s="8">
        <f t="shared" si="14"/>
        <v>0.33333333333333331</v>
      </c>
      <c r="I243">
        <f t="shared" si="13"/>
        <v>0.33333333333333331</v>
      </c>
      <c r="J243">
        <f>SUMIF(Oeffentlichkeitsarbeit!$D:$D,$B243,Oeffentlichkeitsarbeit!$F:$F)</f>
        <v>0</v>
      </c>
      <c r="K243">
        <f>COUNTIF(Fairteiler!$D:$D,$B243)*1/2</f>
        <v>0</v>
      </c>
      <c r="L243">
        <f>COUNTIF('NP-Betrieb'!D:D,$B243)*1/3</f>
        <v>0.33333333333333331</v>
      </c>
      <c r="M243">
        <f>COUNTIF(Fairteilungen!$D:$D,$B243)*3/4</f>
        <v>0</v>
      </c>
      <c r="N243">
        <f>COUNTIF(Anlieferung!D:D,$B243)*1/2</f>
        <v>0</v>
      </c>
      <c r="O243">
        <f>COUNTIF(Probeabholungen!B:B,$B243)*1/3</f>
        <v>0</v>
      </c>
    </row>
    <row r="244" spans="1:1024">
      <c r="A244" s="16" t="s">
        <v>238</v>
      </c>
      <c r="B244" s="16">
        <v>230889</v>
      </c>
      <c r="C244" s="16" t="s">
        <v>850</v>
      </c>
      <c r="D244" s="29"/>
      <c r="E244" s="1">
        <v>0</v>
      </c>
      <c r="F244" s="16">
        <v>0</v>
      </c>
      <c r="G244" s="30">
        <f t="shared" si="12"/>
        <v>0</v>
      </c>
      <c r="H244" s="16">
        <f t="shared" si="14"/>
        <v>0</v>
      </c>
      <c r="I244" s="18">
        <f t="shared" si="13"/>
        <v>0</v>
      </c>
      <c r="J244" s="18">
        <f>SUMIF(Oeffentlichkeitsarbeit!$D:$D,$B244,Oeffentlichkeitsarbeit!$F:$F)</f>
        <v>0</v>
      </c>
      <c r="K244" s="18">
        <f>COUNTIF(Fairteiler!$D:$D,$B244)*1/2</f>
        <v>0</v>
      </c>
      <c r="L244" s="18">
        <f>COUNTIF('NP-Betrieb'!D:D,$B244)*1/3</f>
        <v>0</v>
      </c>
      <c r="M244" s="18">
        <f>COUNTIF(Fairteilungen!$D:$D,$B244)*3/4</f>
        <v>0</v>
      </c>
      <c r="N244" s="18">
        <f>COUNTIF(Anlieferung!D:D,$B244)*1/2</f>
        <v>0</v>
      </c>
      <c r="O244" s="18">
        <f>COUNTIF(Probeabholungen!B:B,$B244)*1/3</f>
        <v>0</v>
      </c>
    </row>
    <row r="245" spans="1:1024" ht="27.6">
      <c r="A245" s="8" t="s">
        <v>239</v>
      </c>
      <c r="B245" s="8">
        <v>926369</v>
      </c>
      <c r="D245" s="24">
        <v>45826</v>
      </c>
      <c r="E245" s="1">
        <v>0</v>
      </c>
      <c r="F245">
        <v>6</v>
      </c>
      <c r="G245" s="30">
        <f t="shared" si="12"/>
        <v>3.5</v>
      </c>
      <c r="H245" s="8">
        <f t="shared" si="14"/>
        <v>2.5</v>
      </c>
      <c r="I245">
        <f t="shared" si="13"/>
        <v>2.5</v>
      </c>
      <c r="J245">
        <f>SUMIF(Oeffentlichkeitsarbeit!$D:$D,$B245,Oeffentlichkeitsarbeit!$F:$F)</f>
        <v>0</v>
      </c>
      <c r="K245">
        <f>COUNTIF(Fairteiler!$D:$D,$B245)*1/2</f>
        <v>2.5</v>
      </c>
      <c r="L245">
        <f>COUNTIF('NP-Betrieb'!D:D,$B245)*1/3</f>
        <v>0</v>
      </c>
      <c r="M245">
        <f>COUNTIF(Fairteilungen!$D:$D,$B245)*3/4</f>
        <v>0</v>
      </c>
      <c r="N245">
        <f>COUNTIF(Anlieferung!D:D,$B245)*1/2</f>
        <v>0</v>
      </c>
      <c r="O245">
        <f>COUNTIF(Probeabholungen!B:B,$B245)*1/3</f>
        <v>0</v>
      </c>
    </row>
    <row r="246" spans="1:1024">
      <c r="A246" s="82" t="s">
        <v>2984</v>
      </c>
      <c r="B246" s="81">
        <v>997153</v>
      </c>
      <c r="D246" s="24">
        <v>46143</v>
      </c>
      <c r="E246" s="1">
        <v>0</v>
      </c>
      <c r="F246" s="8">
        <v>4</v>
      </c>
      <c r="G246" s="30">
        <f t="shared" si="12"/>
        <v>4</v>
      </c>
      <c r="H246" s="8">
        <f t="shared" si="14"/>
        <v>0</v>
      </c>
      <c r="I246">
        <f t="shared" si="13"/>
        <v>0</v>
      </c>
      <c r="J246">
        <f>SUMIF(Oeffentlichkeitsarbeit!$D:$D,$B246,Oeffentlichkeitsarbeit!$F:$F)</f>
        <v>0</v>
      </c>
      <c r="K246">
        <f>COUNTIF(Fairteiler!$D:$D,$B246)*1/2</f>
        <v>0</v>
      </c>
      <c r="L246">
        <f>COUNTIF('NP-Betrieb'!D:D,$B246)*1/3</f>
        <v>0</v>
      </c>
      <c r="M246">
        <f>COUNTIF(Fairteilungen!$D:$D,$B246)*3/4</f>
        <v>0</v>
      </c>
      <c r="N246">
        <f>COUNTIF(Anlieferung!D:D,$B246)*1/2</f>
        <v>0</v>
      </c>
      <c r="O246">
        <f>COUNTIF(Probeabholungen!B:B,$B246)*1/3</f>
        <v>0</v>
      </c>
    </row>
    <row r="247" spans="1:1024" ht="27.6">
      <c r="A247" s="8" t="s">
        <v>240</v>
      </c>
      <c r="B247" s="8">
        <v>717821</v>
      </c>
      <c r="D247" s="29">
        <v>45215</v>
      </c>
      <c r="E247" s="1">
        <v>0</v>
      </c>
      <c r="F247" s="8">
        <v>6</v>
      </c>
      <c r="G247" s="30">
        <f t="shared" si="12"/>
        <v>5.333333333333333</v>
      </c>
      <c r="H247" s="8">
        <f t="shared" si="14"/>
        <v>0.66666666666666663</v>
      </c>
      <c r="I247">
        <f t="shared" si="13"/>
        <v>0.66666666666666663</v>
      </c>
      <c r="J247">
        <f>SUMIF(Oeffentlichkeitsarbeit!$D:$D,$B247,Oeffentlichkeitsarbeit!$F:$F)</f>
        <v>0</v>
      </c>
      <c r="K247">
        <f>COUNTIF(Fairteiler!$D:$D,$B247)*1/2</f>
        <v>0</v>
      </c>
      <c r="L247">
        <f>COUNTIF('NP-Betrieb'!D:D,$B247)*1/3</f>
        <v>0.66666666666666663</v>
      </c>
      <c r="M247">
        <f>COUNTIF(Fairteilungen!$D:$D,$B247)*3/4</f>
        <v>0</v>
      </c>
      <c r="N247">
        <f>COUNTIF(Anlieferung!D:D,$B247)*1/2</f>
        <v>0</v>
      </c>
      <c r="O247">
        <f>COUNTIF(Probeabholungen!B:B,$B247)*1/3</f>
        <v>0</v>
      </c>
    </row>
    <row r="248" spans="1:1024">
      <c r="A248" s="8" t="s">
        <v>241</v>
      </c>
      <c r="B248" s="8">
        <v>363700</v>
      </c>
      <c r="D248" s="29"/>
      <c r="E248" s="1">
        <v>13.67</v>
      </c>
      <c r="F248" s="8">
        <v>6</v>
      </c>
      <c r="G248" s="30">
        <f t="shared" si="12"/>
        <v>19.670000000000002</v>
      </c>
      <c r="H248" s="8">
        <f t="shared" si="14"/>
        <v>-13.67</v>
      </c>
      <c r="I248">
        <f t="shared" si="13"/>
        <v>0</v>
      </c>
      <c r="J248">
        <f>SUMIF(Oeffentlichkeitsarbeit!$D:$D,$B248,Oeffentlichkeitsarbeit!$F:$F)</f>
        <v>0</v>
      </c>
      <c r="K248">
        <f>COUNTIF(Fairteiler!$D:$D,$B248)*1/2</f>
        <v>0</v>
      </c>
      <c r="L248">
        <f>COUNTIF('NP-Betrieb'!D:D,$B248)*1/3</f>
        <v>0</v>
      </c>
      <c r="M248">
        <f>COUNTIF(Fairteilungen!$D:$D,$B248)*3/4</f>
        <v>0</v>
      </c>
      <c r="N248">
        <f>COUNTIF(Anlieferung!D:D,$B248)*1/2</f>
        <v>0</v>
      </c>
      <c r="O248">
        <f>COUNTIF(Probeabholungen!B:B,$B248)*1/3</f>
        <v>0</v>
      </c>
    </row>
    <row r="249" spans="1:1024">
      <c r="A249" s="8" t="s">
        <v>242</v>
      </c>
      <c r="B249" s="8">
        <v>790266</v>
      </c>
      <c r="D249" s="29"/>
      <c r="E249" s="1">
        <v>11</v>
      </c>
      <c r="F249" s="8">
        <v>6</v>
      </c>
      <c r="G249" s="30">
        <f t="shared" si="12"/>
        <v>17</v>
      </c>
      <c r="H249" s="8">
        <f t="shared" si="14"/>
        <v>-11</v>
      </c>
      <c r="I249">
        <f t="shared" si="13"/>
        <v>0</v>
      </c>
      <c r="J249">
        <f>SUMIF(Oeffentlichkeitsarbeit!$D:$D,$B249,Oeffentlichkeitsarbeit!$F:$F)</f>
        <v>0</v>
      </c>
      <c r="K249">
        <f>COUNTIF(Fairteiler!$D:$D,$B249)*1/2</f>
        <v>0</v>
      </c>
      <c r="L249">
        <f>COUNTIF('NP-Betrieb'!D:D,$B249)*1/3</f>
        <v>0</v>
      </c>
      <c r="M249">
        <f>COUNTIF(Fairteilungen!$D:$D,$B249)*3/4</f>
        <v>0</v>
      </c>
      <c r="N249">
        <f>COUNTIF(Anlieferung!D:D,$B249)*1/2</f>
        <v>0</v>
      </c>
      <c r="O249">
        <f>COUNTIF(Probeabholungen!B:B,$B249)*1/3</f>
        <v>0</v>
      </c>
    </row>
    <row r="250" spans="1:1024">
      <c r="A250" s="8" t="s">
        <v>243</v>
      </c>
      <c r="B250" s="8">
        <v>266265</v>
      </c>
      <c r="C250" s="8"/>
      <c r="D250" s="29"/>
      <c r="E250" s="1">
        <v>6</v>
      </c>
      <c r="F250" s="8">
        <v>6</v>
      </c>
      <c r="G250" s="30">
        <f t="shared" si="12"/>
        <v>12</v>
      </c>
      <c r="H250" s="8">
        <f t="shared" si="14"/>
        <v>-6</v>
      </c>
      <c r="I250">
        <f t="shared" si="13"/>
        <v>0</v>
      </c>
      <c r="J250">
        <f>SUMIF(Oeffentlichkeitsarbeit!$D:$D,$B250,Oeffentlichkeitsarbeit!$F:$F)</f>
        <v>0</v>
      </c>
      <c r="K250">
        <f>COUNTIF(Fairteiler!$D:$D,$B250)*1/2</f>
        <v>0</v>
      </c>
      <c r="L250">
        <f>COUNTIF('NP-Betrieb'!D:D,$B250)*1/3</f>
        <v>0</v>
      </c>
      <c r="M250">
        <f>COUNTIF(Fairteilungen!$D:$D,$B250)*3/4</f>
        <v>0</v>
      </c>
      <c r="N250">
        <f>COUNTIF(Anlieferung!D:D,$B250)*1/2</f>
        <v>0</v>
      </c>
      <c r="O250">
        <f>COUNTIF(Probeabholungen!B:B,$B250)*1/3</f>
        <v>0</v>
      </c>
    </row>
    <row r="251" spans="1:1024" ht="27.6">
      <c r="A251" s="8" t="s">
        <v>244</v>
      </c>
      <c r="B251" s="8">
        <v>196573</v>
      </c>
      <c r="D251" s="29"/>
      <c r="E251" s="1">
        <v>0</v>
      </c>
      <c r="F251" s="8">
        <v>6</v>
      </c>
      <c r="G251" s="30">
        <f t="shared" si="12"/>
        <v>5.333333333333333</v>
      </c>
      <c r="H251" s="8">
        <f t="shared" si="14"/>
        <v>0.66666666666666663</v>
      </c>
      <c r="I251">
        <f t="shared" si="13"/>
        <v>0.66666666666666663</v>
      </c>
      <c r="J251">
        <f>SUMIF(Oeffentlichkeitsarbeit!$D:$D,$B251,Oeffentlichkeitsarbeit!$F:$F)</f>
        <v>0</v>
      </c>
      <c r="K251">
        <f>COUNTIF(Fairteiler!$D:$D,$B251)*1/2</f>
        <v>0</v>
      </c>
      <c r="L251">
        <f>COUNTIF('NP-Betrieb'!D:D,$B251)*1/3</f>
        <v>0.66666666666666663</v>
      </c>
      <c r="M251">
        <f>COUNTIF(Fairteilungen!$D:$D,$B251)*3/4</f>
        <v>0</v>
      </c>
      <c r="N251">
        <f>COUNTIF(Anlieferung!D:D,$B251)*1/2</f>
        <v>0</v>
      </c>
      <c r="O251">
        <f>COUNTIF(Probeabholungen!B:B,$B251)*1/3</f>
        <v>0</v>
      </c>
    </row>
    <row r="252" spans="1:1024" ht="27.6">
      <c r="A252" s="8" t="s">
        <v>245</v>
      </c>
      <c r="B252" s="8">
        <v>552077</v>
      </c>
      <c r="D252" s="29"/>
      <c r="E252" s="1">
        <v>4</v>
      </c>
      <c r="F252" s="8">
        <v>6</v>
      </c>
      <c r="G252" s="30">
        <f t="shared" si="12"/>
        <v>6.1666666666666661</v>
      </c>
      <c r="H252" s="8">
        <f t="shared" si="14"/>
        <v>-0.16666666666666652</v>
      </c>
      <c r="I252">
        <f t="shared" si="13"/>
        <v>3.8333333333333335</v>
      </c>
      <c r="J252">
        <f>SUMIF(Oeffentlichkeitsarbeit!$D:$D,$B252,Oeffentlichkeitsarbeit!$F:$F)</f>
        <v>3.5</v>
      </c>
      <c r="K252">
        <f>COUNTIF(Fairteiler!$D:$D,$B252)*1/2</f>
        <v>0</v>
      </c>
      <c r="L252">
        <f>COUNTIF('NP-Betrieb'!D:D,$B252)*1/3</f>
        <v>0.33333333333333331</v>
      </c>
      <c r="M252">
        <f>COUNTIF(Fairteilungen!$D:$D,$B252)*3/4</f>
        <v>0</v>
      </c>
      <c r="N252">
        <f>COUNTIF(Anlieferung!D:D,$B252)*1/2</f>
        <v>0</v>
      </c>
      <c r="O252">
        <f>COUNTIF(Probeabholungen!B:B,$B252)*1/3</f>
        <v>0</v>
      </c>
    </row>
    <row r="253" spans="1:1024" ht="27.6">
      <c r="A253" s="8" t="s">
        <v>246</v>
      </c>
      <c r="B253" s="8">
        <v>634121</v>
      </c>
      <c r="D253" s="29"/>
      <c r="E253" s="1">
        <v>10</v>
      </c>
      <c r="F253" s="8">
        <v>6</v>
      </c>
      <c r="G253" s="30">
        <f t="shared" si="12"/>
        <v>16</v>
      </c>
      <c r="H253" s="8">
        <f t="shared" si="14"/>
        <v>-10</v>
      </c>
      <c r="I253">
        <f t="shared" si="13"/>
        <v>0</v>
      </c>
      <c r="J253">
        <f>SUMIF(Oeffentlichkeitsarbeit!$D:$D,$B253,Oeffentlichkeitsarbeit!$F:$F)</f>
        <v>0</v>
      </c>
      <c r="K253">
        <f>COUNTIF(Fairteiler!$D:$D,$B253)*1/2</f>
        <v>0</v>
      </c>
      <c r="L253">
        <f>COUNTIF('NP-Betrieb'!D:D,$B253)*1/3</f>
        <v>0</v>
      </c>
      <c r="M253">
        <f>COUNTIF(Fairteilungen!$D:$D,$B253)*3/4</f>
        <v>0</v>
      </c>
      <c r="N253">
        <f>COUNTIF(Anlieferung!D:D,$B253)*1/2</f>
        <v>0</v>
      </c>
      <c r="O253">
        <f>COUNTIF(Probeabholungen!B:B,$B253)*1/3</f>
        <v>0</v>
      </c>
    </row>
    <row r="254" spans="1:1024" ht="27.6">
      <c r="A254" s="8" t="s">
        <v>247</v>
      </c>
      <c r="B254" s="8">
        <v>270236</v>
      </c>
      <c r="D254" s="29"/>
      <c r="E254" s="1">
        <v>13</v>
      </c>
      <c r="F254" s="8">
        <v>6</v>
      </c>
      <c r="G254" s="30">
        <f t="shared" si="12"/>
        <v>19</v>
      </c>
      <c r="H254" s="8">
        <f t="shared" si="14"/>
        <v>-13</v>
      </c>
      <c r="I254">
        <f t="shared" si="13"/>
        <v>0</v>
      </c>
      <c r="J254">
        <f>SUMIF(Oeffentlichkeitsarbeit!$D:$D,$B254,Oeffentlichkeitsarbeit!$F:$F)</f>
        <v>0</v>
      </c>
      <c r="K254">
        <f>COUNTIF(Fairteiler!$D:$D,$B254)*1/2</f>
        <v>0</v>
      </c>
      <c r="L254">
        <f>COUNTIF('NP-Betrieb'!D:D,$B254)*1/3</f>
        <v>0</v>
      </c>
      <c r="M254">
        <f>COUNTIF(Fairteilungen!$D:$D,$B254)*3/4</f>
        <v>0</v>
      </c>
      <c r="N254">
        <f>COUNTIF(Anlieferung!D:D,$B254)*1/2</f>
        <v>0</v>
      </c>
      <c r="O254">
        <f>COUNTIF(Probeabholungen!B:B,$B254)*1/3</f>
        <v>0</v>
      </c>
    </row>
    <row r="255" spans="1:1024" s="11" customFormat="1">
      <c r="A255" t="s">
        <v>248</v>
      </c>
      <c r="B255">
        <v>643447</v>
      </c>
      <c r="C255"/>
      <c r="D255" s="24">
        <v>45720</v>
      </c>
      <c r="E255" s="1">
        <v>4</v>
      </c>
      <c r="F255">
        <v>6</v>
      </c>
      <c r="G255" s="30">
        <f t="shared" si="12"/>
        <v>10</v>
      </c>
      <c r="H255" s="8">
        <f t="shared" si="14"/>
        <v>-4</v>
      </c>
      <c r="I255">
        <f t="shared" si="13"/>
        <v>0</v>
      </c>
      <c r="J255">
        <f>SUMIF(Oeffentlichkeitsarbeit!$D:$D,$B255,Oeffentlichkeitsarbeit!$F:$F)</f>
        <v>0</v>
      </c>
      <c r="K255">
        <f>COUNTIF(Fairteiler!$D:$D,$B255)*1/2</f>
        <v>0</v>
      </c>
      <c r="L255">
        <f>COUNTIF('NP-Betrieb'!D:D,$B255)*1/3</f>
        <v>0</v>
      </c>
      <c r="M255">
        <f>COUNTIF(Fairteilungen!$D:$D,$B255)*3/4</f>
        <v>0</v>
      </c>
      <c r="N255">
        <f>COUNTIF(Anlieferung!D:D,$B255)*1/2</f>
        <v>0</v>
      </c>
      <c r="O255">
        <f>COUNTIF(Probeabholungen!B:B,$B255)*1/3</f>
        <v>0</v>
      </c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/>
      <c r="FB255"/>
      <c r="FC255"/>
      <c r="FD255"/>
      <c r="FE255"/>
      <c r="FF255"/>
      <c r="FG255"/>
      <c r="FH255"/>
      <c r="FI255"/>
      <c r="FJ255"/>
      <c r="FK255"/>
      <c r="FL255"/>
      <c r="FM255"/>
      <c r="FN255"/>
      <c r="FO255"/>
      <c r="FP255"/>
      <c r="FQ255"/>
      <c r="FR255"/>
      <c r="FS255"/>
      <c r="FT255"/>
      <c r="FU255"/>
      <c r="FV255"/>
      <c r="FW255"/>
      <c r="FX255"/>
      <c r="FY255"/>
      <c r="FZ255"/>
      <c r="GA255"/>
      <c r="GB255"/>
      <c r="GC255"/>
      <c r="GD255"/>
      <c r="GE255"/>
      <c r="GF255"/>
      <c r="GG255"/>
      <c r="GH255"/>
      <c r="GI255"/>
      <c r="GJ255"/>
      <c r="GK255"/>
      <c r="GL255"/>
      <c r="GM255"/>
      <c r="GN255"/>
      <c r="GO255"/>
      <c r="GP255"/>
      <c r="GQ255"/>
      <c r="GR255"/>
      <c r="GS255"/>
      <c r="GT255"/>
      <c r="GU255"/>
      <c r="GV255"/>
      <c r="GW255"/>
      <c r="GX255"/>
      <c r="GY255"/>
      <c r="GZ255"/>
      <c r="HA255"/>
      <c r="HB255"/>
      <c r="HC255"/>
      <c r="HD255"/>
      <c r="HE255"/>
      <c r="HF255"/>
      <c r="HG255"/>
      <c r="HH255"/>
      <c r="HI255"/>
      <c r="HJ255"/>
      <c r="HK255"/>
      <c r="HL255"/>
      <c r="HM255"/>
      <c r="HN255"/>
      <c r="HO255"/>
      <c r="HP255"/>
      <c r="HQ255"/>
      <c r="HR255"/>
      <c r="HS255"/>
      <c r="HT255"/>
      <c r="HU255"/>
      <c r="HV255"/>
      <c r="HW255"/>
      <c r="HX255"/>
      <c r="HY255"/>
      <c r="HZ255"/>
      <c r="IA255"/>
      <c r="IB255"/>
      <c r="IC255"/>
      <c r="ID255"/>
      <c r="IE255"/>
      <c r="IF255"/>
      <c r="IG255"/>
      <c r="IH255"/>
      <c r="II255"/>
      <c r="IJ255"/>
      <c r="IK255"/>
      <c r="IL255"/>
      <c r="IM255"/>
      <c r="IN255"/>
      <c r="IO255"/>
      <c r="IP255"/>
      <c r="IQ255"/>
      <c r="IR255"/>
      <c r="IS255"/>
      <c r="IT255"/>
      <c r="IU255"/>
      <c r="IV255"/>
      <c r="IW255"/>
      <c r="IX255"/>
      <c r="IY255"/>
      <c r="IZ255"/>
      <c r="JA255"/>
      <c r="JB255"/>
      <c r="JC255"/>
      <c r="JD255"/>
      <c r="JE255"/>
      <c r="JF255"/>
      <c r="JG255"/>
      <c r="JH255"/>
      <c r="JI255"/>
      <c r="JJ255"/>
      <c r="JK255"/>
      <c r="JL255"/>
      <c r="JM255"/>
      <c r="JN255"/>
      <c r="JO255"/>
      <c r="JP255"/>
      <c r="JQ255"/>
      <c r="JR255"/>
      <c r="JS255"/>
      <c r="JT255"/>
      <c r="JU255"/>
      <c r="JV255"/>
      <c r="JW255"/>
      <c r="JX255"/>
      <c r="JY255"/>
      <c r="JZ255"/>
      <c r="KA255"/>
      <c r="KB255"/>
      <c r="KC255"/>
      <c r="KD255"/>
      <c r="KE255"/>
      <c r="KF255"/>
      <c r="KG255"/>
      <c r="KH255"/>
      <c r="KI255"/>
      <c r="KJ255"/>
      <c r="KK255"/>
      <c r="KL255"/>
      <c r="KM255"/>
      <c r="KN255"/>
      <c r="KO255"/>
      <c r="KP255"/>
      <c r="KQ255"/>
      <c r="KR255"/>
      <c r="KS255"/>
      <c r="KT255"/>
      <c r="KU255"/>
      <c r="KV255"/>
      <c r="KW255"/>
      <c r="KX255"/>
      <c r="KY255"/>
      <c r="KZ255"/>
      <c r="LA255"/>
      <c r="LB255"/>
      <c r="LC255"/>
      <c r="LD255"/>
      <c r="LE255"/>
      <c r="LF255"/>
      <c r="LG255"/>
      <c r="LH255"/>
      <c r="LI255"/>
      <c r="LJ255"/>
      <c r="LK255"/>
      <c r="LL255"/>
      <c r="LM255"/>
      <c r="LN255"/>
      <c r="LO255"/>
      <c r="LP255"/>
      <c r="LQ255"/>
      <c r="LR255"/>
      <c r="LS255"/>
      <c r="LT255"/>
      <c r="LU255"/>
      <c r="LV255"/>
      <c r="LW255"/>
      <c r="LX255"/>
      <c r="LY255"/>
      <c r="LZ255"/>
      <c r="MA255"/>
      <c r="MB255"/>
      <c r="MC255"/>
      <c r="MD255"/>
      <c r="ME255"/>
      <c r="MF255"/>
      <c r="MG255"/>
      <c r="MH255"/>
      <c r="MI255"/>
      <c r="MJ255"/>
      <c r="MK255"/>
      <c r="ML255"/>
      <c r="MM255"/>
      <c r="MN255"/>
      <c r="MO255"/>
      <c r="MP255"/>
      <c r="MQ255"/>
      <c r="MR255"/>
      <c r="MS255"/>
      <c r="MT255"/>
      <c r="MU255"/>
      <c r="MV255"/>
      <c r="MW255"/>
      <c r="MX255"/>
      <c r="MY255"/>
      <c r="MZ255"/>
      <c r="NA255"/>
      <c r="NB255"/>
      <c r="NC255"/>
      <c r="ND255"/>
      <c r="NE255"/>
      <c r="NF255"/>
      <c r="NG255"/>
      <c r="NH255"/>
      <c r="NI255"/>
      <c r="NJ255"/>
      <c r="NK255"/>
      <c r="NL255"/>
      <c r="NM255"/>
      <c r="NN255"/>
      <c r="NO255"/>
      <c r="NP255"/>
      <c r="NQ255"/>
      <c r="NR255"/>
      <c r="NS255"/>
      <c r="NT255"/>
      <c r="NU255"/>
      <c r="NV255"/>
      <c r="NW255"/>
      <c r="NX255"/>
      <c r="NY255"/>
      <c r="NZ255"/>
      <c r="OA255"/>
      <c r="OB255"/>
      <c r="OC255"/>
      <c r="OD255"/>
      <c r="OE255"/>
      <c r="OF255"/>
      <c r="OG255"/>
      <c r="OH255"/>
      <c r="OI255"/>
      <c r="OJ255"/>
      <c r="OK255"/>
      <c r="OL255"/>
      <c r="OM255"/>
      <c r="ON255"/>
      <c r="OO255"/>
      <c r="OP255"/>
      <c r="OQ255"/>
      <c r="OR255"/>
      <c r="OS255"/>
      <c r="OT255"/>
      <c r="OU255"/>
      <c r="OV255"/>
      <c r="OW255"/>
      <c r="OX255"/>
      <c r="OY255"/>
      <c r="OZ255"/>
      <c r="PA255"/>
      <c r="PB255"/>
      <c r="PC255"/>
      <c r="PD255"/>
      <c r="PE255"/>
      <c r="PF255"/>
      <c r="PG255"/>
      <c r="PH255"/>
      <c r="PI255"/>
      <c r="PJ255"/>
      <c r="PK255"/>
      <c r="PL255"/>
      <c r="PM255"/>
      <c r="PN255"/>
      <c r="PO255"/>
      <c r="PP255"/>
      <c r="PQ255"/>
      <c r="PR255"/>
      <c r="PS255"/>
      <c r="PT255"/>
      <c r="PU255"/>
      <c r="PV255"/>
      <c r="PW255"/>
      <c r="PX255"/>
      <c r="PY255"/>
      <c r="PZ255"/>
      <c r="QA255"/>
      <c r="QB255"/>
      <c r="QC255"/>
      <c r="QD255"/>
      <c r="QE255"/>
      <c r="QF255"/>
      <c r="QG255"/>
      <c r="QH255"/>
      <c r="QI255"/>
      <c r="QJ255"/>
      <c r="QK255"/>
      <c r="QL255"/>
      <c r="QM255"/>
      <c r="QN255"/>
      <c r="QO255"/>
      <c r="QP255"/>
      <c r="QQ255"/>
      <c r="QR255"/>
      <c r="QS255"/>
      <c r="QT255"/>
      <c r="QU255"/>
      <c r="QV255"/>
      <c r="QW255"/>
      <c r="QX255"/>
      <c r="QY255"/>
      <c r="QZ255"/>
      <c r="RA255"/>
      <c r="RB255"/>
      <c r="RC255"/>
      <c r="RD255"/>
      <c r="RE255"/>
      <c r="RF255"/>
      <c r="RG255"/>
      <c r="RH255"/>
      <c r="RI255"/>
      <c r="RJ255"/>
      <c r="RK255"/>
      <c r="RL255"/>
      <c r="RM255"/>
      <c r="RN255"/>
      <c r="RO255"/>
      <c r="RP255"/>
      <c r="RQ255"/>
      <c r="RR255"/>
      <c r="RS255"/>
      <c r="RT255"/>
      <c r="RU255"/>
      <c r="RV255"/>
      <c r="RW255"/>
      <c r="RX255"/>
      <c r="RY255"/>
      <c r="RZ255"/>
      <c r="SA255"/>
      <c r="SB255"/>
      <c r="SC255"/>
      <c r="SD255"/>
      <c r="SE255"/>
      <c r="SF255"/>
      <c r="SG255"/>
      <c r="SH255"/>
      <c r="SI255"/>
      <c r="SJ255"/>
      <c r="SK255"/>
      <c r="SL255"/>
      <c r="SM255"/>
      <c r="SN255"/>
      <c r="SO255"/>
      <c r="SP255"/>
      <c r="SQ255"/>
      <c r="SR255"/>
      <c r="SS255"/>
      <c r="ST255"/>
      <c r="SU255"/>
      <c r="SV255"/>
      <c r="SW255"/>
      <c r="SX255"/>
      <c r="SY255"/>
      <c r="SZ255"/>
      <c r="TA255"/>
      <c r="TB255"/>
      <c r="TC255"/>
      <c r="TD255"/>
      <c r="TE255"/>
      <c r="TF255"/>
      <c r="TG255"/>
      <c r="TH255"/>
      <c r="TI255"/>
      <c r="TJ255"/>
      <c r="TK255"/>
      <c r="TL255"/>
      <c r="TM255"/>
      <c r="TN255"/>
      <c r="TO255"/>
      <c r="TP255"/>
      <c r="TQ255"/>
      <c r="TR255"/>
      <c r="TS255"/>
      <c r="TT255"/>
      <c r="TU255"/>
      <c r="TV255"/>
      <c r="TW255"/>
      <c r="TX255"/>
      <c r="TY255"/>
      <c r="TZ255"/>
      <c r="UA255"/>
      <c r="UB255"/>
      <c r="UC255"/>
      <c r="UD255"/>
      <c r="UE255"/>
      <c r="UF255"/>
      <c r="UG255"/>
      <c r="UH255"/>
      <c r="UI255"/>
      <c r="UJ255"/>
      <c r="UK255"/>
      <c r="UL255"/>
      <c r="UM255"/>
      <c r="UN255"/>
      <c r="UO255"/>
      <c r="UP255"/>
      <c r="UQ255"/>
      <c r="UR255"/>
      <c r="US255"/>
      <c r="UT255"/>
      <c r="UU255"/>
      <c r="UV255"/>
      <c r="UW255"/>
      <c r="UX255"/>
      <c r="UY255"/>
      <c r="UZ255"/>
      <c r="VA255"/>
      <c r="VB255"/>
      <c r="VC255"/>
      <c r="VD255"/>
      <c r="VE255"/>
      <c r="VF255"/>
      <c r="VG255"/>
      <c r="VH255"/>
      <c r="VI255"/>
      <c r="VJ255"/>
      <c r="VK255"/>
      <c r="VL255"/>
      <c r="VM255"/>
      <c r="VN255"/>
      <c r="VO255"/>
      <c r="VP255"/>
      <c r="VQ255"/>
      <c r="VR255"/>
      <c r="VS255"/>
      <c r="VT255"/>
      <c r="VU255"/>
      <c r="VV255"/>
      <c r="VW255"/>
      <c r="VX255"/>
      <c r="VY255"/>
      <c r="VZ255"/>
      <c r="WA255"/>
      <c r="WB255"/>
      <c r="WC255"/>
      <c r="WD255"/>
      <c r="WE255"/>
      <c r="WF255"/>
      <c r="WG255"/>
      <c r="WH255"/>
      <c r="WI255"/>
      <c r="WJ255"/>
      <c r="WK255"/>
      <c r="WL255"/>
      <c r="WM255"/>
      <c r="WN255"/>
      <c r="WO255"/>
      <c r="WP255"/>
      <c r="WQ255"/>
      <c r="WR255"/>
      <c r="WS255"/>
      <c r="WT255"/>
      <c r="WU255"/>
      <c r="WV255"/>
      <c r="WW255"/>
      <c r="WX255"/>
      <c r="WY255"/>
      <c r="WZ255"/>
      <c r="XA255"/>
      <c r="XB255"/>
      <c r="XC255"/>
      <c r="XD255"/>
      <c r="XE255"/>
      <c r="XF255"/>
      <c r="XG255"/>
      <c r="XH255"/>
      <c r="XI255"/>
      <c r="XJ255"/>
      <c r="XK255"/>
      <c r="XL255"/>
      <c r="XM255"/>
      <c r="XN255"/>
      <c r="XO255"/>
      <c r="XP255"/>
      <c r="XQ255"/>
      <c r="XR255"/>
      <c r="XS255"/>
      <c r="XT255"/>
      <c r="XU255"/>
      <c r="XV255"/>
      <c r="XW255"/>
      <c r="XX255"/>
      <c r="XY255"/>
      <c r="XZ255"/>
      <c r="YA255"/>
      <c r="YB255"/>
      <c r="YC255"/>
      <c r="YD255"/>
      <c r="YE255"/>
      <c r="YF255"/>
      <c r="YG255"/>
      <c r="YH255"/>
      <c r="YI255"/>
      <c r="YJ255"/>
      <c r="YK255"/>
      <c r="YL255"/>
      <c r="YM255"/>
      <c r="YN255"/>
      <c r="YO255"/>
      <c r="YP255"/>
      <c r="YQ255"/>
      <c r="YR255"/>
      <c r="YS255"/>
      <c r="YT255"/>
      <c r="YU255"/>
      <c r="YV255"/>
      <c r="YW255"/>
      <c r="YX255"/>
      <c r="YY255"/>
      <c r="YZ255"/>
      <c r="ZA255"/>
      <c r="ZB255"/>
      <c r="ZC255"/>
      <c r="ZD255"/>
      <c r="ZE255"/>
      <c r="ZF255"/>
      <c r="ZG255"/>
      <c r="ZH255"/>
      <c r="ZI255"/>
      <c r="ZJ255"/>
      <c r="ZK255"/>
      <c r="ZL255"/>
      <c r="ZM255"/>
      <c r="ZN255"/>
      <c r="ZO255"/>
      <c r="ZP255"/>
      <c r="ZQ255"/>
      <c r="ZR255"/>
      <c r="ZS255"/>
      <c r="ZT255"/>
      <c r="ZU255"/>
      <c r="ZV255"/>
      <c r="ZW255"/>
      <c r="ZX255"/>
      <c r="ZY255"/>
      <c r="ZZ255"/>
      <c r="AAA255"/>
      <c r="AAB255"/>
      <c r="AAC255"/>
      <c r="AAD255"/>
      <c r="AAE255"/>
      <c r="AAF255"/>
      <c r="AAG255"/>
      <c r="AAH255"/>
      <c r="AAI255"/>
      <c r="AAJ255"/>
      <c r="AAK255"/>
      <c r="AAL255"/>
      <c r="AAM255"/>
      <c r="AAN255"/>
      <c r="AAO255"/>
      <c r="AAP255"/>
      <c r="AAQ255"/>
      <c r="AAR255"/>
      <c r="AAS255"/>
      <c r="AAT255"/>
      <c r="AAU255"/>
      <c r="AAV255"/>
      <c r="AAW255"/>
      <c r="AAX255"/>
      <c r="AAY255"/>
      <c r="AAZ255"/>
      <c r="ABA255"/>
      <c r="ABB255"/>
      <c r="ABC255"/>
      <c r="ABD255"/>
      <c r="ABE255"/>
      <c r="ABF255"/>
      <c r="ABG255"/>
      <c r="ABH255"/>
      <c r="ABI255"/>
      <c r="ABJ255"/>
      <c r="ABK255"/>
      <c r="ABL255"/>
      <c r="ABM255"/>
      <c r="ABN255"/>
      <c r="ABO255"/>
      <c r="ABP255"/>
      <c r="ABQ255"/>
      <c r="ABR255"/>
      <c r="ABS255"/>
      <c r="ABT255"/>
      <c r="ABU255"/>
      <c r="ABV255"/>
      <c r="ABW255"/>
      <c r="ABX255"/>
      <c r="ABY255"/>
      <c r="ABZ255"/>
      <c r="ACA255"/>
      <c r="ACB255"/>
      <c r="ACC255"/>
      <c r="ACD255"/>
      <c r="ACE255"/>
      <c r="ACF255"/>
      <c r="ACG255"/>
      <c r="ACH255"/>
      <c r="ACI255"/>
      <c r="ACJ255"/>
      <c r="ACK255"/>
      <c r="ACL255"/>
      <c r="ACM255"/>
      <c r="ACN255"/>
      <c r="ACO255"/>
      <c r="ACP255"/>
      <c r="ACQ255"/>
      <c r="ACR255"/>
      <c r="ACS255"/>
      <c r="ACT255"/>
      <c r="ACU255"/>
      <c r="ACV255"/>
      <c r="ACW255"/>
      <c r="ACX255"/>
      <c r="ACY255"/>
      <c r="ACZ255"/>
      <c r="ADA255"/>
      <c r="ADB255"/>
      <c r="ADC255"/>
      <c r="ADD255"/>
      <c r="ADE255"/>
      <c r="ADF255"/>
      <c r="ADG255"/>
      <c r="ADH255"/>
      <c r="ADI255"/>
      <c r="ADJ255"/>
      <c r="ADK255"/>
      <c r="ADL255"/>
      <c r="ADM255"/>
      <c r="ADN255"/>
      <c r="ADO255"/>
      <c r="ADP255"/>
      <c r="ADQ255"/>
      <c r="ADR255"/>
      <c r="ADS255"/>
      <c r="ADT255"/>
      <c r="ADU255"/>
      <c r="ADV255"/>
      <c r="ADW255"/>
      <c r="ADX255"/>
      <c r="ADY255"/>
      <c r="ADZ255"/>
      <c r="AEA255"/>
      <c r="AEB255"/>
      <c r="AEC255"/>
      <c r="AED255"/>
      <c r="AEE255"/>
      <c r="AEF255"/>
      <c r="AEG255"/>
      <c r="AEH255"/>
      <c r="AEI255"/>
      <c r="AEJ255"/>
      <c r="AEK255"/>
      <c r="AEL255"/>
      <c r="AEM255"/>
      <c r="AEN255"/>
      <c r="AEO255"/>
      <c r="AEP255"/>
      <c r="AEQ255"/>
      <c r="AER255"/>
      <c r="AES255"/>
      <c r="AET255"/>
      <c r="AEU255"/>
      <c r="AEV255"/>
      <c r="AEW255"/>
      <c r="AEX255"/>
      <c r="AEY255"/>
      <c r="AEZ255"/>
      <c r="AFA255"/>
      <c r="AFB255"/>
      <c r="AFC255"/>
      <c r="AFD255"/>
      <c r="AFE255"/>
      <c r="AFF255"/>
      <c r="AFG255"/>
      <c r="AFH255"/>
      <c r="AFI255"/>
      <c r="AFJ255"/>
      <c r="AFK255"/>
      <c r="AFL255"/>
      <c r="AFM255"/>
      <c r="AFN255"/>
      <c r="AFO255"/>
      <c r="AFP255"/>
      <c r="AFQ255"/>
      <c r="AFR255"/>
      <c r="AFS255"/>
      <c r="AFT255"/>
      <c r="AFU255"/>
      <c r="AFV255"/>
      <c r="AFW255"/>
      <c r="AFX255"/>
      <c r="AFY255"/>
      <c r="AFZ255"/>
      <c r="AGA255"/>
      <c r="AGB255"/>
      <c r="AGC255"/>
      <c r="AGD255"/>
      <c r="AGE255"/>
      <c r="AGF255"/>
      <c r="AGG255"/>
      <c r="AGH255"/>
      <c r="AGI255"/>
      <c r="AGJ255"/>
      <c r="AGK255"/>
      <c r="AGL255"/>
      <c r="AGM255"/>
      <c r="AGN255"/>
      <c r="AGO255"/>
      <c r="AGP255"/>
      <c r="AGQ255"/>
      <c r="AGR255"/>
      <c r="AGS255"/>
      <c r="AGT255"/>
      <c r="AGU255"/>
      <c r="AGV255"/>
      <c r="AGW255"/>
      <c r="AGX255"/>
      <c r="AGY255"/>
      <c r="AGZ255"/>
      <c r="AHA255"/>
      <c r="AHB255"/>
      <c r="AHC255"/>
      <c r="AHD255"/>
      <c r="AHE255"/>
      <c r="AHF255"/>
      <c r="AHG255"/>
      <c r="AHH255"/>
      <c r="AHI255"/>
      <c r="AHJ255"/>
      <c r="AHK255"/>
      <c r="AHL255"/>
      <c r="AHM255"/>
      <c r="AHN255"/>
      <c r="AHO255"/>
      <c r="AHP255"/>
      <c r="AHQ255"/>
      <c r="AHR255"/>
      <c r="AHS255"/>
      <c r="AHT255"/>
      <c r="AHU255"/>
      <c r="AHV255"/>
      <c r="AHW255"/>
      <c r="AHX255"/>
      <c r="AHY255"/>
      <c r="AHZ255"/>
      <c r="AIA255"/>
      <c r="AIB255"/>
      <c r="AIC255"/>
      <c r="AID255"/>
      <c r="AIE255"/>
      <c r="AIF255"/>
      <c r="AIG255"/>
      <c r="AIH255"/>
      <c r="AII255"/>
      <c r="AIJ255"/>
      <c r="AIK255"/>
      <c r="AIL255"/>
      <c r="AIM255"/>
      <c r="AIN255"/>
      <c r="AIO255"/>
      <c r="AIP255"/>
      <c r="AIQ255"/>
      <c r="AIR255"/>
      <c r="AIS255"/>
      <c r="AIT255"/>
      <c r="AIU255"/>
      <c r="AIV255"/>
      <c r="AIW255"/>
      <c r="AIX255"/>
      <c r="AIY255"/>
      <c r="AIZ255"/>
      <c r="AJA255"/>
      <c r="AJB255"/>
      <c r="AJC255"/>
      <c r="AJD255"/>
      <c r="AJE255"/>
      <c r="AJF255"/>
      <c r="AJG255"/>
      <c r="AJH255"/>
      <c r="AJI255"/>
      <c r="AJJ255"/>
      <c r="AJK255"/>
      <c r="AJL255"/>
      <c r="AJM255"/>
      <c r="AJN255"/>
      <c r="AJO255"/>
      <c r="AJP255"/>
      <c r="AJQ255"/>
      <c r="AJR255"/>
      <c r="AJS255"/>
      <c r="AJT255"/>
      <c r="AJU255"/>
      <c r="AJV255"/>
      <c r="AJW255"/>
      <c r="AJX255"/>
      <c r="AJY255"/>
      <c r="AJZ255"/>
      <c r="AKA255"/>
      <c r="AKB255"/>
      <c r="AKC255"/>
      <c r="AKD255"/>
      <c r="AKE255"/>
      <c r="AKF255"/>
      <c r="AKG255"/>
      <c r="AKH255"/>
      <c r="AKI255"/>
      <c r="AKJ255"/>
      <c r="AKK255"/>
      <c r="AKL255"/>
      <c r="AKM255"/>
      <c r="AKN255"/>
      <c r="AKO255"/>
      <c r="AKP255"/>
      <c r="AKQ255"/>
      <c r="AKR255"/>
      <c r="AKS255"/>
      <c r="AKT255"/>
      <c r="AKU255"/>
      <c r="AKV255"/>
      <c r="AKW255"/>
      <c r="AKX255"/>
      <c r="AKY255"/>
      <c r="AKZ255"/>
      <c r="ALA255"/>
      <c r="ALB255"/>
      <c r="ALC255"/>
      <c r="ALD255"/>
      <c r="ALE255"/>
      <c r="ALF255"/>
      <c r="ALG255"/>
      <c r="ALH255"/>
      <c r="ALI255"/>
      <c r="ALJ255"/>
      <c r="ALK255"/>
      <c r="ALL255"/>
      <c r="ALM255"/>
      <c r="ALN255"/>
      <c r="ALO255"/>
      <c r="ALP255"/>
      <c r="ALQ255"/>
      <c r="ALR255"/>
      <c r="ALS255"/>
      <c r="ALT255"/>
      <c r="ALU255"/>
      <c r="ALV255"/>
      <c r="ALW255"/>
      <c r="ALX255"/>
      <c r="ALY255"/>
      <c r="ALZ255"/>
      <c r="AMA255"/>
      <c r="AMB255"/>
      <c r="AMC255"/>
      <c r="AMD255"/>
      <c r="AME255"/>
      <c r="AMF255"/>
      <c r="AMG255"/>
      <c r="AMH255"/>
      <c r="AMI255"/>
      <c r="AMJ255"/>
    </row>
    <row r="256" spans="1:1024" ht="41.4">
      <c r="A256" s="8" t="s">
        <v>249</v>
      </c>
      <c r="B256" s="8">
        <v>728700</v>
      </c>
      <c r="D256" s="29">
        <v>45071</v>
      </c>
      <c r="E256" s="1">
        <v>3.6666666666666701</v>
      </c>
      <c r="F256" s="8">
        <v>6</v>
      </c>
      <c r="G256" s="30">
        <f t="shared" si="12"/>
        <v>8.0000000000000036</v>
      </c>
      <c r="H256" s="8">
        <f t="shared" si="14"/>
        <v>-2.0000000000000036</v>
      </c>
      <c r="I256">
        <f t="shared" si="13"/>
        <v>1.6666666666666667</v>
      </c>
      <c r="J256">
        <f>SUMIF(Oeffentlichkeitsarbeit!$D:$D,$B256,Oeffentlichkeitsarbeit!$F:$F)</f>
        <v>0</v>
      </c>
      <c r="K256">
        <f>COUNTIF(Fairteiler!$D:$D,$B256)*1/2</f>
        <v>0</v>
      </c>
      <c r="L256">
        <f>COUNTIF('NP-Betrieb'!D:D,$B256)*1/3</f>
        <v>1.6666666666666667</v>
      </c>
      <c r="M256">
        <f>COUNTIF(Fairteilungen!$D:$D,$B256)*3/4</f>
        <v>0</v>
      </c>
      <c r="N256">
        <f>COUNTIF(Anlieferung!D:D,$B256)*1/2</f>
        <v>0</v>
      </c>
      <c r="O256">
        <f>COUNTIF(Probeabholungen!B:B,$B256)*1/3</f>
        <v>0</v>
      </c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1"/>
      <c r="BY256" s="11"/>
      <c r="BZ256" s="11"/>
      <c r="CA256" s="11"/>
      <c r="CB256" s="11"/>
      <c r="CC256" s="11"/>
      <c r="CD256" s="11"/>
      <c r="CE256" s="11"/>
      <c r="CF256" s="11"/>
      <c r="CG256" s="11"/>
      <c r="CH256" s="11"/>
      <c r="CI256" s="11"/>
      <c r="CJ256" s="11"/>
      <c r="CK256" s="11"/>
      <c r="CL256" s="11"/>
      <c r="CM256" s="11"/>
      <c r="CN256" s="11"/>
      <c r="CO256" s="11"/>
      <c r="CP256" s="11"/>
      <c r="CQ256" s="11"/>
      <c r="CR256" s="11"/>
      <c r="CS256" s="11"/>
      <c r="CT256" s="11"/>
      <c r="CU256" s="11"/>
      <c r="CV256" s="11"/>
      <c r="CW256" s="11"/>
      <c r="CX256" s="11"/>
      <c r="CY256" s="11"/>
      <c r="CZ256" s="11"/>
      <c r="DA256" s="11"/>
      <c r="DB256" s="11"/>
      <c r="DC256" s="11"/>
      <c r="DD256" s="11"/>
      <c r="DE256" s="11"/>
      <c r="DF256" s="11"/>
      <c r="DG256" s="11"/>
      <c r="DH256" s="11"/>
      <c r="DI256" s="11"/>
      <c r="DJ256" s="11"/>
      <c r="DK256" s="11"/>
      <c r="DL256" s="11"/>
      <c r="DM256" s="11"/>
      <c r="DN256" s="11"/>
      <c r="DO256" s="11"/>
      <c r="DP256" s="11"/>
      <c r="DQ256" s="11"/>
      <c r="DR256" s="11"/>
      <c r="DS256" s="11"/>
      <c r="DT256" s="11"/>
      <c r="DU256" s="11"/>
      <c r="DV256" s="11"/>
      <c r="DW256" s="11"/>
      <c r="DX256" s="11"/>
      <c r="DY256" s="11"/>
      <c r="DZ256" s="11"/>
      <c r="EA256" s="11"/>
      <c r="EB256" s="11"/>
      <c r="EC256" s="11"/>
      <c r="ED256" s="11"/>
      <c r="EE256" s="11"/>
      <c r="EF256" s="11"/>
      <c r="EG256" s="11"/>
      <c r="EH256" s="11"/>
      <c r="EI256" s="11"/>
      <c r="EJ256" s="11"/>
      <c r="EK256" s="11"/>
      <c r="EL256" s="11"/>
      <c r="EM256" s="11"/>
      <c r="EN256" s="11"/>
      <c r="EO256" s="11"/>
      <c r="EP256" s="11"/>
      <c r="EQ256" s="11"/>
      <c r="ER256" s="11"/>
      <c r="ES256" s="11"/>
      <c r="ET256" s="11"/>
      <c r="EU256" s="11"/>
      <c r="EV256" s="11"/>
      <c r="EW256" s="11"/>
      <c r="EX256" s="11"/>
      <c r="EY256" s="11"/>
      <c r="EZ256" s="11"/>
      <c r="FA256" s="11"/>
      <c r="FB256" s="11"/>
      <c r="FC256" s="11"/>
      <c r="FD256" s="11"/>
      <c r="FE256" s="11"/>
      <c r="FF256" s="11"/>
      <c r="FG256" s="11"/>
      <c r="FH256" s="11"/>
      <c r="FI256" s="11"/>
      <c r="FJ256" s="11"/>
      <c r="FK256" s="11"/>
      <c r="FL256" s="11"/>
      <c r="FM256" s="11"/>
      <c r="FN256" s="11"/>
      <c r="FO256" s="11"/>
      <c r="FP256" s="11"/>
      <c r="FQ256" s="11"/>
      <c r="FR256" s="11"/>
      <c r="FS256" s="11"/>
      <c r="FT256" s="11"/>
      <c r="FU256" s="11"/>
      <c r="FV256" s="11"/>
      <c r="FW256" s="11"/>
      <c r="FX256" s="11"/>
      <c r="FY256" s="11"/>
      <c r="FZ256" s="11"/>
      <c r="GA256" s="11"/>
      <c r="GB256" s="11"/>
      <c r="GC256" s="11"/>
      <c r="GD256" s="11"/>
      <c r="GE256" s="11"/>
      <c r="GF256" s="11"/>
      <c r="GG256" s="11"/>
      <c r="GH256" s="11"/>
      <c r="GI256" s="11"/>
      <c r="GJ256" s="11"/>
      <c r="GK256" s="11"/>
      <c r="GL256" s="11"/>
      <c r="GM256" s="11"/>
      <c r="GN256" s="11"/>
      <c r="GO256" s="11"/>
      <c r="GP256" s="11"/>
      <c r="GQ256" s="11"/>
      <c r="GR256" s="11"/>
      <c r="GS256" s="11"/>
      <c r="GT256" s="11"/>
      <c r="GU256" s="11"/>
      <c r="GV256" s="11"/>
      <c r="GW256" s="11"/>
      <c r="GX256" s="11"/>
      <c r="GY256" s="11"/>
      <c r="GZ256" s="11"/>
      <c r="HA256" s="11"/>
      <c r="HB256" s="11"/>
      <c r="HC256" s="11"/>
      <c r="HD256" s="11"/>
      <c r="HE256" s="11"/>
      <c r="HF256" s="11"/>
      <c r="HG256" s="11"/>
      <c r="HH256" s="11"/>
      <c r="HI256" s="11"/>
      <c r="HJ256" s="11"/>
      <c r="HK256" s="11"/>
      <c r="HL256" s="11"/>
      <c r="HM256" s="11"/>
      <c r="HN256" s="11"/>
      <c r="HO256" s="11"/>
      <c r="HP256" s="11"/>
      <c r="HQ256" s="11"/>
      <c r="HR256" s="11"/>
      <c r="HS256" s="11"/>
      <c r="HT256" s="11"/>
      <c r="HU256" s="11"/>
      <c r="HV256" s="11"/>
      <c r="HW256" s="11"/>
      <c r="HX256" s="11"/>
      <c r="HY256" s="11"/>
      <c r="HZ256" s="11"/>
      <c r="IA256" s="11"/>
      <c r="IB256" s="11"/>
      <c r="IC256" s="11"/>
      <c r="ID256" s="11"/>
      <c r="IE256" s="11"/>
      <c r="IF256" s="11"/>
      <c r="IG256" s="11"/>
      <c r="IH256" s="11"/>
      <c r="II256" s="11"/>
      <c r="IJ256" s="11"/>
      <c r="IK256" s="11"/>
      <c r="IL256" s="11"/>
      <c r="IM256" s="11"/>
      <c r="IN256" s="11"/>
      <c r="IO256" s="11"/>
      <c r="IP256" s="11"/>
      <c r="IQ256" s="11"/>
      <c r="IR256" s="11"/>
      <c r="IS256" s="11"/>
      <c r="IT256" s="11"/>
      <c r="IU256" s="11"/>
      <c r="IV256" s="11"/>
      <c r="IW256" s="11"/>
      <c r="IX256" s="11"/>
      <c r="IY256" s="11"/>
      <c r="IZ256" s="11"/>
      <c r="JA256" s="11"/>
      <c r="JB256" s="11"/>
      <c r="JC256" s="11"/>
      <c r="JD256" s="11"/>
      <c r="JE256" s="11"/>
      <c r="JF256" s="11"/>
      <c r="JG256" s="11"/>
      <c r="JH256" s="11"/>
      <c r="JI256" s="11"/>
      <c r="JJ256" s="11"/>
      <c r="JK256" s="11"/>
      <c r="JL256" s="11"/>
      <c r="JM256" s="11"/>
      <c r="JN256" s="11"/>
      <c r="JO256" s="11"/>
      <c r="JP256" s="11"/>
      <c r="JQ256" s="11"/>
      <c r="JR256" s="11"/>
      <c r="JS256" s="11"/>
      <c r="JT256" s="11"/>
      <c r="JU256" s="11"/>
      <c r="JV256" s="11"/>
      <c r="JW256" s="11"/>
      <c r="JX256" s="11"/>
      <c r="JY256" s="11"/>
      <c r="JZ256" s="11"/>
      <c r="KA256" s="11"/>
      <c r="KB256" s="11"/>
      <c r="KC256" s="11"/>
      <c r="KD256" s="11"/>
      <c r="KE256" s="11"/>
      <c r="KF256" s="11"/>
      <c r="KG256" s="11"/>
      <c r="KH256" s="11"/>
      <c r="KI256" s="11"/>
      <c r="KJ256" s="11"/>
      <c r="KK256" s="11"/>
      <c r="KL256" s="11"/>
      <c r="KM256" s="11"/>
      <c r="KN256" s="11"/>
      <c r="KO256" s="11"/>
      <c r="KP256" s="11"/>
      <c r="KQ256" s="11"/>
      <c r="KR256" s="11"/>
      <c r="KS256" s="11"/>
      <c r="KT256" s="11"/>
      <c r="KU256" s="11"/>
      <c r="KV256" s="11"/>
      <c r="KW256" s="11"/>
      <c r="KX256" s="11"/>
      <c r="KY256" s="11"/>
      <c r="KZ256" s="11"/>
      <c r="LA256" s="11"/>
      <c r="LB256" s="11"/>
      <c r="LC256" s="11"/>
      <c r="LD256" s="11"/>
      <c r="LE256" s="11"/>
      <c r="LF256" s="11"/>
      <c r="LG256" s="11"/>
      <c r="LH256" s="11"/>
      <c r="LI256" s="11"/>
      <c r="LJ256" s="11"/>
      <c r="LK256" s="11"/>
      <c r="LL256" s="11"/>
      <c r="LM256" s="11"/>
      <c r="LN256" s="11"/>
      <c r="LO256" s="11"/>
      <c r="LP256" s="11"/>
      <c r="LQ256" s="11"/>
      <c r="LR256" s="11"/>
      <c r="LS256" s="11"/>
      <c r="LT256" s="11"/>
      <c r="LU256" s="11"/>
      <c r="LV256" s="11"/>
      <c r="LW256" s="11"/>
      <c r="LX256" s="11"/>
      <c r="LY256" s="11"/>
      <c r="LZ256" s="11"/>
      <c r="MA256" s="11"/>
      <c r="MB256" s="11"/>
      <c r="MC256" s="11"/>
      <c r="MD256" s="11"/>
      <c r="ME256" s="11"/>
      <c r="MF256" s="11"/>
      <c r="MG256" s="11"/>
      <c r="MH256" s="11"/>
      <c r="MI256" s="11"/>
      <c r="MJ256" s="11"/>
      <c r="MK256" s="11"/>
      <c r="ML256" s="11"/>
      <c r="MM256" s="11"/>
      <c r="MN256" s="11"/>
      <c r="MO256" s="11"/>
      <c r="MP256" s="11"/>
      <c r="MQ256" s="11"/>
      <c r="MR256" s="11"/>
      <c r="MS256" s="11"/>
      <c r="MT256" s="11"/>
      <c r="MU256" s="11"/>
      <c r="MV256" s="11"/>
      <c r="MW256" s="11"/>
      <c r="MX256" s="11"/>
      <c r="MY256" s="11"/>
      <c r="MZ256" s="11"/>
      <c r="NA256" s="11"/>
      <c r="NB256" s="11"/>
      <c r="NC256" s="11"/>
      <c r="ND256" s="11"/>
      <c r="NE256" s="11"/>
      <c r="NF256" s="11"/>
      <c r="NG256" s="11"/>
      <c r="NH256" s="11"/>
      <c r="NI256" s="11"/>
      <c r="NJ256" s="11"/>
      <c r="NK256" s="11"/>
      <c r="NL256" s="11"/>
      <c r="NM256" s="11"/>
      <c r="NN256" s="11"/>
      <c r="NO256" s="11"/>
      <c r="NP256" s="11"/>
      <c r="NQ256" s="11"/>
      <c r="NR256" s="11"/>
      <c r="NS256" s="11"/>
      <c r="NT256" s="11"/>
      <c r="NU256" s="11"/>
      <c r="NV256" s="11"/>
      <c r="NW256" s="11"/>
      <c r="NX256" s="11"/>
      <c r="NY256" s="11"/>
      <c r="NZ256" s="11"/>
      <c r="OA256" s="11"/>
      <c r="OB256" s="11"/>
      <c r="OC256" s="11"/>
      <c r="OD256" s="11"/>
      <c r="OE256" s="11"/>
      <c r="OF256" s="11"/>
      <c r="OG256" s="11"/>
      <c r="OH256" s="11"/>
      <c r="OI256" s="11"/>
      <c r="OJ256" s="11"/>
      <c r="OK256" s="11"/>
      <c r="OL256" s="11"/>
      <c r="OM256" s="11"/>
      <c r="ON256" s="11"/>
      <c r="OO256" s="11"/>
      <c r="OP256" s="11"/>
      <c r="OQ256" s="11"/>
      <c r="OR256" s="11"/>
      <c r="OS256" s="11"/>
      <c r="OT256" s="11"/>
      <c r="OU256" s="11"/>
      <c r="OV256" s="11"/>
      <c r="OW256" s="11"/>
      <c r="OX256" s="11"/>
      <c r="OY256" s="11"/>
      <c r="OZ256" s="11"/>
      <c r="PA256" s="11"/>
      <c r="PB256" s="11"/>
      <c r="PC256" s="11"/>
      <c r="PD256" s="11"/>
      <c r="PE256" s="11"/>
      <c r="PF256" s="11"/>
      <c r="PG256" s="11"/>
      <c r="PH256" s="11"/>
      <c r="PI256" s="11"/>
      <c r="PJ256" s="11"/>
      <c r="PK256" s="11"/>
      <c r="PL256" s="11"/>
      <c r="PM256" s="11"/>
      <c r="PN256" s="11"/>
      <c r="PO256" s="11"/>
      <c r="PP256" s="11"/>
      <c r="PQ256" s="11"/>
      <c r="PR256" s="11"/>
      <c r="PS256" s="11"/>
      <c r="PT256" s="11"/>
      <c r="PU256" s="11"/>
      <c r="PV256" s="11"/>
      <c r="PW256" s="11"/>
      <c r="PX256" s="11"/>
      <c r="PY256" s="11"/>
      <c r="PZ256" s="11"/>
      <c r="QA256" s="11"/>
      <c r="QB256" s="11"/>
      <c r="QC256" s="11"/>
      <c r="QD256" s="11"/>
      <c r="QE256" s="11"/>
      <c r="QF256" s="11"/>
      <c r="QG256" s="11"/>
      <c r="QH256" s="11"/>
      <c r="QI256" s="11"/>
      <c r="QJ256" s="11"/>
      <c r="QK256" s="11"/>
      <c r="QL256" s="11"/>
      <c r="QM256" s="11"/>
      <c r="QN256" s="11"/>
      <c r="QO256" s="11"/>
      <c r="QP256" s="11"/>
      <c r="QQ256" s="11"/>
      <c r="QR256" s="11"/>
      <c r="QS256" s="11"/>
      <c r="QT256" s="11"/>
      <c r="QU256" s="11"/>
      <c r="QV256" s="11"/>
      <c r="QW256" s="11"/>
      <c r="QX256" s="11"/>
      <c r="QY256" s="11"/>
      <c r="QZ256" s="11"/>
      <c r="RA256" s="11"/>
      <c r="RB256" s="11"/>
      <c r="RC256" s="11"/>
      <c r="RD256" s="11"/>
      <c r="RE256" s="11"/>
      <c r="RF256" s="11"/>
      <c r="RG256" s="11"/>
      <c r="RH256" s="11"/>
      <c r="RI256" s="11"/>
      <c r="RJ256" s="11"/>
      <c r="RK256" s="11"/>
      <c r="RL256" s="11"/>
      <c r="RM256" s="11"/>
      <c r="RN256" s="11"/>
      <c r="RO256" s="11"/>
      <c r="RP256" s="11"/>
      <c r="RQ256" s="11"/>
      <c r="RR256" s="11"/>
      <c r="RS256" s="11"/>
      <c r="RT256" s="11"/>
      <c r="RU256" s="11"/>
      <c r="RV256" s="11"/>
      <c r="RW256" s="11"/>
      <c r="RX256" s="11"/>
      <c r="RY256" s="11"/>
      <c r="RZ256" s="11"/>
      <c r="SA256" s="11"/>
      <c r="SB256" s="11"/>
      <c r="SC256" s="11"/>
      <c r="SD256" s="11"/>
      <c r="SE256" s="11"/>
      <c r="SF256" s="11"/>
      <c r="SG256" s="11"/>
      <c r="SH256" s="11"/>
      <c r="SI256" s="11"/>
      <c r="SJ256" s="11"/>
      <c r="SK256" s="11"/>
      <c r="SL256" s="11"/>
      <c r="SM256" s="11"/>
      <c r="SN256" s="11"/>
      <c r="SO256" s="11"/>
      <c r="SP256" s="11"/>
      <c r="SQ256" s="11"/>
      <c r="SR256" s="11"/>
      <c r="SS256" s="11"/>
      <c r="ST256" s="11"/>
      <c r="SU256" s="11"/>
      <c r="SV256" s="11"/>
      <c r="SW256" s="11"/>
      <c r="SX256" s="11"/>
      <c r="SY256" s="11"/>
      <c r="SZ256" s="11"/>
      <c r="TA256" s="11"/>
      <c r="TB256" s="11"/>
      <c r="TC256" s="11"/>
      <c r="TD256" s="11"/>
      <c r="TE256" s="11"/>
      <c r="TF256" s="11"/>
      <c r="TG256" s="11"/>
      <c r="TH256" s="11"/>
      <c r="TI256" s="11"/>
      <c r="TJ256" s="11"/>
      <c r="TK256" s="11"/>
      <c r="TL256" s="11"/>
      <c r="TM256" s="11"/>
      <c r="TN256" s="11"/>
      <c r="TO256" s="11"/>
      <c r="TP256" s="11"/>
      <c r="TQ256" s="11"/>
      <c r="TR256" s="11"/>
      <c r="TS256" s="11"/>
      <c r="TT256" s="11"/>
      <c r="TU256" s="11"/>
      <c r="TV256" s="11"/>
      <c r="TW256" s="11"/>
      <c r="TX256" s="11"/>
      <c r="TY256" s="11"/>
      <c r="TZ256" s="11"/>
      <c r="UA256" s="11"/>
      <c r="UB256" s="11"/>
      <c r="UC256" s="11"/>
      <c r="UD256" s="11"/>
      <c r="UE256" s="11"/>
      <c r="UF256" s="11"/>
      <c r="UG256" s="11"/>
      <c r="UH256" s="11"/>
      <c r="UI256" s="11"/>
      <c r="UJ256" s="11"/>
      <c r="UK256" s="11"/>
      <c r="UL256" s="11"/>
      <c r="UM256" s="11"/>
      <c r="UN256" s="11"/>
      <c r="UO256" s="11"/>
      <c r="UP256" s="11"/>
      <c r="UQ256" s="11"/>
      <c r="UR256" s="11"/>
      <c r="US256" s="11"/>
      <c r="UT256" s="11"/>
      <c r="UU256" s="11"/>
      <c r="UV256" s="11"/>
      <c r="UW256" s="11"/>
      <c r="UX256" s="11"/>
      <c r="UY256" s="11"/>
      <c r="UZ256" s="11"/>
      <c r="VA256" s="11"/>
      <c r="VB256" s="11"/>
      <c r="VC256" s="11"/>
      <c r="VD256" s="11"/>
      <c r="VE256" s="11"/>
      <c r="VF256" s="11"/>
      <c r="VG256" s="11"/>
      <c r="VH256" s="11"/>
      <c r="VI256" s="11"/>
      <c r="VJ256" s="11"/>
      <c r="VK256" s="11"/>
      <c r="VL256" s="11"/>
      <c r="VM256" s="11"/>
      <c r="VN256" s="11"/>
      <c r="VO256" s="11"/>
      <c r="VP256" s="11"/>
      <c r="VQ256" s="11"/>
      <c r="VR256" s="11"/>
      <c r="VS256" s="11"/>
      <c r="VT256" s="11"/>
      <c r="VU256" s="11"/>
      <c r="VV256" s="11"/>
      <c r="VW256" s="11"/>
      <c r="VX256" s="11"/>
      <c r="VY256" s="11"/>
      <c r="VZ256" s="11"/>
      <c r="WA256" s="11"/>
      <c r="WB256" s="11"/>
      <c r="WC256" s="11"/>
      <c r="WD256" s="11"/>
      <c r="WE256" s="11"/>
      <c r="WF256" s="11"/>
      <c r="WG256" s="11"/>
      <c r="WH256" s="11"/>
      <c r="WI256" s="11"/>
      <c r="WJ256" s="11"/>
      <c r="WK256" s="11"/>
      <c r="WL256" s="11"/>
      <c r="WM256" s="11"/>
      <c r="WN256" s="11"/>
      <c r="WO256" s="11"/>
      <c r="WP256" s="11"/>
      <c r="WQ256" s="11"/>
      <c r="WR256" s="11"/>
      <c r="WS256" s="11"/>
      <c r="WT256" s="11"/>
      <c r="WU256" s="11"/>
      <c r="WV256" s="11"/>
      <c r="WW256" s="11"/>
      <c r="WX256" s="11"/>
      <c r="WY256" s="11"/>
      <c r="WZ256" s="11"/>
      <c r="XA256" s="11"/>
      <c r="XB256" s="11"/>
      <c r="XC256" s="11"/>
      <c r="XD256" s="11"/>
      <c r="XE256" s="11"/>
      <c r="XF256" s="11"/>
      <c r="XG256" s="11"/>
      <c r="XH256" s="11"/>
      <c r="XI256" s="11"/>
      <c r="XJ256" s="11"/>
      <c r="XK256" s="11"/>
      <c r="XL256" s="11"/>
      <c r="XM256" s="11"/>
      <c r="XN256" s="11"/>
      <c r="XO256" s="11"/>
      <c r="XP256" s="11"/>
      <c r="XQ256" s="11"/>
      <c r="XR256" s="11"/>
      <c r="XS256" s="11"/>
      <c r="XT256" s="11"/>
      <c r="XU256" s="11"/>
      <c r="XV256" s="11"/>
      <c r="XW256" s="11"/>
      <c r="XX256" s="11"/>
      <c r="XY256" s="11"/>
      <c r="XZ256" s="11"/>
      <c r="YA256" s="11"/>
      <c r="YB256" s="11"/>
      <c r="YC256" s="11"/>
      <c r="YD256" s="11"/>
      <c r="YE256" s="11"/>
      <c r="YF256" s="11"/>
      <c r="YG256" s="11"/>
      <c r="YH256" s="11"/>
      <c r="YI256" s="11"/>
      <c r="YJ256" s="11"/>
      <c r="YK256" s="11"/>
      <c r="YL256" s="11"/>
      <c r="YM256" s="11"/>
      <c r="YN256" s="11"/>
      <c r="YO256" s="11"/>
      <c r="YP256" s="11"/>
      <c r="YQ256" s="11"/>
      <c r="YR256" s="11"/>
      <c r="YS256" s="11"/>
      <c r="YT256" s="11"/>
      <c r="YU256" s="11"/>
      <c r="YV256" s="11"/>
      <c r="YW256" s="11"/>
      <c r="YX256" s="11"/>
      <c r="YY256" s="11"/>
      <c r="YZ256" s="11"/>
      <c r="ZA256" s="11"/>
      <c r="ZB256" s="11"/>
      <c r="ZC256" s="11"/>
      <c r="ZD256" s="11"/>
      <c r="ZE256" s="11"/>
      <c r="ZF256" s="11"/>
      <c r="ZG256" s="11"/>
      <c r="ZH256" s="11"/>
      <c r="ZI256" s="11"/>
      <c r="ZJ256" s="11"/>
      <c r="ZK256" s="11"/>
      <c r="ZL256" s="11"/>
      <c r="ZM256" s="11"/>
      <c r="ZN256" s="11"/>
      <c r="ZO256" s="11"/>
      <c r="ZP256" s="11"/>
      <c r="ZQ256" s="11"/>
      <c r="ZR256" s="11"/>
      <c r="ZS256" s="11"/>
      <c r="ZT256" s="11"/>
      <c r="ZU256" s="11"/>
      <c r="ZV256" s="11"/>
      <c r="ZW256" s="11"/>
      <c r="ZX256" s="11"/>
      <c r="ZY256" s="11"/>
      <c r="ZZ256" s="11"/>
      <c r="AAA256" s="11"/>
      <c r="AAB256" s="11"/>
      <c r="AAC256" s="11"/>
      <c r="AAD256" s="11"/>
      <c r="AAE256" s="11"/>
      <c r="AAF256" s="11"/>
      <c r="AAG256" s="11"/>
      <c r="AAH256" s="11"/>
      <c r="AAI256" s="11"/>
      <c r="AAJ256" s="11"/>
      <c r="AAK256" s="11"/>
      <c r="AAL256" s="11"/>
      <c r="AAM256" s="11"/>
      <c r="AAN256" s="11"/>
      <c r="AAO256" s="11"/>
      <c r="AAP256" s="11"/>
      <c r="AAQ256" s="11"/>
      <c r="AAR256" s="11"/>
      <c r="AAS256" s="11"/>
      <c r="AAT256" s="11"/>
      <c r="AAU256" s="11"/>
      <c r="AAV256" s="11"/>
      <c r="AAW256" s="11"/>
      <c r="AAX256" s="11"/>
      <c r="AAY256" s="11"/>
      <c r="AAZ256" s="11"/>
      <c r="ABA256" s="11"/>
      <c r="ABB256" s="11"/>
      <c r="ABC256" s="11"/>
      <c r="ABD256" s="11"/>
      <c r="ABE256" s="11"/>
      <c r="ABF256" s="11"/>
      <c r="ABG256" s="11"/>
      <c r="ABH256" s="11"/>
      <c r="ABI256" s="11"/>
      <c r="ABJ256" s="11"/>
      <c r="ABK256" s="11"/>
      <c r="ABL256" s="11"/>
      <c r="ABM256" s="11"/>
      <c r="ABN256" s="11"/>
      <c r="ABO256" s="11"/>
      <c r="ABP256" s="11"/>
      <c r="ABQ256" s="11"/>
      <c r="ABR256" s="11"/>
      <c r="ABS256" s="11"/>
      <c r="ABT256" s="11"/>
      <c r="ABU256" s="11"/>
      <c r="ABV256" s="11"/>
      <c r="ABW256" s="11"/>
      <c r="ABX256" s="11"/>
      <c r="ABY256" s="11"/>
      <c r="ABZ256" s="11"/>
      <c r="ACA256" s="11"/>
      <c r="ACB256" s="11"/>
      <c r="ACC256" s="11"/>
      <c r="ACD256" s="11"/>
      <c r="ACE256" s="11"/>
      <c r="ACF256" s="11"/>
      <c r="ACG256" s="11"/>
      <c r="ACH256" s="11"/>
      <c r="ACI256" s="11"/>
      <c r="ACJ256" s="11"/>
      <c r="ACK256" s="11"/>
      <c r="ACL256" s="11"/>
      <c r="ACM256" s="11"/>
      <c r="ACN256" s="11"/>
      <c r="ACO256" s="11"/>
      <c r="ACP256" s="11"/>
      <c r="ACQ256" s="11"/>
      <c r="ACR256" s="11"/>
      <c r="ACS256" s="11"/>
      <c r="ACT256" s="11"/>
      <c r="ACU256" s="11"/>
      <c r="ACV256" s="11"/>
      <c r="ACW256" s="11"/>
      <c r="ACX256" s="11"/>
      <c r="ACY256" s="11"/>
      <c r="ACZ256" s="11"/>
      <c r="ADA256" s="11"/>
      <c r="ADB256" s="11"/>
      <c r="ADC256" s="11"/>
      <c r="ADD256" s="11"/>
      <c r="ADE256" s="11"/>
      <c r="ADF256" s="11"/>
      <c r="ADG256" s="11"/>
      <c r="ADH256" s="11"/>
      <c r="ADI256" s="11"/>
      <c r="ADJ256" s="11"/>
      <c r="ADK256" s="11"/>
      <c r="ADL256" s="11"/>
      <c r="ADM256" s="11"/>
      <c r="ADN256" s="11"/>
      <c r="ADO256" s="11"/>
      <c r="ADP256" s="11"/>
      <c r="ADQ256" s="11"/>
      <c r="ADR256" s="11"/>
      <c r="ADS256" s="11"/>
      <c r="ADT256" s="11"/>
      <c r="ADU256" s="11"/>
      <c r="ADV256" s="11"/>
      <c r="ADW256" s="11"/>
      <c r="ADX256" s="11"/>
      <c r="ADY256" s="11"/>
      <c r="ADZ256" s="11"/>
      <c r="AEA256" s="11"/>
      <c r="AEB256" s="11"/>
      <c r="AEC256" s="11"/>
      <c r="AED256" s="11"/>
      <c r="AEE256" s="11"/>
      <c r="AEF256" s="11"/>
      <c r="AEG256" s="11"/>
      <c r="AEH256" s="11"/>
      <c r="AEI256" s="11"/>
      <c r="AEJ256" s="11"/>
      <c r="AEK256" s="11"/>
      <c r="AEL256" s="11"/>
      <c r="AEM256" s="11"/>
      <c r="AEN256" s="11"/>
      <c r="AEO256" s="11"/>
      <c r="AEP256" s="11"/>
      <c r="AEQ256" s="11"/>
      <c r="AER256" s="11"/>
      <c r="AES256" s="11"/>
      <c r="AET256" s="11"/>
      <c r="AEU256" s="11"/>
      <c r="AEV256" s="11"/>
      <c r="AEW256" s="11"/>
      <c r="AEX256" s="11"/>
      <c r="AEY256" s="11"/>
      <c r="AEZ256" s="11"/>
      <c r="AFA256" s="11"/>
      <c r="AFB256" s="11"/>
      <c r="AFC256" s="11"/>
      <c r="AFD256" s="11"/>
      <c r="AFE256" s="11"/>
      <c r="AFF256" s="11"/>
      <c r="AFG256" s="11"/>
      <c r="AFH256" s="11"/>
      <c r="AFI256" s="11"/>
      <c r="AFJ256" s="11"/>
      <c r="AFK256" s="11"/>
      <c r="AFL256" s="11"/>
      <c r="AFM256" s="11"/>
      <c r="AFN256" s="11"/>
      <c r="AFO256" s="11"/>
      <c r="AFP256" s="11"/>
      <c r="AFQ256" s="11"/>
      <c r="AFR256" s="11"/>
      <c r="AFS256" s="11"/>
      <c r="AFT256" s="11"/>
      <c r="AFU256" s="11"/>
      <c r="AFV256" s="11"/>
      <c r="AFW256" s="11"/>
      <c r="AFX256" s="11"/>
      <c r="AFY256" s="11"/>
      <c r="AFZ256" s="11"/>
      <c r="AGA256" s="11"/>
      <c r="AGB256" s="11"/>
      <c r="AGC256" s="11"/>
      <c r="AGD256" s="11"/>
      <c r="AGE256" s="11"/>
      <c r="AGF256" s="11"/>
      <c r="AGG256" s="11"/>
      <c r="AGH256" s="11"/>
      <c r="AGI256" s="11"/>
      <c r="AGJ256" s="11"/>
      <c r="AGK256" s="11"/>
      <c r="AGL256" s="11"/>
      <c r="AGM256" s="11"/>
      <c r="AGN256" s="11"/>
      <c r="AGO256" s="11"/>
      <c r="AGP256" s="11"/>
      <c r="AGQ256" s="11"/>
      <c r="AGR256" s="11"/>
      <c r="AGS256" s="11"/>
      <c r="AGT256" s="11"/>
      <c r="AGU256" s="11"/>
      <c r="AGV256" s="11"/>
      <c r="AGW256" s="11"/>
      <c r="AGX256" s="11"/>
      <c r="AGY256" s="11"/>
      <c r="AGZ256" s="11"/>
      <c r="AHA256" s="11"/>
      <c r="AHB256" s="11"/>
      <c r="AHC256" s="11"/>
      <c r="AHD256" s="11"/>
      <c r="AHE256" s="11"/>
      <c r="AHF256" s="11"/>
      <c r="AHG256" s="11"/>
      <c r="AHH256" s="11"/>
      <c r="AHI256" s="11"/>
      <c r="AHJ256" s="11"/>
      <c r="AHK256" s="11"/>
      <c r="AHL256" s="11"/>
      <c r="AHM256" s="11"/>
      <c r="AHN256" s="11"/>
      <c r="AHO256" s="11"/>
      <c r="AHP256" s="11"/>
      <c r="AHQ256" s="11"/>
      <c r="AHR256" s="11"/>
      <c r="AHS256" s="11"/>
      <c r="AHT256" s="11"/>
      <c r="AHU256" s="11"/>
      <c r="AHV256" s="11"/>
      <c r="AHW256" s="11"/>
      <c r="AHX256" s="11"/>
      <c r="AHY256" s="11"/>
      <c r="AHZ256" s="11"/>
      <c r="AIA256" s="11"/>
      <c r="AIB256" s="11"/>
      <c r="AIC256" s="11"/>
      <c r="AID256" s="11"/>
      <c r="AIE256" s="11"/>
      <c r="AIF256" s="11"/>
      <c r="AIG256" s="11"/>
      <c r="AIH256" s="11"/>
      <c r="AII256" s="11"/>
      <c r="AIJ256" s="11"/>
      <c r="AIK256" s="11"/>
      <c r="AIL256" s="11"/>
      <c r="AIM256" s="11"/>
      <c r="AIN256" s="11"/>
      <c r="AIO256" s="11"/>
      <c r="AIP256" s="11"/>
      <c r="AIQ256" s="11"/>
      <c r="AIR256" s="11"/>
      <c r="AIS256" s="11"/>
      <c r="AIT256" s="11"/>
      <c r="AIU256" s="11"/>
      <c r="AIV256" s="11"/>
      <c r="AIW256" s="11"/>
      <c r="AIX256" s="11"/>
      <c r="AIY256" s="11"/>
      <c r="AIZ256" s="11"/>
      <c r="AJA256" s="11"/>
      <c r="AJB256" s="11"/>
      <c r="AJC256" s="11"/>
      <c r="AJD256" s="11"/>
      <c r="AJE256" s="11"/>
      <c r="AJF256" s="11"/>
      <c r="AJG256" s="11"/>
      <c r="AJH256" s="11"/>
      <c r="AJI256" s="11"/>
      <c r="AJJ256" s="11"/>
      <c r="AJK256" s="11"/>
      <c r="AJL256" s="11"/>
      <c r="AJM256" s="11"/>
      <c r="AJN256" s="11"/>
      <c r="AJO256" s="11"/>
      <c r="AJP256" s="11"/>
      <c r="AJQ256" s="11"/>
      <c r="AJR256" s="11"/>
      <c r="AJS256" s="11"/>
      <c r="AJT256" s="11"/>
      <c r="AJU256" s="11"/>
      <c r="AJV256" s="11"/>
      <c r="AJW256" s="11"/>
      <c r="AJX256" s="11"/>
      <c r="AJY256" s="11"/>
      <c r="AJZ256" s="11"/>
      <c r="AKA256" s="11"/>
      <c r="AKB256" s="11"/>
      <c r="AKC256" s="11"/>
      <c r="AKD256" s="11"/>
      <c r="AKE256" s="11"/>
      <c r="AKF256" s="11"/>
      <c r="AKG256" s="11"/>
      <c r="AKH256" s="11"/>
      <c r="AKI256" s="11"/>
      <c r="AKJ256" s="11"/>
      <c r="AKK256" s="11"/>
      <c r="AKL256" s="11"/>
      <c r="AKM256" s="11"/>
      <c r="AKN256" s="11"/>
      <c r="AKO256" s="11"/>
      <c r="AKP256" s="11"/>
      <c r="AKQ256" s="11"/>
      <c r="AKR256" s="11"/>
      <c r="AKS256" s="11"/>
      <c r="AKT256" s="11"/>
      <c r="AKU256" s="11"/>
      <c r="AKV256" s="11"/>
      <c r="AKW256" s="11"/>
      <c r="AKX256" s="11"/>
      <c r="AKY256" s="11"/>
      <c r="AKZ256" s="11"/>
      <c r="ALA256" s="11"/>
      <c r="ALB256" s="11"/>
      <c r="ALC256" s="11"/>
      <c r="ALD256" s="11"/>
      <c r="ALE256" s="11"/>
      <c r="ALF256" s="11"/>
      <c r="ALG256" s="11"/>
      <c r="ALH256" s="11"/>
      <c r="ALI256" s="11"/>
      <c r="ALJ256" s="11"/>
      <c r="ALK256" s="11"/>
      <c r="ALL256" s="11"/>
      <c r="ALM256" s="11"/>
      <c r="ALN256" s="11"/>
      <c r="ALO256" s="11"/>
      <c r="ALP256" s="11"/>
      <c r="ALQ256" s="11"/>
      <c r="ALR256" s="11"/>
      <c r="ALS256" s="11"/>
      <c r="ALT256" s="11"/>
      <c r="ALU256" s="11"/>
      <c r="ALV256" s="11"/>
      <c r="ALW256" s="11"/>
      <c r="ALX256" s="11"/>
      <c r="ALY256" s="11"/>
      <c r="ALZ256" s="11"/>
      <c r="AMA256" s="11"/>
      <c r="AMB256" s="11"/>
      <c r="AMC256" s="11"/>
      <c r="AMD256" s="11"/>
      <c r="AME256" s="11"/>
      <c r="AMF256" s="11"/>
      <c r="AMG256" s="11"/>
      <c r="AMH256" s="11"/>
      <c r="AMI256" s="11"/>
      <c r="AMJ256" s="11"/>
    </row>
    <row r="257" spans="1:1024" ht="27.6">
      <c r="A257" s="8" t="s">
        <v>250</v>
      </c>
      <c r="B257" s="8">
        <v>294604</v>
      </c>
      <c r="D257" s="29"/>
      <c r="E257" s="1">
        <v>0</v>
      </c>
      <c r="F257" s="8">
        <v>6</v>
      </c>
      <c r="G257" s="30">
        <f t="shared" si="12"/>
        <v>6</v>
      </c>
      <c r="H257" s="8">
        <f t="shared" si="14"/>
        <v>0</v>
      </c>
      <c r="I257">
        <f t="shared" si="13"/>
        <v>0</v>
      </c>
      <c r="J257">
        <f>SUMIF(Oeffentlichkeitsarbeit!$D:$D,$B257,Oeffentlichkeitsarbeit!$F:$F)</f>
        <v>0</v>
      </c>
      <c r="K257">
        <f>COUNTIF(Fairteiler!$D:$D,$B257)*1/2</f>
        <v>0</v>
      </c>
      <c r="L257">
        <f>COUNTIF('NP-Betrieb'!D:D,$B257)*1/3</f>
        <v>0</v>
      </c>
      <c r="M257">
        <f>COUNTIF(Fairteilungen!$D:$D,$B257)*3/4</f>
        <v>0</v>
      </c>
      <c r="N257">
        <f>COUNTIF(Anlieferung!D:D,$B257)*1/2</f>
        <v>0</v>
      </c>
      <c r="O257">
        <f>COUNTIF(Probeabholungen!B:B,$B257)*1/3</f>
        <v>0</v>
      </c>
    </row>
    <row r="258" spans="1:1024" ht="27.6">
      <c r="A258" s="8" t="s">
        <v>251</v>
      </c>
      <c r="B258" s="8">
        <v>227347</v>
      </c>
      <c r="C258" s="11"/>
      <c r="D258" s="29"/>
      <c r="E258" s="1">
        <v>15.67</v>
      </c>
      <c r="F258" s="8">
        <v>6</v>
      </c>
      <c r="G258" s="30">
        <f t="shared" ref="G258:G321" si="15">F258-H258</f>
        <v>21.67</v>
      </c>
      <c r="H258" s="8">
        <f t="shared" si="14"/>
        <v>-15.67</v>
      </c>
      <c r="I258" s="11">
        <f t="shared" ref="I258:I321" si="16">SUM(J258:O258)</f>
        <v>0</v>
      </c>
      <c r="J258" s="11">
        <f>SUMIF(Oeffentlichkeitsarbeit!$D:$D,$B258,Oeffentlichkeitsarbeit!$F:$F)</f>
        <v>0</v>
      </c>
      <c r="K258" s="11">
        <f>COUNTIF(Fairteiler!$D:$D,$B258)*1/2</f>
        <v>0</v>
      </c>
      <c r="L258" s="11">
        <f>COUNTIF('NP-Betrieb'!D:D,$B258)*1/3</f>
        <v>0</v>
      </c>
      <c r="M258" s="11">
        <f>COUNTIF(Fairteilungen!$D:$D,$B258)*3/4</f>
        <v>0</v>
      </c>
      <c r="N258" s="11">
        <f>COUNTIF(Anlieferung!D:D,$B258)*1/2</f>
        <v>0</v>
      </c>
      <c r="O258" s="11">
        <f>COUNTIF(Probeabholungen!B:B,$B258)*1/3</f>
        <v>0</v>
      </c>
    </row>
    <row r="259" spans="1:1024" ht="27.6">
      <c r="A259" s="8" t="s">
        <v>252</v>
      </c>
      <c r="B259" s="8">
        <v>861261</v>
      </c>
      <c r="D259" s="24">
        <v>45563</v>
      </c>
      <c r="E259" s="1">
        <v>0</v>
      </c>
      <c r="F259" s="8">
        <v>6</v>
      </c>
      <c r="G259" s="30">
        <f t="shared" si="15"/>
        <v>4.333333333333333</v>
      </c>
      <c r="H259" s="8">
        <f t="shared" si="14"/>
        <v>1.6666666666666667</v>
      </c>
      <c r="I259">
        <f t="shared" si="16"/>
        <v>1.6666666666666667</v>
      </c>
      <c r="J259">
        <f>SUMIF(Oeffentlichkeitsarbeit!$D:$D,$B259,Oeffentlichkeitsarbeit!$F:$F)</f>
        <v>0</v>
      </c>
      <c r="K259">
        <f>COUNTIF(Fairteiler!$D:$D,$B259)*1/2</f>
        <v>0</v>
      </c>
      <c r="L259">
        <f>COUNTIF('NP-Betrieb'!D:D,$B259)*1/3</f>
        <v>1.6666666666666667</v>
      </c>
      <c r="M259">
        <f>COUNTIF(Fairteilungen!$D:$D,$B259)*3/4</f>
        <v>0</v>
      </c>
      <c r="N259">
        <f>COUNTIF(Anlieferung!D:D,$B259)*1/2</f>
        <v>0</v>
      </c>
      <c r="O259">
        <f>COUNTIF(Probeabholungen!B:B,$B259)*1/3</f>
        <v>0</v>
      </c>
    </row>
    <row r="260" spans="1:1024" ht="27.6">
      <c r="A260" s="8" t="s">
        <v>253</v>
      </c>
      <c r="B260" s="8">
        <v>310787</v>
      </c>
      <c r="D260" s="29"/>
      <c r="E260" s="1">
        <v>0</v>
      </c>
      <c r="F260" s="8">
        <v>6</v>
      </c>
      <c r="G260" s="30">
        <f t="shared" si="15"/>
        <v>6</v>
      </c>
      <c r="H260" s="8">
        <f t="shared" si="14"/>
        <v>0</v>
      </c>
      <c r="I260">
        <f t="shared" si="16"/>
        <v>0</v>
      </c>
      <c r="J260">
        <f>SUMIF(Oeffentlichkeitsarbeit!$D:$D,$B260,Oeffentlichkeitsarbeit!$F:$F)</f>
        <v>0</v>
      </c>
      <c r="K260">
        <f>COUNTIF(Fairteiler!$D:$D,$B260)*1/2</f>
        <v>0</v>
      </c>
      <c r="L260">
        <f>COUNTIF('NP-Betrieb'!D:D,$B260)*1/3</f>
        <v>0</v>
      </c>
      <c r="M260">
        <f>COUNTIF(Fairteilungen!$D:$D,$B260)*3/4</f>
        <v>0</v>
      </c>
      <c r="N260">
        <f>COUNTIF(Anlieferung!D:D,$B260)*1/2</f>
        <v>0</v>
      </c>
      <c r="O260">
        <f>COUNTIF(Probeabholungen!B:B,$B260)*1/3</f>
        <v>0</v>
      </c>
    </row>
    <row r="261" spans="1:1024">
      <c r="A261" s="8" t="s">
        <v>254</v>
      </c>
      <c r="B261" s="8">
        <v>621900</v>
      </c>
      <c r="D261" s="29"/>
      <c r="E261" s="1">
        <v>0</v>
      </c>
      <c r="F261" s="8">
        <v>6</v>
      </c>
      <c r="G261" s="30">
        <f t="shared" si="15"/>
        <v>3.3333333333333335</v>
      </c>
      <c r="H261" s="8">
        <f t="shared" si="14"/>
        <v>2.6666666666666665</v>
      </c>
      <c r="I261">
        <f t="shared" si="16"/>
        <v>2.6666666666666665</v>
      </c>
      <c r="J261">
        <f>SUMIF(Oeffentlichkeitsarbeit!$D:$D,$B261,Oeffentlichkeitsarbeit!$F:$F)</f>
        <v>0</v>
      </c>
      <c r="K261">
        <f>COUNTIF(Fairteiler!$D:$D,$B261)*1/2</f>
        <v>0</v>
      </c>
      <c r="L261">
        <f>COUNTIF('NP-Betrieb'!D:D,$B261)*1/3</f>
        <v>2.6666666666666665</v>
      </c>
      <c r="M261">
        <f>COUNTIF(Fairteilungen!$D:$D,$B261)*3/4</f>
        <v>0</v>
      </c>
      <c r="N261">
        <f>COUNTIF(Anlieferung!D:D,$B261)*1/2</f>
        <v>0</v>
      </c>
      <c r="O261">
        <f>COUNTIF(Probeabholungen!B:B,$B261)*1/3</f>
        <v>0</v>
      </c>
    </row>
    <row r="262" spans="1:1024" ht="27.6">
      <c r="A262" s="8" t="s">
        <v>255</v>
      </c>
      <c r="B262" s="8">
        <v>266487</v>
      </c>
      <c r="D262" s="29"/>
      <c r="E262" s="1">
        <v>0</v>
      </c>
      <c r="F262" s="8">
        <v>6</v>
      </c>
      <c r="G262" s="30">
        <f t="shared" si="15"/>
        <v>2.6666666666666665</v>
      </c>
      <c r="H262" s="8">
        <f t="shared" si="14"/>
        <v>3.3333333333333335</v>
      </c>
      <c r="I262">
        <f t="shared" si="16"/>
        <v>3.3333333333333335</v>
      </c>
      <c r="J262">
        <f>SUMIF(Oeffentlichkeitsarbeit!$D:$D,$B262,Oeffentlichkeitsarbeit!$F:$F)</f>
        <v>0</v>
      </c>
      <c r="K262">
        <f>COUNTIF(Fairteiler!$D:$D,$B262)*1/2</f>
        <v>0</v>
      </c>
      <c r="L262">
        <f>COUNTIF('NP-Betrieb'!D:D,$B262)*1/3</f>
        <v>2.3333333333333335</v>
      </c>
      <c r="M262">
        <f>COUNTIF(Fairteilungen!$D:$D,$B262)*3/4</f>
        <v>0</v>
      </c>
      <c r="N262">
        <f>COUNTIF(Anlieferung!D:D,$B262)*1/2</f>
        <v>1</v>
      </c>
      <c r="O262">
        <f>COUNTIF(Probeabholungen!B:B,$B262)*1/3</f>
        <v>0</v>
      </c>
    </row>
    <row r="263" spans="1:1024" ht="27.6">
      <c r="A263" s="8" t="s">
        <v>256</v>
      </c>
      <c r="B263" s="8">
        <v>558310</v>
      </c>
      <c r="D263" s="29"/>
      <c r="E263" s="1">
        <v>11</v>
      </c>
      <c r="F263" s="8">
        <v>6</v>
      </c>
      <c r="G263" s="30">
        <f t="shared" si="15"/>
        <v>17</v>
      </c>
      <c r="H263" s="8">
        <f t="shared" si="14"/>
        <v>-11</v>
      </c>
      <c r="I263">
        <f t="shared" si="16"/>
        <v>0</v>
      </c>
      <c r="J263">
        <f>SUMIF(Oeffentlichkeitsarbeit!$D:$D,$B263,Oeffentlichkeitsarbeit!$F:$F)</f>
        <v>0</v>
      </c>
      <c r="K263">
        <f>COUNTIF(Fairteiler!$D:$D,$B263)*1/2</f>
        <v>0</v>
      </c>
      <c r="L263">
        <f>COUNTIF('NP-Betrieb'!D:D,$B263)*1/3</f>
        <v>0</v>
      </c>
      <c r="M263">
        <f>COUNTIF(Fairteilungen!$D:$D,$B263)*3/4</f>
        <v>0</v>
      </c>
      <c r="N263">
        <f>COUNTIF(Anlieferung!D:D,$B263)*1/2</f>
        <v>0</v>
      </c>
      <c r="O263">
        <f>COUNTIF(Probeabholungen!B:B,$B263)*1/3</f>
        <v>0</v>
      </c>
    </row>
    <row r="264" spans="1:1024" ht="27.6">
      <c r="A264" s="8" t="s">
        <v>257</v>
      </c>
      <c r="B264" s="8">
        <v>729156</v>
      </c>
      <c r="C264" s="11"/>
      <c r="D264" s="29">
        <v>45061</v>
      </c>
      <c r="E264" s="1">
        <v>0</v>
      </c>
      <c r="F264" s="8">
        <v>6</v>
      </c>
      <c r="G264" s="30">
        <f t="shared" si="15"/>
        <v>4.666666666666667</v>
      </c>
      <c r="H264" s="8">
        <f t="shared" si="14"/>
        <v>1.3333333333333333</v>
      </c>
      <c r="I264" s="11">
        <f t="shared" si="16"/>
        <v>1.3333333333333333</v>
      </c>
      <c r="J264" s="11">
        <f>SUMIF(Oeffentlichkeitsarbeit!$D:$D,$B264,Oeffentlichkeitsarbeit!$F:$F)</f>
        <v>0</v>
      </c>
      <c r="K264" s="11">
        <f>COUNTIF(Fairteiler!$D:$D,$B264)*1/2</f>
        <v>0</v>
      </c>
      <c r="L264" s="11">
        <f>COUNTIF('NP-Betrieb'!D:D,$B264)*1/3</f>
        <v>1.3333333333333333</v>
      </c>
      <c r="M264" s="11">
        <f>COUNTIF(Fairteilungen!$D:$D,$B264)*3/4</f>
        <v>0</v>
      </c>
      <c r="N264" s="11">
        <f>COUNTIF(Anlieferung!D:D,$B264)*1/2</f>
        <v>0</v>
      </c>
      <c r="O264" s="11">
        <f>COUNTIF(Probeabholungen!B:B,$B264)*1/3</f>
        <v>0</v>
      </c>
    </row>
    <row r="265" spans="1:1024" ht="27.6">
      <c r="A265" s="8" t="s">
        <v>258</v>
      </c>
      <c r="B265" s="8">
        <v>717142</v>
      </c>
      <c r="D265" s="29"/>
      <c r="E265" s="1">
        <v>2.5</v>
      </c>
      <c r="F265" s="8">
        <v>6</v>
      </c>
      <c r="G265" s="30">
        <f t="shared" si="15"/>
        <v>2</v>
      </c>
      <c r="H265" s="8">
        <f t="shared" si="14"/>
        <v>4</v>
      </c>
      <c r="I265">
        <f t="shared" si="16"/>
        <v>6.5</v>
      </c>
      <c r="J265">
        <f>SUMIF(Oeffentlichkeitsarbeit!$D:$D,$B265,Oeffentlichkeitsarbeit!$F:$F)</f>
        <v>0</v>
      </c>
      <c r="K265">
        <f>COUNTIF(Fairteiler!$D:$D,$B265)*1/2</f>
        <v>6.5</v>
      </c>
      <c r="L265">
        <f>COUNTIF('NP-Betrieb'!D:D,$B265)*1/3</f>
        <v>0</v>
      </c>
      <c r="M265">
        <f>COUNTIF(Fairteilungen!$D:$D,$B265)*3/4</f>
        <v>0</v>
      </c>
      <c r="N265">
        <f>COUNTIF(Anlieferung!D:D,$B265)*1/2</f>
        <v>0</v>
      </c>
      <c r="O265">
        <f>COUNTIF(Probeabholungen!B:B,$B265)*1/3</f>
        <v>0</v>
      </c>
    </row>
    <row r="266" spans="1:1024" ht="27.6">
      <c r="A266" s="16" t="s">
        <v>259</v>
      </c>
      <c r="B266" s="16">
        <v>434194</v>
      </c>
      <c r="C266" s="16" t="s">
        <v>831</v>
      </c>
      <c r="D266" s="29"/>
      <c r="E266" s="1">
        <v>0</v>
      </c>
      <c r="F266" s="16">
        <v>0</v>
      </c>
      <c r="G266" s="30">
        <f t="shared" si="15"/>
        <v>0</v>
      </c>
      <c r="H266" s="16">
        <f t="shared" si="14"/>
        <v>0</v>
      </c>
      <c r="I266" s="18">
        <f t="shared" si="16"/>
        <v>0</v>
      </c>
      <c r="J266" s="18">
        <f>SUMIF(Oeffentlichkeitsarbeit!$D:$D,$B266,Oeffentlichkeitsarbeit!$F:$F)</f>
        <v>0</v>
      </c>
      <c r="K266" s="18">
        <f>COUNTIF(Fairteiler!$D:$D,$B266)*1/2</f>
        <v>0</v>
      </c>
      <c r="L266" s="18">
        <f>COUNTIF('NP-Betrieb'!D:D,$B266)*1/3</f>
        <v>0</v>
      </c>
      <c r="M266" s="18">
        <f>COUNTIF(Fairteilungen!$D:$D,$B266)*3/4</f>
        <v>0</v>
      </c>
      <c r="N266" s="18">
        <f>COUNTIF(Anlieferung!D:D,$B266)*1/2</f>
        <v>0</v>
      </c>
      <c r="O266" s="18">
        <f>COUNTIF(Probeabholungen!B:B,$B266)*1/3</f>
        <v>0</v>
      </c>
    </row>
    <row r="267" spans="1:1024" ht="41.4">
      <c r="A267" s="8" t="s">
        <v>260</v>
      </c>
      <c r="B267" s="8">
        <v>632638</v>
      </c>
      <c r="D267" s="29"/>
      <c r="E267" s="1">
        <v>0</v>
      </c>
      <c r="F267" s="8">
        <v>6</v>
      </c>
      <c r="G267" s="30">
        <f t="shared" si="15"/>
        <v>3.3333333333333335</v>
      </c>
      <c r="H267" s="8">
        <f t="shared" si="14"/>
        <v>2.6666666666666665</v>
      </c>
      <c r="I267">
        <f t="shared" si="16"/>
        <v>2.6666666666666665</v>
      </c>
      <c r="J267">
        <f>SUMIF(Oeffentlichkeitsarbeit!$D:$D,$B267,Oeffentlichkeitsarbeit!$F:$F)</f>
        <v>0</v>
      </c>
      <c r="K267">
        <f>COUNTIF(Fairteiler!$D:$D,$B267)*1/2</f>
        <v>0</v>
      </c>
      <c r="L267">
        <f>COUNTIF('NP-Betrieb'!D:D,$B267)*1/3</f>
        <v>2.6666666666666665</v>
      </c>
      <c r="M267">
        <f>COUNTIF(Fairteilungen!$D:$D,$B267)*3/4</f>
        <v>0</v>
      </c>
      <c r="N267">
        <f>COUNTIF(Anlieferung!D:D,$B267)*1/2</f>
        <v>0</v>
      </c>
      <c r="O267">
        <f>COUNTIF(Probeabholungen!B:B,$B267)*1/3</f>
        <v>0</v>
      </c>
    </row>
    <row r="268" spans="1:1024" ht="27.6">
      <c r="A268" s="16" t="s">
        <v>262</v>
      </c>
      <c r="B268" s="16">
        <v>164702</v>
      </c>
      <c r="C268" s="16" t="s">
        <v>831</v>
      </c>
      <c r="D268" s="29"/>
      <c r="E268" s="1">
        <v>0</v>
      </c>
      <c r="F268" s="16">
        <v>0</v>
      </c>
      <c r="G268" s="30">
        <f t="shared" si="15"/>
        <v>-0.33333333333333331</v>
      </c>
      <c r="H268" s="16">
        <f t="shared" si="14"/>
        <v>0.33333333333333331</v>
      </c>
      <c r="I268" s="11">
        <f t="shared" si="16"/>
        <v>0.33333333333333331</v>
      </c>
      <c r="J268" s="11">
        <f>SUMIF(Oeffentlichkeitsarbeit!$D:$D,$B268,Oeffentlichkeitsarbeit!$F:$F)</f>
        <v>0</v>
      </c>
      <c r="K268" s="11">
        <f>COUNTIF(Fairteiler!$D:$D,$B268)*1/2</f>
        <v>0</v>
      </c>
      <c r="L268" s="11">
        <f>COUNTIF('NP-Betrieb'!D:D,$B268)*1/3</f>
        <v>0.33333333333333331</v>
      </c>
      <c r="M268" s="11">
        <f>COUNTIF(Fairteilungen!$D:$D,$B268)*3/4</f>
        <v>0</v>
      </c>
      <c r="N268" s="11">
        <f>COUNTIF(Anlieferung!D:D,$B268)*1/2</f>
        <v>0</v>
      </c>
      <c r="O268" s="11">
        <f>COUNTIF(Probeabholungen!B:B,$B268)*1/3</f>
        <v>0</v>
      </c>
    </row>
    <row r="269" spans="1:1024" ht="27.6">
      <c r="A269" s="8" t="s">
        <v>263</v>
      </c>
      <c r="B269" s="8">
        <v>177147</v>
      </c>
      <c r="D269" s="29"/>
      <c r="E269" s="1">
        <v>0</v>
      </c>
      <c r="F269" s="8">
        <v>6</v>
      </c>
      <c r="G269" s="30">
        <f t="shared" si="15"/>
        <v>4.666666666666667</v>
      </c>
      <c r="H269" s="8">
        <f t="shared" si="14"/>
        <v>1.3333333333333333</v>
      </c>
      <c r="I269">
        <f t="shared" si="16"/>
        <v>1.3333333333333333</v>
      </c>
      <c r="J269">
        <f>SUMIF(Oeffentlichkeitsarbeit!$D:$D,$B269,Oeffentlichkeitsarbeit!$F:$F)</f>
        <v>0</v>
      </c>
      <c r="K269">
        <f>COUNTIF(Fairteiler!$D:$D,$B269)*1/2</f>
        <v>0</v>
      </c>
      <c r="L269">
        <f>COUNTIF('NP-Betrieb'!D:D,$B269)*1/3</f>
        <v>1.3333333333333333</v>
      </c>
      <c r="M269">
        <f>COUNTIF(Fairteilungen!$D:$D,$B269)*3/4</f>
        <v>0</v>
      </c>
      <c r="N269">
        <f>COUNTIF(Anlieferung!D:D,$B269)*1/2</f>
        <v>0</v>
      </c>
      <c r="O269">
        <f>COUNTIF(Probeabholungen!B:B,$B269)*1/3</f>
        <v>0</v>
      </c>
    </row>
    <row r="270" spans="1:1024" s="11" customFormat="1" ht="27.6">
      <c r="A270" s="8" t="s">
        <v>264</v>
      </c>
      <c r="B270" s="8">
        <v>124815</v>
      </c>
      <c r="C270"/>
      <c r="D270" s="24">
        <v>45754</v>
      </c>
      <c r="E270" s="1">
        <v>4.5</v>
      </c>
      <c r="F270">
        <v>6</v>
      </c>
      <c r="G270" s="30">
        <f t="shared" si="15"/>
        <v>10.5</v>
      </c>
      <c r="H270" s="8">
        <f t="shared" si="14"/>
        <v>-4.5</v>
      </c>
      <c r="I270">
        <f t="shared" si="16"/>
        <v>0</v>
      </c>
      <c r="J270">
        <f>SUMIF(Oeffentlichkeitsarbeit!$D:$D,$B270,Oeffentlichkeitsarbeit!$F:$F)</f>
        <v>0</v>
      </c>
      <c r="K270">
        <f>COUNTIF(Fairteiler!$D:$D,$B270)*1/2</f>
        <v>0</v>
      </c>
      <c r="L270">
        <f>COUNTIF('NP-Betrieb'!D:D,$B270)*1/3</f>
        <v>0</v>
      </c>
      <c r="M270">
        <f>COUNTIF(Fairteilungen!$D:$D,$B270)*3/4</f>
        <v>0</v>
      </c>
      <c r="N270">
        <f>COUNTIF(Anlieferung!D:D,$B270)*1/2</f>
        <v>0</v>
      </c>
      <c r="O270">
        <f>COUNTIF(Probeabholungen!B:B,$B270)*1/3</f>
        <v>0</v>
      </c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/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/>
      <c r="EO270"/>
      <c r="EP270"/>
      <c r="EQ270"/>
      <c r="ER270"/>
      <c r="ES270"/>
      <c r="ET270"/>
      <c r="EU270"/>
      <c r="EV270"/>
      <c r="EW270"/>
      <c r="EX270"/>
      <c r="EY270"/>
      <c r="EZ270"/>
      <c r="FA270"/>
      <c r="FB270"/>
      <c r="FC270"/>
      <c r="FD270"/>
      <c r="FE270"/>
      <c r="FF270"/>
      <c r="FG270"/>
      <c r="FH270"/>
      <c r="FI270"/>
      <c r="FJ270"/>
      <c r="FK270"/>
      <c r="FL270"/>
      <c r="FM270"/>
      <c r="FN270"/>
      <c r="FO270"/>
      <c r="FP270"/>
      <c r="FQ270"/>
      <c r="FR270"/>
      <c r="FS270"/>
      <c r="FT270"/>
      <c r="FU270"/>
      <c r="FV270"/>
      <c r="FW270"/>
      <c r="FX270"/>
      <c r="FY270"/>
      <c r="FZ270"/>
      <c r="GA270"/>
      <c r="GB270"/>
      <c r="GC270"/>
      <c r="GD270"/>
      <c r="GE270"/>
      <c r="GF270"/>
      <c r="GG270"/>
      <c r="GH270"/>
      <c r="GI270"/>
      <c r="GJ270"/>
      <c r="GK270"/>
      <c r="GL270"/>
      <c r="GM270"/>
      <c r="GN270"/>
      <c r="GO270"/>
      <c r="GP270"/>
      <c r="GQ270"/>
      <c r="GR270"/>
      <c r="GS270"/>
      <c r="GT270"/>
      <c r="GU270"/>
      <c r="GV270"/>
      <c r="GW270"/>
      <c r="GX270"/>
      <c r="GY270"/>
      <c r="GZ270"/>
      <c r="HA270"/>
      <c r="HB270"/>
      <c r="HC270"/>
      <c r="HD270"/>
      <c r="HE270"/>
      <c r="HF270"/>
      <c r="HG270"/>
      <c r="HH270"/>
      <c r="HI270"/>
      <c r="HJ270"/>
      <c r="HK270"/>
      <c r="HL270"/>
      <c r="HM270"/>
      <c r="HN270"/>
      <c r="HO270"/>
      <c r="HP270"/>
      <c r="HQ270"/>
      <c r="HR270"/>
      <c r="HS270"/>
      <c r="HT270"/>
      <c r="HU270"/>
      <c r="HV270"/>
      <c r="HW270"/>
      <c r="HX270"/>
      <c r="HY270"/>
      <c r="HZ270"/>
      <c r="IA270"/>
      <c r="IB270"/>
      <c r="IC270"/>
      <c r="ID270"/>
      <c r="IE270"/>
      <c r="IF270"/>
      <c r="IG270"/>
      <c r="IH270"/>
      <c r="II270"/>
      <c r="IJ270"/>
      <c r="IK270"/>
      <c r="IL270"/>
      <c r="IM270"/>
      <c r="IN270"/>
      <c r="IO270"/>
      <c r="IP270"/>
      <c r="IQ270"/>
      <c r="IR270"/>
      <c r="IS270"/>
      <c r="IT270"/>
      <c r="IU270"/>
      <c r="IV270"/>
      <c r="IW270"/>
      <c r="IX270"/>
      <c r="IY270"/>
      <c r="IZ270"/>
      <c r="JA270"/>
      <c r="JB270"/>
      <c r="JC270"/>
      <c r="JD270"/>
      <c r="JE270"/>
      <c r="JF270"/>
      <c r="JG270"/>
      <c r="JH270"/>
      <c r="JI270"/>
      <c r="JJ270"/>
      <c r="JK270"/>
      <c r="JL270"/>
      <c r="JM270"/>
      <c r="JN270"/>
      <c r="JO270"/>
      <c r="JP270"/>
      <c r="JQ270"/>
      <c r="JR270"/>
      <c r="JS270"/>
      <c r="JT270"/>
      <c r="JU270"/>
      <c r="JV270"/>
      <c r="JW270"/>
      <c r="JX270"/>
      <c r="JY270"/>
      <c r="JZ270"/>
      <c r="KA270"/>
      <c r="KB270"/>
      <c r="KC270"/>
      <c r="KD270"/>
      <c r="KE270"/>
      <c r="KF270"/>
      <c r="KG270"/>
      <c r="KH270"/>
      <c r="KI270"/>
      <c r="KJ270"/>
      <c r="KK270"/>
      <c r="KL270"/>
      <c r="KM270"/>
      <c r="KN270"/>
      <c r="KO270"/>
      <c r="KP270"/>
      <c r="KQ270"/>
      <c r="KR270"/>
      <c r="KS270"/>
      <c r="KT270"/>
      <c r="KU270"/>
      <c r="KV270"/>
      <c r="KW270"/>
      <c r="KX270"/>
      <c r="KY270"/>
      <c r="KZ270"/>
      <c r="LA270"/>
      <c r="LB270"/>
      <c r="LC270"/>
      <c r="LD270"/>
      <c r="LE270"/>
      <c r="LF270"/>
      <c r="LG270"/>
      <c r="LH270"/>
      <c r="LI270"/>
      <c r="LJ270"/>
      <c r="LK270"/>
      <c r="LL270"/>
      <c r="LM270"/>
      <c r="LN270"/>
      <c r="LO270"/>
      <c r="LP270"/>
      <c r="LQ270"/>
      <c r="LR270"/>
      <c r="LS270"/>
      <c r="LT270"/>
      <c r="LU270"/>
      <c r="LV270"/>
      <c r="LW270"/>
      <c r="LX270"/>
      <c r="LY270"/>
      <c r="LZ270"/>
      <c r="MA270"/>
      <c r="MB270"/>
      <c r="MC270"/>
      <c r="MD270"/>
      <c r="ME270"/>
      <c r="MF270"/>
      <c r="MG270"/>
      <c r="MH270"/>
      <c r="MI270"/>
      <c r="MJ270"/>
      <c r="MK270"/>
      <c r="ML270"/>
      <c r="MM270"/>
      <c r="MN270"/>
      <c r="MO270"/>
      <c r="MP270"/>
      <c r="MQ270"/>
      <c r="MR270"/>
      <c r="MS270"/>
      <c r="MT270"/>
      <c r="MU270"/>
      <c r="MV270"/>
      <c r="MW270"/>
      <c r="MX270"/>
      <c r="MY270"/>
      <c r="MZ270"/>
      <c r="NA270"/>
      <c r="NB270"/>
      <c r="NC270"/>
      <c r="ND270"/>
      <c r="NE270"/>
      <c r="NF270"/>
      <c r="NG270"/>
      <c r="NH270"/>
      <c r="NI270"/>
      <c r="NJ270"/>
      <c r="NK270"/>
      <c r="NL270"/>
      <c r="NM270"/>
      <c r="NN270"/>
      <c r="NO270"/>
      <c r="NP270"/>
      <c r="NQ270"/>
      <c r="NR270"/>
      <c r="NS270"/>
      <c r="NT270"/>
      <c r="NU270"/>
      <c r="NV270"/>
      <c r="NW270"/>
      <c r="NX270"/>
      <c r="NY270"/>
      <c r="NZ270"/>
      <c r="OA270"/>
      <c r="OB270"/>
      <c r="OC270"/>
      <c r="OD270"/>
      <c r="OE270"/>
      <c r="OF270"/>
      <c r="OG270"/>
      <c r="OH270"/>
      <c r="OI270"/>
      <c r="OJ270"/>
      <c r="OK270"/>
      <c r="OL270"/>
      <c r="OM270"/>
      <c r="ON270"/>
      <c r="OO270"/>
      <c r="OP270"/>
      <c r="OQ270"/>
      <c r="OR270"/>
      <c r="OS270"/>
      <c r="OT270"/>
      <c r="OU270"/>
      <c r="OV270"/>
      <c r="OW270"/>
      <c r="OX270"/>
      <c r="OY270"/>
      <c r="OZ270"/>
      <c r="PA270"/>
      <c r="PB270"/>
      <c r="PC270"/>
      <c r="PD270"/>
      <c r="PE270"/>
      <c r="PF270"/>
      <c r="PG270"/>
      <c r="PH270"/>
      <c r="PI270"/>
      <c r="PJ270"/>
      <c r="PK270"/>
      <c r="PL270"/>
      <c r="PM270"/>
      <c r="PN270"/>
      <c r="PO270"/>
      <c r="PP270"/>
      <c r="PQ270"/>
      <c r="PR270"/>
      <c r="PS270"/>
      <c r="PT270"/>
      <c r="PU270"/>
      <c r="PV270"/>
      <c r="PW270"/>
      <c r="PX270"/>
      <c r="PY270"/>
      <c r="PZ270"/>
      <c r="QA270"/>
      <c r="QB270"/>
      <c r="QC270"/>
      <c r="QD270"/>
      <c r="QE270"/>
      <c r="QF270"/>
      <c r="QG270"/>
      <c r="QH270"/>
      <c r="QI270"/>
      <c r="QJ270"/>
      <c r="QK270"/>
      <c r="QL270"/>
      <c r="QM270"/>
      <c r="QN270"/>
      <c r="QO270"/>
      <c r="QP270"/>
      <c r="QQ270"/>
      <c r="QR270"/>
      <c r="QS270"/>
      <c r="QT270"/>
      <c r="QU270"/>
      <c r="QV270"/>
      <c r="QW270"/>
      <c r="QX270"/>
      <c r="QY270"/>
      <c r="QZ270"/>
      <c r="RA270"/>
      <c r="RB270"/>
      <c r="RC270"/>
      <c r="RD270"/>
      <c r="RE270"/>
      <c r="RF270"/>
      <c r="RG270"/>
      <c r="RH270"/>
      <c r="RI270"/>
      <c r="RJ270"/>
      <c r="RK270"/>
      <c r="RL270"/>
      <c r="RM270"/>
      <c r="RN270"/>
      <c r="RO270"/>
      <c r="RP270"/>
      <c r="RQ270"/>
      <c r="RR270"/>
      <c r="RS270"/>
      <c r="RT270"/>
      <c r="RU270"/>
      <c r="RV270"/>
      <c r="RW270"/>
      <c r="RX270"/>
      <c r="RY270"/>
      <c r="RZ270"/>
      <c r="SA270"/>
      <c r="SB270"/>
      <c r="SC270"/>
      <c r="SD270"/>
      <c r="SE270"/>
      <c r="SF270"/>
      <c r="SG270"/>
      <c r="SH270"/>
      <c r="SI270"/>
      <c r="SJ270"/>
      <c r="SK270"/>
      <c r="SL270"/>
      <c r="SM270"/>
      <c r="SN270"/>
      <c r="SO270"/>
      <c r="SP270"/>
      <c r="SQ270"/>
      <c r="SR270"/>
      <c r="SS270"/>
      <c r="ST270"/>
      <c r="SU270"/>
      <c r="SV270"/>
      <c r="SW270"/>
      <c r="SX270"/>
      <c r="SY270"/>
      <c r="SZ270"/>
      <c r="TA270"/>
      <c r="TB270"/>
      <c r="TC270"/>
      <c r="TD270"/>
      <c r="TE270"/>
      <c r="TF270"/>
      <c r="TG270"/>
      <c r="TH270"/>
      <c r="TI270"/>
      <c r="TJ270"/>
      <c r="TK270"/>
      <c r="TL270"/>
      <c r="TM270"/>
      <c r="TN270"/>
      <c r="TO270"/>
      <c r="TP270"/>
      <c r="TQ270"/>
      <c r="TR270"/>
      <c r="TS270"/>
      <c r="TT270"/>
      <c r="TU270"/>
      <c r="TV270"/>
      <c r="TW270"/>
      <c r="TX270"/>
      <c r="TY270"/>
      <c r="TZ270"/>
      <c r="UA270"/>
      <c r="UB270"/>
      <c r="UC270"/>
      <c r="UD270"/>
      <c r="UE270"/>
      <c r="UF270"/>
      <c r="UG270"/>
      <c r="UH270"/>
      <c r="UI270"/>
      <c r="UJ270"/>
      <c r="UK270"/>
      <c r="UL270"/>
      <c r="UM270"/>
      <c r="UN270"/>
      <c r="UO270"/>
      <c r="UP270"/>
      <c r="UQ270"/>
      <c r="UR270"/>
      <c r="US270"/>
      <c r="UT270"/>
      <c r="UU270"/>
      <c r="UV270"/>
      <c r="UW270"/>
      <c r="UX270"/>
      <c r="UY270"/>
      <c r="UZ270"/>
      <c r="VA270"/>
      <c r="VB270"/>
      <c r="VC270"/>
      <c r="VD270"/>
      <c r="VE270"/>
      <c r="VF270"/>
      <c r="VG270"/>
      <c r="VH270"/>
      <c r="VI270"/>
      <c r="VJ270"/>
      <c r="VK270"/>
      <c r="VL270"/>
      <c r="VM270"/>
      <c r="VN270"/>
      <c r="VO270"/>
      <c r="VP270"/>
      <c r="VQ270"/>
      <c r="VR270"/>
      <c r="VS270"/>
      <c r="VT270"/>
      <c r="VU270"/>
      <c r="VV270"/>
      <c r="VW270"/>
      <c r="VX270"/>
      <c r="VY270"/>
      <c r="VZ270"/>
      <c r="WA270"/>
      <c r="WB270"/>
      <c r="WC270"/>
      <c r="WD270"/>
      <c r="WE270"/>
      <c r="WF270"/>
      <c r="WG270"/>
      <c r="WH270"/>
      <c r="WI270"/>
      <c r="WJ270"/>
      <c r="WK270"/>
      <c r="WL270"/>
      <c r="WM270"/>
      <c r="WN270"/>
      <c r="WO270"/>
      <c r="WP270"/>
      <c r="WQ270"/>
      <c r="WR270"/>
      <c r="WS270"/>
      <c r="WT270"/>
      <c r="WU270"/>
      <c r="WV270"/>
      <c r="WW270"/>
      <c r="WX270"/>
      <c r="WY270"/>
      <c r="WZ270"/>
      <c r="XA270"/>
      <c r="XB270"/>
      <c r="XC270"/>
      <c r="XD270"/>
      <c r="XE270"/>
      <c r="XF270"/>
      <c r="XG270"/>
      <c r="XH270"/>
      <c r="XI270"/>
      <c r="XJ270"/>
      <c r="XK270"/>
      <c r="XL270"/>
      <c r="XM270"/>
      <c r="XN270"/>
      <c r="XO270"/>
      <c r="XP270"/>
      <c r="XQ270"/>
      <c r="XR270"/>
      <c r="XS270"/>
      <c r="XT270"/>
      <c r="XU270"/>
      <c r="XV270"/>
      <c r="XW270"/>
      <c r="XX270"/>
      <c r="XY270"/>
      <c r="XZ270"/>
      <c r="YA270"/>
      <c r="YB270"/>
      <c r="YC270"/>
      <c r="YD270"/>
      <c r="YE270"/>
      <c r="YF270"/>
      <c r="YG270"/>
      <c r="YH270"/>
      <c r="YI270"/>
      <c r="YJ270"/>
      <c r="YK270"/>
      <c r="YL270"/>
      <c r="YM270"/>
      <c r="YN270"/>
      <c r="YO270"/>
      <c r="YP270"/>
      <c r="YQ270"/>
      <c r="YR270"/>
      <c r="YS270"/>
      <c r="YT270"/>
      <c r="YU270"/>
      <c r="YV270"/>
      <c r="YW270"/>
      <c r="YX270"/>
      <c r="YY270"/>
      <c r="YZ270"/>
      <c r="ZA270"/>
      <c r="ZB270"/>
      <c r="ZC270"/>
      <c r="ZD270"/>
      <c r="ZE270"/>
      <c r="ZF270"/>
      <c r="ZG270"/>
      <c r="ZH270"/>
      <c r="ZI270"/>
      <c r="ZJ270"/>
      <c r="ZK270"/>
      <c r="ZL270"/>
      <c r="ZM270"/>
      <c r="ZN270"/>
      <c r="ZO270"/>
      <c r="ZP270"/>
      <c r="ZQ270"/>
      <c r="ZR270"/>
      <c r="ZS270"/>
      <c r="ZT270"/>
      <c r="ZU270"/>
      <c r="ZV270"/>
      <c r="ZW270"/>
      <c r="ZX270"/>
      <c r="ZY270"/>
      <c r="ZZ270"/>
      <c r="AAA270"/>
      <c r="AAB270"/>
      <c r="AAC270"/>
      <c r="AAD270"/>
      <c r="AAE270"/>
      <c r="AAF270"/>
      <c r="AAG270"/>
      <c r="AAH270"/>
      <c r="AAI270"/>
      <c r="AAJ270"/>
      <c r="AAK270"/>
      <c r="AAL270"/>
      <c r="AAM270"/>
      <c r="AAN270"/>
      <c r="AAO270"/>
      <c r="AAP270"/>
      <c r="AAQ270"/>
      <c r="AAR270"/>
      <c r="AAS270"/>
      <c r="AAT270"/>
      <c r="AAU270"/>
      <c r="AAV270"/>
      <c r="AAW270"/>
      <c r="AAX270"/>
      <c r="AAY270"/>
      <c r="AAZ270"/>
      <c r="ABA270"/>
      <c r="ABB270"/>
      <c r="ABC270"/>
      <c r="ABD270"/>
      <c r="ABE270"/>
      <c r="ABF270"/>
      <c r="ABG270"/>
      <c r="ABH270"/>
      <c r="ABI270"/>
      <c r="ABJ270"/>
      <c r="ABK270"/>
      <c r="ABL270"/>
      <c r="ABM270"/>
      <c r="ABN270"/>
      <c r="ABO270"/>
      <c r="ABP270"/>
      <c r="ABQ270"/>
      <c r="ABR270"/>
      <c r="ABS270"/>
      <c r="ABT270"/>
      <c r="ABU270"/>
      <c r="ABV270"/>
      <c r="ABW270"/>
      <c r="ABX270"/>
      <c r="ABY270"/>
      <c r="ABZ270"/>
      <c r="ACA270"/>
      <c r="ACB270"/>
      <c r="ACC270"/>
      <c r="ACD270"/>
      <c r="ACE270"/>
      <c r="ACF270"/>
      <c r="ACG270"/>
      <c r="ACH270"/>
      <c r="ACI270"/>
      <c r="ACJ270"/>
      <c r="ACK270"/>
      <c r="ACL270"/>
      <c r="ACM270"/>
      <c r="ACN270"/>
      <c r="ACO270"/>
      <c r="ACP270"/>
      <c r="ACQ270"/>
      <c r="ACR270"/>
      <c r="ACS270"/>
      <c r="ACT270"/>
      <c r="ACU270"/>
      <c r="ACV270"/>
      <c r="ACW270"/>
      <c r="ACX270"/>
      <c r="ACY270"/>
      <c r="ACZ270"/>
      <c r="ADA270"/>
      <c r="ADB270"/>
      <c r="ADC270"/>
      <c r="ADD270"/>
      <c r="ADE270"/>
      <c r="ADF270"/>
      <c r="ADG270"/>
      <c r="ADH270"/>
      <c r="ADI270"/>
      <c r="ADJ270"/>
      <c r="ADK270"/>
      <c r="ADL270"/>
      <c r="ADM270"/>
      <c r="ADN270"/>
      <c r="ADO270"/>
      <c r="ADP270"/>
      <c r="ADQ270"/>
      <c r="ADR270"/>
      <c r="ADS270"/>
      <c r="ADT270"/>
      <c r="ADU270"/>
      <c r="ADV270"/>
      <c r="ADW270"/>
      <c r="ADX270"/>
      <c r="ADY270"/>
      <c r="ADZ270"/>
      <c r="AEA270"/>
      <c r="AEB270"/>
      <c r="AEC270"/>
      <c r="AED270"/>
      <c r="AEE270"/>
      <c r="AEF270"/>
      <c r="AEG270"/>
      <c r="AEH270"/>
      <c r="AEI270"/>
      <c r="AEJ270"/>
      <c r="AEK270"/>
      <c r="AEL270"/>
      <c r="AEM270"/>
      <c r="AEN270"/>
      <c r="AEO270"/>
      <c r="AEP270"/>
      <c r="AEQ270"/>
      <c r="AER270"/>
      <c r="AES270"/>
      <c r="AET270"/>
      <c r="AEU270"/>
      <c r="AEV270"/>
      <c r="AEW270"/>
      <c r="AEX270"/>
      <c r="AEY270"/>
      <c r="AEZ270"/>
      <c r="AFA270"/>
      <c r="AFB270"/>
      <c r="AFC270"/>
      <c r="AFD270"/>
      <c r="AFE270"/>
      <c r="AFF270"/>
      <c r="AFG270"/>
      <c r="AFH270"/>
      <c r="AFI270"/>
      <c r="AFJ270"/>
      <c r="AFK270"/>
      <c r="AFL270"/>
      <c r="AFM270"/>
      <c r="AFN270"/>
      <c r="AFO270"/>
      <c r="AFP270"/>
      <c r="AFQ270"/>
      <c r="AFR270"/>
      <c r="AFS270"/>
      <c r="AFT270"/>
      <c r="AFU270"/>
      <c r="AFV270"/>
      <c r="AFW270"/>
      <c r="AFX270"/>
      <c r="AFY270"/>
      <c r="AFZ270"/>
      <c r="AGA270"/>
      <c r="AGB270"/>
      <c r="AGC270"/>
      <c r="AGD270"/>
      <c r="AGE270"/>
      <c r="AGF270"/>
      <c r="AGG270"/>
      <c r="AGH270"/>
      <c r="AGI270"/>
      <c r="AGJ270"/>
      <c r="AGK270"/>
      <c r="AGL270"/>
      <c r="AGM270"/>
      <c r="AGN270"/>
      <c r="AGO270"/>
      <c r="AGP270"/>
      <c r="AGQ270"/>
      <c r="AGR270"/>
      <c r="AGS270"/>
      <c r="AGT270"/>
      <c r="AGU270"/>
      <c r="AGV270"/>
      <c r="AGW270"/>
      <c r="AGX270"/>
      <c r="AGY270"/>
      <c r="AGZ270"/>
      <c r="AHA270"/>
      <c r="AHB270"/>
      <c r="AHC270"/>
      <c r="AHD270"/>
      <c r="AHE270"/>
      <c r="AHF270"/>
      <c r="AHG270"/>
      <c r="AHH270"/>
      <c r="AHI270"/>
      <c r="AHJ270"/>
      <c r="AHK270"/>
      <c r="AHL270"/>
      <c r="AHM270"/>
      <c r="AHN270"/>
      <c r="AHO270"/>
      <c r="AHP270"/>
      <c r="AHQ270"/>
      <c r="AHR270"/>
      <c r="AHS270"/>
      <c r="AHT270"/>
      <c r="AHU270"/>
      <c r="AHV270"/>
      <c r="AHW270"/>
      <c r="AHX270"/>
      <c r="AHY270"/>
      <c r="AHZ270"/>
      <c r="AIA270"/>
      <c r="AIB270"/>
      <c r="AIC270"/>
      <c r="AID270"/>
      <c r="AIE270"/>
      <c r="AIF270"/>
      <c r="AIG270"/>
      <c r="AIH270"/>
      <c r="AII270"/>
      <c r="AIJ270"/>
      <c r="AIK270"/>
      <c r="AIL270"/>
      <c r="AIM270"/>
      <c r="AIN270"/>
      <c r="AIO270"/>
      <c r="AIP270"/>
      <c r="AIQ270"/>
      <c r="AIR270"/>
      <c r="AIS270"/>
      <c r="AIT270"/>
      <c r="AIU270"/>
      <c r="AIV270"/>
      <c r="AIW270"/>
      <c r="AIX270"/>
      <c r="AIY270"/>
      <c r="AIZ270"/>
      <c r="AJA270"/>
      <c r="AJB270"/>
      <c r="AJC270"/>
      <c r="AJD270"/>
      <c r="AJE270"/>
      <c r="AJF270"/>
      <c r="AJG270"/>
      <c r="AJH270"/>
      <c r="AJI270"/>
      <c r="AJJ270"/>
      <c r="AJK270"/>
      <c r="AJL270"/>
      <c r="AJM270"/>
      <c r="AJN270"/>
      <c r="AJO270"/>
      <c r="AJP270"/>
      <c r="AJQ270"/>
      <c r="AJR270"/>
      <c r="AJS270"/>
      <c r="AJT270"/>
      <c r="AJU270"/>
      <c r="AJV270"/>
      <c r="AJW270"/>
      <c r="AJX270"/>
      <c r="AJY270"/>
      <c r="AJZ270"/>
      <c r="AKA270"/>
      <c r="AKB270"/>
      <c r="AKC270"/>
      <c r="AKD270"/>
      <c r="AKE270"/>
      <c r="AKF270"/>
      <c r="AKG270"/>
      <c r="AKH270"/>
      <c r="AKI270"/>
      <c r="AKJ270"/>
      <c r="AKK270"/>
      <c r="AKL270"/>
      <c r="AKM270"/>
      <c r="AKN270"/>
      <c r="AKO270"/>
      <c r="AKP270"/>
      <c r="AKQ270"/>
      <c r="AKR270"/>
      <c r="AKS270"/>
      <c r="AKT270"/>
      <c r="AKU270"/>
      <c r="AKV270"/>
      <c r="AKW270"/>
      <c r="AKX270"/>
      <c r="AKY270"/>
      <c r="AKZ270"/>
      <c r="ALA270"/>
      <c r="ALB270"/>
      <c r="ALC270"/>
      <c r="ALD270"/>
      <c r="ALE270"/>
      <c r="ALF270"/>
      <c r="ALG270"/>
      <c r="ALH270"/>
      <c r="ALI270"/>
      <c r="ALJ270"/>
      <c r="ALK270"/>
      <c r="ALL270"/>
      <c r="ALM270"/>
      <c r="ALN270"/>
      <c r="ALO270"/>
      <c r="ALP270"/>
      <c r="ALQ270"/>
      <c r="ALR270"/>
      <c r="ALS270"/>
      <c r="ALT270"/>
      <c r="ALU270"/>
      <c r="ALV270"/>
      <c r="ALW270"/>
      <c r="ALX270"/>
      <c r="ALY270"/>
      <c r="ALZ270"/>
      <c r="AMA270"/>
      <c r="AMB270"/>
      <c r="AMC270"/>
      <c r="AMD270"/>
      <c r="AME270"/>
      <c r="AMF270"/>
      <c r="AMG270"/>
      <c r="AMH270"/>
      <c r="AMI270"/>
      <c r="AMJ270"/>
    </row>
    <row r="271" spans="1:1024" ht="27.6">
      <c r="A271" s="8" t="s">
        <v>265</v>
      </c>
      <c r="B271" s="8">
        <v>141131</v>
      </c>
      <c r="D271" s="29"/>
      <c r="E271" s="1">
        <v>9.0033333333333303</v>
      </c>
      <c r="F271" s="8">
        <v>6</v>
      </c>
      <c r="G271" s="30">
        <f t="shared" si="15"/>
        <v>15.00333333333333</v>
      </c>
      <c r="H271" s="8">
        <f t="shared" si="14"/>
        <v>-9.0033333333333303</v>
      </c>
      <c r="I271">
        <f t="shared" si="16"/>
        <v>0</v>
      </c>
      <c r="J271">
        <f>SUMIF(Oeffentlichkeitsarbeit!$D:$D,$B271,Oeffentlichkeitsarbeit!$F:$F)</f>
        <v>0</v>
      </c>
      <c r="K271">
        <f>COUNTIF(Fairteiler!$D:$D,$B271)*1/2</f>
        <v>0</v>
      </c>
      <c r="L271">
        <f>COUNTIF('NP-Betrieb'!D:D,$B271)*1/3</f>
        <v>0</v>
      </c>
      <c r="M271">
        <f>COUNTIF(Fairteilungen!$D:$D,$B271)*3/4</f>
        <v>0</v>
      </c>
      <c r="N271">
        <f>COUNTIF(Anlieferung!D:D,$B271)*1/2</f>
        <v>0</v>
      </c>
      <c r="O271">
        <f>COUNTIF(Probeabholungen!B:B,$B271)*1/3</f>
        <v>0</v>
      </c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  <c r="BZ271" s="11"/>
      <c r="CA271" s="11"/>
      <c r="CB271" s="11"/>
      <c r="CC271" s="11"/>
      <c r="CD271" s="11"/>
      <c r="CE271" s="11"/>
      <c r="CF271" s="11"/>
      <c r="CG271" s="11"/>
      <c r="CH271" s="11"/>
      <c r="CI271" s="11"/>
      <c r="CJ271" s="11"/>
      <c r="CK271" s="11"/>
      <c r="CL271" s="11"/>
      <c r="CM271" s="11"/>
      <c r="CN271" s="11"/>
      <c r="CO271" s="11"/>
      <c r="CP271" s="11"/>
      <c r="CQ271" s="11"/>
      <c r="CR271" s="11"/>
      <c r="CS271" s="11"/>
      <c r="CT271" s="11"/>
      <c r="CU271" s="11"/>
      <c r="CV271" s="11"/>
      <c r="CW271" s="11"/>
      <c r="CX271" s="11"/>
      <c r="CY271" s="11"/>
      <c r="CZ271" s="11"/>
      <c r="DA271" s="11"/>
      <c r="DB271" s="11"/>
      <c r="DC271" s="11"/>
      <c r="DD271" s="11"/>
      <c r="DE271" s="11"/>
      <c r="DF271" s="11"/>
      <c r="DG271" s="11"/>
      <c r="DH271" s="11"/>
      <c r="DI271" s="11"/>
      <c r="DJ271" s="11"/>
      <c r="DK271" s="11"/>
      <c r="DL271" s="11"/>
      <c r="DM271" s="11"/>
      <c r="DN271" s="11"/>
      <c r="DO271" s="11"/>
      <c r="DP271" s="11"/>
      <c r="DQ271" s="11"/>
      <c r="DR271" s="11"/>
      <c r="DS271" s="11"/>
      <c r="DT271" s="11"/>
      <c r="DU271" s="11"/>
      <c r="DV271" s="11"/>
      <c r="DW271" s="11"/>
      <c r="DX271" s="11"/>
      <c r="DY271" s="11"/>
      <c r="DZ271" s="11"/>
      <c r="EA271" s="11"/>
      <c r="EB271" s="11"/>
      <c r="EC271" s="11"/>
      <c r="ED271" s="11"/>
      <c r="EE271" s="11"/>
      <c r="EF271" s="11"/>
      <c r="EG271" s="11"/>
      <c r="EH271" s="11"/>
      <c r="EI271" s="11"/>
      <c r="EJ271" s="11"/>
      <c r="EK271" s="11"/>
      <c r="EL271" s="11"/>
      <c r="EM271" s="11"/>
      <c r="EN271" s="11"/>
      <c r="EO271" s="11"/>
      <c r="EP271" s="11"/>
      <c r="EQ271" s="11"/>
      <c r="ER271" s="11"/>
      <c r="ES271" s="11"/>
      <c r="ET271" s="11"/>
      <c r="EU271" s="11"/>
      <c r="EV271" s="11"/>
      <c r="EW271" s="11"/>
      <c r="EX271" s="11"/>
      <c r="EY271" s="11"/>
      <c r="EZ271" s="11"/>
      <c r="FA271" s="11"/>
      <c r="FB271" s="11"/>
      <c r="FC271" s="11"/>
      <c r="FD271" s="11"/>
      <c r="FE271" s="11"/>
      <c r="FF271" s="11"/>
      <c r="FG271" s="11"/>
      <c r="FH271" s="11"/>
      <c r="FI271" s="11"/>
      <c r="FJ271" s="11"/>
      <c r="FK271" s="11"/>
      <c r="FL271" s="11"/>
      <c r="FM271" s="11"/>
      <c r="FN271" s="11"/>
      <c r="FO271" s="11"/>
      <c r="FP271" s="11"/>
      <c r="FQ271" s="11"/>
      <c r="FR271" s="11"/>
      <c r="FS271" s="11"/>
      <c r="FT271" s="11"/>
      <c r="FU271" s="11"/>
      <c r="FV271" s="11"/>
      <c r="FW271" s="11"/>
      <c r="FX271" s="11"/>
      <c r="FY271" s="11"/>
      <c r="FZ271" s="11"/>
      <c r="GA271" s="11"/>
      <c r="GB271" s="11"/>
      <c r="GC271" s="11"/>
      <c r="GD271" s="11"/>
      <c r="GE271" s="11"/>
      <c r="GF271" s="11"/>
      <c r="GG271" s="11"/>
      <c r="GH271" s="11"/>
      <c r="GI271" s="11"/>
      <c r="GJ271" s="11"/>
      <c r="GK271" s="11"/>
      <c r="GL271" s="11"/>
      <c r="GM271" s="11"/>
      <c r="GN271" s="11"/>
      <c r="GO271" s="11"/>
      <c r="GP271" s="11"/>
      <c r="GQ271" s="11"/>
      <c r="GR271" s="11"/>
      <c r="GS271" s="11"/>
      <c r="GT271" s="11"/>
      <c r="GU271" s="11"/>
      <c r="GV271" s="11"/>
      <c r="GW271" s="11"/>
      <c r="GX271" s="11"/>
      <c r="GY271" s="11"/>
      <c r="GZ271" s="11"/>
      <c r="HA271" s="11"/>
      <c r="HB271" s="11"/>
      <c r="HC271" s="11"/>
      <c r="HD271" s="11"/>
      <c r="HE271" s="11"/>
      <c r="HF271" s="11"/>
      <c r="HG271" s="11"/>
      <c r="HH271" s="11"/>
      <c r="HI271" s="11"/>
      <c r="HJ271" s="11"/>
      <c r="HK271" s="11"/>
      <c r="HL271" s="11"/>
      <c r="HM271" s="11"/>
      <c r="HN271" s="11"/>
      <c r="HO271" s="11"/>
      <c r="HP271" s="11"/>
      <c r="HQ271" s="11"/>
      <c r="HR271" s="11"/>
      <c r="HS271" s="11"/>
      <c r="HT271" s="11"/>
      <c r="HU271" s="11"/>
      <c r="HV271" s="11"/>
      <c r="HW271" s="11"/>
      <c r="HX271" s="11"/>
      <c r="HY271" s="11"/>
      <c r="HZ271" s="11"/>
      <c r="IA271" s="11"/>
      <c r="IB271" s="11"/>
      <c r="IC271" s="11"/>
      <c r="ID271" s="11"/>
      <c r="IE271" s="11"/>
      <c r="IF271" s="11"/>
      <c r="IG271" s="11"/>
      <c r="IH271" s="11"/>
      <c r="II271" s="11"/>
      <c r="IJ271" s="11"/>
      <c r="IK271" s="11"/>
      <c r="IL271" s="11"/>
      <c r="IM271" s="11"/>
      <c r="IN271" s="11"/>
      <c r="IO271" s="11"/>
      <c r="IP271" s="11"/>
      <c r="IQ271" s="11"/>
      <c r="IR271" s="11"/>
      <c r="IS271" s="11"/>
      <c r="IT271" s="11"/>
      <c r="IU271" s="11"/>
      <c r="IV271" s="11"/>
      <c r="IW271" s="11"/>
      <c r="IX271" s="11"/>
      <c r="IY271" s="11"/>
      <c r="IZ271" s="11"/>
      <c r="JA271" s="11"/>
      <c r="JB271" s="11"/>
      <c r="JC271" s="11"/>
      <c r="JD271" s="11"/>
      <c r="JE271" s="11"/>
      <c r="JF271" s="11"/>
      <c r="JG271" s="11"/>
      <c r="JH271" s="11"/>
      <c r="JI271" s="11"/>
      <c r="JJ271" s="11"/>
      <c r="JK271" s="11"/>
      <c r="JL271" s="11"/>
      <c r="JM271" s="11"/>
      <c r="JN271" s="11"/>
      <c r="JO271" s="11"/>
      <c r="JP271" s="11"/>
      <c r="JQ271" s="11"/>
      <c r="JR271" s="11"/>
      <c r="JS271" s="11"/>
      <c r="JT271" s="11"/>
      <c r="JU271" s="11"/>
      <c r="JV271" s="11"/>
      <c r="JW271" s="11"/>
      <c r="JX271" s="11"/>
      <c r="JY271" s="11"/>
      <c r="JZ271" s="11"/>
      <c r="KA271" s="11"/>
      <c r="KB271" s="11"/>
      <c r="KC271" s="11"/>
      <c r="KD271" s="11"/>
      <c r="KE271" s="11"/>
      <c r="KF271" s="11"/>
      <c r="KG271" s="11"/>
      <c r="KH271" s="11"/>
      <c r="KI271" s="11"/>
      <c r="KJ271" s="11"/>
      <c r="KK271" s="11"/>
      <c r="KL271" s="11"/>
      <c r="KM271" s="11"/>
      <c r="KN271" s="11"/>
      <c r="KO271" s="11"/>
      <c r="KP271" s="11"/>
      <c r="KQ271" s="11"/>
      <c r="KR271" s="11"/>
      <c r="KS271" s="11"/>
      <c r="KT271" s="11"/>
      <c r="KU271" s="11"/>
      <c r="KV271" s="11"/>
      <c r="KW271" s="11"/>
      <c r="KX271" s="11"/>
      <c r="KY271" s="11"/>
      <c r="KZ271" s="11"/>
      <c r="LA271" s="11"/>
      <c r="LB271" s="11"/>
      <c r="LC271" s="11"/>
      <c r="LD271" s="11"/>
      <c r="LE271" s="11"/>
      <c r="LF271" s="11"/>
      <c r="LG271" s="11"/>
      <c r="LH271" s="11"/>
      <c r="LI271" s="11"/>
      <c r="LJ271" s="11"/>
      <c r="LK271" s="11"/>
      <c r="LL271" s="11"/>
      <c r="LM271" s="11"/>
      <c r="LN271" s="11"/>
      <c r="LO271" s="11"/>
      <c r="LP271" s="11"/>
      <c r="LQ271" s="11"/>
      <c r="LR271" s="11"/>
      <c r="LS271" s="11"/>
      <c r="LT271" s="11"/>
      <c r="LU271" s="11"/>
      <c r="LV271" s="11"/>
      <c r="LW271" s="11"/>
      <c r="LX271" s="11"/>
      <c r="LY271" s="11"/>
      <c r="LZ271" s="11"/>
      <c r="MA271" s="11"/>
      <c r="MB271" s="11"/>
      <c r="MC271" s="11"/>
      <c r="MD271" s="11"/>
      <c r="ME271" s="11"/>
      <c r="MF271" s="11"/>
      <c r="MG271" s="11"/>
      <c r="MH271" s="11"/>
      <c r="MI271" s="11"/>
      <c r="MJ271" s="11"/>
      <c r="MK271" s="11"/>
      <c r="ML271" s="11"/>
      <c r="MM271" s="11"/>
      <c r="MN271" s="11"/>
      <c r="MO271" s="11"/>
      <c r="MP271" s="11"/>
      <c r="MQ271" s="11"/>
      <c r="MR271" s="11"/>
      <c r="MS271" s="11"/>
      <c r="MT271" s="11"/>
      <c r="MU271" s="11"/>
      <c r="MV271" s="11"/>
      <c r="MW271" s="11"/>
      <c r="MX271" s="11"/>
      <c r="MY271" s="11"/>
      <c r="MZ271" s="11"/>
      <c r="NA271" s="11"/>
      <c r="NB271" s="11"/>
      <c r="NC271" s="11"/>
      <c r="ND271" s="11"/>
      <c r="NE271" s="11"/>
      <c r="NF271" s="11"/>
      <c r="NG271" s="11"/>
      <c r="NH271" s="11"/>
      <c r="NI271" s="11"/>
      <c r="NJ271" s="11"/>
      <c r="NK271" s="11"/>
      <c r="NL271" s="11"/>
      <c r="NM271" s="11"/>
      <c r="NN271" s="11"/>
      <c r="NO271" s="11"/>
      <c r="NP271" s="11"/>
      <c r="NQ271" s="11"/>
      <c r="NR271" s="11"/>
      <c r="NS271" s="11"/>
      <c r="NT271" s="11"/>
      <c r="NU271" s="11"/>
      <c r="NV271" s="11"/>
      <c r="NW271" s="11"/>
      <c r="NX271" s="11"/>
      <c r="NY271" s="11"/>
      <c r="NZ271" s="11"/>
      <c r="OA271" s="11"/>
      <c r="OB271" s="11"/>
      <c r="OC271" s="11"/>
      <c r="OD271" s="11"/>
      <c r="OE271" s="11"/>
      <c r="OF271" s="11"/>
      <c r="OG271" s="11"/>
      <c r="OH271" s="11"/>
      <c r="OI271" s="11"/>
      <c r="OJ271" s="11"/>
      <c r="OK271" s="11"/>
      <c r="OL271" s="11"/>
      <c r="OM271" s="11"/>
      <c r="ON271" s="11"/>
      <c r="OO271" s="11"/>
      <c r="OP271" s="11"/>
      <c r="OQ271" s="11"/>
      <c r="OR271" s="11"/>
      <c r="OS271" s="11"/>
      <c r="OT271" s="11"/>
      <c r="OU271" s="11"/>
      <c r="OV271" s="11"/>
      <c r="OW271" s="11"/>
      <c r="OX271" s="11"/>
      <c r="OY271" s="11"/>
      <c r="OZ271" s="11"/>
      <c r="PA271" s="11"/>
      <c r="PB271" s="11"/>
      <c r="PC271" s="11"/>
      <c r="PD271" s="11"/>
      <c r="PE271" s="11"/>
      <c r="PF271" s="11"/>
      <c r="PG271" s="11"/>
      <c r="PH271" s="11"/>
      <c r="PI271" s="11"/>
      <c r="PJ271" s="11"/>
      <c r="PK271" s="11"/>
      <c r="PL271" s="11"/>
      <c r="PM271" s="11"/>
      <c r="PN271" s="11"/>
      <c r="PO271" s="11"/>
      <c r="PP271" s="11"/>
      <c r="PQ271" s="11"/>
      <c r="PR271" s="11"/>
      <c r="PS271" s="11"/>
      <c r="PT271" s="11"/>
      <c r="PU271" s="11"/>
      <c r="PV271" s="11"/>
      <c r="PW271" s="11"/>
      <c r="PX271" s="11"/>
      <c r="PY271" s="11"/>
      <c r="PZ271" s="11"/>
      <c r="QA271" s="11"/>
      <c r="QB271" s="11"/>
      <c r="QC271" s="11"/>
      <c r="QD271" s="11"/>
      <c r="QE271" s="11"/>
      <c r="QF271" s="11"/>
      <c r="QG271" s="11"/>
      <c r="QH271" s="11"/>
      <c r="QI271" s="11"/>
      <c r="QJ271" s="11"/>
      <c r="QK271" s="11"/>
      <c r="QL271" s="11"/>
      <c r="QM271" s="11"/>
      <c r="QN271" s="11"/>
      <c r="QO271" s="11"/>
      <c r="QP271" s="11"/>
      <c r="QQ271" s="11"/>
      <c r="QR271" s="11"/>
      <c r="QS271" s="11"/>
      <c r="QT271" s="11"/>
      <c r="QU271" s="11"/>
      <c r="QV271" s="11"/>
      <c r="QW271" s="11"/>
      <c r="QX271" s="11"/>
      <c r="QY271" s="11"/>
      <c r="QZ271" s="11"/>
      <c r="RA271" s="11"/>
      <c r="RB271" s="11"/>
      <c r="RC271" s="11"/>
      <c r="RD271" s="11"/>
      <c r="RE271" s="11"/>
      <c r="RF271" s="11"/>
      <c r="RG271" s="11"/>
      <c r="RH271" s="11"/>
      <c r="RI271" s="11"/>
      <c r="RJ271" s="11"/>
      <c r="RK271" s="11"/>
      <c r="RL271" s="11"/>
      <c r="RM271" s="11"/>
      <c r="RN271" s="11"/>
      <c r="RO271" s="11"/>
      <c r="RP271" s="11"/>
      <c r="RQ271" s="11"/>
      <c r="RR271" s="11"/>
      <c r="RS271" s="11"/>
      <c r="RT271" s="11"/>
      <c r="RU271" s="11"/>
      <c r="RV271" s="11"/>
      <c r="RW271" s="11"/>
      <c r="RX271" s="11"/>
      <c r="RY271" s="11"/>
      <c r="RZ271" s="11"/>
      <c r="SA271" s="11"/>
      <c r="SB271" s="11"/>
      <c r="SC271" s="11"/>
      <c r="SD271" s="11"/>
      <c r="SE271" s="11"/>
      <c r="SF271" s="11"/>
      <c r="SG271" s="11"/>
      <c r="SH271" s="11"/>
      <c r="SI271" s="11"/>
      <c r="SJ271" s="11"/>
      <c r="SK271" s="11"/>
      <c r="SL271" s="11"/>
      <c r="SM271" s="11"/>
      <c r="SN271" s="11"/>
      <c r="SO271" s="11"/>
      <c r="SP271" s="11"/>
      <c r="SQ271" s="11"/>
      <c r="SR271" s="11"/>
      <c r="SS271" s="11"/>
      <c r="ST271" s="11"/>
      <c r="SU271" s="11"/>
      <c r="SV271" s="11"/>
      <c r="SW271" s="11"/>
      <c r="SX271" s="11"/>
      <c r="SY271" s="11"/>
      <c r="SZ271" s="11"/>
      <c r="TA271" s="11"/>
      <c r="TB271" s="11"/>
      <c r="TC271" s="11"/>
      <c r="TD271" s="11"/>
      <c r="TE271" s="11"/>
      <c r="TF271" s="11"/>
      <c r="TG271" s="11"/>
      <c r="TH271" s="11"/>
      <c r="TI271" s="11"/>
      <c r="TJ271" s="11"/>
      <c r="TK271" s="11"/>
      <c r="TL271" s="11"/>
      <c r="TM271" s="11"/>
      <c r="TN271" s="11"/>
      <c r="TO271" s="11"/>
      <c r="TP271" s="11"/>
      <c r="TQ271" s="11"/>
      <c r="TR271" s="11"/>
      <c r="TS271" s="11"/>
      <c r="TT271" s="11"/>
      <c r="TU271" s="11"/>
      <c r="TV271" s="11"/>
      <c r="TW271" s="11"/>
      <c r="TX271" s="11"/>
      <c r="TY271" s="11"/>
      <c r="TZ271" s="11"/>
      <c r="UA271" s="11"/>
      <c r="UB271" s="11"/>
      <c r="UC271" s="11"/>
      <c r="UD271" s="11"/>
      <c r="UE271" s="11"/>
      <c r="UF271" s="11"/>
      <c r="UG271" s="11"/>
      <c r="UH271" s="11"/>
      <c r="UI271" s="11"/>
      <c r="UJ271" s="11"/>
      <c r="UK271" s="11"/>
      <c r="UL271" s="11"/>
      <c r="UM271" s="11"/>
      <c r="UN271" s="11"/>
      <c r="UO271" s="11"/>
      <c r="UP271" s="11"/>
      <c r="UQ271" s="11"/>
      <c r="UR271" s="11"/>
      <c r="US271" s="11"/>
      <c r="UT271" s="11"/>
      <c r="UU271" s="11"/>
      <c r="UV271" s="11"/>
      <c r="UW271" s="11"/>
      <c r="UX271" s="11"/>
      <c r="UY271" s="11"/>
      <c r="UZ271" s="11"/>
      <c r="VA271" s="11"/>
      <c r="VB271" s="11"/>
      <c r="VC271" s="11"/>
      <c r="VD271" s="11"/>
      <c r="VE271" s="11"/>
      <c r="VF271" s="11"/>
      <c r="VG271" s="11"/>
      <c r="VH271" s="11"/>
      <c r="VI271" s="11"/>
      <c r="VJ271" s="11"/>
      <c r="VK271" s="11"/>
      <c r="VL271" s="11"/>
      <c r="VM271" s="11"/>
      <c r="VN271" s="11"/>
      <c r="VO271" s="11"/>
      <c r="VP271" s="11"/>
      <c r="VQ271" s="11"/>
      <c r="VR271" s="11"/>
      <c r="VS271" s="11"/>
      <c r="VT271" s="11"/>
      <c r="VU271" s="11"/>
      <c r="VV271" s="11"/>
      <c r="VW271" s="11"/>
      <c r="VX271" s="11"/>
      <c r="VY271" s="11"/>
      <c r="VZ271" s="11"/>
      <c r="WA271" s="11"/>
      <c r="WB271" s="11"/>
      <c r="WC271" s="11"/>
      <c r="WD271" s="11"/>
      <c r="WE271" s="11"/>
      <c r="WF271" s="11"/>
      <c r="WG271" s="11"/>
      <c r="WH271" s="11"/>
      <c r="WI271" s="11"/>
      <c r="WJ271" s="11"/>
      <c r="WK271" s="11"/>
      <c r="WL271" s="11"/>
      <c r="WM271" s="11"/>
      <c r="WN271" s="11"/>
      <c r="WO271" s="11"/>
      <c r="WP271" s="11"/>
      <c r="WQ271" s="11"/>
      <c r="WR271" s="11"/>
      <c r="WS271" s="11"/>
      <c r="WT271" s="11"/>
      <c r="WU271" s="11"/>
      <c r="WV271" s="11"/>
      <c r="WW271" s="11"/>
      <c r="WX271" s="11"/>
      <c r="WY271" s="11"/>
      <c r="WZ271" s="11"/>
      <c r="XA271" s="11"/>
      <c r="XB271" s="11"/>
      <c r="XC271" s="11"/>
      <c r="XD271" s="11"/>
      <c r="XE271" s="11"/>
      <c r="XF271" s="11"/>
      <c r="XG271" s="11"/>
      <c r="XH271" s="11"/>
      <c r="XI271" s="11"/>
      <c r="XJ271" s="11"/>
      <c r="XK271" s="11"/>
      <c r="XL271" s="11"/>
      <c r="XM271" s="11"/>
      <c r="XN271" s="11"/>
      <c r="XO271" s="11"/>
      <c r="XP271" s="11"/>
      <c r="XQ271" s="11"/>
      <c r="XR271" s="11"/>
      <c r="XS271" s="11"/>
      <c r="XT271" s="11"/>
      <c r="XU271" s="11"/>
      <c r="XV271" s="11"/>
      <c r="XW271" s="11"/>
      <c r="XX271" s="11"/>
      <c r="XY271" s="11"/>
      <c r="XZ271" s="11"/>
      <c r="YA271" s="11"/>
      <c r="YB271" s="11"/>
      <c r="YC271" s="11"/>
      <c r="YD271" s="11"/>
      <c r="YE271" s="11"/>
      <c r="YF271" s="11"/>
      <c r="YG271" s="11"/>
      <c r="YH271" s="11"/>
      <c r="YI271" s="11"/>
      <c r="YJ271" s="11"/>
      <c r="YK271" s="11"/>
      <c r="YL271" s="11"/>
      <c r="YM271" s="11"/>
      <c r="YN271" s="11"/>
      <c r="YO271" s="11"/>
      <c r="YP271" s="11"/>
      <c r="YQ271" s="11"/>
      <c r="YR271" s="11"/>
      <c r="YS271" s="11"/>
      <c r="YT271" s="11"/>
      <c r="YU271" s="11"/>
      <c r="YV271" s="11"/>
      <c r="YW271" s="11"/>
      <c r="YX271" s="11"/>
      <c r="YY271" s="11"/>
      <c r="YZ271" s="11"/>
      <c r="ZA271" s="11"/>
      <c r="ZB271" s="11"/>
      <c r="ZC271" s="11"/>
      <c r="ZD271" s="11"/>
      <c r="ZE271" s="11"/>
      <c r="ZF271" s="11"/>
      <c r="ZG271" s="11"/>
      <c r="ZH271" s="11"/>
      <c r="ZI271" s="11"/>
      <c r="ZJ271" s="11"/>
      <c r="ZK271" s="11"/>
      <c r="ZL271" s="11"/>
      <c r="ZM271" s="11"/>
      <c r="ZN271" s="11"/>
      <c r="ZO271" s="11"/>
      <c r="ZP271" s="11"/>
      <c r="ZQ271" s="11"/>
      <c r="ZR271" s="11"/>
      <c r="ZS271" s="11"/>
      <c r="ZT271" s="11"/>
      <c r="ZU271" s="11"/>
      <c r="ZV271" s="11"/>
      <c r="ZW271" s="11"/>
      <c r="ZX271" s="11"/>
      <c r="ZY271" s="11"/>
      <c r="ZZ271" s="11"/>
      <c r="AAA271" s="11"/>
      <c r="AAB271" s="11"/>
      <c r="AAC271" s="11"/>
      <c r="AAD271" s="11"/>
      <c r="AAE271" s="11"/>
      <c r="AAF271" s="11"/>
      <c r="AAG271" s="11"/>
      <c r="AAH271" s="11"/>
      <c r="AAI271" s="11"/>
      <c r="AAJ271" s="11"/>
      <c r="AAK271" s="11"/>
      <c r="AAL271" s="11"/>
      <c r="AAM271" s="11"/>
      <c r="AAN271" s="11"/>
      <c r="AAO271" s="11"/>
      <c r="AAP271" s="11"/>
      <c r="AAQ271" s="11"/>
      <c r="AAR271" s="11"/>
      <c r="AAS271" s="11"/>
      <c r="AAT271" s="11"/>
      <c r="AAU271" s="11"/>
      <c r="AAV271" s="11"/>
      <c r="AAW271" s="11"/>
      <c r="AAX271" s="11"/>
      <c r="AAY271" s="11"/>
      <c r="AAZ271" s="11"/>
      <c r="ABA271" s="11"/>
      <c r="ABB271" s="11"/>
      <c r="ABC271" s="11"/>
      <c r="ABD271" s="11"/>
      <c r="ABE271" s="11"/>
      <c r="ABF271" s="11"/>
      <c r="ABG271" s="11"/>
      <c r="ABH271" s="11"/>
      <c r="ABI271" s="11"/>
      <c r="ABJ271" s="11"/>
      <c r="ABK271" s="11"/>
      <c r="ABL271" s="11"/>
      <c r="ABM271" s="11"/>
      <c r="ABN271" s="11"/>
      <c r="ABO271" s="11"/>
      <c r="ABP271" s="11"/>
      <c r="ABQ271" s="11"/>
      <c r="ABR271" s="11"/>
      <c r="ABS271" s="11"/>
      <c r="ABT271" s="11"/>
      <c r="ABU271" s="11"/>
      <c r="ABV271" s="11"/>
      <c r="ABW271" s="11"/>
      <c r="ABX271" s="11"/>
      <c r="ABY271" s="11"/>
      <c r="ABZ271" s="11"/>
      <c r="ACA271" s="11"/>
      <c r="ACB271" s="11"/>
      <c r="ACC271" s="11"/>
      <c r="ACD271" s="11"/>
      <c r="ACE271" s="11"/>
      <c r="ACF271" s="11"/>
      <c r="ACG271" s="11"/>
      <c r="ACH271" s="11"/>
      <c r="ACI271" s="11"/>
      <c r="ACJ271" s="11"/>
      <c r="ACK271" s="11"/>
      <c r="ACL271" s="11"/>
      <c r="ACM271" s="11"/>
      <c r="ACN271" s="11"/>
      <c r="ACO271" s="11"/>
      <c r="ACP271" s="11"/>
      <c r="ACQ271" s="11"/>
      <c r="ACR271" s="11"/>
      <c r="ACS271" s="11"/>
      <c r="ACT271" s="11"/>
      <c r="ACU271" s="11"/>
      <c r="ACV271" s="11"/>
      <c r="ACW271" s="11"/>
      <c r="ACX271" s="11"/>
      <c r="ACY271" s="11"/>
      <c r="ACZ271" s="11"/>
      <c r="ADA271" s="11"/>
      <c r="ADB271" s="11"/>
      <c r="ADC271" s="11"/>
      <c r="ADD271" s="11"/>
      <c r="ADE271" s="11"/>
      <c r="ADF271" s="11"/>
      <c r="ADG271" s="11"/>
      <c r="ADH271" s="11"/>
      <c r="ADI271" s="11"/>
      <c r="ADJ271" s="11"/>
      <c r="ADK271" s="11"/>
      <c r="ADL271" s="11"/>
      <c r="ADM271" s="11"/>
      <c r="ADN271" s="11"/>
      <c r="ADO271" s="11"/>
      <c r="ADP271" s="11"/>
      <c r="ADQ271" s="11"/>
      <c r="ADR271" s="11"/>
      <c r="ADS271" s="11"/>
      <c r="ADT271" s="11"/>
      <c r="ADU271" s="11"/>
      <c r="ADV271" s="11"/>
      <c r="ADW271" s="11"/>
      <c r="ADX271" s="11"/>
      <c r="ADY271" s="11"/>
      <c r="ADZ271" s="11"/>
      <c r="AEA271" s="11"/>
      <c r="AEB271" s="11"/>
      <c r="AEC271" s="11"/>
      <c r="AED271" s="11"/>
      <c r="AEE271" s="11"/>
      <c r="AEF271" s="11"/>
      <c r="AEG271" s="11"/>
      <c r="AEH271" s="11"/>
      <c r="AEI271" s="11"/>
      <c r="AEJ271" s="11"/>
      <c r="AEK271" s="11"/>
      <c r="AEL271" s="11"/>
      <c r="AEM271" s="11"/>
      <c r="AEN271" s="11"/>
      <c r="AEO271" s="11"/>
      <c r="AEP271" s="11"/>
      <c r="AEQ271" s="11"/>
      <c r="AER271" s="11"/>
      <c r="AES271" s="11"/>
      <c r="AET271" s="11"/>
      <c r="AEU271" s="11"/>
      <c r="AEV271" s="11"/>
      <c r="AEW271" s="11"/>
      <c r="AEX271" s="11"/>
      <c r="AEY271" s="11"/>
      <c r="AEZ271" s="11"/>
      <c r="AFA271" s="11"/>
      <c r="AFB271" s="11"/>
      <c r="AFC271" s="11"/>
      <c r="AFD271" s="11"/>
      <c r="AFE271" s="11"/>
      <c r="AFF271" s="11"/>
      <c r="AFG271" s="11"/>
      <c r="AFH271" s="11"/>
      <c r="AFI271" s="11"/>
      <c r="AFJ271" s="11"/>
      <c r="AFK271" s="11"/>
      <c r="AFL271" s="11"/>
      <c r="AFM271" s="11"/>
      <c r="AFN271" s="11"/>
      <c r="AFO271" s="11"/>
      <c r="AFP271" s="11"/>
      <c r="AFQ271" s="11"/>
      <c r="AFR271" s="11"/>
      <c r="AFS271" s="11"/>
      <c r="AFT271" s="11"/>
      <c r="AFU271" s="11"/>
      <c r="AFV271" s="11"/>
      <c r="AFW271" s="11"/>
      <c r="AFX271" s="11"/>
      <c r="AFY271" s="11"/>
      <c r="AFZ271" s="11"/>
      <c r="AGA271" s="11"/>
      <c r="AGB271" s="11"/>
      <c r="AGC271" s="11"/>
      <c r="AGD271" s="11"/>
      <c r="AGE271" s="11"/>
      <c r="AGF271" s="11"/>
      <c r="AGG271" s="11"/>
      <c r="AGH271" s="11"/>
      <c r="AGI271" s="11"/>
      <c r="AGJ271" s="11"/>
      <c r="AGK271" s="11"/>
      <c r="AGL271" s="11"/>
      <c r="AGM271" s="11"/>
      <c r="AGN271" s="11"/>
      <c r="AGO271" s="11"/>
      <c r="AGP271" s="11"/>
      <c r="AGQ271" s="11"/>
      <c r="AGR271" s="11"/>
      <c r="AGS271" s="11"/>
      <c r="AGT271" s="11"/>
      <c r="AGU271" s="11"/>
      <c r="AGV271" s="11"/>
      <c r="AGW271" s="11"/>
      <c r="AGX271" s="11"/>
      <c r="AGY271" s="11"/>
      <c r="AGZ271" s="11"/>
      <c r="AHA271" s="11"/>
      <c r="AHB271" s="11"/>
      <c r="AHC271" s="11"/>
      <c r="AHD271" s="11"/>
      <c r="AHE271" s="11"/>
      <c r="AHF271" s="11"/>
      <c r="AHG271" s="11"/>
      <c r="AHH271" s="11"/>
      <c r="AHI271" s="11"/>
      <c r="AHJ271" s="11"/>
      <c r="AHK271" s="11"/>
      <c r="AHL271" s="11"/>
      <c r="AHM271" s="11"/>
      <c r="AHN271" s="11"/>
      <c r="AHO271" s="11"/>
      <c r="AHP271" s="11"/>
      <c r="AHQ271" s="11"/>
      <c r="AHR271" s="11"/>
      <c r="AHS271" s="11"/>
      <c r="AHT271" s="11"/>
      <c r="AHU271" s="11"/>
      <c r="AHV271" s="11"/>
      <c r="AHW271" s="11"/>
      <c r="AHX271" s="11"/>
      <c r="AHY271" s="11"/>
      <c r="AHZ271" s="11"/>
      <c r="AIA271" s="11"/>
      <c r="AIB271" s="11"/>
      <c r="AIC271" s="11"/>
      <c r="AID271" s="11"/>
      <c r="AIE271" s="11"/>
      <c r="AIF271" s="11"/>
      <c r="AIG271" s="11"/>
      <c r="AIH271" s="11"/>
      <c r="AII271" s="11"/>
      <c r="AIJ271" s="11"/>
      <c r="AIK271" s="11"/>
      <c r="AIL271" s="11"/>
      <c r="AIM271" s="11"/>
      <c r="AIN271" s="11"/>
      <c r="AIO271" s="11"/>
      <c r="AIP271" s="11"/>
      <c r="AIQ271" s="11"/>
      <c r="AIR271" s="11"/>
      <c r="AIS271" s="11"/>
      <c r="AIT271" s="11"/>
      <c r="AIU271" s="11"/>
      <c r="AIV271" s="11"/>
      <c r="AIW271" s="11"/>
      <c r="AIX271" s="11"/>
      <c r="AIY271" s="11"/>
      <c r="AIZ271" s="11"/>
      <c r="AJA271" s="11"/>
      <c r="AJB271" s="11"/>
      <c r="AJC271" s="11"/>
      <c r="AJD271" s="11"/>
      <c r="AJE271" s="11"/>
      <c r="AJF271" s="11"/>
      <c r="AJG271" s="11"/>
      <c r="AJH271" s="11"/>
      <c r="AJI271" s="11"/>
      <c r="AJJ271" s="11"/>
      <c r="AJK271" s="11"/>
      <c r="AJL271" s="11"/>
      <c r="AJM271" s="11"/>
      <c r="AJN271" s="11"/>
      <c r="AJO271" s="11"/>
      <c r="AJP271" s="11"/>
      <c r="AJQ271" s="11"/>
      <c r="AJR271" s="11"/>
      <c r="AJS271" s="11"/>
      <c r="AJT271" s="11"/>
      <c r="AJU271" s="11"/>
      <c r="AJV271" s="11"/>
      <c r="AJW271" s="11"/>
      <c r="AJX271" s="11"/>
      <c r="AJY271" s="11"/>
      <c r="AJZ271" s="11"/>
      <c r="AKA271" s="11"/>
      <c r="AKB271" s="11"/>
      <c r="AKC271" s="11"/>
      <c r="AKD271" s="11"/>
      <c r="AKE271" s="11"/>
      <c r="AKF271" s="11"/>
      <c r="AKG271" s="11"/>
      <c r="AKH271" s="11"/>
      <c r="AKI271" s="11"/>
      <c r="AKJ271" s="11"/>
      <c r="AKK271" s="11"/>
      <c r="AKL271" s="11"/>
      <c r="AKM271" s="11"/>
      <c r="AKN271" s="11"/>
      <c r="AKO271" s="11"/>
      <c r="AKP271" s="11"/>
      <c r="AKQ271" s="11"/>
      <c r="AKR271" s="11"/>
      <c r="AKS271" s="11"/>
      <c r="AKT271" s="11"/>
      <c r="AKU271" s="11"/>
      <c r="AKV271" s="11"/>
      <c r="AKW271" s="11"/>
      <c r="AKX271" s="11"/>
      <c r="AKY271" s="11"/>
      <c r="AKZ271" s="11"/>
      <c r="ALA271" s="11"/>
      <c r="ALB271" s="11"/>
      <c r="ALC271" s="11"/>
      <c r="ALD271" s="11"/>
      <c r="ALE271" s="11"/>
      <c r="ALF271" s="11"/>
      <c r="ALG271" s="11"/>
      <c r="ALH271" s="11"/>
      <c r="ALI271" s="11"/>
      <c r="ALJ271" s="11"/>
      <c r="ALK271" s="11"/>
      <c r="ALL271" s="11"/>
      <c r="ALM271" s="11"/>
      <c r="ALN271" s="11"/>
      <c r="ALO271" s="11"/>
      <c r="ALP271" s="11"/>
      <c r="ALQ271" s="11"/>
      <c r="ALR271" s="11"/>
      <c r="ALS271" s="11"/>
      <c r="ALT271" s="11"/>
      <c r="ALU271" s="11"/>
      <c r="ALV271" s="11"/>
      <c r="ALW271" s="11"/>
      <c r="ALX271" s="11"/>
      <c r="ALY271" s="11"/>
      <c r="ALZ271" s="11"/>
      <c r="AMA271" s="11"/>
      <c r="AMB271" s="11"/>
      <c r="AMC271" s="11"/>
      <c r="AMD271" s="11"/>
      <c r="AME271" s="11"/>
      <c r="AMF271" s="11"/>
      <c r="AMG271" s="11"/>
      <c r="AMH271" s="11"/>
      <c r="AMI271" s="11"/>
      <c r="AMJ271" s="11"/>
    </row>
    <row r="272" spans="1:1024">
      <c r="A272" t="s">
        <v>266</v>
      </c>
      <c r="B272">
        <v>154044</v>
      </c>
      <c r="D272" s="24">
        <v>45698</v>
      </c>
      <c r="E272" s="1">
        <v>0</v>
      </c>
      <c r="F272" s="8">
        <v>6</v>
      </c>
      <c r="G272" s="30">
        <f t="shared" si="15"/>
        <v>4.666666666666667</v>
      </c>
      <c r="H272" s="8">
        <f t="shared" si="14"/>
        <v>1.3333333333333333</v>
      </c>
      <c r="I272">
        <f t="shared" si="16"/>
        <v>1.3333333333333333</v>
      </c>
      <c r="J272">
        <f>SUMIF(Oeffentlichkeitsarbeit!$D:$D,$B272,Oeffentlichkeitsarbeit!$F:$F)</f>
        <v>0</v>
      </c>
      <c r="K272">
        <f>COUNTIF(Fairteiler!$D:$D,$B272)*1/2</f>
        <v>0</v>
      </c>
      <c r="L272">
        <f>COUNTIF('NP-Betrieb'!D:D,$B272)*1/3</f>
        <v>1.3333333333333333</v>
      </c>
      <c r="M272">
        <f>COUNTIF(Fairteilungen!$D:$D,$B272)*3/4</f>
        <v>0</v>
      </c>
      <c r="N272">
        <f>COUNTIF(Anlieferung!D:D,$B272)*1/2</f>
        <v>0</v>
      </c>
      <c r="O272">
        <f>COUNTIF(Probeabholungen!B:B,$B272)*1/3</f>
        <v>0</v>
      </c>
    </row>
    <row r="273" spans="1:1024" s="11" customFormat="1" ht="27.6">
      <c r="A273" s="8" t="s">
        <v>267</v>
      </c>
      <c r="B273" s="8">
        <v>741443</v>
      </c>
      <c r="D273" s="29">
        <v>45098</v>
      </c>
      <c r="E273" s="1">
        <v>0</v>
      </c>
      <c r="F273" s="8">
        <v>6</v>
      </c>
      <c r="G273" s="30">
        <f t="shared" si="15"/>
        <v>-0.5</v>
      </c>
      <c r="H273" s="8">
        <f t="shared" si="14"/>
        <v>6.5</v>
      </c>
      <c r="I273" s="11">
        <f t="shared" si="16"/>
        <v>6.5</v>
      </c>
      <c r="J273" s="11">
        <f>SUMIF(Oeffentlichkeitsarbeit!$D:$D,$B273,Oeffentlichkeitsarbeit!$F:$F)</f>
        <v>0</v>
      </c>
      <c r="K273" s="11">
        <f>COUNTIF(Fairteiler!$D:$D,$B273)*1/2</f>
        <v>1.5</v>
      </c>
      <c r="L273" s="11">
        <f>COUNTIF('NP-Betrieb'!D:D,$B273)*1/3</f>
        <v>4.666666666666667</v>
      </c>
      <c r="M273" s="11">
        <f>COUNTIF(Fairteilungen!$D:$D,$B273)*3/4</f>
        <v>0</v>
      </c>
      <c r="N273" s="11">
        <f>COUNTIF(Anlieferung!D:D,$B273)*1/2</f>
        <v>0</v>
      </c>
      <c r="O273" s="11">
        <f>COUNTIF(Probeabholungen!B:B,$B273)*1/3</f>
        <v>0.33333333333333331</v>
      </c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/>
      <c r="FB273"/>
      <c r="FC273"/>
      <c r="FD273"/>
      <c r="FE273"/>
      <c r="FF273"/>
      <c r="FG273"/>
      <c r="FH273"/>
      <c r="FI273"/>
      <c r="FJ273"/>
      <c r="FK273"/>
      <c r="FL273"/>
      <c r="FM273"/>
      <c r="FN273"/>
      <c r="FO273"/>
      <c r="FP273"/>
      <c r="FQ273"/>
      <c r="FR273"/>
      <c r="FS273"/>
      <c r="FT273"/>
      <c r="FU273"/>
      <c r="FV273"/>
      <c r="FW273"/>
      <c r="FX273"/>
      <c r="FY273"/>
      <c r="FZ273"/>
      <c r="GA273"/>
      <c r="GB273"/>
      <c r="GC273"/>
      <c r="GD273"/>
      <c r="GE273"/>
      <c r="GF273"/>
      <c r="GG273"/>
      <c r="GH273"/>
      <c r="GI273"/>
      <c r="GJ273"/>
      <c r="GK273"/>
      <c r="GL273"/>
      <c r="GM273"/>
      <c r="GN273"/>
      <c r="GO273"/>
      <c r="GP273"/>
      <c r="GQ273"/>
      <c r="GR273"/>
      <c r="GS273"/>
      <c r="GT273"/>
      <c r="GU273"/>
      <c r="GV273"/>
      <c r="GW273"/>
      <c r="GX273"/>
      <c r="GY273"/>
      <c r="GZ273"/>
      <c r="HA273"/>
      <c r="HB273"/>
      <c r="HC273"/>
      <c r="HD273"/>
      <c r="HE273"/>
      <c r="HF273"/>
      <c r="HG273"/>
      <c r="HH273"/>
      <c r="HI273"/>
      <c r="HJ273"/>
      <c r="HK273"/>
      <c r="HL273"/>
      <c r="HM273"/>
      <c r="HN273"/>
      <c r="HO273"/>
      <c r="HP273"/>
      <c r="HQ273"/>
      <c r="HR273"/>
      <c r="HS273"/>
      <c r="HT273"/>
      <c r="HU273"/>
      <c r="HV273"/>
      <c r="HW273"/>
      <c r="HX273"/>
      <c r="HY273"/>
      <c r="HZ273"/>
      <c r="IA273"/>
      <c r="IB273"/>
      <c r="IC273"/>
      <c r="ID273"/>
      <c r="IE273"/>
      <c r="IF273"/>
      <c r="IG273"/>
      <c r="IH273"/>
      <c r="II273"/>
      <c r="IJ273"/>
      <c r="IK273"/>
      <c r="IL273"/>
      <c r="IM273"/>
      <c r="IN273"/>
      <c r="IO273"/>
      <c r="IP273"/>
      <c r="IQ273"/>
      <c r="IR273"/>
      <c r="IS273"/>
      <c r="IT273"/>
      <c r="IU273"/>
      <c r="IV273"/>
      <c r="IW273"/>
      <c r="IX273"/>
      <c r="IY273"/>
      <c r="IZ273"/>
      <c r="JA273"/>
      <c r="JB273"/>
      <c r="JC273"/>
      <c r="JD273"/>
      <c r="JE273"/>
      <c r="JF273"/>
      <c r="JG273"/>
      <c r="JH273"/>
      <c r="JI273"/>
      <c r="JJ273"/>
      <c r="JK273"/>
      <c r="JL273"/>
      <c r="JM273"/>
      <c r="JN273"/>
      <c r="JO273"/>
      <c r="JP273"/>
      <c r="JQ273"/>
      <c r="JR273"/>
      <c r="JS273"/>
      <c r="JT273"/>
      <c r="JU273"/>
      <c r="JV273"/>
      <c r="JW273"/>
      <c r="JX273"/>
      <c r="JY273"/>
      <c r="JZ273"/>
      <c r="KA273"/>
      <c r="KB273"/>
      <c r="KC273"/>
      <c r="KD273"/>
      <c r="KE273"/>
      <c r="KF273"/>
      <c r="KG273"/>
      <c r="KH273"/>
      <c r="KI273"/>
      <c r="KJ273"/>
      <c r="KK273"/>
      <c r="KL273"/>
      <c r="KM273"/>
      <c r="KN273"/>
      <c r="KO273"/>
      <c r="KP273"/>
      <c r="KQ273"/>
      <c r="KR273"/>
      <c r="KS273"/>
      <c r="KT273"/>
      <c r="KU273"/>
      <c r="KV273"/>
      <c r="KW273"/>
      <c r="KX273"/>
      <c r="KY273"/>
      <c r="KZ273"/>
      <c r="LA273"/>
      <c r="LB273"/>
      <c r="LC273"/>
      <c r="LD273"/>
      <c r="LE273"/>
      <c r="LF273"/>
      <c r="LG273"/>
      <c r="LH273"/>
      <c r="LI273"/>
      <c r="LJ273"/>
      <c r="LK273"/>
      <c r="LL273"/>
      <c r="LM273"/>
      <c r="LN273"/>
      <c r="LO273"/>
      <c r="LP273"/>
      <c r="LQ273"/>
      <c r="LR273"/>
      <c r="LS273"/>
      <c r="LT273"/>
      <c r="LU273"/>
      <c r="LV273"/>
      <c r="LW273"/>
      <c r="LX273"/>
      <c r="LY273"/>
      <c r="LZ273"/>
      <c r="MA273"/>
      <c r="MB273"/>
      <c r="MC273"/>
      <c r="MD273"/>
      <c r="ME273"/>
      <c r="MF273"/>
      <c r="MG273"/>
      <c r="MH273"/>
      <c r="MI273"/>
      <c r="MJ273"/>
      <c r="MK273"/>
      <c r="ML273"/>
      <c r="MM273"/>
      <c r="MN273"/>
      <c r="MO273"/>
      <c r="MP273"/>
      <c r="MQ273"/>
      <c r="MR273"/>
      <c r="MS273"/>
      <c r="MT273"/>
      <c r="MU273"/>
      <c r="MV273"/>
      <c r="MW273"/>
      <c r="MX273"/>
      <c r="MY273"/>
      <c r="MZ273"/>
      <c r="NA273"/>
      <c r="NB273"/>
      <c r="NC273"/>
      <c r="ND273"/>
      <c r="NE273"/>
      <c r="NF273"/>
      <c r="NG273"/>
      <c r="NH273"/>
      <c r="NI273"/>
      <c r="NJ273"/>
      <c r="NK273"/>
      <c r="NL273"/>
      <c r="NM273"/>
      <c r="NN273"/>
      <c r="NO273"/>
      <c r="NP273"/>
      <c r="NQ273"/>
      <c r="NR273"/>
      <c r="NS273"/>
      <c r="NT273"/>
      <c r="NU273"/>
      <c r="NV273"/>
      <c r="NW273"/>
      <c r="NX273"/>
      <c r="NY273"/>
      <c r="NZ273"/>
      <c r="OA273"/>
      <c r="OB273"/>
      <c r="OC273"/>
      <c r="OD273"/>
      <c r="OE273"/>
      <c r="OF273"/>
      <c r="OG273"/>
      <c r="OH273"/>
      <c r="OI273"/>
      <c r="OJ273"/>
      <c r="OK273"/>
      <c r="OL273"/>
      <c r="OM273"/>
      <c r="ON273"/>
      <c r="OO273"/>
      <c r="OP273"/>
      <c r="OQ273"/>
      <c r="OR273"/>
      <c r="OS273"/>
      <c r="OT273"/>
      <c r="OU273"/>
      <c r="OV273"/>
      <c r="OW273"/>
      <c r="OX273"/>
      <c r="OY273"/>
      <c r="OZ273"/>
      <c r="PA273"/>
      <c r="PB273"/>
      <c r="PC273"/>
      <c r="PD273"/>
      <c r="PE273"/>
      <c r="PF273"/>
      <c r="PG273"/>
      <c r="PH273"/>
      <c r="PI273"/>
      <c r="PJ273"/>
      <c r="PK273"/>
      <c r="PL273"/>
      <c r="PM273"/>
      <c r="PN273"/>
      <c r="PO273"/>
      <c r="PP273"/>
      <c r="PQ273"/>
      <c r="PR273"/>
      <c r="PS273"/>
      <c r="PT273"/>
      <c r="PU273"/>
      <c r="PV273"/>
      <c r="PW273"/>
      <c r="PX273"/>
      <c r="PY273"/>
      <c r="PZ273"/>
      <c r="QA273"/>
      <c r="QB273"/>
      <c r="QC273"/>
      <c r="QD273"/>
      <c r="QE273"/>
      <c r="QF273"/>
      <c r="QG273"/>
      <c r="QH273"/>
      <c r="QI273"/>
      <c r="QJ273"/>
      <c r="QK273"/>
      <c r="QL273"/>
      <c r="QM273"/>
      <c r="QN273"/>
      <c r="QO273"/>
      <c r="QP273"/>
      <c r="QQ273"/>
      <c r="QR273"/>
      <c r="QS273"/>
      <c r="QT273"/>
      <c r="QU273"/>
      <c r="QV273"/>
      <c r="QW273"/>
      <c r="QX273"/>
      <c r="QY273"/>
      <c r="QZ273"/>
      <c r="RA273"/>
      <c r="RB273"/>
      <c r="RC273"/>
      <c r="RD273"/>
      <c r="RE273"/>
      <c r="RF273"/>
      <c r="RG273"/>
      <c r="RH273"/>
      <c r="RI273"/>
      <c r="RJ273"/>
      <c r="RK273"/>
      <c r="RL273"/>
      <c r="RM273"/>
      <c r="RN273"/>
      <c r="RO273"/>
      <c r="RP273"/>
      <c r="RQ273"/>
      <c r="RR273"/>
      <c r="RS273"/>
      <c r="RT273"/>
      <c r="RU273"/>
      <c r="RV273"/>
      <c r="RW273"/>
      <c r="RX273"/>
      <c r="RY273"/>
      <c r="RZ273"/>
      <c r="SA273"/>
      <c r="SB273"/>
      <c r="SC273"/>
      <c r="SD273"/>
      <c r="SE273"/>
      <c r="SF273"/>
      <c r="SG273"/>
      <c r="SH273"/>
      <c r="SI273"/>
      <c r="SJ273"/>
      <c r="SK273"/>
      <c r="SL273"/>
      <c r="SM273"/>
      <c r="SN273"/>
      <c r="SO273"/>
      <c r="SP273"/>
      <c r="SQ273"/>
      <c r="SR273"/>
      <c r="SS273"/>
      <c r="ST273"/>
      <c r="SU273"/>
      <c r="SV273"/>
      <c r="SW273"/>
      <c r="SX273"/>
      <c r="SY273"/>
      <c r="SZ273"/>
      <c r="TA273"/>
      <c r="TB273"/>
      <c r="TC273"/>
      <c r="TD273"/>
      <c r="TE273"/>
      <c r="TF273"/>
      <c r="TG273"/>
      <c r="TH273"/>
      <c r="TI273"/>
      <c r="TJ273"/>
      <c r="TK273"/>
      <c r="TL273"/>
      <c r="TM273"/>
      <c r="TN273"/>
      <c r="TO273"/>
      <c r="TP273"/>
      <c r="TQ273"/>
      <c r="TR273"/>
      <c r="TS273"/>
      <c r="TT273"/>
      <c r="TU273"/>
      <c r="TV273"/>
      <c r="TW273"/>
      <c r="TX273"/>
      <c r="TY273"/>
      <c r="TZ273"/>
      <c r="UA273"/>
      <c r="UB273"/>
      <c r="UC273"/>
      <c r="UD273"/>
      <c r="UE273"/>
      <c r="UF273"/>
      <c r="UG273"/>
      <c r="UH273"/>
      <c r="UI273"/>
      <c r="UJ273"/>
      <c r="UK273"/>
      <c r="UL273"/>
      <c r="UM273"/>
      <c r="UN273"/>
      <c r="UO273"/>
      <c r="UP273"/>
      <c r="UQ273"/>
      <c r="UR273"/>
      <c r="US273"/>
      <c r="UT273"/>
      <c r="UU273"/>
      <c r="UV273"/>
      <c r="UW273"/>
      <c r="UX273"/>
      <c r="UY273"/>
      <c r="UZ273"/>
      <c r="VA273"/>
      <c r="VB273"/>
      <c r="VC273"/>
      <c r="VD273"/>
      <c r="VE273"/>
      <c r="VF273"/>
      <c r="VG273"/>
      <c r="VH273"/>
      <c r="VI273"/>
      <c r="VJ273"/>
      <c r="VK273"/>
      <c r="VL273"/>
      <c r="VM273"/>
      <c r="VN273"/>
      <c r="VO273"/>
      <c r="VP273"/>
      <c r="VQ273"/>
      <c r="VR273"/>
      <c r="VS273"/>
      <c r="VT273"/>
      <c r="VU273"/>
      <c r="VV273"/>
      <c r="VW273"/>
      <c r="VX273"/>
      <c r="VY273"/>
      <c r="VZ273"/>
      <c r="WA273"/>
      <c r="WB273"/>
      <c r="WC273"/>
      <c r="WD273"/>
      <c r="WE273"/>
      <c r="WF273"/>
      <c r="WG273"/>
      <c r="WH273"/>
      <c r="WI273"/>
      <c r="WJ273"/>
      <c r="WK273"/>
      <c r="WL273"/>
      <c r="WM273"/>
      <c r="WN273"/>
      <c r="WO273"/>
      <c r="WP273"/>
      <c r="WQ273"/>
      <c r="WR273"/>
      <c r="WS273"/>
      <c r="WT273"/>
      <c r="WU273"/>
      <c r="WV273"/>
      <c r="WW273"/>
      <c r="WX273"/>
      <c r="WY273"/>
      <c r="WZ273"/>
      <c r="XA273"/>
      <c r="XB273"/>
      <c r="XC273"/>
      <c r="XD273"/>
      <c r="XE273"/>
      <c r="XF273"/>
      <c r="XG273"/>
      <c r="XH273"/>
      <c r="XI273"/>
      <c r="XJ273"/>
      <c r="XK273"/>
      <c r="XL273"/>
      <c r="XM273"/>
      <c r="XN273"/>
      <c r="XO273"/>
      <c r="XP273"/>
      <c r="XQ273"/>
      <c r="XR273"/>
      <c r="XS273"/>
      <c r="XT273"/>
      <c r="XU273"/>
      <c r="XV273"/>
      <c r="XW273"/>
      <c r="XX273"/>
      <c r="XY273"/>
      <c r="XZ273"/>
      <c r="YA273"/>
      <c r="YB273"/>
      <c r="YC273"/>
      <c r="YD273"/>
      <c r="YE273"/>
      <c r="YF273"/>
      <c r="YG273"/>
      <c r="YH273"/>
      <c r="YI273"/>
      <c r="YJ273"/>
      <c r="YK273"/>
      <c r="YL273"/>
      <c r="YM273"/>
      <c r="YN273"/>
      <c r="YO273"/>
      <c r="YP273"/>
      <c r="YQ273"/>
      <c r="YR273"/>
      <c r="YS273"/>
      <c r="YT273"/>
      <c r="YU273"/>
      <c r="YV273"/>
      <c r="YW273"/>
      <c r="YX273"/>
      <c r="YY273"/>
      <c r="YZ273"/>
      <c r="ZA273"/>
      <c r="ZB273"/>
      <c r="ZC273"/>
      <c r="ZD273"/>
      <c r="ZE273"/>
      <c r="ZF273"/>
      <c r="ZG273"/>
      <c r="ZH273"/>
      <c r="ZI273"/>
      <c r="ZJ273"/>
      <c r="ZK273"/>
      <c r="ZL273"/>
      <c r="ZM273"/>
      <c r="ZN273"/>
      <c r="ZO273"/>
      <c r="ZP273"/>
      <c r="ZQ273"/>
      <c r="ZR273"/>
      <c r="ZS273"/>
      <c r="ZT273"/>
      <c r="ZU273"/>
      <c r="ZV273"/>
      <c r="ZW273"/>
      <c r="ZX273"/>
      <c r="ZY273"/>
      <c r="ZZ273"/>
      <c r="AAA273"/>
      <c r="AAB273"/>
      <c r="AAC273"/>
      <c r="AAD273"/>
      <c r="AAE273"/>
      <c r="AAF273"/>
      <c r="AAG273"/>
      <c r="AAH273"/>
      <c r="AAI273"/>
      <c r="AAJ273"/>
      <c r="AAK273"/>
      <c r="AAL273"/>
      <c r="AAM273"/>
      <c r="AAN273"/>
      <c r="AAO273"/>
      <c r="AAP273"/>
      <c r="AAQ273"/>
      <c r="AAR273"/>
      <c r="AAS273"/>
      <c r="AAT273"/>
      <c r="AAU273"/>
      <c r="AAV273"/>
      <c r="AAW273"/>
      <c r="AAX273"/>
      <c r="AAY273"/>
      <c r="AAZ273"/>
      <c r="ABA273"/>
      <c r="ABB273"/>
      <c r="ABC273"/>
      <c r="ABD273"/>
      <c r="ABE273"/>
      <c r="ABF273"/>
      <c r="ABG273"/>
      <c r="ABH273"/>
      <c r="ABI273"/>
      <c r="ABJ273"/>
      <c r="ABK273"/>
      <c r="ABL273"/>
      <c r="ABM273"/>
      <c r="ABN273"/>
      <c r="ABO273"/>
      <c r="ABP273"/>
      <c r="ABQ273"/>
      <c r="ABR273"/>
      <c r="ABS273"/>
      <c r="ABT273"/>
      <c r="ABU273"/>
      <c r="ABV273"/>
      <c r="ABW273"/>
      <c r="ABX273"/>
      <c r="ABY273"/>
      <c r="ABZ273"/>
      <c r="ACA273"/>
      <c r="ACB273"/>
      <c r="ACC273"/>
      <c r="ACD273"/>
      <c r="ACE273"/>
      <c r="ACF273"/>
      <c r="ACG273"/>
      <c r="ACH273"/>
      <c r="ACI273"/>
      <c r="ACJ273"/>
      <c r="ACK273"/>
      <c r="ACL273"/>
      <c r="ACM273"/>
      <c r="ACN273"/>
      <c r="ACO273"/>
      <c r="ACP273"/>
      <c r="ACQ273"/>
      <c r="ACR273"/>
      <c r="ACS273"/>
      <c r="ACT273"/>
      <c r="ACU273"/>
      <c r="ACV273"/>
      <c r="ACW273"/>
      <c r="ACX273"/>
      <c r="ACY273"/>
      <c r="ACZ273"/>
      <c r="ADA273"/>
      <c r="ADB273"/>
      <c r="ADC273"/>
      <c r="ADD273"/>
      <c r="ADE273"/>
      <c r="ADF273"/>
      <c r="ADG273"/>
      <c r="ADH273"/>
      <c r="ADI273"/>
      <c r="ADJ273"/>
      <c r="ADK273"/>
      <c r="ADL273"/>
      <c r="ADM273"/>
      <c r="ADN273"/>
      <c r="ADO273"/>
      <c r="ADP273"/>
      <c r="ADQ273"/>
      <c r="ADR273"/>
      <c r="ADS273"/>
      <c r="ADT273"/>
      <c r="ADU273"/>
      <c r="ADV273"/>
      <c r="ADW273"/>
      <c r="ADX273"/>
      <c r="ADY273"/>
      <c r="ADZ273"/>
      <c r="AEA273"/>
      <c r="AEB273"/>
      <c r="AEC273"/>
      <c r="AED273"/>
      <c r="AEE273"/>
      <c r="AEF273"/>
      <c r="AEG273"/>
      <c r="AEH273"/>
      <c r="AEI273"/>
      <c r="AEJ273"/>
      <c r="AEK273"/>
      <c r="AEL273"/>
      <c r="AEM273"/>
      <c r="AEN273"/>
      <c r="AEO273"/>
      <c r="AEP273"/>
      <c r="AEQ273"/>
      <c r="AER273"/>
      <c r="AES273"/>
      <c r="AET273"/>
      <c r="AEU273"/>
      <c r="AEV273"/>
      <c r="AEW273"/>
      <c r="AEX273"/>
      <c r="AEY273"/>
      <c r="AEZ273"/>
      <c r="AFA273"/>
      <c r="AFB273"/>
      <c r="AFC273"/>
      <c r="AFD273"/>
      <c r="AFE273"/>
      <c r="AFF273"/>
      <c r="AFG273"/>
      <c r="AFH273"/>
      <c r="AFI273"/>
      <c r="AFJ273"/>
      <c r="AFK273"/>
      <c r="AFL273"/>
      <c r="AFM273"/>
      <c r="AFN273"/>
      <c r="AFO273"/>
      <c r="AFP273"/>
      <c r="AFQ273"/>
      <c r="AFR273"/>
      <c r="AFS273"/>
      <c r="AFT273"/>
      <c r="AFU273"/>
      <c r="AFV273"/>
      <c r="AFW273"/>
      <c r="AFX273"/>
      <c r="AFY273"/>
      <c r="AFZ273"/>
      <c r="AGA273"/>
      <c r="AGB273"/>
      <c r="AGC273"/>
      <c r="AGD273"/>
      <c r="AGE273"/>
      <c r="AGF273"/>
      <c r="AGG273"/>
      <c r="AGH273"/>
      <c r="AGI273"/>
      <c r="AGJ273"/>
      <c r="AGK273"/>
      <c r="AGL273"/>
      <c r="AGM273"/>
      <c r="AGN273"/>
      <c r="AGO273"/>
      <c r="AGP273"/>
      <c r="AGQ273"/>
      <c r="AGR273"/>
      <c r="AGS273"/>
      <c r="AGT273"/>
      <c r="AGU273"/>
      <c r="AGV273"/>
      <c r="AGW273"/>
      <c r="AGX273"/>
      <c r="AGY273"/>
      <c r="AGZ273"/>
      <c r="AHA273"/>
      <c r="AHB273"/>
      <c r="AHC273"/>
      <c r="AHD273"/>
      <c r="AHE273"/>
      <c r="AHF273"/>
      <c r="AHG273"/>
      <c r="AHH273"/>
      <c r="AHI273"/>
      <c r="AHJ273"/>
      <c r="AHK273"/>
      <c r="AHL273"/>
      <c r="AHM273"/>
      <c r="AHN273"/>
      <c r="AHO273"/>
      <c r="AHP273"/>
      <c r="AHQ273"/>
      <c r="AHR273"/>
      <c r="AHS273"/>
      <c r="AHT273"/>
      <c r="AHU273"/>
      <c r="AHV273"/>
      <c r="AHW273"/>
      <c r="AHX273"/>
      <c r="AHY273"/>
      <c r="AHZ273"/>
      <c r="AIA273"/>
      <c r="AIB273"/>
      <c r="AIC273"/>
      <c r="AID273"/>
      <c r="AIE273"/>
      <c r="AIF273"/>
      <c r="AIG273"/>
      <c r="AIH273"/>
      <c r="AII273"/>
      <c r="AIJ273"/>
      <c r="AIK273"/>
      <c r="AIL273"/>
      <c r="AIM273"/>
      <c r="AIN273"/>
      <c r="AIO273"/>
      <c r="AIP273"/>
      <c r="AIQ273"/>
      <c r="AIR273"/>
      <c r="AIS273"/>
      <c r="AIT273"/>
      <c r="AIU273"/>
      <c r="AIV273"/>
      <c r="AIW273"/>
      <c r="AIX273"/>
      <c r="AIY273"/>
      <c r="AIZ273"/>
      <c r="AJA273"/>
      <c r="AJB273"/>
      <c r="AJC273"/>
      <c r="AJD273"/>
      <c r="AJE273"/>
      <c r="AJF273"/>
      <c r="AJG273"/>
      <c r="AJH273"/>
      <c r="AJI273"/>
      <c r="AJJ273"/>
      <c r="AJK273"/>
      <c r="AJL273"/>
      <c r="AJM273"/>
      <c r="AJN273"/>
      <c r="AJO273"/>
      <c r="AJP273"/>
      <c r="AJQ273"/>
      <c r="AJR273"/>
      <c r="AJS273"/>
      <c r="AJT273"/>
      <c r="AJU273"/>
      <c r="AJV273"/>
      <c r="AJW273"/>
      <c r="AJX273"/>
      <c r="AJY273"/>
      <c r="AJZ273"/>
      <c r="AKA273"/>
      <c r="AKB273"/>
      <c r="AKC273"/>
      <c r="AKD273"/>
      <c r="AKE273"/>
      <c r="AKF273"/>
      <c r="AKG273"/>
      <c r="AKH273"/>
      <c r="AKI273"/>
      <c r="AKJ273"/>
      <c r="AKK273"/>
      <c r="AKL273"/>
      <c r="AKM273"/>
      <c r="AKN273"/>
      <c r="AKO273"/>
      <c r="AKP273"/>
      <c r="AKQ273"/>
      <c r="AKR273"/>
      <c r="AKS273"/>
      <c r="AKT273"/>
      <c r="AKU273"/>
      <c r="AKV273"/>
      <c r="AKW273"/>
      <c r="AKX273"/>
      <c r="AKY273"/>
      <c r="AKZ273"/>
      <c r="ALA273"/>
      <c r="ALB273"/>
      <c r="ALC273"/>
      <c r="ALD273"/>
      <c r="ALE273"/>
      <c r="ALF273"/>
      <c r="ALG273"/>
      <c r="ALH273"/>
      <c r="ALI273"/>
      <c r="ALJ273"/>
      <c r="ALK273"/>
      <c r="ALL273"/>
      <c r="ALM273"/>
      <c r="ALN273"/>
      <c r="ALO273"/>
      <c r="ALP273"/>
      <c r="ALQ273"/>
      <c r="ALR273"/>
      <c r="ALS273"/>
      <c r="ALT273"/>
      <c r="ALU273"/>
      <c r="ALV273"/>
      <c r="ALW273"/>
      <c r="ALX273"/>
      <c r="ALY273"/>
      <c r="ALZ273"/>
      <c r="AMA273"/>
      <c r="AMB273"/>
      <c r="AMC273"/>
      <c r="AMD273"/>
      <c r="AME273"/>
      <c r="AMF273"/>
      <c r="AMG273"/>
      <c r="AMH273"/>
      <c r="AMI273"/>
      <c r="AMJ273"/>
    </row>
    <row r="274" spans="1:1024" ht="27.6">
      <c r="A274" s="8" t="s">
        <v>268</v>
      </c>
      <c r="B274" s="8">
        <v>271042</v>
      </c>
      <c r="D274" s="29"/>
      <c r="E274" s="1">
        <v>12</v>
      </c>
      <c r="F274" s="8">
        <v>6</v>
      </c>
      <c r="G274" s="30">
        <f t="shared" si="15"/>
        <v>18</v>
      </c>
      <c r="H274" s="8">
        <f t="shared" si="14"/>
        <v>-12</v>
      </c>
      <c r="I274">
        <f t="shared" si="16"/>
        <v>0</v>
      </c>
      <c r="J274">
        <f>SUMIF(Oeffentlichkeitsarbeit!$D:$D,$B274,Oeffentlichkeitsarbeit!$F:$F)</f>
        <v>0</v>
      </c>
      <c r="K274">
        <f>COUNTIF(Fairteiler!$D:$D,$B274)*1/2</f>
        <v>0</v>
      </c>
      <c r="L274">
        <f>COUNTIF('NP-Betrieb'!D:D,$B274)*1/3</f>
        <v>0</v>
      </c>
      <c r="M274">
        <f>COUNTIF(Fairteilungen!$D:$D,$B274)*3/4</f>
        <v>0</v>
      </c>
      <c r="N274">
        <f>COUNTIF(Anlieferung!D:D,$B274)*1/2</f>
        <v>0</v>
      </c>
      <c r="O274">
        <f>COUNTIF(Probeabholungen!B:B,$B274)*1/3</f>
        <v>0</v>
      </c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11"/>
      <c r="BP274" s="11"/>
      <c r="BQ274" s="11"/>
      <c r="BR274" s="11"/>
      <c r="BS274" s="11"/>
      <c r="BT274" s="11"/>
      <c r="BU274" s="11"/>
      <c r="BV274" s="11"/>
      <c r="BW274" s="11"/>
      <c r="BX274" s="11"/>
      <c r="BY274" s="11"/>
      <c r="BZ274" s="11"/>
      <c r="CA274" s="11"/>
      <c r="CB274" s="11"/>
      <c r="CC274" s="11"/>
      <c r="CD274" s="11"/>
      <c r="CE274" s="11"/>
      <c r="CF274" s="11"/>
      <c r="CG274" s="11"/>
      <c r="CH274" s="11"/>
      <c r="CI274" s="11"/>
      <c r="CJ274" s="11"/>
      <c r="CK274" s="11"/>
      <c r="CL274" s="11"/>
      <c r="CM274" s="11"/>
      <c r="CN274" s="11"/>
      <c r="CO274" s="11"/>
      <c r="CP274" s="11"/>
      <c r="CQ274" s="11"/>
      <c r="CR274" s="11"/>
      <c r="CS274" s="11"/>
      <c r="CT274" s="11"/>
      <c r="CU274" s="11"/>
      <c r="CV274" s="11"/>
      <c r="CW274" s="11"/>
      <c r="CX274" s="11"/>
      <c r="CY274" s="11"/>
      <c r="CZ274" s="11"/>
      <c r="DA274" s="11"/>
      <c r="DB274" s="11"/>
      <c r="DC274" s="11"/>
      <c r="DD274" s="11"/>
      <c r="DE274" s="11"/>
      <c r="DF274" s="11"/>
      <c r="DG274" s="11"/>
      <c r="DH274" s="11"/>
      <c r="DI274" s="11"/>
      <c r="DJ274" s="11"/>
      <c r="DK274" s="11"/>
      <c r="DL274" s="11"/>
      <c r="DM274" s="11"/>
      <c r="DN274" s="11"/>
      <c r="DO274" s="11"/>
      <c r="DP274" s="11"/>
      <c r="DQ274" s="11"/>
      <c r="DR274" s="11"/>
      <c r="DS274" s="11"/>
      <c r="DT274" s="11"/>
      <c r="DU274" s="11"/>
      <c r="DV274" s="11"/>
      <c r="DW274" s="11"/>
      <c r="DX274" s="11"/>
      <c r="DY274" s="11"/>
      <c r="DZ274" s="11"/>
      <c r="EA274" s="11"/>
      <c r="EB274" s="11"/>
      <c r="EC274" s="11"/>
      <c r="ED274" s="11"/>
      <c r="EE274" s="11"/>
      <c r="EF274" s="11"/>
      <c r="EG274" s="11"/>
      <c r="EH274" s="11"/>
      <c r="EI274" s="11"/>
      <c r="EJ274" s="11"/>
      <c r="EK274" s="11"/>
      <c r="EL274" s="11"/>
      <c r="EM274" s="11"/>
      <c r="EN274" s="11"/>
      <c r="EO274" s="11"/>
      <c r="EP274" s="11"/>
      <c r="EQ274" s="11"/>
      <c r="ER274" s="11"/>
      <c r="ES274" s="11"/>
      <c r="ET274" s="11"/>
      <c r="EU274" s="11"/>
      <c r="EV274" s="11"/>
      <c r="EW274" s="11"/>
      <c r="EX274" s="11"/>
      <c r="EY274" s="11"/>
      <c r="EZ274" s="11"/>
      <c r="FA274" s="11"/>
      <c r="FB274" s="11"/>
      <c r="FC274" s="11"/>
      <c r="FD274" s="11"/>
      <c r="FE274" s="11"/>
      <c r="FF274" s="11"/>
      <c r="FG274" s="11"/>
      <c r="FH274" s="11"/>
      <c r="FI274" s="11"/>
      <c r="FJ274" s="11"/>
      <c r="FK274" s="11"/>
      <c r="FL274" s="11"/>
      <c r="FM274" s="11"/>
      <c r="FN274" s="11"/>
      <c r="FO274" s="11"/>
      <c r="FP274" s="11"/>
      <c r="FQ274" s="11"/>
      <c r="FR274" s="11"/>
      <c r="FS274" s="11"/>
      <c r="FT274" s="11"/>
      <c r="FU274" s="11"/>
      <c r="FV274" s="11"/>
      <c r="FW274" s="11"/>
      <c r="FX274" s="11"/>
      <c r="FY274" s="11"/>
      <c r="FZ274" s="11"/>
      <c r="GA274" s="11"/>
      <c r="GB274" s="11"/>
      <c r="GC274" s="11"/>
      <c r="GD274" s="11"/>
      <c r="GE274" s="11"/>
      <c r="GF274" s="11"/>
      <c r="GG274" s="11"/>
      <c r="GH274" s="11"/>
      <c r="GI274" s="11"/>
      <c r="GJ274" s="11"/>
      <c r="GK274" s="11"/>
      <c r="GL274" s="11"/>
      <c r="GM274" s="11"/>
      <c r="GN274" s="11"/>
      <c r="GO274" s="11"/>
      <c r="GP274" s="11"/>
      <c r="GQ274" s="11"/>
      <c r="GR274" s="11"/>
      <c r="GS274" s="11"/>
      <c r="GT274" s="11"/>
      <c r="GU274" s="11"/>
      <c r="GV274" s="11"/>
      <c r="GW274" s="11"/>
      <c r="GX274" s="11"/>
      <c r="GY274" s="11"/>
      <c r="GZ274" s="11"/>
      <c r="HA274" s="11"/>
      <c r="HB274" s="11"/>
      <c r="HC274" s="11"/>
      <c r="HD274" s="11"/>
      <c r="HE274" s="11"/>
      <c r="HF274" s="11"/>
      <c r="HG274" s="11"/>
      <c r="HH274" s="11"/>
      <c r="HI274" s="11"/>
      <c r="HJ274" s="11"/>
      <c r="HK274" s="11"/>
      <c r="HL274" s="11"/>
      <c r="HM274" s="11"/>
      <c r="HN274" s="11"/>
      <c r="HO274" s="11"/>
      <c r="HP274" s="11"/>
      <c r="HQ274" s="11"/>
      <c r="HR274" s="11"/>
      <c r="HS274" s="11"/>
      <c r="HT274" s="11"/>
      <c r="HU274" s="11"/>
      <c r="HV274" s="11"/>
      <c r="HW274" s="11"/>
      <c r="HX274" s="11"/>
      <c r="HY274" s="11"/>
      <c r="HZ274" s="11"/>
      <c r="IA274" s="11"/>
      <c r="IB274" s="11"/>
      <c r="IC274" s="11"/>
      <c r="ID274" s="11"/>
      <c r="IE274" s="11"/>
      <c r="IF274" s="11"/>
      <c r="IG274" s="11"/>
      <c r="IH274" s="11"/>
      <c r="II274" s="11"/>
      <c r="IJ274" s="11"/>
      <c r="IK274" s="11"/>
      <c r="IL274" s="11"/>
      <c r="IM274" s="11"/>
      <c r="IN274" s="11"/>
      <c r="IO274" s="11"/>
      <c r="IP274" s="11"/>
      <c r="IQ274" s="11"/>
      <c r="IR274" s="11"/>
      <c r="IS274" s="11"/>
      <c r="IT274" s="11"/>
      <c r="IU274" s="11"/>
      <c r="IV274" s="11"/>
      <c r="IW274" s="11"/>
      <c r="IX274" s="11"/>
      <c r="IY274" s="11"/>
      <c r="IZ274" s="11"/>
      <c r="JA274" s="11"/>
      <c r="JB274" s="11"/>
      <c r="JC274" s="11"/>
      <c r="JD274" s="11"/>
      <c r="JE274" s="11"/>
      <c r="JF274" s="11"/>
      <c r="JG274" s="11"/>
      <c r="JH274" s="11"/>
      <c r="JI274" s="11"/>
      <c r="JJ274" s="11"/>
      <c r="JK274" s="11"/>
      <c r="JL274" s="11"/>
      <c r="JM274" s="11"/>
      <c r="JN274" s="11"/>
      <c r="JO274" s="11"/>
      <c r="JP274" s="11"/>
      <c r="JQ274" s="11"/>
      <c r="JR274" s="11"/>
      <c r="JS274" s="11"/>
      <c r="JT274" s="11"/>
      <c r="JU274" s="11"/>
      <c r="JV274" s="11"/>
      <c r="JW274" s="11"/>
      <c r="JX274" s="11"/>
      <c r="JY274" s="11"/>
      <c r="JZ274" s="11"/>
      <c r="KA274" s="11"/>
      <c r="KB274" s="11"/>
      <c r="KC274" s="11"/>
      <c r="KD274" s="11"/>
      <c r="KE274" s="11"/>
      <c r="KF274" s="11"/>
      <c r="KG274" s="11"/>
      <c r="KH274" s="11"/>
      <c r="KI274" s="11"/>
      <c r="KJ274" s="11"/>
      <c r="KK274" s="11"/>
      <c r="KL274" s="11"/>
      <c r="KM274" s="11"/>
      <c r="KN274" s="11"/>
      <c r="KO274" s="11"/>
      <c r="KP274" s="11"/>
      <c r="KQ274" s="11"/>
      <c r="KR274" s="11"/>
      <c r="KS274" s="11"/>
      <c r="KT274" s="11"/>
      <c r="KU274" s="11"/>
      <c r="KV274" s="11"/>
      <c r="KW274" s="11"/>
      <c r="KX274" s="11"/>
      <c r="KY274" s="11"/>
      <c r="KZ274" s="11"/>
      <c r="LA274" s="11"/>
      <c r="LB274" s="11"/>
      <c r="LC274" s="11"/>
      <c r="LD274" s="11"/>
      <c r="LE274" s="11"/>
      <c r="LF274" s="11"/>
      <c r="LG274" s="11"/>
      <c r="LH274" s="11"/>
      <c r="LI274" s="11"/>
      <c r="LJ274" s="11"/>
      <c r="LK274" s="11"/>
      <c r="LL274" s="11"/>
      <c r="LM274" s="11"/>
      <c r="LN274" s="11"/>
      <c r="LO274" s="11"/>
      <c r="LP274" s="11"/>
      <c r="LQ274" s="11"/>
      <c r="LR274" s="11"/>
      <c r="LS274" s="11"/>
      <c r="LT274" s="11"/>
      <c r="LU274" s="11"/>
      <c r="LV274" s="11"/>
      <c r="LW274" s="11"/>
      <c r="LX274" s="11"/>
      <c r="LY274" s="11"/>
      <c r="LZ274" s="11"/>
      <c r="MA274" s="11"/>
      <c r="MB274" s="11"/>
      <c r="MC274" s="11"/>
      <c r="MD274" s="11"/>
      <c r="ME274" s="11"/>
      <c r="MF274" s="11"/>
      <c r="MG274" s="11"/>
      <c r="MH274" s="11"/>
      <c r="MI274" s="11"/>
      <c r="MJ274" s="11"/>
      <c r="MK274" s="11"/>
      <c r="ML274" s="11"/>
      <c r="MM274" s="11"/>
      <c r="MN274" s="11"/>
      <c r="MO274" s="11"/>
      <c r="MP274" s="11"/>
      <c r="MQ274" s="11"/>
      <c r="MR274" s="11"/>
      <c r="MS274" s="11"/>
      <c r="MT274" s="11"/>
      <c r="MU274" s="11"/>
      <c r="MV274" s="11"/>
      <c r="MW274" s="11"/>
      <c r="MX274" s="11"/>
      <c r="MY274" s="11"/>
      <c r="MZ274" s="11"/>
      <c r="NA274" s="11"/>
      <c r="NB274" s="11"/>
      <c r="NC274" s="11"/>
      <c r="ND274" s="11"/>
      <c r="NE274" s="11"/>
      <c r="NF274" s="11"/>
      <c r="NG274" s="11"/>
      <c r="NH274" s="11"/>
      <c r="NI274" s="11"/>
      <c r="NJ274" s="11"/>
      <c r="NK274" s="11"/>
      <c r="NL274" s="11"/>
      <c r="NM274" s="11"/>
      <c r="NN274" s="11"/>
      <c r="NO274" s="11"/>
      <c r="NP274" s="11"/>
      <c r="NQ274" s="11"/>
      <c r="NR274" s="11"/>
      <c r="NS274" s="11"/>
      <c r="NT274" s="11"/>
      <c r="NU274" s="11"/>
      <c r="NV274" s="11"/>
      <c r="NW274" s="11"/>
      <c r="NX274" s="11"/>
      <c r="NY274" s="11"/>
      <c r="NZ274" s="11"/>
      <c r="OA274" s="11"/>
      <c r="OB274" s="11"/>
      <c r="OC274" s="11"/>
      <c r="OD274" s="11"/>
      <c r="OE274" s="11"/>
      <c r="OF274" s="11"/>
      <c r="OG274" s="11"/>
      <c r="OH274" s="11"/>
      <c r="OI274" s="11"/>
      <c r="OJ274" s="11"/>
      <c r="OK274" s="11"/>
      <c r="OL274" s="11"/>
      <c r="OM274" s="11"/>
      <c r="ON274" s="11"/>
      <c r="OO274" s="11"/>
      <c r="OP274" s="11"/>
      <c r="OQ274" s="11"/>
      <c r="OR274" s="11"/>
      <c r="OS274" s="11"/>
      <c r="OT274" s="11"/>
      <c r="OU274" s="11"/>
      <c r="OV274" s="11"/>
      <c r="OW274" s="11"/>
      <c r="OX274" s="11"/>
      <c r="OY274" s="11"/>
      <c r="OZ274" s="11"/>
      <c r="PA274" s="11"/>
      <c r="PB274" s="11"/>
      <c r="PC274" s="11"/>
      <c r="PD274" s="11"/>
      <c r="PE274" s="11"/>
      <c r="PF274" s="11"/>
      <c r="PG274" s="11"/>
      <c r="PH274" s="11"/>
      <c r="PI274" s="11"/>
      <c r="PJ274" s="11"/>
      <c r="PK274" s="11"/>
      <c r="PL274" s="11"/>
      <c r="PM274" s="11"/>
      <c r="PN274" s="11"/>
      <c r="PO274" s="11"/>
      <c r="PP274" s="11"/>
      <c r="PQ274" s="11"/>
      <c r="PR274" s="11"/>
      <c r="PS274" s="11"/>
      <c r="PT274" s="11"/>
      <c r="PU274" s="11"/>
      <c r="PV274" s="11"/>
      <c r="PW274" s="11"/>
      <c r="PX274" s="11"/>
      <c r="PY274" s="11"/>
      <c r="PZ274" s="11"/>
      <c r="QA274" s="11"/>
      <c r="QB274" s="11"/>
      <c r="QC274" s="11"/>
      <c r="QD274" s="11"/>
      <c r="QE274" s="11"/>
      <c r="QF274" s="11"/>
      <c r="QG274" s="11"/>
      <c r="QH274" s="11"/>
      <c r="QI274" s="11"/>
      <c r="QJ274" s="11"/>
      <c r="QK274" s="11"/>
      <c r="QL274" s="11"/>
      <c r="QM274" s="11"/>
      <c r="QN274" s="11"/>
      <c r="QO274" s="11"/>
      <c r="QP274" s="11"/>
      <c r="QQ274" s="11"/>
      <c r="QR274" s="11"/>
      <c r="QS274" s="11"/>
      <c r="QT274" s="11"/>
      <c r="QU274" s="11"/>
      <c r="QV274" s="11"/>
      <c r="QW274" s="11"/>
      <c r="QX274" s="11"/>
      <c r="QY274" s="11"/>
      <c r="QZ274" s="11"/>
      <c r="RA274" s="11"/>
      <c r="RB274" s="11"/>
      <c r="RC274" s="11"/>
      <c r="RD274" s="11"/>
      <c r="RE274" s="11"/>
      <c r="RF274" s="11"/>
      <c r="RG274" s="11"/>
      <c r="RH274" s="11"/>
      <c r="RI274" s="11"/>
      <c r="RJ274" s="11"/>
      <c r="RK274" s="11"/>
      <c r="RL274" s="11"/>
      <c r="RM274" s="11"/>
      <c r="RN274" s="11"/>
      <c r="RO274" s="11"/>
      <c r="RP274" s="11"/>
      <c r="RQ274" s="11"/>
      <c r="RR274" s="11"/>
      <c r="RS274" s="11"/>
      <c r="RT274" s="11"/>
      <c r="RU274" s="11"/>
      <c r="RV274" s="11"/>
      <c r="RW274" s="11"/>
      <c r="RX274" s="11"/>
      <c r="RY274" s="11"/>
      <c r="RZ274" s="11"/>
      <c r="SA274" s="11"/>
      <c r="SB274" s="11"/>
      <c r="SC274" s="11"/>
      <c r="SD274" s="11"/>
      <c r="SE274" s="11"/>
      <c r="SF274" s="11"/>
      <c r="SG274" s="11"/>
      <c r="SH274" s="11"/>
      <c r="SI274" s="11"/>
      <c r="SJ274" s="11"/>
      <c r="SK274" s="11"/>
      <c r="SL274" s="11"/>
      <c r="SM274" s="11"/>
      <c r="SN274" s="11"/>
      <c r="SO274" s="11"/>
      <c r="SP274" s="11"/>
      <c r="SQ274" s="11"/>
      <c r="SR274" s="11"/>
      <c r="SS274" s="11"/>
      <c r="ST274" s="11"/>
      <c r="SU274" s="11"/>
      <c r="SV274" s="11"/>
      <c r="SW274" s="11"/>
      <c r="SX274" s="11"/>
      <c r="SY274" s="11"/>
      <c r="SZ274" s="11"/>
      <c r="TA274" s="11"/>
      <c r="TB274" s="11"/>
      <c r="TC274" s="11"/>
      <c r="TD274" s="11"/>
      <c r="TE274" s="11"/>
      <c r="TF274" s="11"/>
      <c r="TG274" s="11"/>
      <c r="TH274" s="11"/>
      <c r="TI274" s="11"/>
      <c r="TJ274" s="11"/>
      <c r="TK274" s="11"/>
      <c r="TL274" s="11"/>
      <c r="TM274" s="11"/>
      <c r="TN274" s="11"/>
      <c r="TO274" s="11"/>
      <c r="TP274" s="11"/>
      <c r="TQ274" s="11"/>
      <c r="TR274" s="11"/>
      <c r="TS274" s="11"/>
      <c r="TT274" s="11"/>
      <c r="TU274" s="11"/>
      <c r="TV274" s="11"/>
      <c r="TW274" s="11"/>
      <c r="TX274" s="11"/>
      <c r="TY274" s="11"/>
      <c r="TZ274" s="11"/>
      <c r="UA274" s="11"/>
      <c r="UB274" s="11"/>
      <c r="UC274" s="11"/>
      <c r="UD274" s="11"/>
      <c r="UE274" s="11"/>
      <c r="UF274" s="11"/>
      <c r="UG274" s="11"/>
      <c r="UH274" s="11"/>
      <c r="UI274" s="11"/>
      <c r="UJ274" s="11"/>
      <c r="UK274" s="11"/>
      <c r="UL274" s="11"/>
      <c r="UM274" s="11"/>
      <c r="UN274" s="11"/>
      <c r="UO274" s="11"/>
      <c r="UP274" s="11"/>
      <c r="UQ274" s="11"/>
      <c r="UR274" s="11"/>
      <c r="US274" s="11"/>
      <c r="UT274" s="11"/>
      <c r="UU274" s="11"/>
      <c r="UV274" s="11"/>
      <c r="UW274" s="11"/>
      <c r="UX274" s="11"/>
      <c r="UY274" s="11"/>
      <c r="UZ274" s="11"/>
      <c r="VA274" s="11"/>
      <c r="VB274" s="11"/>
      <c r="VC274" s="11"/>
      <c r="VD274" s="11"/>
      <c r="VE274" s="11"/>
      <c r="VF274" s="11"/>
      <c r="VG274" s="11"/>
      <c r="VH274" s="11"/>
      <c r="VI274" s="11"/>
      <c r="VJ274" s="11"/>
      <c r="VK274" s="11"/>
      <c r="VL274" s="11"/>
      <c r="VM274" s="11"/>
      <c r="VN274" s="11"/>
      <c r="VO274" s="11"/>
      <c r="VP274" s="11"/>
      <c r="VQ274" s="11"/>
      <c r="VR274" s="11"/>
      <c r="VS274" s="11"/>
      <c r="VT274" s="11"/>
      <c r="VU274" s="11"/>
      <c r="VV274" s="11"/>
      <c r="VW274" s="11"/>
      <c r="VX274" s="11"/>
      <c r="VY274" s="11"/>
      <c r="VZ274" s="11"/>
      <c r="WA274" s="11"/>
      <c r="WB274" s="11"/>
      <c r="WC274" s="11"/>
      <c r="WD274" s="11"/>
      <c r="WE274" s="11"/>
      <c r="WF274" s="11"/>
      <c r="WG274" s="11"/>
      <c r="WH274" s="11"/>
      <c r="WI274" s="11"/>
      <c r="WJ274" s="11"/>
      <c r="WK274" s="11"/>
      <c r="WL274" s="11"/>
      <c r="WM274" s="11"/>
      <c r="WN274" s="11"/>
      <c r="WO274" s="11"/>
      <c r="WP274" s="11"/>
      <c r="WQ274" s="11"/>
      <c r="WR274" s="11"/>
      <c r="WS274" s="11"/>
      <c r="WT274" s="11"/>
      <c r="WU274" s="11"/>
      <c r="WV274" s="11"/>
      <c r="WW274" s="11"/>
      <c r="WX274" s="11"/>
      <c r="WY274" s="11"/>
      <c r="WZ274" s="11"/>
      <c r="XA274" s="11"/>
      <c r="XB274" s="11"/>
      <c r="XC274" s="11"/>
      <c r="XD274" s="11"/>
      <c r="XE274" s="11"/>
      <c r="XF274" s="11"/>
      <c r="XG274" s="11"/>
      <c r="XH274" s="11"/>
      <c r="XI274" s="11"/>
      <c r="XJ274" s="11"/>
      <c r="XK274" s="11"/>
      <c r="XL274" s="11"/>
      <c r="XM274" s="11"/>
      <c r="XN274" s="11"/>
      <c r="XO274" s="11"/>
      <c r="XP274" s="11"/>
      <c r="XQ274" s="11"/>
      <c r="XR274" s="11"/>
      <c r="XS274" s="11"/>
      <c r="XT274" s="11"/>
      <c r="XU274" s="11"/>
      <c r="XV274" s="11"/>
      <c r="XW274" s="11"/>
      <c r="XX274" s="11"/>
      <c r="XY274" s="11"/>
      <c r="XZ274" s="11"/>
      <c r="YA274" s="11"/>
      <c r="YB274" s="11"/>
      <c r="YC274" s="11"/>
      <c r="YD274" s="11"/>
      <c r="YE274" s="11"/>
      <c r="YF274" s="11"/>
      <c r="YG274" s="11"/>
      <c r="YH274" s="11"/>
      <c r="YI274" s="11"/>
      <c r="YJ274" s="11"/>
      <c r="YK274" s="11"/>
      <c r="YL274" s="11"/>
      <c r="YM274" s="11"/>
      <c r="YN274" s="11"/>
      <c r="YO274" s="11"/>
      <c r="YP274" s="11"/>
      <c r="YQ274" s="11"/>
      <c r="YR274" s="11"/>
      <c r="YS274" s="11"/>
      <c r="YT274" s="11"/>
      <c r="YU274" s="11"/>
      <c r="YV274" s="11"/>
      <c r="YW274" s="11"/>
      <c r="YX274" s="11"/>
      <c r="YY274" s="11"/>
      <c r="YZ274" s="11"/>
      <c r="ZA274" s="11"/>
      <c r="ZB274" s="11"/>
      <c r="ZC274" s="11"/>
      <c r="ZD274" s="11"/>
      <c r="ZE274" s="11"/>
      <c r="ZF274" s="11"/>
      <c r="ZG274" s="11"/>
      <c r="ZH274" s="11"/>
      <c r="ZI274" s="11"/>
      <c r="ZJ274" s="11"/>
      <c r="ZK274" s="11"/>
      <c r="ZL274" s="11"/>
      <c r="ZM274" s="11"/>
      <c r="ZN274" s="11"/>
      <c r="ZO274" s="11"/>
      <c r="ZP274" s="11"/>
      <c r="ZQ274" s="11"/>
      <c r="ZR274" s="11"/>
      <c r="ZS274" s="11"/>
      <c r="ZT274" s="11"/>
      <c r="ZU274" s="11"/>
      <c r="ZV274" s="11"/>
      <c r="ZW274" s="11"/>
      <c r="ZX274" s="11"/>
      <c r="ZY274" s="11"/>
      <c r="ZZ274" s="11"/>
      <c r="AAA274" s="11"/>
      <c r="AAB274" s="11"/>
      <c r="AAC274" s="11"/>
      <c r="AAD274" s="11"/>
      <c r="AAE274" s="11"/>
      <c r="AAF274" s="11"/>
      <c r="AAG274" s="11"/>
      <c r="AAH274" s="11"/>
      <c r="AAI274" s="11"/>
      <c r="AAJ274" s="11"/>
      <c r="AAK274" s="11"/>
      <c r="AAL274" s="11"/>
      <c r="AAM274" s="11"/>
      <c r="AAN274" s="11"/>
      <c r="AAO274" s="11"/>
      <c r="AAP274" s="11"/>
      <c r="AAQ274" s="11"/>
      <c r="AAR274" s="11"/>
      <c r="AAS274" s="11"/>
      <c r="AAT274" s="11"/>
      <c r="AAU274" s="11"/>
      <c r="AAV274" s="11"/>
      <c r="AAW274" s="11"/>
      <c r="AAX274" s="11"/>
      <c r="AAY274" s="11"/>
      <c r="AAZ274" s="11"/>
      <c r="ABA274" s="11"/>
      <c r="ABB274" s="11"/>
      <c r="ABC274" s="11"/>
      <c r="ABD274" s="11"/>
      <c r="ABE274" s="11"/>
      <c r="ABF274" s="11"/>
      <c r="ABG274" s="11"/>
      <c r="ABH274" s="11"/>
      <c r="ABI274" s="11"/>
      <c r="ABJ274" s="11"/>
      <c r="ABK274" s="11"/>
      <c r="ABL274" s="11"/>
      <c r="ABM274" s="11"/>
      <c r="ABN274" s="11"/>
      <c r="ABO274" s="11"/>
      <c r="ABP274" s="11"/>
      <c r="ABQ274" s="11"/>
      <c r="ABR274" s="11"/>
      <c r="ABS274" s="11"/>
      <c r="ABT274" s="11"/>
      <c r="ABU274" s="11"/>
      <c r="ABV274" s="11"/>
      <c r="ABW274" s="11"/>
      <c r="ABX274" s="11"/>
      <c r="ABY274" s="11"/>
      <c r="ABZ274" s="11"/>
      <c r="ACA274" s="11"/>
      <c r="ACB274" s="11"/>
      <c r="ACC274" s="11"/>
      <c r="ACD274" s="11"/>
      <c r="ACE274" s="11"/>
      <c r="ACF274" s="11"/>
      <c r="ACG274" s="11"/>
      <c r="ACH274" s="11"/>
      <c r="ACI274" s="11"/>
      <c r="ACJ274" s="11"/>
      <c r="ACK274" s="11"/>
      <c r="ACL274" s="11"/>
      <c r="ACM274" s="11"/>
      <c r="ACN274" s="11"/>
      <c r="ACO274" s="11"/>
      <c r="ACP274" s="11"/>
      <c r="ACQ274" s="11"/>
      <c r="ACR274" s="11"/>
      <c r="ACS274" s="11"/>
      <c r="ACT274" s="11"/>
      <c r="ACU274" s="11"/>
      <c r="ACV274" s="11"/>
      <c r="ACW274" s="11"/>
      <c r="ACX274" s="11"/>
      <c r="ACY274" s="11"/>
      <c r="ACZ274" s="11"/>
      <c r="ADA274" s="11"/>
      <c r="ADB274" s="11"/>
      <c r="ADC274" s="11"/>
      <c r="ADD274" s="11"/>
      <c r="ADE274" s="11"/>
      <c r="ADF274" s="11"/>
      <c r="ADG274" s="11"/>
      <c r="ADH274" s="11"/>
      <c r="ADI274" s="11"/>
      <c r="ADJ274" s="11"/>
      <c r="ADK274" s="11"/>
      <c r="ADL274" s="11"/>
      <c r="ADM274" s="11"/>
      <c r="ADN274" s="11"/>
      <c r="ADO274" s="11"/>
      <c r="ADP274" s="11"/>
      <c r="ADQ274" s="11"/>
      <c r="ADR274" s="11"/>
      <c r="ADS274" s="11"/>
      <c r="ADT274" s="11"/>
      <c r="ADU274" s="11"/>
      <c r="ADV274" s="11"/>
      <c r="ADW274" s="11"/>
      <c r="ADX274" s="11"/>
      <c r="ADY274" s="11"/>
      <c r="ADZ274" s="11"/>
      <c r="AEA274" s="11"/>
      <c r="AEB274" s="11"/>
      <c r="AEC274" s="11"/>
      <c r="AED274" s="11"/>
      <c r="AEE274" s="11"/>
      <c r="AEF274" s="11"/>
      <c r="AEG274" s="11"/>
      <c r="AEH274" s="11"/>
      <c r="AEI274" s="11"/>
      <c r="AEJ274" s="11"/>
      <c r="AEK274" s="11"/>
      <c r="AEL274" s="11"/>
      <c r="AEM274" s="11"/>
      <c r="AEN274" s="11"/>
      <c r="AEO274" s="11"/>
      <c r="AEP274" s="11"/>
      <c r="AEQ274" s="11"/>
      <c r="AER274" s="11"/>
      <c r="AES274" s="11"/>
      <c r="AET274" s="11"/>
      <c r="AEU274" s="11"/>
      <c r="AEV274" s="11"/>
      <c r="AEW274" s="11"/>
      <c r="AEX274" s="11"/>
      <c r="AEY274" s="11"/>
      <c r="AEZ274" s="11"/>
      <c r="AFA274" s="11"/>
      <c r="AFB274" s="11"/>
      <c r="AFC274" s="11"/>
      <c r="AFD274" s="11"/>
      <c r="AFE274" s="11"/>
      <c r="AFF274" s="11"/>
      <c r="AFG274" s="11"/>
      <c r="AFH274" s="11"/>
      <c r="AFI274" s="11"/>
      <c r="AFJ274" s="11"/>
      <c r="AFK274" s="11"/>
      <c r="AFL274" s="11"/>
      <c r="AFM274" s="11"/>
      <c r="AFN274" s="11"/>
      <c r="AFO274" s="11"/>
      <c r="AFP274" s="11"/>
      <c r="AFQ274" s="11"/>
      <c r="AFR274" s="11"/>
      <c r="AFS274" s="11"/>
      <c r="AFT274" s="11"/>
      <c r="AFU274" s="11"/>
      <c r="AFV274" s="11"/>
      <c r="AFW274" s="11"/>
      <c r="AFX274" s="11"/>
      <c r="AFY274" s="11"/>
      <c r="AFZ274" s="11"/>
      <c r="AGA274" s="11"/>
      <c r="AGB274" s="11"/>
      <c r="AGC274" s="11"/>
      <c r="AGD274" s="11"/>
      <c r="AGE274" s="11"/>
      <c r="AGF274" s="11"/>
      <c r="AGG274" s="11"/>
      <c r="AGH274" s="11"/>
      <c r="AGI274" s="11"/>
      <c r="AGJ274" s="11"/>
      <c r="AGK274" s="11"/>
      <c r="AGL274" s="11"/>
      <c r="AGM274" s="11"/>
      <c r="AGN274" s="11"/>
      <c r="AGO274" s="11"/>
      <c r="AGP274" s="11"/>
      <c r="AGQ274" s="11"/>
      <c r="AGR274" s="11"/>
      <c r="AGS274" s="11"/>
      <c r="AGT274" s="11"/>
      <c r="AGU274" s="11"/>
      <c r="AGV274" s="11"/>
      <c r="AGW274" s="11"/>
      <c r="AGX274" s="11"/>
      <c r="AGY274" s="11"/>
      <c r="AGZ274" s="11"/>
      <c r="AHA274" s="11"/>
      <c r="AHB274" s="11"/>
      <c r="AHC274" s="11"/>
      <c r="AHD274" s="11"/>
      <c r="AHE274" s="11"/>
      <c r="AHF274" s="11"/>
      <c r="AHG274" s="11"/>
      <c r="AHH274" s="11"/>
      <c r="AHI274" s="11"/>
      <c r="AHJ274" s="11"/>
      <c r="AHK274" s="11"/>
      <c r="AHL274" s="11"/>
      <c r="AHM274" s="11"/>
      <c r="AHN274" s="11"/>
      <c r="AHO274" s="11"/>
      <c r="AHP274" s="11"/>
      <c r="AHQ274" s="11"/>
      <c r="AHR274" s="11"/>
      <c r="AHS274" s="11"/>
      <c r="AHT274" s="11"/>
      <c r="AHU274" s="11"/>
      <c r="AHV274" s="11"/>
      <c r="AHW274" s="11"/>
      <c r="AHX274" s="11"/>
      <c r="AHY274" s="11"/>
      <c r="AHZ274" s="11"/>
      <c r="AIA274" s="11"/>
      <c r="AIB274" s="11"/>
      <c r="AIC274" s="11"/>
      <c r="AID274" s="11"/>
      <c r="AIE274" s="11"/>
      <c r="AIF274" s="11"/>
      <c r="AIG274" s="11"/>
      <c r="AIH274" s="11"/>
      <c r="AII274" s="11"/>
      <c r="AIJ274" s="11"/>
      <c r="AIK274" s="11"/>
      <c r="AIL274" s="11"/>
      <c r="AIM274" s="11"/>
      <c r="AIN274" s="11"/>
      <c r="AIO274" s="11"/>
      <c r="AIP274" s="11"/>
      <c r="AIQ274" s="11"/>
      <c r="AIR274" s="11"/>
      <c r="AIS274" s="11"/>
      <c r="AIT274" s="11"/>
      <c r="AIU274" s="11"/>
      <c r="AIV274" s="11"/>
      <c r="AIW274" s="11"/>
      <c r="AIX274" s="11"/>
      <c r="AIY274" s="11"/>
      <c r="AIZ274" s="11"/>
      <c r="AJA274" s="11"/>
      <c r="AJB274" s="11"/>
      <c r="AJC274" s="11"/>
      <c r="AJD274" s="11"/>
      <c r="AJE274" s="11"/>
      <c r="AJF274" s="11"/>
      <c r="AJG274" s="11"/>
      <c r="AJH274" s="11"/>
      <c r="AJI274" s="11"/>
      <c r="AJJ274" s="11"/>
      <c r="AJK274" s="11"/>
      <c r="AJL274" s="11"/>
      <c r="AJM274" s="11"/>
      <c r="AJN274" s="11"/>
      <c r="AJO274" s="11"/>
      <c r="AJP274" s="11"/>
      <c r="AJQ274" s="11"/>
      <c r="AJR274" s="11"/>
      <c r="AJS274" s="11"/>
      <c r="AJT274" s="11"/>
      <c r="AJU274" s="11"/>
      <c r="AJV274" s="11"/>
      <c r="AJW274" s="11"/>
      <c r="AJX274" s="11"/>
      <c r="AJY274" s="11"/>
      <c r="AJZ274" s="11"/>
      <c r="AKA274" s="11"/>
      <c r="AKB274" s="11"/>
      <c r="AKC274" s="11"/>
      <c r="AKD274" s="11"/>
      <c r="AKE274" s="11"/>
      <c r="AKF274" s="11"/>
      <c r="AKG274" s="11"/>
      <c r="AKH274" s="11"/>
      <c r="AKI274" s="11"/>
      <c r="AKJ274" s="11"/>
      <c r="AKK274" s="11"/>
      <c r="AKL274" s="11"/>
      <c r="AKM274" s="11"/>
      <c r="AKN274" s="11"/>
      <c r="AKO274" s="11"/>
      <c r="AKP274" s="11"/>
      <c r="AKQ274" s="11"/>
      <c r="AKR274" s="11"/>
      <c r="AKS274" s="11"/>
      <c r="AKT274" s="11"/>
      <c r="AKU274" s="11"/>
      <c r="AKV274" s="11"/>
      <c r="AKW274" s="11"/>
      <c r="AKX274" s="11"/>
      <c r="AKY274" s="11"/>
      <c r="AKZ274" s="11"/>
      <c r="ALA274" s="11"/>
      <c r="ALB274" s="11"/>
      <c r="ALC274" s="11"/>
      <c r="ALD274" s="11"/>
      <c r="ALE274" s="11"/>
      <c r="ALF274" s="11"/>
      <c r="ALG274" s="11"/>
      <c r="ALH274" s="11"/>
      <c r="ALI274" s="11"/>
      <c r="ALJ274" s="11"/>
      <c r="ALK274" s="11"/>
      <c r="ALL274" s="11"/>
      <c r="ALM274" s="11"/>
      <c r="ALN274" s="11"/>
      <c r="ALO274" s="11"/>
      <c r="ALP274" s="11"/>
      <c r="ALQ274" s="11"/>
      <c r="ALR274" s="11"/>
      <c r="ALS274" s="11"/>
      <c r="ALT274" s="11"/>
      <c r="ALU274" s="11"/>
      <c r="ALV274" s="11"/>
      <c r="ALW274" s="11"/>
      <c r="ALX274" s="11"/>
      <c r="ALY274" s="11"/>
      <c r="ALZ274" s="11"/>
      <c r="AMA274" s="11"/>
      <c r="AMB274" s="11"/>
      <c r="AMC274" s="11"/>
      <c r="AMD274" s="11"/>
      <c r="AME274" s="11"/>
      <c r="AMF274" s="11"/>
      <c r="AMG274" s="11"/>
      <c r="AMH274" s="11"/>
      <c r="AMI274" s="11"/>
      <c r="AMJ274" s="11"/>
    </row>
    <row r="275" spans="1:1024" ht="27.6">
      <c r="A275" s="8" t="s">
        <v>269</v>
      </c>
      <c r="B275" s="8">
        <v>673173</v>
      </c>
      <c r="D275" s="29"/>
      <c r="E275" s="1">
        <v>11.67</v>
      </c>
      <c r="F275" s="8">
        <v>6</v>
      </c>
      <c r="G275" s="30">
        <f t="shared" si="15"/>
        <v>17.670000000000002</v>
      </c>
      <c r="H275" s="8">
        <f t="shared" si="14"/>
        <v>-11.67</v>
      </c>
      <c r="I275">
        <f t="shared" si="16"/>
        <v>0</v>
      </c>
      <c r="J275">
        <f>SUMIF(Oeffentlichkeitsarbeit!$D:$D,$B275,Oeffentlichkeitsarbeit!$F:$F)</f>
        <v>0</v>
      </c>
      <c r="K275">
        <f>COUNTIF(Fairteiler!$D:$D,$B275)*1/2</f>
        <v>0</v>
      </c>
      <c r="L275">
        <f>COUNTIF('NP-Betrieb'!D:D,$B275)*1/3</f>
        <v>0</v>
      </c>
      <c r="M275">
        <f>COUNTIF(Fairteilungen!$D:$D,$B275)*3/4</f>
        <v>0</v>
      </c>
      <c r="N275">
        <f>COUNTIF(Anlieferung!D:D,$B275)*1/2</f>
        <v>0</v>
      </c>
      <c r="O275">
        <f>COUNTIF(Probeabholungen!B:B,$B275)*1/3</f>
        <v>0</v>
      </c>
    </row>
    <row r="276" spans="1:1024" ht="27.6">
      <c r="A276" s="8" t="s">
        <v>270</v>
      </c>
      <c r="B276" s="8">
        <v>92567</v>
      </c>
      <c r="C276" s="11"/>
      <c r="D276" s="29"/>
      <c r="E276" s="1">
        <v>0</v>
      </c>
      <c r="F276" s="8">
        <v>6</v>
      </c>
      <c r="G276" s="30">
        <f t="shared" si="15"/>
        <v>2.6666666666666665</v>
      </c>
      <c r="H276" s="8">
        <f t="shared" si="14"/>
        <v>3.3333333333333335</v>
      </c>
      <c r="I276" s="11">
        <f t="shared" si="16"/>
        <v>3.3333333333333335</v>
      </c>
      <c r="J276" s="11">
        <f>SUMIF(Oeffentlichkeitsarbeit!$D:$D,$B276,Oeffentlichkeitsarbeit!$F:$F)</f>
        <v>0</v>
      </c>
      <c r="K276" s="11">
        <f>COUNTIF(Fairteiler!$D:$D,$B276)*1/2</f>
        <v>0</v>
      </c>
      <c r="L276" s="11">
        <f>COUNTIF('NP-Betrieb'!D:D,$B276)*1/3</f>
        <v>3.3333333333333335</v>
      </c>
      <c r="M276" s="11">
        <f>COUNTIF(Fairteilungen!$D:$D,$B276)*3/4</f>
        <v>0</v>
      </c>
      <c r="N276" s="11">
        <f>COUNTIF(Anlieferung!D:D,$B276)*1/2</f>
        <v>0</v>
      </c>
      <c r="O276" s="11">
        <f>COUNTIF(Probeabholungen!B:B,$B276)*1/3</f>
        <v>0</v>
      </c>
    </row>
    <row r="277" spans="1:1024" ht="27.6">
      <c r="A277" s="8" t="s">
        <v>271</v>
      </c>
      <c r="B277" s="8">
        <v>859332</v>
      </c>
      <c r="D277" s="24">
        <v>45530</v>
      </c>
      <c r="E277" s="1">
        <v>0</v>
      </c>
      <c r="F277" s="8">
        <v>6</v>
      </c>
      <c r="G277" s="30">
        <f t="shared" si="15"/>
        <v>2.6666666666666665</v>
      </c>
      <c r="H277" s="8">
        <f t="shared" si="14"/>
        <v>3.3333333333333335</v>
      </c>
      <c r="I277">
        <f t="shared" si="16"/>
        <v>3.3333333333333335</v>
      </c>
      <c r="J277">
        <f>SUMIF(Oeffentlichkeitsarbeit!$D:$D,$B277,Oeffentlichkeitsarbeit!$F:$F)</f>
        <v>0</v>
      </c>
      <c r="K277">
        <f>COUNTIF(Fairteiler!$D:$D,$B277)*1/2</f>
        <v>0</v>
      </c>
      <c r="L277">
        <f>COUNTIF('NP-Betrieb'!D:D,$B277)*1/3</f>
        <v>3.3333333333333335</v>
      </c>
      <c r="M277">
        <f>COUNTIF(Fairteilungen!$D:$D,$B277)*3/4</f>
        <v>0</v>
      </c>
      <c r="N277">
        <f>COUNTIF(Anlieferung!D:D,$B277)*1/2</f>
        <v>0</v>
      </c>
      <c r="O277">
        <f>COUNTIF(Probeabholungen!B:B,$B277)*1/3</f>
        <v>0</v>
      </c>
    </row>
    <row r="278" spans="1:1024">
      <c r="A278" s="8" t="s">
        <v>272</v>
      </c>
      <c r="B278" s="8">
        <v>460979</v>
      </c>
      <c r="D278" s="29"/>
      <c r="E278" s="1">
        <v>15.67</v>
      </c>
      <c r="F278" s="8">
        <v>6</v>
      </c>
      <c r="G278" s="30">
        <f t="shared" si="15"/>
        <v>21.67</v>
      </c>
      <c r="H278" s="8">
        <f t="shared" si="14"/>
        <v>-15.67</v>
      </c>
      <c r="I278">
        <f t="shared" si="16"/>
        <v>0</v>
      </c>
      <c r="J278">
        <f>SUMIF(Oeffentlichkeitsarbeit!$D:$D,$B278,Oeffentlichkeitsarbeit!$F:$F)</f>
        <v>0</v>
      </c>
      <c r="K278">
        <f>COUNTIF(Fairteiler!$D:$D,$B278)*1/2</f>
        <v>0</v>
      </c>
      <c r="L278">
        <f>COUNTIF('NP-Betrieb'!D:D,$B278)*1/3</f>
        <v>0</v>
      </c>
      <c r="M278">
        <f>COUNTIF(Fairteilungen!$D:$D,$B278)*3/4</f>
        <v>0</v>
      </c>
      <c r="N278">
        <f>COUNTIF(Anlieferung!D:D,$B278)*1/2</f>
        <v>0</v>
      </c>
      <c r="O278">
        <f>COUNTIF(Probeabholungen!B:B,$B278)*1/3</f>
        <v>0</v>
      </c>
    </row>
    <row r="279" spans="1:1024" ht="41.4">
      <c r="A279" s="16" t="s">
        <v>273</v>
      </c>
      <c r="B279" s="16">
        <v>331144</v>
      </c>
      <c r="C279" s="16" t="s">
        <v>831</v>
      </c>
      <c r="D279" s="29"/>
      <c r="E279" s="1">
        <v>0</v>
      </c>
      <c r="F279" s="16">
        <v>0</v>
      </c>
      <c r="G279" s="30">
        <f t="shared" si="15"/>
        <v>-3.3333333333333335</v>
      </c>
      <c r="H279" s="16">
        <f t="shared" si="14"/>
        <v>3.3333333333333335</v>
      </c>
      <c r="I279" s="11">
        <f t="shared" si="16"/>
        <v>3.3333333333333335</v>
      </c>
      <c r="J279" s="11">
        <f>SUMIF(Oeffentlichkeitsarbeit!$D:$D,$B279,Oeffentlichkeitsarbeit!$F:$F)</f>
        <v>0</v>
      </c>
      <c r="K279" s="11">
        <f>COUNTIF(Fairteiler!$D:$D,$B279)*1/2</f>
        <v>0</v>
      </c>
      <c r="L279" s="11">
        <f>COUNTIF('NP-Betrieb'!D:D,$B279)*1/3</f>
        <v>3.3333333333333335</v>
      </c>
      <c r="M279" s="11">
        <f>COUNTIF(Fairteilungen!$D:$D,$B279)*3/4</f>
        <v>0</v>
      </c>
      <c r="N279" s="11">
        <f>COUNTIF(Anlieferung!D:D,$B279)*1/2</f>
        <v>0</v>
      </c>
      <c r="O279" s="11">
        <f>COUNTIF(Probeabholungen!B:B,$B279)*1/3</f>
        <v>0</v>
      </c>
    </row>
    <row r="280" spans="1:1024" ht="27.6">
      <c r="A280" s="8" t="s">
        <v>274</v>
      </c>
      <c r="B280" s="8">
        <v>209946</v>
      </c>
      <c r="D280" s="29"/>
      <c r="E280" s="1">
        <v>0</v>
      </c>
      <c r="F280" s="8">
        <v>6</v>
      </c>
      <c r="G280" s="30">
        <f t="shared" si="15"/>
        <v>3.3333333333333335</v>
      </c>
      <c r="H280" s="8">
        <f t="shared" si="14"/>
        <v>2.6666666666666665</v>
      </c>
      <c r="I280">
        <f t="shared" si="16"/>
        <v>2.6666666666666665</v>
      </c>
      <c r="J280">
        <f>SUMIF(Oeffentlichkeitsarbeit!$D:$D,$B280,Oeffentlichkeitsarbeit!$F:$F)</f>
        <v>0</v>
      </c>
      <c r="K280">
        <f>COUNTIF(Fairteiler!$D:$D,$B280)*1/2</f>
        <v>2</v>
      </c>
      <c r="L280">
        <f>COUNTIF('NP-Betrieb'!D:D,$B280)*1/3</f>
        <v>0.66666666666666663</v>
      </c>
      <c r="M280">
        <f>COUNTIF(Fairteilungen!$D:$D,$B280)*3/4</f>
        <v>0</v>
      </c>
      <c r="N280">
        <f>COUNTIF(Anlieferung!D:D,$B280)*1/2</f>
        <v>0</v>
      </c>
      <c r="O280">
        <f>COUNTIF(Probeabholungen!B:B,$B280)*1/3</f>
        <v>0</v>
      </c>
    </row>
    <row r="281" spans="1:1024" ht="27.6">
      <c r="A281" s="15" t="s">
        <v>275</v>
      </c>
      <c r="B281" s="15">
        <v>262000</v>
      </c>
      <c r="C281" s="15" t="s">
        <v>833</v>
      </c>
      <c r="D281" s="29"/>
      <c r="E281" s="1">
        <v>0</v>
      </c>
      <c r="F281" s="15">
        <v>0</v>
      </c>
      <c r="G281" s="30">
        <f t="shared" si="15"/>
        <v>-5</v>
      </c>
      <c r="H281" s="15">
        <f t="shared" si="14"/>
        <v>5</v>
      </c>
      <c r="I281" s="18">
        <f t="shared" si="16"/>
        <v>5</v>
      </c>
      <c r="J281" s="18">
        <f>SUMIF(Oeffentlichkeitsarbeit!$D:$D,$B281,Oeffentlichkeitsarbeit!$F:$F)</f>
        <v>0</v>
      </c>
      <c r="K281" s="18">
        <f>COUNTIF(Fairteiler!$D:$D,$B281)*1/2</f>
        <v>0</v>
      </c>
      <c r="L281" s="18">
        <f>COUNTIF('NP-Betrieb'!D:D,$B281)*1/3</f>
        <v>5</v>
      </c>
      <c r="M281" s="18">
        <f>COUNTIF(Fairteilungen!$D:$D,$B281)*3/4</f>
        <v>0</v>
      </c>
      <c r="N281" s="18">
        <f>COUNTIF(Anlieferung!D:D,$B281)*1/2</f>
        <v>0</v>
      </c>
      <c r="O281" s="18">
        <f>COUNTIF(Probeabholungen!B:B,$B281)*1/3</f>
        <v>0</v>
      </c>
    </row>
    <row r="282" spans="1:1024" ht="27.6">
      <c r="A282" s="16" t="s">
        <v>276</v>
      </c>
      <c r="B282" s="16">
        <v>562264</v>
      </c>
      <c r="C282" s="16" t="s">
        <v>831</v>
      </c>
      <c r="D282" s="29"/>
      <c r="E282" s="1">
        <v>0</v>
      </c>
      <c r="F282" s="16">
        <v>0</v>
      </c>
      <c r="G282" s="30">
        <f t="shared" si="15"/>
        <v>-3</v>
      </c>
      <c r="H282" s="16">
        <f t="shared" si="14"/>
        <v>3</v>
      </c>
      <c r="I282" s="11">
        <f t="shared" si="16"/>
        <v>3</v>
      </c>
      <c r="J282" s="11">
        <f>SUMIF(Oeffentlichkeitsarbeit!$D:$D,$B282,Oeffentlichkeitsarbeit!$F:$F)</f>
        <v>0</v>
      </c>
      <c r="K282" s="11">
        <f>COUNTIF(Fairteiler!$D:$D,$B282)*1/2</f>
        <v>0</v>
      </c>
      <c r="L282" s="11">
        <f>COUNTIF('NP-Betrieb'!D:D,$B282)*1/3</f>
        <v>3</v>
      </c>
      <c r="M282" s="11">
        <f>COUNTIF(Fairteilungen!$D:$D,$B282)*3/4</f>
        <v>0</v>
      </c>
      <c r="N282" s="11">
        <f>COUNTIF(Anlieferung!D:D,$B282)*1/2</f>
        <v>0</v>
      </c>
      <c r="O282" s="11">
        <f>COUNTIF(Probeabholungen!B:B,$B282)*1/3</f>
        <v>0</v>
      </c>
    </row>
    <row r="283" spans="1:1024" ht="27.6">
      <c r="A283" s="8" t="s">
        <v>277</v>
      </c>
      <c r="B283" s="8">
        <v>2311</v>
      </c>
      <c r="D283" s="29"/>
      <c r="E283" s="1">
        <v>14.67</v>
      </c>
      <c r="F283" s="8">
        <v>6</v>
      </c>
      <c r="G283" s="30">
        <f t="shared" si="15"/>
        <v>20.67</v>
      </c>
      <c r="H283" s="8">
        <f t="shared" si="14"/>
        <v>-14.67</v>
      </c>
      <c r="I283">
        <f t="shared" si="16"/>
        <v>0</v>
      </c>
      <c r="J283">
        <f>SUMIF(Oeffentlichkeitsarbeit!$D:$D,$B283,Oeffentlichkeitsarbeit!$F:$F)</f>
        <v>0</v>
      </c>
      <c r="K283">
        <f>COUNTIF(Fairteiler!$D:$D,$B283)*1/2</f>
        <v>0</v>
      </c>
      <c r="L283">
        <f>COUNTIF('NP-Betrieb'!D:D,$B283)*1/3</f>
        <v>0</v>
      </c>
      <c r="M283">
        <f>COUNTIF(Fairteilungen!$D:$D,$B283)*3/4</f>
        <v>0</v>
      </c>
      <c r="N283">
        <f>COUNTIF(Anlieferung!D:D,$B283)*1/2</f>
        <v>0</v>
      </c>
      <c r="O283">
        <f>COUNTIF(Probeabholungen!B:B,$B283)*1/3</f>
        <v>0</v>
      </c>
    </row>
    <row r="284" spans="1:1024" ht="27.6">
      <c r="A284" s="15" t="s">
        <v>278</v>
      </c>
      <c r="B284" s="15">
        <v>231210</v>
      </c>
      <c r="C284" s="15" t="s">
        <v>833</v>
      </c>
      <c r="D284" s="29"/>
      <c r="E284" s="1">
        <v>0</v>
      </c>
      <c r="F284" s="15">
        <v>0</v>
      </c>
      <c r="G284" s="30">
        <f t="shared" si="15"/>
        <v>-3.833333333333333</v>
      </c>
      <c r="H284" s="15">
        <f t="shared" ref="H284:H347" si="17">I284-E284</f>
        <v>3.833333333333333</v>
      </c>
      <c r="I284" s="11">
        <f t="shared" si="16"/>
        <v>3.833333333333333</v>
      </c>
      <c r="J284" s="11">
        <f>SUMIF(Oeffentlichkeitsarbeit!$D:$D,$B284,Oeffentlichkeitsarbeit!$F:$F)</f>
        <v>0</v>
      </c>
      <c r="K284" s="11">
        <f>COUNTIF(Fairteiler!$D:$D,$B284)*1/2</f>
        <v>2.5</v>
      </c>
      <c r="L284" s="11">
        <f>COUNTIF('NP-Betrieb'!D:D,$B284)*1/3</f>
        <v>1.3333333333333333</v>
      </c>
      <c r="M284" s="11">
        <f>COUNTIF(Fairteilungen!$D:$D,$B284)*3/4</f>
        <v>0</v>
      </c>
      <c r="N284" s="11">
        <f>COUNTIF(Anlieferung!D:D,$B284)*1/2</f>
        <v>0</v>
      </c>
      <c r="O284" s="11">
        <f>COUNTIF(Probeabholungen!B:B,$B284)*1/3</f>
        <v>0</v>
      </c>
    </row>
    <row r="285" spans="1:1024" ht="27.6">
      <c r="A285" s="8" t="s">
        <v>279</v>
      </c>
      <c r="B285" s="8">
        <v>320172</v>
      </c>
      <c r="C285" s="8"/>
      <c r="D285" s="29"/>
      <c r="E285" s="1">
        <v>0</v>
      </c>
      <c r="F285" s="8">
        <v>6</v>
      </c>
      <c r="G285" s="30">
        <f t="shared" si="15"/>
        <v>5.666666666666667</v>
      </c>
      <c r="H285" s="8">
        <f t="shared" si="17"/>
        <v>0.33333333333333331</v>
      </c>
      <c r="I285">
        <f t="shared" si="16"/>
        <v>0.33333333333333331</v>
      </c>
      <c r="J285">
        <f>SUMIF(Oeffentlichkeitsarbeit!$D:$D,$B285,Oeffentlichkeitsarbeit!$F:$F)</f>
        <v>0</v>
      </c>
      <c r="K285">
        <f>COUNTIF(Fairteiler!$D:$D,$B285)*1/2</f>
        <v>0</v>
      </c>
      <c r="L285">
        <f>COUNTIF('NP-Betrieb'!D:D,$B285)*1/3</f>
        <v>0.33333333333333331</v>
      </c>
      <c r="M285">
        <f>COUNTIF(Fairteilungen!$D:$D,$B285)*3/4</f>
        <v>0</v>
      </c>
      <c r="N285">
        <f>COUNTIF(Anlieferung!D:D,$B285)*1/2</f>
        <v>0</v>
      </c>
      <c r="O285">
        <f>COUNTIF(Probeabholungen!B:B,$B285)*1/3</f>
        <v>0</v>
      </c>
    </row>
    <row r="286" spans="1:1024" ht="27.6">
      <c r="A286" s="8" t="s">
        <v>280</v>
      </c>
      <c r="B286" s="8">
        <v>863369</v>
      </c>
      <c r="D286" s="24">
        <v>45531</v>
      </c>
      <c r="E286" s="1">
        <v>6.3333333333333304</v>
      </c>
      <c r="F286" s="8">
        <v>6</v>
      </c>
      <c r="G286" s="30">
        <f t="shared" si="15"/>
        <v>12.33333333333333</v>
      </c>
      <c r="H286" s="8">
        <f t="shared" si="17"/>
        <v>-6.3333333333333304</v>
      </c>
      <c r="I286">
        <f t="shared" si="16"/>
        <v>0</v>
      </c>
      <c r="J286">
        <f>SUMIF(Oeffentlichkeitsarbeit!$D:$D,$B286,Oeffentlichkeitsarbeit!$F:$F)</f>
        <v>0</v>
      </c>
      <c r="K286">
        <f>COUNTIF(Fairteiler!$D:$D,$B286)*1/2</f>
        <v>0</v>
      </c>
      <c r="L286">
        <f>COUNTIF('NP-Betrieb'!D:D,$B286)*1/3</f>
        <v>0</v>
      </c>
      <c r="M286">
        <f>COUNTIF(Fairteilungen!$D:$D,$B286)*3/4</f>
        <v>0</v>
      </c>
      <c r="N286">
        <f>COUNTIF(Anlieferung!D:D,$B286)*1/2</f>
        <v>0</v>
      </c>
      <c r="O286">
        <f>COUNTIF(Probeabholungen!B:B,$B286)*1/3</f>
        <v>0</v>
      </c>
    </row>
    <row r="287" spans="1:1024" ht="27.6">
      <c r="A287" s="8" t="s">
        <v>281</v>
      </c>
      <c r="B287" s="8">
        <v>671261</v>
      </c>
      <c r="C287" s="8"/>
      <c r="D287" s="29"/>
      <c r="E287" s="1">
        <v>0</v>
      </c>
      <c r="F287" s="8">
        <v>6</v>
      </c>
      <c r="G287" s="30">
        <f t="shared" si="15"/>
        <v>-1.5</v>
      </c>
      <c r="H287" s="8">
        <f t="shared" si="17"/>
        <v>7.5</v>
      </c>
      <c r="I287">
        <f t="shared" si="16"/>
        <v>7.5</v>
      </c>
      <c r="J287">
        <f>SUMIF(Oeffentlichkeitsarbeit!$D:$D,$B287,Oeffentlichkeitsarbeit!$F:$F)</f>
        <v>0</v>
      </c>
      <c r="K287">
        <f>COUNTIF(Fairteiler!$D:$D,$B287)*1/2</f>
        <v>7.5</v>
      </c>
      <c r="L287">
        <f>COUNTIF('NP-Betrieb'!D:D,$B287)*1/3</f>
        <v>0</v>
      </c>
      <c r="M287">
        <f>COUNTIF(Fairteilungen!$D:$D,$B287)*3/4</f>
        <v>0</v>
      </c>
      <c r="N287">
        <f>COUNTIF(Anlieferung!D:D,$B287)*1/2</f>
        <v>0</v>
      </c>
      <c r="O287">
        <f>COUNTIF(Probeabholungen!B:B,$B287)*1/3</f>
        <v>0</v>
      </c>
    </row>
    <row r="288" spans="1:1024" s="31" customFormat="1" ht="27.6">
      <c r="A288" s="8" t="s">
        <v>282</v>
      </c>
      <c r="B288" s="8">
        <v>540731</v>
      </c>
      <c r="C288"/>
      <c r="D288" s="29"/>
      <c r="E288" s="1">
        <v>4</v>
      </c>
      <c r="F288" s="8">
        <v>6</v>
      </c>
      <c r="G288" s="30">
        <f t="shared" si="15"/>
        <v>10</v>
      </c>
      <c r="H288" s="8">
        <f t="shared" si="17"/>
        <v>-4</v>
      </c>
      <c r="I288">
        <f t="shared" si="16"/>
        <v>0</v>
      </c>
      <c r="J288">
        <f>SUMIF(Oeffentlichkeitsarbeit!$D:$D,$B288,Oeffentlichkeitsarbeit!$F:$F)</f>
        <v>0</v>
      </c>
      <c r="K288">
        <f>COUNTIF(Fairteiler!$D:$D,$B288)*1/2</f>
        <v>0</v>
      </c>
      <c r="L288">
        <f>COUNTIF('NP-Betrieb'!D:D,$B288)*1/3</f>
        <v>0</v>
      </c>
      <c r="M288">
        <f>COUNTIF(Fairteilungen!$D:$D,$B288)*3/4</f>
        <v>0</v>
      </c>
      <c r="N288">
        <f>COUNTIF(Anlieferung!D:D,$B288)*1/2</f>
        <v>0</v>
      </c>
      <c r="O288">
        <f>COUNTIF(Probeabholungen!B:B,$B288)*1/3</f>
        <v>0</v>
      </c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DV288"/>
      <c r="DW288"/>
      <c r="DX288"/>
      <c r="DY288"/>
      <c r="DZ288"/>
      <c r="EA288"/>
      <c r="EB288"/>
      <c r="EC288"/>
      <c r="ED288"/>
      <c r="EE288"/>
      <c r="EF288"/>
      <c r="EG288"/>
      <c r="EH288"/>
      <c r="EI288"/>
      <c r="EJ288"/>
      <c r="EK288"/>
      <c r="EL288"/>
      <c r="EM288"/>
      <c r="EN288"/>
      <c r="EO288"/>
      <c r="EP288"/>
      <c r="EQ288"/>
      <c r="ER288"/>
      <c r="ES288"/>
      <c r="ET288"/>
      <c r="EU288"/>
      <c r="EV288"/>
      <c r="EW288"/>
      <c r="EX288"/>
      <c r="EY288"/>
      <c r="EZ288"/>
      <c r="FA288"/>
      <c r="FB288"/>
      <c r="FC288"/>
      <c r="FD288"/>
      <c r="FE288"/>
      <c r="FF288"/>
      <c r="FG288"/>
      <c r="FH288"/>
      <c r="FI288"/>
      <c r="FJ288"/>
      <c r="FK288"/>
      <c r="FL288"/>
      <c r="FM288"/>
      <c r="FN288"/>
      <c r="FO288"/>
      <c r="FP288"/>
      <c r="FQ288"/>
      <c r="FR288"/>
      <c r="FS288"/>
      <c r="FT288"/>
      <c r="FU288"/>
      <c r="FV288"/>
      <c r="FW288"/>
      <c r="FX288"/>
      <c r="FY288"/>
      <c r="FZ288"/>
      <c r="GA288"/>
      <c r="GB288"/>
      <c r="GC288"/>
      <c r="GD288"/>
      <c r="GE288"/>
      <c r="GF288"/>
      <c r="GG288"/>
      <c r="GH288"/>
      <c r="GI288"/>
      <c r="GJ288"/>
      <c r="GK288"/>
      <c r="GL288"/>
      <c r="GM288"/>
      <c r="GN288"/>
      <c r="GO288"/>
      <c r="GP288"/>
      <c r="GQ288"/>
      <c r="GR288"/>
      <c r="GS288"/>
      <c r="GT288"/>
      <c r="GU288"/>
      <c r="GV288"/>
      <c r="GW288"/>
      <c r="GX288"/>
      <c r="GY288"/>
      <c r="GZ288"/>
      <c r="HA288"/>
      <c r="HB288"/>
      <c r="HC288"/>
      <c r="HD288"/>
      <c r="HE288"/>
      <c r="HF288"/>
      <c r="HG288"/>
      <c r="HH288"/>
      <c r="HI288"/>
      <c r="HJ288"/>
      <c r="HK288"/>
      <c r="HL288"/>
      <c r="HM288"/>
      <c r="HN288"/>
      <c r="HO288"/>
      <c r="HP288"/>
      <c r="HQ288"/>
      <c r="HR288"/>
      <c r="HS288"/>
      <c r="HT288"/>
      <c r="HU288"/>
      <c r="HV288"/>
      <c r="HW288"/>
      <c r="HX288"/>
      <c r="HY288"/>
      <c r="HZ288"/>
      <c r="IA288"/>
      <c r="IB288"/>
      <c r="IC288"/>
      <c r="ID288"/>
      <c r="IE288"/>
      <c r="IF288"/>
      <c r="IG288"/>
      <c r="IH288"/>
      <c r="II288"/>
      <c r="IJ288"/>
      <c r="IK288"/>
      <c r="IL288"/>
      <c r="IM288"/>
      <c r="IN288"/>
      <c r="IO288"/>
      <c r="IP288"/>
      <c r="IQ288"/>
      <c r="IR288"/>
      <c r="IS288"/>
      <c r="IT288"/>
      <c r="IU288"/>
      <c r="IV288"/>
      <c r="IW288"/>
      <c r="IX288"/>
      <c r="IY288"/>
      <c r="IZ288"/>
      <c r="JA288"/>
      <c r="JB288"/>
      <c r="JC288"/>
      <c r="JD288"/>
      <c r="JE288"/>
      <c r="JF288"/>
      <c r="JG288"/>
      <c r="JH288"/>
      <c r="JI288"/>
      <c r="JJ288"/>
      <c r="JK288"/>
      <c r="JL288"/>
      <c r="JM288"/>
      <c r="JN288"/>
      <c r="JO288"/>
      <c r="JP288"/>
      <c r="JQ288"/>
      <c r="JR288"/>
      <c r="JS288"/>
      <c r="JT288"/>
      <c r="JU288"/>
      <c r="JV288"/>
      <c r="JW288"/>
      <c r="JX288"/>
      <c r="JY288"/>
      <c r="JZ288"/>
      <c r="KA288"/>
      <c r="KB288"/>
      <c r="KC288"/>
      <c r="KD288"/>
      <c r="KE288"/>
      <c r="KF288"/>
      <c r="KG288"/>
      <c r="KH288"/>
      <c r="KI288"/>
      <c r="KJ288"/>
      <c r="KK288"/>
      <c r="KL288"/>
      <c r="KM288"/>
      <c r="KN288"/>
      <c r="KO288"/>
      <c r="KP288"/>
      <c r="KQ288"/>
      <c r="KR288"/>
      <c r="KS288"/>
      <c r="KT288"/>
      <c r="KU288"/>
      <c r="KV288"/>
      <c r="KW288"/>
      <c r="KX288"/>
      <c r="KY288"/>
      <c r="KZ288"/>
      <c r="LA288"/>
      <c r="LB288"/>
      <c r="LC288"/>
      <c r="LD288"/>
      <c r="LE288"/>
      <c r="LF288"/>
      <c r="LG288"/>
      <c r="LH288"/>
      <c r="LI288"/>
      <c r="LJ288"/>
      <c r="LK288"/>
      <c r="LL288"/>
      <c r="LM288"/>
      <c r="LN288"/>
      <c r="LO288"/>
      <c r="LP288"/>
      <c r="LQ288"/>
      <c r="LR288"/>
      <c r="LS288"/>
      <c r="LT288"/>
      <c r="LU288"/>
      <c r="LV288"/>
      <c r="LW288"/>
      <c r="LX288"/>
      <c r="LY288"/>
      <c r="LZ288"/>
      <c r="MA288"/>
      <c r="MB288"/>
      <c r="MC288"/>
      <c r="MD288"/>
      <c r="ME288"/>
      <c r="MF288"/>
      <c r="MG288"/>
      <c r="MH288"/>
      <c r="MI288"/>
      <c r="MJ288"/>
      <c r="MK288"/>
      <c r="ML288"/>
      <c r="MM288"/>
      <c r="MN288"/>
      <c r="MO288"/>
      <c r="MP288"/>
      <c r="MQ288"/>
      <c r="MR288"/>
      <c r="MS288"/>
      <c r="MT288"/>
      <c r="MU288"/>
      <c r="MV288"/>
      <c r="MW288"/>
      <c r="MX288"/>
      <c r="MY288"/>
      <c r="MZ288"/>
      <c r="NA288"/>
      <c r="NB288"/>
      <c r="NC288"/>
      <c r="ND288"/>
      <c r="NE288"/>
      <c r="NF288"/>
      <c r="NG288"/>
      <c r="NH288"/>
      <c r="NI288"/>
      <c r="NJ288"/>
      <c r="NK288"/>
      <c r="NL288"/>
      <c r="NM288"/>
      <c r="NN288"/>
      <c r="NO288"/>
      <c r="NP288"/>
      <c r="NQ288"/>
      <c r="NR288"/>
      <c r="NS288"/>
      <c r="NT288"/>
      <c r="NU288"/>
      <c r="NV288"/>
      <c r="NW288"/>
      <c r="NX288"/>
      <c r="NY288"/>
      <c r="NZ288"/>
      <c r="OA288"/>
      <c r="OB288"/>
      <c r="OC288"/>
      <c r="OD288"/>
      <c r="OE288"/>
      <c r="OF288"/>
      <c r="OG288"/>
      <c r="OH288"/>
      <c r="OI288"/>
      <c r="OJ288"/>
      <c r="OK288"/>
      <c r="OL288"/>
      <c r="OM288"/>
      <c r="ON288"/>
      <c r="OO288"/>
      <c r="OP288"/>
      <c r="OQ288"/>
      <c r="OR288"/>
      <c r="OS288"/>
      <c r="OT288"/>
      <c r="OU288"/>
      <c r="OV288"/>
      <c r="OW288"/>
      <c r="OX288"/>
      <c r="OY288"/>
      <c r="OZ288"/>
      <c r="PA288"/>
      <c r="PB288"/>
      <c r="PC288"/>
      <c r="PD288"/>
      <c r="PE288"/>
      <c r="PF288"/>
      <c r="PG288"/>
      <c r="PH288"/>
      <c r="PI288"/>
      <c r="PJ288"/>
      <c r="PK288"/>
      <c r="PL288"/>
      <c r="PM288"/>
      <c r="PN288"/>
      <c r="PO288"/>
      <c r="PP288"/>
      <c r="PQ288"/>
      <c r="PR288"/>
      <c r="PS288"/>
      <c r="PT288"/>
      <c r="PU288"/>
      <c r="PV288"/>
      <c r="PW288"/>
      <c r="PX288"/>
      <c r="PY288"/>
      <c r="PZ288"/>
      <c r="QA288"/>
      <c r="QB288"/>
      <c r="QC288"/>
      <c r="QD288"/>
      <c r="QE288"/>
      <c r="QF288"/>
      <c r="QG288"/>
      <c r="QH288"/>
      <c r="QI288"/>
      <c r="QJ288"/>
      <c r="QK288"/>
      <c r="QL288"/>
      <c r="QM288"/>
      <c r="QN288"/>
      <c r="QO288"/>
      <c r="QP288"/>
      <c r="QQ288"/>
      <c r="QR288"/>
      <c r="QS288"/>
      <c r="QT288"/>
      <c r="QU288"/>
      <c r="QV288"/>
      <c r="QW288"/>
      <c r="QX288"/>
      <c r="QY288"/>
      <c r="QZ288"/>
      <c r="RA288"/>
      <c r="RB288"/>
      <c r="RC288"/>
      <c r="RD288"/>
      <c r="RE288"/>
      <c r="RF288"/>
      <c r="RG288"/>
      <c r="RH288"/>
      <c r="RI288"/>
      <c r="RJ288"/>
      <c r="RK288"/>
      <c r="RL288"/>
      <c r="RM288"/>
      <c r="RN288"/>
      <c r="RO288"/>
      <c r="RP288"/>
      <c r="RQ288"/>
      <c r="RR288"/>
      <c r="RS288"/>
      <c r="RT288"/>
      <c r="RU288"/>
      <c r="RV288"/>
      <c r="RW288"/>
      <c r="RX288"/>
      <c r="RY288"/>
      <c r="RZ288"/>
      <c r="SA288"/>
      <c r="SB288"/>
      <c r="SC288"/>
      <c r="SD288"/>
      <c r="SE288"/>
      <c r="SF288"/>
      <c r="SG288"/>
      <c r="SH288"/>
      <c r="SI288"/>
      <c r="SJ288"/>
      <c r="SK288"/>
      <c r="SL288"/>
      <c r="SM288"/>
      <c r="SN288"/>
      <c r="SO288"/>
      <c r="SP288"/>
      <c r="SQ288"/>
      <c r="SR288"/>
      <c r="SS288"/>
      <c r="ST288"/>
      <c r="SU288"/>
      <c r="SV288"/>
      <c r="SW288"/>
      <c r="SX288"/>
      <c r="SY288"/>
      <c r="SZ288"/>
      <c r="TA288"/>
      <c r="TB288"/>
      <c r="TC288"/>
      <c r="TD288"/>
      <c r="TE288"/>
      <c r="TF288"/>
      <c r="TG288"/>
      <c r="TH288"/>
      <c r="TI288"/>
      <c r="TJ288"/>
      <c r="TK288"/>
      <c r="TL288"/>
      <c r="TM288"/>
      <c r="TN288"/>
      <c r="TO288"/>
      <c r="TP288"/>
      <c r="TQ288"/>
      <c r="TR288"/>
      <c r="TS288"/>
      <c r="TT288"/>
      <c r="TU288"/>
      <c r="TV288"/>
      <c r="TW288"/>
      <c r="TX288"/>
      <c r="TY288"/>
      <c r="TZ288"/>
      <c r="UA288"/>
      <c r="UB288"/>
      <c r="UC288"/>
      <c r="UD288"/>
      <c r="UE288"/>
      <c r="UF288"/>
      <c r="UG288"/>
      <c r="UH288"/>
      <c r="UI288"/>
      <c r="UJ288"/>
      <c r="UK288"/>
      <c r="UL288"/>
      <c r="UM288"/>
      <c r="UN288"/>
      <c r="UO288"/>
      <c r="UP288"/>
      <c r="UQ288"/>
      <c r="UR288"/>
      <c r="US288"/>
      <c r="UT288"/>
      <c r="UU288"/>
      <c r="UV288"/>
      <c r="UW288"/>
      <c r="UX288"/>
      <c r="UY288"/>
      <c r="UZ288"/>
      <c r="VA288"/>
      <c r="VB288"/>
      <c r="VC288"/>
      <c r="VD288"/>
      <c r="VE288"/>
      <c r="VF288"/>
      <c r="VG288"/>
      <c r="VH288"/>
      <c r="VI288"/>
      <c r="VJ288"/>
      <c r="VK288"/>
      <c r="VL288"/>
      <c r="VM288"/>
      <c r="VN288"/>
      <c r="VO288"/>
      <c r="VP288"/>
      <c r="VQ288"/>
      <c r="VR288"/>
      <c r="VS288"/>
      <c r="VT288"/>
      <c r="VU288"/>
      <c r="VV288"/>
      <c r="VW288"/>
      <c r="VX288"/>
      <c r="VY288"/>
      <c r="VZ288"/>
      <c r="WA288"/>
      <c r="WB288"/>
      <c r="WC288"/>
      <c r="WD288"/>
      <c r="WE288"/>
      <c r="WF288"/>
      <c r="WG288"/>
      <c r="WH288"/>
      <c r="WI288"/>
      <c r="WJ288"/>
      <c r="WK288"/>
      <c r="WL288"/>
      <c r="WM288"/>
      <c r="WN288"/>
      <c r="WO288"/>
      <c r="WP288"/>
      <c r="WQ288"/>
      <c r="WR288"/>
      <c r="WS288"/>
      <c r="WT288"/>
      <c r="WU288"/>
      <c r="WV288"/>
      <c r="WW288"/>
      <c r="WX288"/>
      <c r="WY288"/>
      <c r="WZ288"/>
      <c r="XA288"/>
      <c r="XB288"/>
      <c r="XC288"/>
      <c r="XD288"/>
      <c r="XE288"/>
      <c r="XF288"/>
      <c r="XG288"/>
      <c r="XH288"/>
      <c r="XI288"/>
      <c r="XJ288"/>
      <c r="XK288"/>
      <c r="XL288"/>
      <c r="XM288"/>
      <c r="XN288"/>
      <c r="XO288"/>
      <c r="XP288"/>
      <c r="XQ288"/>
      <c r="XR288"/>
      <c r="XS288"/>
      <c r="XT288"/>
      <c r="XU288"/>
      <c r="XV288"/>
      <c r="XW288"/>
      <c r="XX288"/>
      <c r="XY288"/>
      <c r="XZ288"/>
      <c r="YA288"/>
      <c r="YB288"/>
      <c r="YC288"/>
      <c r="YD288"/>
      <c r="YE288"/>
      <c r="YF288"/>
      <c r="YG288"/>
      <c r="YH288"/>
      <c r="YI288"/>
      <c r="YJ288"/>
      <c r="YK288"/>
      <c r="YL288"/>
      <c r="YM288"/>
      <c r="YN288"/>
      <c r="YO288"/>
      <c r="YP288"/>
      <c r="YQ288"/>
      <c r="YR288"/>
      <c r="YS288"/>
      <c r="YT288"/>
      <c r="YU288"/>
      <c r="YV288"/>
      <c r="YW288"/>
      <c r="YX288"/>
      <c r="YY288"/>
      <c r="YZ288"/>
      <c r="ZA288"/>
      <c r="ZB288"/>
      <c r="ZC288"/>
      <c r="ZD288"/>
      <c r="ZE288"/>
      <c r="ZF288"/>
      <c r="ZG288"/>
      <c r="ZH288"/>
      <c r="ZI288"/>
      <c r="ZJ288"/>
      <c r="ZK288"/>
      <c r="ZL288"/>
      <c r="ZM288"/>
      <c r="ZN288"/>
      <c r="ZO288"/>
      <c r="ZP288"/>
      <c r="ZQ288"/>
      <c r="ZR288"/>
      <c r="ZS288"/>
      <c r="ZT288"/>
      <c r="ZU288"/>
      <c r="ZV288"/>
      <c r="ZW288"/>
      <c r="ZX288"/>
      <c r="ZY288"/>
      <c r="ZZ288"/>
      <c r="AAA288"/>
      <c r="AAB288"/>
      <c r="AAC288"/>
      <c r="AAD288"/>
      <c r="AAE288"/>
      <c r="AAF288"/>
      <c r="AAG288"/>
      <c r="AAH288"/>
      <c r="AAI288"/>
      <c r="AAJ288"/>
      <c r="AAK288"/>
      <c r="AAL288"/>
      <c r="AAM288"/>
      <c r="AAN288"/>
      <c r="AAO288"/>
      <c r="AAP288"/>
      <c r="AAQ288"/>
      <c r="AAR288"/>
      <c r="AAS288"/>
      <c r="AAT288"/>
      <c r="AAU288"/>
      <c r="AAV288"/>
      <c r="AAW288"/>
      <c r="AAX288"/>
      <c r="AAY288"/>
      <c r="AAZ288"/>
      <c r="ABA288"/>
      <c r="ABB288"/>
      <c r="ABC288"/>
      <c r="ABD288"/>
      <c r="ABE288"/>
      <c r="ABF288"/>
      <c r="ABG288"/>
      <c r="ABH288"/>
      <c r="ABI288"/>
      <c r="ABJ288"/>
      <c r="ABK288"/>
      <c r="ABL288"/>
      <c r="ABM288"/>
      <c r="ABN288"/>
      <c r="ABO288"/>
      <c r="ABP288"/>
      <c r="ABQ288"/>
      <c r="ABR288"/>
      <c r="ABS288"/>
      <c r="ABT288"/>
      <c r="ABU288"/>
      <c r="ABV288"/>
      <c r="ABW288"/>
      <c r="ABX288"/>
      <c r="ABY288"/>
      <c r="ABZ288"/>
      <c r="ACA288"/>
      <c r="ACB288"/>
      <c r="ACC288"/>
      <c r="ACD288"/>
      <c r="ACE288"/>
      <c r="ACF288"/>
      <c r="ACG288"/>
      <c r="ACH288"/>
      <c r="ACI288"/>
      <c r="ACJ288"/>
      <c r="ACK288"/>
      <c r="ACL288"/>
      <c r="ACM288"/>
      <c r="ACN288"/>
      <c r="ACO288"/>
      <c r="ACP288"/>
      <c r="ACQ288"/>
      <c r="ACR288"/>
      <c r="ACS288"/>
      <c r="ACT288"/>
      <c r="ACU288"/>
      <c r="ACV288"/>
      <c r="ACW288"/>
      <c r="ACX288"/>
      <c r="ACY288"/>
      <c r="ACZ288"/>
      <c r="ADA288"/>
      <c r="ADB288"/>
      <c r="ADC288"/>
      <c r="ADD288"/>
      <c r="ADE288"/>
      <c r="ADF288"/>
      <c r="ADG288"/>
      <c r="ADH288"/>
      <c r="ADI288"/>
      <c r="ADJ288"/>
      <c r="ADK288"/>
      <c r="ADL288"/>
      <c r="ADM288"/>
      <c r="ADN288"/>
      <c r="ADO288"/>
      <c r="ADP288"/>
      <c r="ADQ288"/>
      <c r="ADR288"/>
      <c r="ADS288"/>
      <c r="ADT288"/>
      <c r="ADU288"/>
      <c r="ADV288"/>
      <c r="ADW288"/>
      <c r="ADX288"/>
      <c r="ADY288"/>
      <c r="ADZ288"/>
      <c r="AEA288"/>
      <c r="AEB288"/>
      <c r="AEC288"/>
      <c r="AED288"/>
      <c r="AEE288"/>
      <c r="AEF288"/>
      <c r="AEG288"/>
      <c r="AEH288"/>
      <c r="AEI288"/>
      <c r="AEJ288"/>
      <c r="AEK288"/>
      <c r="AEL288"/>
      <c r="AEM288"/>
      <c r="AEN288"/>
      <c r="AEO288"/>
      <c r="AEP288"/>
      <c r="AEQ288"/>
      <c r="AER288"/>
      <c r="AES288"/>
      <c r="AET288"/>
      <c r="AEU288"/>
      <c r="AEV288"/>
      <c r="AEW288"/>
      <c r="AEX288"/>
      <c r="AEY288"/>
      <c r="AEZ288"/>
      <c r="AFA288"/>
      <c r="AFB288"/>
      <c r="AFC288"/>
      <c r="AFD288"/>
      <c r="AFE288"/>
      <c r="AFF288"/>
      <c r="AFG288"/>
      <c r="AFH288"/>
      <c r="AFI288"/>
      <c r="AFJ288"/>
      <c r="AFK288"/>
      <c r="AFL288"/>
      <c r="AFM288"/>
      <c r="AFN288"/>
      <c r="AFO288"/>
      <c r="AFP288"/>
      <c r="AFQ288"/>
      <c r="AFR288"/>
      <c r="AFS288"/>
      <c r="AFT288"/>
      <c r="AFU288"/>
      <c r="AFV288"/>
      <c r="AFW288"/>
      <c r="AFX288"/>
      <c r="AFY288"/>
      <c r="AFZ288"/>
      <c r="AGA288"/>
      <c r="AGB288"/>
      <c r="AGC288"/>
      <c r="AGD288"/>
      <c r="AGE288"/>
      <c r="AGF288"/>
      <c r="AGG288"/>
      <c r="AGH288"/>
      <c r="AGI288"/>
      <c r="AGJ288"/>
      <c r="AGK288"/>
      <c r="AGL288"/>
      <c r="AGM288"/>
      <c r="AGN288"/>
      <c r="AGO288"/>
      <c r="AGP288"/>
      <c r="AGQ288"/>
      <c r="AGR288"/>
      <c r="AGS288"/>
      <c r="AGT288"/>
      <c r="AGU288"/>
      <c r="AGV288"/>
      <c r="AGW288"/>
      <c r="AGX288"/>
      <c r="AGY288"/>
      <c r="AGZ288"/>
      <c r="AHA288"/>
      <c r="AHB288"/>
      <c r="AHC288"/>
      <c r="AHD288"/>
      <c r="AHE288"/>
      <c r="AHF288"/>
      <c r="AHG288"/>
      <c r="AHH288"/>
      <c r="AHI288"/>
      <c r="AHJ288"/>
      <c r="AHK288"/>
      <c r="AHL288"/>
      <c r="AHM288"/>
      <c r="AHN288"/>
      <c r="AHO288"/>
      <c r="AHP288"/>
      <c r="AHQ288"/>
      <c r="AHR288"/>
      <c r="AHS288"/>
      <c r="AHT288"/>
      <c r="AHU288"/>
      <c r="AHV288"/>
      <c r="AHW288"/>
      <c r="AHX288"/>
      <c r="AHY288"/>
      <c r="AHZ288"/>
      <c r="AIA288"/>
      <c r="AIB288"/>
      <c r="AIC288"/>
      <c r="AID288"/>
      <c r="AIE288"/>
      <c r="AIF288"/>
      <c r="AIG288"/>
      <c r="AIH288"/>
      <c r="AII288"/>
      <c r="AIJ288"/>
      <c r="AIK288"/>
      <c r="AIL288"/>
      <c r="AIM288"/>
      <c r="AIN288"/>
      <c r="AIO288"/>
      <c r="AIP288"/>
      <c r="AIQ288"/>
      <c r="AIR288"/>
      <c r="AIS288"/>
      <c r="AIT288"/>
      <c r="AIU288"/>
      <c r="AIV288"/>
      <c r="AIW288"/>
      <c r="AIX288"/>
      <c r="AIY288"/>
      <c r="AIZ288"/>
      <c r="AJA288"/>
      <c r="AJB288"/>
      <c r="AJC288"/>
      <c r="AJD288"/>
      <c r="AJE288"/>
      <c r="AJF288"/>
      <c r="AJG288"/>
      <c r="AJH288"/>
      <c r="AJI288"/>
      <c r="AJJ288"/>
      <c r="AJK288"/>
      <c r="AJL288"/>
      <c r="AJM288"/>
      <c r="AJN288"/>
      <c r="AJO288"/>
      <c r="AJP288"/>
      <c r="AJQ288"/>
      <c r="AJR288"/>
      <c r="AJS288"/>
      <c r="AJT288"/>
      <c r="AJU288"/>
      <c r="AJV288"/>
      <c r="AJW288"/>
      <c r="AJX288"/>
      <c r="AJY288"/>
      <c r="AJZ288"/>
      <c r="AKA288"/>
      <c r="AKB288"/>
      <c r="AKC288"/>
      <c r="AKD288"/>
      <c r="AKE288"/>
      <c r="AKF288"/>
      <c r="AKG288"/>
      <c r="AKH288"/>
      <c r="AKI288"/>
      <c r="AKJ288"/>
      <c r="AKK288"/>
      <c r="AKL288"/>
      <c r="AKM288"/>
      <c r="AKN288"/>
      <c r="AKO288"/>
      <c r="AKP288"/>
      <c r="AKQ288"/>
      <c r="AKR288"/>
      <c r="AKS288"/>
      <c r="AKT288"/>
      <c r="AKU288"/>
      <c r="AKV288"/>
      <c r="AKW288"/>
      <c r="AKX288"/>
      <c r="AKY288"/>
      <c r="AKZ288"/>
      <c r="ALA288"/>
      <c r="ALB288"/>
      <c r="ALC288"/>
      <c r="ALD288"/>
      <c r="ALE288"/>
      <c r="ALF288"/>
      <c r="ALG288"/>
      <c r="ALH288"/>
      <c r="ALI288"/>
      <c r="ALJ288"/>
      <c r="ALK288"/>
      <c r="ALL288"/>
      <c r="ALM288"/>
      <c r="ALN288"/>
      <c r="ALO288"/>
      <c r="ALP288"/>
      <c r="ALQ288"/>
      <c r="ALR288"/>
      <c r="ALS288"/>
      <c r="ALT288"/>
      <c r="ALU288"/>
      <c r="ALV288"/>
      <c r="ALW288"/>
      <c r="ALX288"/>
      <c r="ALY288"/>
      <c r="ALZ288"/>
      <c r="AMA288"/>
      <c r="AMB288"/>
      <c r="AMC288"/>
      <c r="AMD288"/>
      <c r="AME288"/>
      <c r="AMF288"/>
      <c r="AMG288"/>
      <c r="AMH288"/>
      <c r="AMI288"/>
      <c r="AMJ288"/>
    </row>
    <row r="289" spans="1:1024" ht="27.6">
      <c r="A289" s="8" t="s">
        <v>283</v>
      </c>
      <c r="B289" s="8">
        <v>858791</v>
      </c>
      <c r="D289" s="24">
        <v>45530</v>
      </c>
      <c r="E289" s="1">
        <v>0</v>
      </c>
      <c r="F289" s="8">
        <v>6</v>
      </c>
      <c r="G289" s="30">
        <f t="shared" si="15"/>
        <v>3</v>
      </c>
      <c r="H289" s="8">
        <f t="shared" si="17"/>
        <v>3</v>
      </c>
      <c r="I289">
        <f t="shared" si="16"/>
        <v>3</v>
      </c>
      <c r="J289">
        <f>SUMIF(Oeffentlichkeitsarbeit!$D:$D,$B289,Oeffentlichkeitsarbeit!$F:$F)</f>
        <v>0</v>
      </c>
      <c r="K289">
        <f>COUNTIF(Fairteiler!$D:$D,$B289)*1/2</f>
        <v>1</v>
      </c>
      <c r="L289">
        <f>COUNTIF('NP-Betrieb'!D:D,$B289)*1/3</f>
        <v>2</v>
      </c>
      <c r="M289">
        <f>COUNTIF(Fairteilungen!$D:$D,$B289)*3/4</f>
        <v>0</v>
      </c>
      <c r="N289">
        <f>COUNTIF(Anlieferung!D:D,$B289)*1/2</f>
        <v>0</v>
      </c>
      <c r="O289">
        <f>COUNTIF(Probeabholungen!B:B,$B289)*1/3</f>
        <v>0</v>
      </c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  <c r="AX289" s="31"/>
      <c r="AY289" s="31"/>
      <c r="AZ289" s="31"/>
      <c r="BA289" s="31"/>
      <c r="BB289" s="31"/>
      <c r="BC289" s="31"/>
      <c r="BD289" s="31"/>
      <c r="BE289" s="31"/>
      <c r="BF289" s="31"/>
      <c r="BG289" s="31"/>
      <c r="BH289" s="31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  <c r="BS289" s="31"/>
      <c r="BT289" s="31"/>
      <c r="BU289" s="31"/>
      <c r="BV289" s="31"/>
      <c r="BW289" s="31"/>
      <c r="BX289" s="31"/>
      <c r="BY289" s="31"/>
      <c r="BZ289" s="31"/>
      <c r="CA289" s="31"/>
      <c r="CB289" s="31"/>
      <c r="CC289" s="31"/>
      <c r="CD289" s="31"/>
      <c r="CE289" s="31"/>
      <c r="CF289" s="31"/>
      <c r="CG289" s="31"/>
      <c r="CH289" s="31"/>
      <c r="CI289" s="31"/>
      <c r="CJ289" s="31"/>
      <c r="CK289" s="31"/>
      <c r="CL289" s="31"/>
      <c r="CM289" s="31"/>
      <c r="CN289" s="31"/>
      <c r="CO289" s="31"/>
      <c r="CP289" s="31"/>
      <c r="CQ289" s="31"/>
      <c r="CR289" s="31"/>
      <c r="CS289" s="31"/>
      <c r="CT289" s="31"/>
      <c r="CU289" s="31"/>
      <c r="CV289" s="31"/>
      <c r="CW289" s="31"/>
      <c r="CX289" s="31"/>
      <c r="CY289" s="31"/>
      <c r="CZ289" s="31"/>
      <c r="DA289" s="31"/>
      <c r="DB289" s="31"/>
      <c r="DC289" s="31"/>
      <c r="DD289" s="31"/>
      <c r="DE289" s="31"/>
      <c r="DF289" s="31"/>
      <c r="DG289" s="31"/>
      <c r="DH289" s="31"/>
      <c r="DI289" s="31"/>
      <c r="DJ289" s="31"/>
      <c r="DK289" s="31"/>
      <c r="DL289" s="31"/>
      <c r="DM289" s="31"/>
      <c r="DN289" s="31"/>
      <c r="DO289" s="31"/>
      <c r="DP289" s="31"/>
      <c r="DQ289" s="31"/>
      <c r="DR289" s="31"/>
      <c r="DS289" s="31"/>
      <c r="DT289" s="31"/>
      <c r="DU289" s="31"/>
      <c r="DV289" s="31"/>
      <c r="DW289" s="31"/>
      <c r="DX289" s="31"/>
      <c r="DY289" s="31"/>
      <c r="DZ289" s="31"/>
      <c r="EA289" s="31"/>
      <c r="EB289" s="31"/>
      <c r="EC289" s="31"/>
      <c r="ED289" s="31"/>
      <c r="EE289" s="31"/>
      <c r="EF289" s="31"/>
      <c r="EG289" s="31"/>
      <c r="EH289" s="31"/>
      <c r="EI289" s="31"/>
      <c r="EJ289" s="31"/>
      <c r="EK289" s="31"/>
      <c r="EL289" s="31"/>
      <c r="EM289" s="31"/>
      <c r="EN289" s="31"/>
      <c r="EO289" s="31"/>
      <c r="EP289" s="31"/>
      <c r="EQ289" s="31"/>
      <c r="ER289" s="31"/>
      <c r="ES289" s="31"/>
      <c r="ET289" s="31"/>
      <c r="EU289" s="31"/>
      <c r="EV289" s="31"/>
      <c r="EW289" s="31"/>
      <c r="EX289" s="31"/>
      <c r="EY289" s="31"/>
      <c r="EZ289" s="31"/>
      <c r="FA289" s="31"/>
      <c r="FB289" s="31"/>
      <c r="FC289" s="31"/>
      <c r="FD289" s="31"/>
      <c r="FE289" s="31"/>
      <c r="FF289" s="31"/>
      <c r="FG289" s="31"/>
      <c r="FH289" s="31"/>
      <c r="FI289" s="31"/>
      <c r="FJ289" s="31"/>
      <c r="FK289" s="31"/>
      <c r="FL289" s="31"/>
      <c r="FM289" s="31"/>
      <c r="FN289" s="31"/>
      <c r="FO289" s="31"/>
      <c r="FP289" s="31"/>
      <c r="FQ289" s="31"/>
      <c r="FR289" s="31"/>
      <c r="FS289" s="31"/>
      <c r="FT289" s="31"/>
      <c r="FU289" s="31"/>
      <c r="FV289" s="31"/>
      <c r="FW289" s="31"/>
      <c r="FX289" s="31"/>
      <c r="FY289" s="31"/>
      <c r="FZ289" s="31"/>
      <c r="GA289" s="31"/>
      <c r="GB289" s="31"/>
      <c r="GC289" s="31"/>
      <c r="GD289" s="31"/>
      <c r="GE289" s="31"/>
      <c r="GF289" s="31"/>
      <c r="GG289" s="31"/>
      <c r="GH289" s="31"/>
      <c r="GI289" s="31"/>
      <c r="GJ289" s="31"/>
      <c r="GK289" s="31"/>
      <c r="GL289" s="31"/>
      <c r="GM289" s="31"/>
      <c r="GN289" s="31"/>
      <c r="GO289" s="31"/>
      <c r="GP289" s="31"/>
      <c r="GQ289" s="31"/>
      <c r="GR289" s="31"/>
      <c r="GS289" s="31"/>
      <c r="GT289" s="31"/>
      <c r="GU289" s="31"/>
      <c r="GV289" s="31"/>
      <c r="GW289" s="31"/>
      <c r="GX289" s="31"/>
      <c r="GY289" s="31"/>
      <c r="GZ289" s="31"/>
      <c r="HA289" s="31"/>
      <c r="HB289" s="31"/>
      <c r="HC289" s="31"/>
      <c r="HD289" s="31"/>
      <c r="HE289" s="31"/>
      <c r="HF289" s="31"/>
      <c r="HG289" s="31"/>
      <c r="HH289" s="31"/>
      <c r="HI289" s="31"/>
      <c r="HJ289" s="31"/>
      <c r="HK289" s="31"/>
      <c r="HL289" s="31"/>
      <c r="HM289" s="31"/>
      <c r="HN289" s="31"/>
      <c r="HO289" s="31"/>
      <c r="HP289" s="31"/>
      <c r="HQ289" s="31"/>
      <c r="HR289" s="31"/>
      <c r="HS289" s="31"/>
      <c r="HT289" s="31"/>
      <c r="HU289" s="31"/>
      <c r="HV289" s="31"/>
      <c r="HW289" s="31"/>
      <c r="HX289" s="31"/>
      <c r="HY289" s="31"/>
      <c r="HZ289" s="31"/>
      <c r="IA289" s="31"/>
      <c r="IB289" s="31"/>
      <c r="IC289" s="31"/>
      <c r="ID289" s="31"/>
      <c r="IE289" s="31"/>
      <c r="IF289" s="31"/>
      <c r="IG289" s="31"/>
      <c r="IH289" s="31"/>
      <c r="II289" s="31"/>
      <c r="IJ289" s="31"/>
      <c r="IK289" s="31"/>
      <c r="IL289" s="31"/>
      <c r="IM289" s="31"/>
      <c r="IN289" s="31"/>
      <c r="IO289" s="31"/>
      <c r="IP289" s="31"/>
      <c r="IQ289" s="31"/>
      <c r="IR289" s="31"/>
      <c r="IS289" s="31"/>
      <c r="IT289" s="31"/>
      <c r="IU289" s="31"/>
      <c r="IV289" s="31"/>
      <c r="IW289" s="31"/>
      <c r="IX289" s="31"/>
      <c r="IY289" s="31"/>
      <c r="IZ289" s="31"/>
      <c r="JA289" s="31"/>
      <c r="JB289" s="31"/>
      <c r="JC289" s="31"/>
      <c r="JD289" s="31"/>
      <c r="JE289" s="31"/>
      <c r="JF289" s="31"/>
      <c r="JG289" s="31"/>
      <c r="JH289" s="31"/>
      <c r="JI289" s="31"/>
      <c r="JJ289" s="31"/>
      <c r="JK289" s="31"/>
      <c r="JL289" s="31"/>
      <c r="JM289" s="31"/>
      <c r="JN289" s="31"/>
      <c r="JO289" s="31"/>
      <c r="JP289" s="31"/>
      <c r="JQ289" s="31"/>
      <c r="JR289" s="31"/>
      <c r="JS289" s="31"/>
      <c r="JT289" s="31"/>
      <c r="JU289" s="31"/>
      <c r="JV289" s="31"/>
      <c r="JW289" s="31"/>
      <c r="JX289" s="31"/>
      <c r="JY289" s="31"/>
      <c r="JZ289" s="31"/>
      <c r="KA289" s="31"/>
      <c r="KB289" s="31"/>
      <c r="KC289" s="31"/>
      <c r="KD289" s="31"/>
      <c r="KE289" s="31"/>
      <c r="KF289" s="31"/>
      <c r="KG289" s="31"/>
      <c r="KH289" s="31"/>
      <c r="KI289" s="31"/>
      <c r="KJ289" s="31"/>
      <c r="KK289" s="31"/>
      <c r="KL289" s="31"/>
      <c r="KM289" s="31"/>
      <c r="KN289" s="31"/>
      <c r="KO289" s="31"/>
      <c r="KP289" s="31"/>
      <c r="KQ289" s="31"/>
      <c r="KR289" s="31"/>
      <c r="KS289" s="31"/>
      <c r="KT289" s="31"/>
      <c r="KU289" s="31"/>
      <c r="KV289" s="31"/>
      <c r="KW289" s="31"/>
      <c r="KX289" s="31"/>
      <c r="KY289" s="31"/>
      <c r="KZ289" s="31"/>
      <c r="LA289" s="31"/>
      <c r="LB289" s="31"/>
      <c r="LC289" s="31"/>
      <c r="LD289" s="31"/>
      <c r="LE289" s="31"/>
      <c r="LF289" s="31"/>
      <c r="LG289" s="31"/>
      <c r="LH289" s="31"/>
      <c r="LI289" s="31"/>
      <c r="LJ289" s="31"/>
      <c r="LK289" s="31"/>
      <c r="LL289" s="31"/>
      <c r="LM289" s="31"/>
      <c r="LN289" s="31"/>
      <c r="LO289" s="31"/>
      <c r="LP289" s="31"/>
      <c r="LQ289" s="31"/>
      <c r="LR289" s="31"/>
      <c r="LS289" s="31"/>
      <c r="LT289" s="31"/>
      <c r="LU289" s="31"/>
      <c r="LV289" s="31"/>
      <c r="LW289" s="31"/>
      <c r="LX289" s="31"/>
      <c r="LY289" s="31"/>
      <c r="LZ289" s="31"/>
      <c r="MA289" s="31"/>
      <c r="MB289" s="31"/>
      <c r="MC289" s="31"/>
      <c r="MD289" s="31"/>
      <c r="ME289" s="31"/>
      <c r="MF289" s="31"/>
      <c r="MG289" s="31"/>
      <c r="MH289" s="31"/>
      <c r="MI289" s="31"/>
      <c r="MJ289" s="31"/>
      <c r="MK289" s="31"/>
      <c r="ML289" s="31"/>
      <c r="MM289" s="31"/>
      <c r="MN289" s="31"/>
      <c r="MO289" s="31"/>
      <c r="MP289" s="31"/>
      <c r="MQ289" s="31"/>
      <c r="MR289" s="31"/>
      <c r="MS289" s="31"/>
      <c r="MT289" s="31"/>
      <c r="MU289" s="31"/>
      <c r="MV289" s="31"/>
      <c r="MW289" s="31"/>
      <c r="MX289" s="31"/>
      <c r="MY289" s="31"/>
      <c r="MZ289" s="31"/>
      <c r="NA289" s="31"/>
      <c r="NB289" s="31"/>
      <c r="NC289" s="31"/>
      <c r="ND289" s="31"/>
      <c r="NE289" s="31"/>
      <c r="NF289" s="31"/>
      <c r="NG289" s="31"/>
      <c r="NH289" s="31"/>
      <c r="NI289" s="31"/>
      <c r="NJ289" s="31"/>
      <c r="NK289" s="31"/>
      <c r="NL289" s="31"/>
      <c r="NM289" s="31"/>
      <c r="NN289" s="31"/>
      <c r="NO289" s="31"/>
      <c r="NP289" s="31"/>
      <c r="NQ289" s="31"/>
      <c r="NR289" s="31"/>
      <c r="NS289" s="31"/>
      <c r="NT289" s="31"/>
      <c r="NU289" s="31"/>
      <c r="NV289" s="31"/>
      <c r="NW289" s="31"/>
      <c r="NX289" s="31"/>
      <c r="NY289" s="31"/>
      <c r="NZ289" s="31"/>
      <c r="OA289" s="31"/>
      <c r="OB289" s="31"/>
      <c r="OC289" s="31"/>
      <c r="OD289" s="31"/>
      <c r="OE289" s="31"/>
      <c r="OF289" s="31"/>
      <c r="OG289" s="31"/>
      <c r="OH289" s="31"/>
      <c r="OI289" s="31"/>
      <c r="OJ289" s="31"/>
      <c r="OK289" s="31"/>
      <c r="OL289" s="31"/>
      <c r="OM289" s="31"/>
      <c r="ON289" s="31"/>
      <c r="OO289" s="31"/>
      <c r="OP289" s="31"/>
      <c r="OQ289" s="31"/>
      <c r="OR289" s="31"/>
      <c r="OS289" s="31"/>
      <c r="OT289" s="31"/>
      <c r="OU289" s="31"/>
      <c r="OV289" s="31"/>
      <c r="OW289" s="31"/>
      <c r="OX289" s="31"/>
      <c r="OY289" s="31"/>
      <c r="OZ289" s="31"/>
      <c r="PA289" s="31"/>
      <c r="PB289" s="31"/>
      <c r="PC289" s="31"/>
      <c r="PD289" s="31"/>
      <c r="PE289" s="31"/>
      <c r="PF289" s="31"/>
      <c r="PG289" s="31"/>
      <c r="PH289" s="31"/>
      <c r="PI289" s="31"/>
      <c r="PJ289" s="31"/>
      <c r="PK289" s="31"/>
      <c r="PL289" s="31"/>
      <c r="PM289" s="31"/>
      <c r="PN289" s="31"/>
      <c r="PO289" s="31"/>
      <c r="PP289" s="31"/>
      <c r="PQ289" s="31"/>
      <c r="PR289" s="31"/>
      <c r="PS289" s="31"/>
      <c r="PT289" s="31"/>
      <c r="PU289" s="31"/>
      <c r="PV289" s="31"/>
      <c r="PW289" s="31"/>
      <c r="PX289" s="31"/>
      <c r="PY289" s="31"/>
      <c r="PZ289" s="31"/>
      <c r="QA289" s="31"/>
      <c r="QB289" s="31"/>
      <c r="QC289" s="31"/>
      <c r="QD289" s="31"/>
      <c r="QE289" s="31"/>
      <c r="QF289" s="31"/>
      <c r="QG289" s="31"/>
      <c r="QH289" s="31"/>
      <c r="QI289" s="31"/>
      <c r="QJ289" s="31"/>
      <c r="QK289" s="31"/>
      <c r="QL289" s="31"/>
      <c r="QM289" s="31"/>
      <c r="QN289" s="31"/>
      <c r="QO289" s="31"/>
      <c r="QP289" s="31"/>
      <c r="QQ289" s="31"/>
      <c r="QR289" s="31"/>
      <c r="QS289" s="31"/>
      <c r="QT289" s="31"/>
      <c r="QU289" s="31"/>
      <c r="QV289" s="31"/>
      <c r="QW289" s="31"/>
      <c r="QX289" s="31"/>
      <c r="QY289" s="31"/>
      <c r="QZ289" s="31"/>
      <c r="RA289" s="31"/>
      <c r="RB289" s="31"/>
      <c r="RC289" s="31"/>
      <c r="RD289" s="31"/>
      <c r="RE289" s="31"/>
      <c r="RF289" s="31"/>
      <c r="RG289" s="31"/>
      <c r="RH289" s="31"/>
      <c r="RI289" s="31"/>
      <c r="RJ289" s="31"/>
      <c r="RK289" s="31"/>
      <c r="RL289" s="31"/>
      <c r="RM289" s="31"/>
      <c r="RN289" s="31"/>
      <c r="RO289" s="31"/>
      <c r="RP289" s="31"/>
      <c r="RQ289" s="31"/>
      <c r="RR289" s="31"/>
      <c r="RS289" s="31"/>
      <c r="RT289" s="31"/>
      <c r="RU289" s="31"/>
      <c r="RV289" s="31"/>
      <c r="RW289" s="31"/>
      <c r="RX289" s="31"/>
      <c r="RY289" s="31"/>
      <c r="RZ289" s="31"/>
      <c r="SA289" s="31"/>
      <c r="SB289" s="31"/>
      <c r="SC289" s="31"/>
      <c r="SD289" s="31"/>
      <c r="SE289" s="31"/>
      <c r="SF289" s="31"/>
      <c r="SG289" s="31"/>
      <c r="SH289" s="31"/>
      <c r="SI289" s="31"/>
      <c r="SJ289" s="31"/>
      <c r="SK289" s="31"/>
      <c r="SL289" s="31"/>
      <c r="SM289" s="31"/>
      <c r="SN289" s="31"/>
      <c r="SO289" s="31"/>
      <c r="SP289" s="31"/>
      <c r="SQ289" s="31"/>
      <c r="SR289" s="31"/>
      <c r="SS289" s="31"/>
      <c r="ST289" s="31"/>
      <c r="SU289" s="31"/>
      <c r="SV289" s="31"/>
      <c r="SW289" s="31"/>
      <c r="SX289" s="31"/>
      <c r="SY289" s="31"/>
      <c r="SZ289" s="31"/>
      <c r="TA289" s="31"/>
      <c r="TB289" s="31"/>
      <c r="TC289" s="31"/>
      <c r="TD289" s="31"/>
      <c r="TE289" s="31"/>
      <c r="TF289" s="31"/>
      <c r="TG289" s="31"/>
      <c r="TH289" s="31"/>
      <c r="TI289" s="31"/>
      <c r="TJ289" s="31"/>
      <c r="TK289" s="31"/>
      <c r="TL289" s="31"/>
      <c r="TM289" s="31"/>
      <c r="TN289" s="31"/>
      <c r="TO289" s="31"/>
      <c r="TP289" s="31"/>
      <c r="TQ289" s="31"/>
      <c r="TR289" s="31"/>
      <c r="TS289" s="31"/>
      <c r="TT289" s="31"/>
      <c r="TU289" s="31"/>
      <c r="TV289" s="31"/>
      <c r="TW289" s="31"/>
      <c r="TX289" s="31"/>
      <c r="TY289" s="31"/>
      <c r="TZ289" s="31"/>
      <c r="UA289" s="31"/>
      <c r="UB289" s="31"/>
      <c r="UC289" s="31"/>
      <c r="UD289" s="31"/>
      <c r="UE289" s="31"/>
      <c r="UF289" s="31"/>
      <c r="UG289" s="31"/>
      <c r="UH289" s="31"/>
      <c r="UI289" s="31"/>
      <c r="UJ289" s="31"/>
      <c r="UK289" s="31"/>
      <c r="UL289" s="31"/>
      <c r="UM289" s="31"/>
      <c r="UN289" s="31"/>
      <c r="UO289" s="31"/>
      <c r="UP289" s="31"/>
      <c r="UQ289" s="31"/>
      <c r="UR289" s="31"/>
      <c r="US289" s="31"/>
      <c r="UT289" s="31"/>
      <c r="UU289" s="31"/>
      <c r="UV289" s="31"/>
      <c r="UW289" s="31"/>
      <c r="UX289" s="31"/>
      <c r="UY289" s="31"/>
      <c r="UZ289" s="31"/>
      <c r="VA289" s="31"/>
      <c r="VB289" s="31"/>
      <c r="VC289" s="31"/>
      <c r="VD289" s="31"/>
      <c r="VE289" s="31"/>
      <c r="VF289" s="31"/>
      <c r="VG289" s="31"/>
      <c r="VH289" s="31"/>
      <c r="VI289" s="31"/>
      <c r="VJ289" s="31"/>
      <c r="VK289" s="31"/>
      <c r="VL289" s="31"/>
      <c r="VM289" s="31"/>
      <c r="VN289" s="31"/>
      <c r="VO289" s="31"/>
      <c r="VP289" s="31"/>
      <c r="VQ289" s="31"/>
      <c r="VR289" s="31"/>
      <c r="VS289" s="31"/>
      <c r="VT289" s="31"/>
      <c r="VU289" s="31"/>
      <c r="VV289" s="31"/>
      <c r="VW289" s="31"/>
      <c r="VX289" s="31"/>
      <c r="VY289" s="31"/>
      <c r="VZ289" s="31"/>
      <c r="WA289" s="31"/>
      <c r="WB289" s="31"/>
      <c r="WC289" s="31"/>
      <c r="WD289" s="31"/>
      <c r="WE289" s="31"/>
      <c r="WF289" s="31"/>
      <c r="WG289" s="31"/>
      <c r="WH289" s="31"/>
      <c r="WI289" s="31"/>
      <c r="WJ289" s="31"/>
      <c r="WK289" s="31"/>
      <c r="WL289" s="31"/>
      <c r="WM289" s="31"/>
      <c r="WN289" s="31"/>
      <c r="WO289" s="31"/>
      <c r="WP289" s="31"/>
      <c r="WQ289" s="31"/>
      <c r="WR289" s="31"/>
      <c r="WS289" s="31"/>
      <c r="WT289" s="31"/>
      <c r="WU289" s="31"/>
      <c r="WV289" s="31"/>
      <c r="WW289" s="31"/>
      <c r="WX289" s="31"/>
      <c r="WY289" s="31"/>
      <c r="WZ289" s="31"/>
      <c r="XA289" s="31"/>
      <c r="XB289" s="31"/>
      <c r="XC289" s="31"/>
      <c r="XD289" s="31"/>
      <c r="XE289" s="31"/>
      <c r="XF289" s="31"/>
      <c r="XG289" s="31"/>
      <c r="XH289" s="31"/>
      <c r="XI289" s="31"/>
      <c r="XJ289" s="31"/>
      <c r="XK289" s="31"/>
      <c r="XL289" s="31"/>
      <c r="XM289" s="31"/>
      <c r="XN289" s="31"/>
      <c r="XO289" s="31"/>
      <c r="XP289" s="31"/>
      <c r="XQ289" s="31"/>
      <c r="XR289" s="31"/>
      <c r="XS289" s="31"/>
      <c r="XT289" s="31"/>
      <c r="XU289" s="31"/>
      <c r="XV289" s="31"/>
      <c r="XW289" s="31"/>
      <c r="XX289" s="31"/>
      <c r="XY289" s="31"/>
      <c r="XZ289" s="31"/>
      <c r="YA289" s="31"/>
      <c r="YB289" s="31"/>
      <c r="YC289" s="31"/>
      <c r="YD289" s="31"/>
      <c r="YE289" s="31"/>
      <c r="YF289" s="31"/>
      <c r="YG289" s="31"/>
      <c r="YH289" s="31"/>
      <c r="YI289" s="31"/>
      <c r="YJ289" s="31"/>
      <c r="YK289" s="31"/>
      <c r="YL289" s="31"/>
      <c r="YM289" s="31"/>
      <c r="YN289" s="31"/>
      <c r="YO289" s="31"/>
      <c r="YP289" s="31"/>
      <c r="YQ289" s="31"/>
      <c r="YR289" s="31"/>
      <c r="YS289" s="31"/>
      <c r="YT289" s="31"/>
      <c r="YU289" s="31"/>
      <c r="YV289" s="31"/>
      <c r="YW289" s="31"/>
      <c r="YX289" s="31"/>
      <c r="YY289" s="31"/>
      <c r="YZ289" s="31"/>
      <c r="ZA289" s="31"/>
      <c r="ZB289" s="31"/>
      <c r="ZC289" s="31"/>
      <c r="ZD289" s="31"/>
      <c r="ZE289" s="31"/>
      <c r="ZF289" s="31"/>
      <c r="ZG289" s="31"/>
      <c r="ZH289" s="31"/>
      <c r="ZI289" s="31"/>
      <c r="ZJ289" s="31"/>
      <c r="ZK289" s="31"/>
      <c r="ZL289" s="31"/>
      <c r="ZM289" s="31"/>
      <c r="ZN289" s="31"/>
      <c r="ZO289" s="31"/>
      <c r="ZP289" s="31"/>
      <c r="ZQ289" s="31"/>
      <c r="ZR289" s="31"/>
      <c r="ZS289" s="31"/>
      <c r="ZT289" s="31"/>
      <c r="ZU289" s="31"/>
      <c r="ZV289" s="31"/>
      <c r="ZW289" s="31"/>
      <c r="ZX289" s="31"/>
      <c r="ZY289" s="31"/>
      <c r="ZZ289" s="31"/>
      <c r="AAA289" s="31"/>
      <c r="AAB289" s="31"/>
      <c r="AAC289" s="31"/>
      <c r="AAD289" s="31"/>
      <c r="AAE289" s="31"/>
      <c r="AAF289" s="31"/>
      <c r="AAG289" s="31"/>
      <c r="AAH289" s="31"/>
      <c r="AAI289" s="31"/>
      <c r="AAJ289" s="31"/>
      <c r="AAK289" s="31"/>
      <c r="AAL289" s="31"/>
      <c r="AAM289" s="31"/>
      <c r="AAN289" s="31"/>
      <c r="AAO289" s="31"/>
      <c r="AAP289" s="31"/>
      <c r="AAQ289" s="31"/>
      <c r="AAR289" s="31"/>
      <c r="AAS289" s="31"/>
      <c r="AAT289" s="31"/>
      <c r="AAU289" s="31"/>
      <c r="AAV289" s="31"/>
      <c r="AAW289" s="31"/>
      <c r="AAX289" s="31"/>
      <c r="AAY289" s="31"/>
      <c r="AAZ289" s="31"/>
      <c r="ABA289" s="31"/>
      <c r="ABB289" s="31"/>
      <c r="ABC289" s="31"/>
      <c r="ABD289" s="31"/>
      <c r="ABE289" s="31"/>
      <c r="ABF289" s="31"/>
      <c r="ABG289" s="31"/>
      <c r="ABH289" s="31"/>
      <c r="ABI289" s="31"/>
      <c r="ABJ289" s="31"/>
      <c r="ABK289" s="31"/>
      <c r="ABL289" s="31"/>
      <c r="ABM289" s="31"/>
      <c r="ABN289" s="31"/>
      <c r="ABO289" s="31"/>
      <c r="ABP289" s="31"/>
      <c r="ABQ289" s="31"/>
      <c r="ABR289" s="31"/>
      <c r="ABS289" s="31"/>
      <c r="ABT289" s="31"/>
      <c r="ABU289" s="31"/>
      <c r="ABV289" s="31"/>
      <c r="ABW289" s="31"/>
      <c r="ABX289" s="31"/>
      <c r="ABY289" s="31"/>
      <c r="ABZ289" s="31"/>
      <c r="ACA289" s="31"/>
      <c r="ACB289" s="31"/>
      <c r="ACC289" s="31"/>
      <c r="ACD289" s="31"/>
      <c r="ACE289" s="31"/>
      <c r="ACF289" s="31"/>
      <c r="ACG289" s="31"/>
      <c r="ACH289" s="31"/>
      <c r="ACI289" s="31"/>
      <c r="ACJ289" s="31"/>
      <c r="ACK289" s="31"/>
      <c r="ACL289" s="31"/>
      <c r="ACM289" s="31"/>
      <c r="ACN289" s="31"/>
      <c r="ACO289" s="31"/>
      <c r="ACP289" s="31"/>
      <c r="ACQ289" s="31"/>
      <c r="ACR289" s="31"/>
      <c r="ACS289" s="31"/>
      <c r="ACT289" s="31"/>
      <c r="ACU289" s="31"/>
      <c r="ACV289" s="31"/>
      <c r="ACW289" s="31"/>
      <c r="ACX289" s="31"/>
      <c r="ACY289" s="31"/>
      <c r="ACZ289" s="31"/>
      <c r="ADA289" s="31"/>
      <c r="ADB289" s="31"/>
      <c r="ADC289" s="31"/>
      <c r="ADD289" s="31"/>
      <c r="ADE289" s="31"/>
      <c r="ADF289" s="31"/>
      <c r="ADG289" s="31"/>
      <c r="ADH289" s="31"/>
      <c r="ADI289" s="31"/>
      <c r="ADJ289" s="31"/>
      <c r="ADK289" s="31"/>
      <c r="ADL289" s="31"/>
      <c r="ADM289" s="31"/>
      <c r="ADN289" s="31"/>
      <c r="ADO289" s="31"/>
      <c r="ADP289" s="31"/>
      <c r="ADQ289" s="31"/>
      <c r="ADR289" s="31"/>
      <c r="ADS289" s="31"/>
      <c r="ADT289" s="31"/>
      <c r="ADU289" s="31"/>
      <c r="ADV289" s="31"/>
      <c r="ADW289" s="31"/>
      <c r="ADX289" s="31"/>
      <c r="ADY289" s="31"/>
      <c r="ADZ289" s="31"/>
      <c r="AEA289" s="31"/>
      <c r="AEB289" s="31"/>
      <c r="AEC289" s="31"/>
      <c r="AED289" s="31"/>
      <c r="AEE289" s="31"/>
      <c r="AEF289" s="31"/>
      <c r="AEG289" s="31"/>
      <c r="AEH289" s="31"/>
      <c r="AEI289" s="31"/>
      <c r="AEJ289" s="31"/>
      <c r="AEK289" s="31"/>
      <c r="AEL289" s="31"/>
      <c r="AEM289" s="31"/>
      <c r="AEN289" s="31"/>
      <c r="AEO289" s="31"/>
      <c r="AEP289" s="31"/>
      <c r="AEQ289" s="31"/>
      <c r="AER289" s="31"/>
      <c r="AES289" s="31"/>
      <c r="AET289" s="31"/>
      <c r="AEU289" s="31"/>
      <c r="AEV289" s="31"/>
      <c r="AEW289" s="31"/>
      <c r="AEX289" s="31"/>
      <c r="AEY289" s="31"/>
      <c r="AEZ289" s="31"/>
      <c r="AFA289" s="31"/>
      <c r="AFB289" s="31"/>
      <c r="AFC289" s="31"/>
      <c r="AFD289" s="31"/>
      <c r="AFE289" s="31"/>
      <c r="AFF289" s="31"/>
      <c r="AFG289" s="31"/>
      <c r="AFH289" s="31"/>
      <c r="AFI289" s="31"/>
      <c r="AFJ289" s="31"/>
      <c r="AFK289" s="31"/>
      <c r="AFL289" s="31"/>
      <c r="AFM289" s="31"/>
      <c r="AFN289" s="31"/>
      <c r="AFO289" s="31"/>
      <c r="AFP289" s="31"/>
      <c r="AFQ289" s="31"/>
      <c r="AFR289" s="31"/>
      <c r="AFS289" s="31"/>
      <c r="AFT289" s="31"/>
      <c r="AFU289" s="31"/>
      <c r="AFV289" s="31"/>
      <c r="AFW289" s="31"/>
      <c r="AFX289" s="31"/>
      <c r="AFY289" s="31"/>
      <c r="AFZ289" s="31"/>
      <c r="AGA289" s="31"/>
      <c r="AGB289" s="31"/>
      <c r="AGC289" s="31"/>
      <c r="AGD289" s="31"/>
      <c r="AGE289" s="31"/>
      <c r="AGF289" s="31"/>
      <c r="AGG289" s="31"/>
      <c r="AGH289" s="31"/>
      <c r="AGI289" s="31"/>
      <c r="AGJ289" s="31"/>
      <c r="AGK289" s="31"/>
      <c r="AGL289" s="31"/>
      <c r="AGM289" s="31"/>
      <c r="AGN289" s="31"/>
      <c r="AGO289" s="31"/>
      <c r="AGP289" s="31"/>
      <c r="AGQ289" s="31"/>
      <c r="AGR289" s="31"/>
      <c r="AGS289" s="31"/>
      <c r="AGT289" s="31"/>
      <c r="AGU289" s="31"/>
      <c r="AGV289" s="31"/>
      <c r="AGW289" s="31"/>
      <c r="AGX289" s="31"/>
      <c r="AGY289" s="31"/>
      <c r="AGZ289" s="31"/>
      <c r="AHA289" s="31"/>
      <c r="AHB289" s="31"/>
      <c r="AHC289" s="31"/>
      <c r="AHD289" s="31"/>
      <c r="AHE289" s="31"/>
      <c r="AHF289" s="31"/>
      <c r="AHG289" s="31"/>
      <c r="AHH289" s="31"/>
      <c r="AHI289" s="31"/>
      <c r="AHJ289" s="31"/>
      <c r="AHK289" s="31"/>
      <c r="AHL289" s="31"/>
      <c r="AHM289" s="31"/>
      <c r="AHN289" s="31"/>
      <c r="AHO289" s="31"/>
      <c r="AHP289" s="31"/>
      <c r="AHQ289" s="31"/>
      <c r="AHR289" s="31"/>
      <c r="AHS289" s="31"/>
      <c r="AHT289" s="31"/>
      <c r="AHU289" s="31"/>
      <c r="AHV289" s="31"/>
      <c r="AHW289" s="31"/>
      <c r="AHX289" s="31"/>
      <c r="AHY289" s="31"/>
      <c r="AHZ289" s="31"/>
      <c r="AIA289" s="31"/>
      <c r="AIB289" s="31"/>
      <c r="AIC289" s="31"/>
      <c r="AID289" s="31"/>
      <c r="AIE289" s="31"/>
      <c r="AIF289" s="31"/>
      <c r="AIG289" s="31"/>
      <c r="AIH289" s="31"/>
      <c r="AII289" s="31"/>
      <c r="AIJ289" s="31"/>
      <c r="AIK289" s="31"/>
      <c r="AIL289" s="31"/>
      <c r="AIM289" s="31"/>
      <c r="AIN289" s="31"/>
      <c r="AIO289" s="31"/>
      <c r="AIP289" s="31"/>
      <c r="AIQ289" s="31"/>
      <c r="AIR289" s="31"/>
      <c r="AIS289" s="31"/>
      <c r="AIT289" s="31"/>
      <c r="AIU289" s="31"/>
      <c r="AIV289" s="31"/>
      <c r="AIW289" s="31"/>
      <c r="AIX289" s="31"/>
      <c r="AIY289" s="31"/>
      <c r="AIZ289" s="31"/>
      <c r="AJA289" s="31"/>
      <c r="AJB289" s="31"/>
      <c r="AJC289" s="31"/>
      <c r="AJD289" s="31"/>
      <c r="AJE289" s="31"/>
      <c r="AJF289" s="31"/>
      <c r="AJG289" s="31"/>
      <c r="AJH289" s="31"/>
      <c r="AJI289" s="31"/>
      <c r="AJJ289" s="31"/>
      <c r="AJK289" s="31"/>
      <c r="AJL289" s="31"/>
      <c r="AJM289" s="31"/>
      <c r="AJN289" s="31"/>
      <c r="AJO289" s="31"/>
      <c r="AJP289" s="31"/>
      <c r="AJQ289" s="31"/>
      <c r="AJR289" s="31"/>
      <c r="AJS289" s="31"/>
      <c r="AJT289" s="31"/>
      <c r="AJU289" s="31"/>
      <c r="AJV289" s="31"/>
      <c r="AJW289" s="31"/>
      <c r="AJX289" s="31"/>
      <c r="AJY289" s="31"/>
      <c r="AJZ289" s="31"/>
      <c r="AKA289" s="31"/>
      <c r="AKB289" s="31"/>
      <c r="AKC289" s="31"/>
      <c r="AKD289" s="31"/>
      <c r="AKE289" s="31"/>
      <c r="AKF289" s="31"/>
      <c r="AKG289" s="31"/>
      <c r="AKH289" s="31"/>
      <c r="AKI289" s="31"/>
      <c r="AKJ289" s="31"/>
      <c r="AKK289" s="31"/>
      <c r="AKL289" s="31"/>
      <c r="AKM289" s="31"/>
      <c r="AKN289" s="31"/>
      <c r="AKO289" s="31"/>
      <c r="AKP289" s="31"/>
      <c r="AKQ289" s="31"/>
      <c r="AKR289" s="31"/>
      <c r="AKS289" s="31"/>
      <c r="AKT289" s="31"/>
      <c r="AKU289" s="31"/>
      <c r="AKV289" s="31"/>
      <c r="AKW289" s="31"/>
      <c r="AKX289" s="31"/>
      <c r="AKY289" s="31"/>
      <c r="AKZ289" s="31"/>
      <c r="ALA289" s="31"/>
      <c r="ALB289" s="31"/>
      <c r="ALC289" s="31"/>
      <c r="ALD289" s="31"/>
      <c r="ALE289" s="31"/>
      <c r="ALF289" s="31"/>
      <c r="ALG289" s="31"/>
      <c r="ALH289" s="31"/>
      <c r="ALI289" s="31"/>
      <c r="ALJ289" s="31"/>
      <c r="ALK289" s="31"/>
      <c r="ALL289" s="31"/>
      <c r="ALM289" s="31"/>
      <c r="ALN289" s="31"/>
      <c r="ALO289" s="31"/>
      <c r="ALP289" s="31"/>
      <c r="ALQ289" s="31"/>
      <c r="ALR289" s="31"/>
      <c r="ALS289" s="31"/>
      <c r="ALT289" s="31"/>
      <c r="ALU289" s="31"/>
      <c r="ALV289" s="31"/>
      <c r="ALW289" s="31"/>
      <c r="ALX289" s="31"/>
      <c r="ALY289" s="31"/>
      <c r="ALZ289" s="31"/>
      <c r="AMA289" s="31"/>
      <c r="AMB289" s="31"/>
      <c r="AMC289" s="31"/>
      <c r="AMD289" s="31"/>
      <c r="AME289" s="31"/>
      <c r="AMF289" s="31"/>
      <c r="AMG289" s="31"/>
      <c r="AMH289" s="31"/>
      <c r="AMI289" s="31"/>
      <c r="AMJ289" s="31"/>
    </row>
    <row r="290" spans="1:1024" ht="27.6">
      <c r="A290" s="8" t="s">
        <v>284</v>
      </c>
      <c r="B290" s="8">
        <v>713200</v>
      </c>
      <c r="C290" s="8"/>
      <c r="D290" s="29">
        <v>45097</v>
      </c>
      <c r="E290" s="1">
        <v>12</v>
      </c>
      <c r="F290" s="8">
        <v>6</v>
      </c>
      <c r="G290" s="30">
        <f t="shared" si="15"/>
        <v>18</v>
      </c>
      <c r="H290" s="8">
        <f t="shared" si="17"/>
        <v>-12</v>
      </c>
      <c r="I290">
        <f t="shared" si="16"/>
        <v>0</v>
      </c>
      <c r="J290">
        <f>SUMIF(Oeffentlichkeitsarbeit!$D:$D,$B290,Oeffentlichkeitsarbeit!$F:$F)</f>
        <v>0</v>
      </c>
      <c r="K290">
        <f>COUNTIF(Fairteiler!$D:$D,$B290)*1/2</f>
        <v>0</v>
      </c>
      <c r="L290">
        <f>COUNTIF('NP-Betrieb'!D:D,$B290)*1/3</f>
        <v>0</v>
      </c>
      <c r="M290">
        <f>COUNTIF(Fairteilungen!$D:$D,$B290)*3/4</f>
        <v>0</v>
      </c>
      <c r="N290">
        <f>COUNTIF(Anlieferung!D:D,$B290)*1/2</f>
        <v>0</v>
      </c>
      <c r="O290">
        <f>COUNTIF(Probeabholungen!B:B,$B290)*1/3</f>
        <v>0</v>
      </c>
    </row>
    <row r="291" spans="1:1024" ht="27.6">
      <c r="A291" s="8" t="s">
        <v>285</v>
      </c>
      <c r="B291" s="8">
        <v>679346</v>
      </c>
      <c r="C291" s="31"/>
      <c r="D291" s="29">
        <v>45110</v>
      </c>
      <c r="E291" s="1">
        <v>15</v>
      </c>
      <c r="F291" s="8">
        <v>6</v>
      </c>
      <c r="G291" s="30">
        <f t="shared" si="15"/>
        <v>21</v>
      </c>
      <c r="H291" s="8">
        <f t="shared" si="17"/>
        <v>-15</v>
      </c>
      <c r="I291" s="31">
        <f t="shared" si="16"/>
        <v>0</v>
      </c>
      <c r="J291" s="31">
        <f>SUMIF(Oeffentlichkeitsarbeit!$D:$D,$B291,Oeffentlichkeitsarbeit!$F:$F)</f>
        <v>0</v>
      </c>
      <c r="K291" s="31">
        <f>COUNTIF(Fairteiler!$D:$D,$B291)*1/2</f>
        <v>0</v>
      </c>
      <c r="L291" s="31">
        <f>COUNTIF('NP-Betrieb'!D:D,$B291)*1/3</f>
        <v>0</v>
      </c>
      <c r="M291" s="31">
        <f>COUNTIF(Fairteilungen!$D:$D,$B291)*3/4</f>
        <v>0</v>
      </c>
      <c r="N291" s="31">
        <f>COUNTIF(Anlieferung!D:D,$B291)*1/2</f>
        <v>0</v>
      </c>
      <c r="O291" s="31">
        <f>COUNTIF(Probeabholungen!B:B,$B291)*1/3</f>
        <v>0</v>
      </c>
    </row>
    <row r="292" spans="1:1024">
      <c r="A292" s="8" t="s">
        <v>286</v>
      </c>
      <c r="B292" s="8">
        <v>440596</v>
      </c>
      <c r="D292" s="29">
        <v>45071</v>
      </c>
      <c r="E292" s="1">
        <v>9.3333333333333304</v>
      </c>
      <c r="F292" s="8">
        <v>6</v>
      </c>
      <c r="G292" s="30">
        <f t="shared" si="15"/>
        <v>15.33333333333333</v>
      </c>
      <c r="H292" s="8">
        <f t="shared" si="17"/>
        <v>-9.3333333333333304</v>
      </c>
      <c r="I292">
        <f t="shared" si="16"/>
        <v>0</v>
      </c>
      <c r="J292">
        <f>SUMIF(Oeffentlichkeitsarbeit!$D:$D,$B292,Oeffentlichkeitsarbeit!$F:$F)</f>
        <v>0</v>
      </c>
      <c r="K292">
        <f>COUNTIF(Fairteiler!$D:$D,$B292)*1/2</f>
        <v>0</v>
      </c>
      <c r="L292">
        <f>COUNTIF('NP-Betrieb'!D:D,$B292)*1/3</f>
        <v>0</v>
      </c>
      <c r="M292">
        <f>COUNTIF(Fairteilungen!$D:$D,$B292)*3/4</f>
        <v>0</v>
      </c>
      <c r="N292">
        <f>COUNTIF(Anlieferung!D:D,$B292)*1/2</f>
        <v>0</v>
      </c>
      <c r="O292">
        <f>COUNTIF(Probeabholungen!B:B,$B292)*1/3</f>
        <v>0</v>
      </c>
    </row>
    <row r="293" spans="1:1024">
      <c r="A293" s="8" t="s">
        <v>287</v>
      </c>
      <c r="B293" s="8">
        <v>828379</v>
      </c>
      <c r="D293" s="29">
        <v>45404</v>
      </c>
      <c r="E293" s="1">
        <v>0</v>
      </c>
      <c r="F293" s="8">
        <v>6</v>
      </c>
      <c r="G293" s="30">
        <f t="shared" si="15"/>
        <v>1</v>
      </c>
      <c r="H293" s="8">
        <f t="shared" si="17"/>
        <v>5</v>
      </c>
      <c r="I293">
        <f t="shared" si="16"/>
        <v>5</v>
      </c>
      <c r="J293">
        <f>SUMIF(Oeffentlichkeitsarbeit!$D:$D,$B293,Oeffentlichkeitsarbeit!$F:$F)</f>
        <v>0</v>
      </c>
      <c r="K293">
        <f>COUNTIF(Fairteiler!$D:$D,$B293)*1/2</f>
        <v>2</v>
      </c>
      <c r="L293">
        <f>COUNTIF('NP-Betrieb'!D:D,$B293)*1/3</f>
        <v>3</v>
      </c>
      <c r="M293">
        <f>COUNTIF(Fairteilungen!$D:$D,$B293)*3/4</f>
        <v>0</v>
      </c>
      <c r="N293">
        <f>COUNTIF(Anlieferung!D:D,$B293)*1/2</f>
        <v>0</v>
      </c>
      <c r="O293">
        <f>COUNTIF(Probeabholungen!B:B,$B293)*1/3</f>
        <v>0</v>
      </c>
    </row>
    <row r="294" spans="1:1024" ht="27.6">
      <c r="A294" s="8" t="s">
        <v>851</v>
      </c>
      <c r="B294" s="8">
        <v>935541</v>
      </c>
      <c r="D294" s="24">
        <v>46087</v>
      </c>
      <c r="E294">
        <v>0</v>
      </c>
      <c r="F294">
        <v>5</v>
      </c>
      <c r="G294" s="30">
        <f t="shared" si="15"/>
        <v>4.666666666666667</v>
      </c>
      <c r="H294" s="8">
        <f t="shared" si="17"/>
        <v>0.33333333333333331</v>
      </c>
      <c r="I294">
        <f t="shared" si="16"/>
        <v>0.33333333333333331</v>
      </c>
      <c r="J294">
        <f>SUMIF(Oeffentlichkeitsarbeit!$D:$D,$B294,Oeffentlichkeitsarbeit!$F:$F)</f>
        <v>0</v>
      </c>
      <c r="K294">
        <f>COUNTIF(Fairteiler!$D:$D,$B294)*1/2</f>
        <v>0</v>
      </c>
      <c r="L294">
        <f>COUNTIF('NP-Betrieb'!D:D,$B294)*1/3</f>
        <v>0.33333333333333331</v>
      </c>
      <c r="M294">
        <f>COUNTIF(Fairteilungen!$D:$D,$B294)*3/4</f>
        <v>0</v>
      </c>
      <c r="N294">
        <f>COUNTIF(Anlieferung!D:D,$B294)*1/2</f>
        <v>0</v>
      </c>
      <c r="O294">
        <f>COUNTIF(Probeabholungen!B:B,$B294)*1/3</f>
        <v>0</v>
      </c>
    </row>
    <row r="295" spans="1:1024" ht="27.6">
      <c r="A295" s="8" t="s">
        <v>288</v>
      </c>
      <c r="B295" s="8">
        <v>745275</v>
      </c>
      <c r="D295" s="24">
        <v>45749</v>
      </c>
      <c r="E295" s="1">
        <v>0</v>
      </c>
      <c r="F295">
        <v>6</v>
      </c>
      <c r="G295" s="30">
        <f t="shared" si="15"/>
        <v>2.8333333333333335</v>
      </c>
      <c r="H295" s="8">
        <f t="shared" si="17"/>
        <v>3.1666666666666665</v>
      </c>
      <c r="I295">
        <f t="shared" si="16"/>
        <v>3.1666666666666665</v>
      </c>
      <c r="J295">
        <f>SUMIF(Oeffentlichkeitsarbeit!$D:$D,$B295,Oeffentlichkeitsarbeit!$F:$F)</f>
        <v>0</v>
      </c>
      <c r="K295">
        <f>COUNTIF(Fairteiler!$D:$D,$B295)*1/2</f>
        <v>2.5</v>
      </c>
      <c r="L295">
        <f>COUNTIF('NP-Betrieb'!D:D,$B295)*1/3</f>
        <v>0.66666666666666663</v>
      </c>
      <c r="M295">
        <f>COUNTIF(Fairteilungen!$D:$D,$B295)*3/4</f>
        <v>0</v>
      </c>
      <c r="N295">
        <f>COUNTIF(Anlieferung!D:D,$B295)*1/2</f>
        <v>0</v>
      </c>
      <c r="O295">
        <f>COUNTIF(Probeabholungen!B:B,$B295)*1/3</f>
        <v>0</v>
      </c>
    </row>
    <row r="296" spans="1:1024">
      <c r="A296" t="s">
        <v>289</v>
      </c>
      <c r="B296">
        <v>822861</v>
      </c>
      <c r="D296" s="24">
        <v>45427</v>
      </c>
      <c r="E296" s="1">
        <v>8.1666666666666696</v>
      </c>
      <c r="F296" s="8">
        <v>6</v>
      </c>
      <c r="G296" s="30">
        <f t="shared" si="15"/>
        <v>14.16666666666667</v>
      </c>
      <c r="H296" s="8">
        <f t="shared" si="17"/>
        <v>-8.1666666666666696</v>
      </c>
      <c r="I296">
        <f t="shared" si="16"/>
        <v>0</v>
      </c>
      <c r="J296">
        <f>SUMIF(Oeffentlichkeitsarbeit!$D:$D,$B296,Oeffentlichkeitsarbeit!$F:$F)</f>
        <v>0</v>
      </c>
      <c r="K296">
        <f>COUNTIF(Fairteiler!$D:$D,$B296)*1/2</f>
        <v>0</v>
      </c>
      <c r="L296">
        <f>COUNTIF('NP-Betrieb'!D:D,$B296)*1/3</f>
        <v>0</v>
      </c>
      <c r="M296">
        <f>COUNTIF(Fairteilungen!$D:$D,$B296)*3/4</f>
        <v>0</v>
      </c>
      <c r="N296">
        <f>COUNTIF(Anlieferung!D:D,$B296)*1/2</f>
        <v>0</v>
      </c>
      <c r="O296">
        <f>COUNTIF(Probeabholungen!B:B,$B296)*1/3</f>
        <v>0</v>
      </c>
    </row>
    <row r="297" spans="1:1024" ht="27.6">
      <c r="A297" s="8" t="s">
        <v>290</v>
      </c>
      <c r="B297" s="8">
        <v>83613</v>
      </c>
      <c r="D297" s="29"/>
      <c r="E297" s="1">
        <v>0</v>
      </c>
      <c r="F297" s="8">
        <v>6</v>
      </c>
      <c r="G297" s="30">
        <f t="shared" si="15"/>
        <v>3.6666666666666665</v>
      </c>
      <c r="H297" s="8">
        <f t="shared" si="17"/>
        <v>2.3333333333333335</v>
      </c>
      <c r="I297">
        <f t="shared" si="16"/>
        <v>2.3333333333333335</v>
      </c>
      <c r="J297">
        <f>SUMIF(Oeffentlichkeitsarbeit!$D:$D,$B297,Oeffentlichkeitsarbeit!$F:$F)</f>
        <v>0</v>
      </c>
      <c r="K297">
        <f>COUNTIF(Fairteiler!$D:$D,$B297)*1/2</f>
        <v>0</v>
      </c>
      <c r="L297">
        <f>COUNTIF('NP-Betrieb'!D:D,$B297)*1/3</f>
        <v>2.3333333333333335</v>
      </c>
      <c r="M297">
        <f>COUNTIF(Fairteilungen!$D:$D,$B297)*3/4</f>
        <v>0</v>
      </c>
      <c r="N297">
        <f>COUNTIF(Anlieferung!D:D,$B297)*1/2</f>
        <v>0</v>
      </c>
      <c r="O297">
        <f>COUNTIF(Probeabholungen!B:B,$B297)*1/3</f>
        <v>0</v>
      </c>
    </row>
    <row r="298" spans="1:1024">
      <c r="A298" s="31" t="s">
        <v>291</v>
      </c>
      <c r="B298" s="31">
        <v>770361</v>
      </c>
      <c r="C298" s="31"/>
      <c r="D298" s="24">
        <v>45427</v>
      </c>
      <c r="E298" s="1">
        <v>0</v>
      </c>
      <c r="F298" s="8">
        <v>6</v>
      </c>
      <c r="G298" s="30">
        <f t="shared" si="15"/>
        <v>6</v>
      </c>
      <c r="H298" s="8">
        <f t="shared" si="17"/>
        <v>0</v>
      </c>
      <c r="I298" s="31">
        <f t="shared" si="16"/>
        <v>0</v>
      </c>
      <c r="J298" s="31">
        <f>SUMIF(Oeffentlichkeitsarbeit!$D:$D,$B298,Oeffentlichkeitsarbeit!$F:$F)</f>
        <v>0</v>
      </c>
      <c r="K298" s="31">
        <f>COUNTIF(Fairteiler!$D:$D,$B298)*1/2</f>
        <v>0</v>
      </c>
      <c r="L298" s="31">
        <f>COUNTIF('NP-Betrieb'!D:D,$B298)*1/3</f>
        <v>0</v>
      </c>
      <c r="M298" s="31">
        <f>COUNTIF(Fairteilungen!$D:$D,$B298)*3/4</f>
        <v>0</v>
      </c>
      <c r="N298" s="31">
        <f>COUNTIF(Anlieferung!D:D,$B298)*1/2</f>
        <v>0</v>
      </c>
      <c r="O298" s="31">
        <f>COUNTIF(Probeabholungen!B:B,$B298)*1/3</f>
        <v>0</v>
      </c>
    </row>
    <row r="299" spans="1:1024" ht="27.6">
      <c r="A299" s="8" t="s">
        <v>292</v>
      </c>
      <c r="B299" s="8">
        <v>464045</v>
      </c>
      <c r="D299" s="29"/>
      <c r="E299" s="1">
        <v>0</v>
      </c>
      <c r="F299" s="8">
        <v>6</v>
      </c>
      <c r="G299" s="30">
        <f t="shared" si="15"/>
        <v>6</v>
      </c>
      <c r="H299" s="8">
        <f t="shared" si="17"/>
        <v>0</v>
      </c>
      <c r="I299">
        <f t="shared" si="16"/>
        <v>0</v>
      </c>
      <c r="J299">
        <f>SUMIF(Oeffentlichkeitsarbeit!$D:$D,$B299,Oeffentlichkeitsarbeit!$F:$F)</f>
        <v>0</v>
      </c>
      <c r="K299">
        <f>COUNTIF(Fairteiler!$D:$D,$B299)*1/2</f>
        <v>0</v>
      </c>
      <c r="L299">
        <f>COUNTIF('NP-Betrieb'!D:D,$B299)*1/3</f>
        <v>0</v>
      </c>
      <c r="M299">
        <f>COUNTIF(Fairteilungen!$D:$D,$B299)*3/4</f>
        <v>0</v>
      </c>
      <c r="N299">
        <f>COUNTIF(Anlieferung!D:D,$B299)*1/2</f>
        <v>0</v>
      </c>
      <c r="O299">
        <f>COUNTIF(Probeabholungen!B:B,$B299)*1/3</f>
        <v>0</v>
      </c>
    </row>
    <row r="300" spans="1:1024" ht="27.6">
      <c r="A300" s="16" t="s">
        <v>293</v>
      </c>
      <c r="B300" s="16">
        <v>510212</v>
      </c>
      <c r="C300" s="16" t="s">
        <v>831</v>
      </c>
      <c r="D300" s="29"/>
      <c r="E300" s="1">
        <v>0</v>
      </c>
      <c r="F300" s="16">
        <v>0</v>
      </c>
      <c r="G300" s="30">
        <f t="shared" si="15"/>
        <v>-2.6666666666666665</v>
      </c>
      <c r="H300" s="16">
        <f t="shared" si="17"/>
        <v>2.6666666666666665</v>
      </c>
      <c r="I300" s="11">
        <f t="shared" si="16"/>
        <v>2.6666666666666665</v>
      </c>
      <c r="J300" s="11">
        <f>SUMIF(Oeffentlichkeitsarbeit!$D:$D,$B300,Oeffentlichkeitsarbeit!$F:$F)</f>
        <v>0</v>
      </c>
      <c r="K300" s="11">
        <f>COUNTIF(Fairteiler!$D:$D,$B300)*1/2</f>
        <v>0</v>
      </c>
      <c r="L300" s="11">
        <f>COUNTIF('NP-Betrieb'!D:D,$B300)*1/3</f>
        <v>2.6666666666666665</v>
      </c>
      <c r="M300" s="11">
        <f>COUNTIF(Fairteilungen!$D:$D,$B300)*3/4</f>
        <v>0</v>
      </c>
      <c r="N300" s="11">
        <f>COUNTIF(Anlieferung!D:D,$B300)*1/2</f>
        <v>0</v>
      </c>
      <c r="O300" s="11">
        <f>COUNTIF(Probeabholungen!B:B,$B300)*1/3</f>
        <v>0</v>
      </c>
    </row>
    <row r="301" spans="1:1024" ht="27.6">
      <c r="A301" s="8" t="s">
        <v>294</v>
      </c>
      <c r="B301" s="8">
        <v>520209</v>
      </c>
      <c r="D301" s="29"/>
      <c r="E301" s="1">
        <v>5.6733333333333302</v>
      </c>
      <c r="F301" s="8">
        <v>6</v>
      </c>
      <c r="G301" s="30">
        <f t="shared" si="15"/>
        <v>11.67333333333333</v>
      </c>
      <c r="H301" s="8">
        <f t="shared" si="17"/>
        <v>-5.6733333333333302</v>
      </c>
      <c r="I301">
        <f t="shared" si="16"/>
        <v>0</v>
      </c>
      <c r="J301">
        <f>SUMIF(Oeffentlichkeitsarbeit!$D:$D,$B301,Oeffentlichkeitsarbeit!$F:$F)</f>
        <v>0</v>
      </c>
      <c r="K301">
        <f>COUNTIF(Fairteiler!$D:$D,$B301)*1/2</f>
        <v>0</v>
      </c>
      <c r="L301">
        <f>COUNTIF('NP-Betrieb'!D:D,$B301)*1/3</f>
        <v>0</v>
      </c>
      <c r="M301">
        <f>COUNTIF(Fairteilungen!$D:$D,$B301)*3/4</f>
        <v>0</v>
      </c>
      <c r="N301">
        <f>COUNTIF(Anlieferung!D:D,$B301)*1/2</f>
        <v>0</v>
      </c>
      <c r="O301">
        <f>COUNTIF(Probeabholungen!B:B,$B301)*1/3</f>
        <v>0</v>
      </c>
    </row>
    <row r="302" spans="1:1024" ht="27.6">
      <c r="A302" s="8" t="s">
        <v>295</v>
      </c>
      <c r="B302" s="8">
        <v>445999</v>
      </c>
      <c r="D302" s="24">
        <v>45826</v>
      </c>
      <c r="E302" s="1">
        <v>2.3333333333333299</v>
      </c>
      <c r="F302">
        <v>6</v>
      </c>
      <c r="G302" s="30">
        <f t="shared" si="15"/>
        <v>2.1666666666666639</v>
      </c>
      <c r="H302" s="8">
        <f t="shared" si="17"/>
        <v>3.8333333333333361</v>
      </c>
      <c r="I302">
        <f t="shared" si="16"/>
        <v>6.1666666666666661</v>
      </c>
      <c r="J302">
        <f>SUMIF(Oeffentlichkeitsarbeit!$D:$D,$B302,Oeffentlichkeitsarbeit!$F:$F)</f>
        <v>0</v>
      </c>
      <c r="K302">
        <f>COUNTIF(Fairteiler!$D:$D,$B302)*1/2</f>
        <v>3.5</v>
      </c>
      <c r="L302">
        <f>COUNTIF('NP-Betrieb'!D:D,$B302)*1/3</f>
        <v>2.6666666666666665</v>
      </c>
      <c r="M302">
        <f>COUNTIF(Fairteilungen!$D:$D,$B302)*3/4</f>
        <v>0</v>
      </c>
      <c r="N302">
        <f>COUNTIF(Anlieferung!D:D,$B302)*1/2</f>
        <v>0</v>
      </c>
      <c r="O302">
        <f>COUNTIF(Probeabholungen!B:B,$B302)*1/3</f>
        <v>0</v>
      </c>
    </row>
    <row r="303" spans="1:1024" ht="27.6">
      <c r="A303" s="8" t="s">
        <v>296</v>
      </c>
      <c r="B303" s="8">
        <v>660813</v>
      </c>
      <c r="D303" s="29">
        <v>45247</v>
      </c>
      <c r="E303" s="1">
        <v>0</v>
      </c>
      <c r="F303" s="8">
        <v>6</v>
      </c>
      <c r="G303" s="30">
        <f t="shared" si="15"/>
        <v>4.5</v>
      </c>
      <c r="H303" s="8">
        <f t="shared" si="17"/>
        <v>1.5</v>
      </c>
      <c r="I303">
        <f t="shared" si="16"/>
        <v>1.5</v>
      </c>
      <c r="J303">
        <f>SUMIF(Oeffentlichkeitsarbeit!$D:$D,$B303,Oeffentlichkeitsarbeit!$F:$F)</f>
        <v>0</v>
      </c>
      <c r="K303">
        <f>COUNTIF(Fairteiler!$D:$D,$B303)*1/2</f>
        <v>0.5</v>
      </c>
      <c r="L303">
        <f>COUNTIF('NP-Betrieb'!D:D,$B303)*1/3</f>
        <v>1</v>
      </c>
      <c r="M303">
        <f>COUNTIF(Fairteilungen!$D:$D,$B303)*3/4</f>
        <v>0</v>
      </c>
      <c r="N303">
        <f>COUNTIF(Anlieferung!D:D,$B303)*1/2</f>
        <v>0</v>
      </c>
      <c r="O303">
        <f>COUNTIF(Probeabholungen!B:B,$B303)*1/3</f>
        <v>0</v>
      </c>
    </row>
    <row r="304" spans="1:1024" ht="27.6">
      <c r="A304" s="8" t="s">
        <v>297</v>
      </c>
      <c r="B304" s="19">
        <v>824174</v>
      </c>
      <c r="D304" s="29">
        <v>45412</v>
      </c>
      <c r="E304" s="1">
        <v>9.6666666666666696</v>
      </c>
      <c r="F304" s="8">
        <v>6</v>
      </c>
      <c r="G304" s="30">
        <f t="shared" si="15"/>
        <v>15.66666666666667</v>
      </c>
      <c r="H304" s="8">
        <f t="shared" si="17"/>
        <v>-9.6666666666666696</v>
      </c>
      <c r="I304">
        <f t="shared" si="16"/>
        <v>0</v>
      </c>
      <c r="J304">
        <f>SUMIF(Oeffentlichkeitsarbeit!$D:$D,$B304,Oeffentlichkeitsarbeit!$F:$F)</f>
        <v>0</v>
      </c>
      <c r="K304">
        <f>COUNTIF(Fairteiler!$D:$D,$B304)*1/2</f>
        <v>0</v>
      </c>
      <c r="L304">
        <f>COUNTIF('NP-Betrieb'!D:D,$B304)*1/3</f>
        <v>0</v>
      </c>
      <c r="M304">
        <f>COUNTIF(Fairteilungen!$D:$D,$B304)*3/4</f>
        <v>0</v>
      </c>
      <c r="N304">
        <f>COUNTIF(Anlieferung!D:D,$B304)*1/2</f>
        <v>0</v>
      </c>
      <c r="O304">
        <f>COUNTIF(Probeabholungen!B:B,$B304)*1/3</f>
        <v>0</v>
      </c>
    </row>
    <row r="305" spans="1:1024" s="18" customFormat="1" ht="27.6">
      <c r="A305" s="8" t="s">
        <v>298</v>
      </c>
      <c r="B305" s="8">
        <v>783441</v>
      </c>
      <c r="C305"/>
      <c r="D305" s="29"/>
      <c r="E305" s="1">
        <v>7.0033333333333401</v>
      </c>
      <c r="F305" s="8">
        <v>6</v>
      </c>
      <c r="G305" s="30">
        <f t="shared" si="15"/>
        <v>13.003333333333341</v>
      </c>
      <c r="H305" s="8">
        <f t="shared" si="17"/>
        <v>-7.0033333333333401</v>
      </c>
      <c r="I305">
        <f t="shared" si="16"/>
        <v>0</v>
      </c>
      <c r="J305">
        <f>SUMIF(Oeffentlichkeitsarbeit!$D:$D,$B305,Oeffentlichkeitsarbeit!$F:$F)</f>
        <v>0</v>
      </c>
      <c r="K305">
        <f>COUNTIF(Fairteiler!$D:$D,$B305)*1/2</f>
        <v>0</v>
      </c>
      <c r="L305">
        <f>COUNTIF('NP-Betrieb'!D:D,$B305)*1/3</f>
        <v>0</v>
      </c>
      <c r="M305">
        <f>COUNTIF(Fairteilungen!$D:$D,$B305)*3/4</f>
        <v>0</v>
      </c>
      <c r="N305">
        <f>COUNTIF(Anlieferung!D:D,$B305)*1/2</f>
        <v>0</v>
      </c>
      <c r="O305">
        <f>COUNTIF(Probeabholungen!B:B,$B305)*1/3</f>
        <v>0</v>
      </c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/>
      <c r="FB305"/>
      <c r="FC305"/>
      <c r="FD305"/>
      <c r="FE305"/>
      <c r="FF305"/>
      <c r="FG305"/>
      <c r="FH305"/>
      <c r="FI305"/>
      <c r="FJ305"/>
      <c r="FK305"/>
      <c r="FL305"/>
      <c r="FM305"/>
      <c r="FN305"/>
      <c r="FO305"/>
      <c r="FP305"/>
      <c r="FQ305"/>
      <c r="FR305"/>
      <c r="FS305"/>
      <c r="FT305"/>
      <c r="FU305"/>
      <c r="FV305"/>
      <c r="FW305"/>
      <c r="FX305"/>
      <c r="FY305"/>
      <c r="FZ305"/>
      <c r="GA305"/>
      <c r="GB305"/>
      <c r="GC305"/>
      <c r="GD305"/>
      <c r="GE305"/>
      <c r="GF305"/>
      <c r="GG305"/>
      <c r="GH305"/>
      <c r="GI305"/>
      <c r="GJ305"/>
      <c r="GK305"/>
      <c r="GL305"/>
      <c r="GM305"/>
      <c r="GN305"/>
      <c r="GO305"/>
      <c r="GP305"/>
      <c r="GQ305"/>
      <c r="GR305"/>
      <c r="GS305"/>
      <c r="GT305"/>
      <c r="GU305"/>
      <c r="GV305"/>
      <c r="GW305"/>
      <c r="GX305"/>
      <c r="GY305"/>
      <c r="GZ305"/>
      <c r="HA305"/>
      <c r="HB305"/>
      <c r="HC305"/>
      <c r="HD305"/>
      <c r="HE305"/>
      <c r="HF305"/>
      <c r="HG305"/>
      <c r="HH305"/>
      <c r="HI305"/>
      <c r="HJ305"/>
      <c r="HK305"/>
      <c r="HL305"/>
      <c r="HM305"/>
      <c r="HN305"/>
      <c r="HO305"/>
      <c r="HP305"/>
      <c r="HQ305"/>
      <c r="HR305"/>
      <c r="HS305"/>
      <c r="HT305"/>
      <c r="HU305"/>
      <c r="HV305"/>
      <c r="HW305"/>
      <c r="HX305"/>
      <c r="HY305"/>
      <c r="HZ305"/>
      <c r="IA305"/>
      <c r="IB305"/>
      <c r="IC305"/>
      <c r="ID305"/>
      <c r="IE305"/>
      <c r="IF305"/>
      <c r="IG305"/>
      <c r="IH305"/>
      <c r="II305"/>
      <c r="IJ305"/>
      <c r="IK305"/>
      <c r="IL305"/>
      <c r="IM305"/>
      <c r="IN305"/>
      <c r="IO305"/>
      <c r="IP305"/>
      <c r="IQ305"/>
      <c r="IR305"/>
      <c r="IS305"/>
      <c r="IT305"/>
      <c r="IU305"/>
      <c r="IV305"/>
      <c r="IW305"/>
      <c r="IX305"/>
      <c r="IY305"/>
      <c r="IZ305"/>
      <c r="JA305"/>
      <c r="JB305"/>
      <c r="JC305"/>
      <c r="JD305"/>
      <c r="JE305"/>
      <c r="JF305"/>
      <c r="JG305"/>
      <c r="JH305"/>
      <c r="JI305"/>
      <c r="JJ305"/>
      <c r="JK305"/>
      <c r="JL305"/>
      <c r="JM305"/>
      <c r="JN305"/>
      <c r="JO305"/>
      <c r="JP305"/>
      <c r="JQ305"/>
      <c r="JR305"/>
      <c r="JS305"/>
      <c r="JT305"/>
      <c r="JU305"/>
      <c r="JV305"/>
      <c r="JW305"/>
      <c r="JX305"/>
      <c r="JY305"/>
      <c r="JZ305"/>
      <c r="KA305"/>
      <c r="KB305"/>
      <c r="KC305"/>
      <c r="KD305"/>
      <c r="KE305"/>
      <c r="KF305"/>
      <c r="KG305"/>
      <c r="KH305"/>
      <c r="KI305"/>
      <c r="KJ305"/>
      <c r="KK305"/>
      <c r="KL305"/>
      <c r="KM305"/>
      <c r="KN305"/>
      <c r="KO305"/>
      <c r="KP305"/>
      <c r="KQ305"/>
      <c r="KR305"/>
      <c r="KS305"/>
      <c r="KT305"/>
      <c r="KU305"/>
      <c r="KV305"/>
      <c r="KW305"/>
      <c r="KX305"/>
      <c r="KY305"/>
      <c r="KZ305"/>
      <c r="LA305"/>
      <c r="LB305"/>
      <c r="LC305"/>
      <c r="LD305"/>
      <c r="LE305"/>
      <c r="LF305"/>
      <c r="LG305"/>
      <c r="LH305"/>
      <c r="LI305"/>
      <c r="LJ305"/>
      <c r="LK305"/>
      <c r="LL305"/>
      <c r="LM305"/>
      <c r="LN305"/>
      <c r="LO305"/>
      <c r="LP305"/>
      <c r="LQ305"/>
      <c r="LR305"/>
      <c r="LS305"/>
      <c r="LT305"/>
      <c r="LU305"/>
      <c r="LV305"/>
      <c r="LW305"/>
      <c r="LX305"/>
      <c r="LY305"/>
      <c r="LZ305"/>
      <c r="MA305"/>
      <c r="MB305"/>
      <c r="MC305"/>
      <c r="MD305"/>
      <c r="ME305"/>
      <c r="MF305"/>
      <c r="MG305"/>
      <c r="MH305"/>
      <c r="MI305"/>
      <c r="MJ305"/>
      <c r="MK305"/>
      <c r="ML305"/>
      <c r="MM305"/>
      <c r="MN305"/>
      <c r="MO305"/>
      <c r="MP305"/>
      <c r="MQ305"/>
      <c r="MR305"/>
      <c r="MS305"/>
      <c r="MT305"/>
      <c r="MU305"/>
      <c r="MV305"/>
      <c r="MW305"/>
      <c r="MX305"/>
      <c r="MY305"/>
      <c r="MZ305"/>
      <c r="NA305"/>
      <c r="NB305"/>
      <c r="NC305"/>
      <c r="ND305"/>
      <c r="NE305"/>
      <c r="NF305"/>
      <c r="NG305"/>
      <c r="NH305"/>
      <c r="NI305"/>
      <c r="NJ305"/>
      <c r="NK305"/>
      <c r="NL305"/>
      <c r="NM305"/>
      <c r="NN305"/>
      <c r="NO305"/>
      <c r="NP305"/>
      <c r="NQ305"/>
      <c r="NR305"/>
      <c r="NS305"/>
      <c r="NT305"/>
      <c r="NU305"/>
      <c r="NV305"/>
      <c r="NW305"/>
      <c r="NX305"/>
      <c r="NY305"/>
      <c r="NZ305"/>
      <c r="OA305"/>
      <c r="OB305"/>
      <c r="OC305"/>
      <c r="OD305"/>
      <c r="OE305"/>
      <c r="OF305"/>
      <c r="OG305"/>
      <c r="OH305"/>
      <c r="OI305"/>
      <c r="OJ305"/>
      <c r="OK305"/>
      <c r="OL305"/>
      <c r="OM305"/>
      <c r="ON305"/>
      <c r="OO305"/>
      <c r="OP305"/>
      <c r="OQ305"/>
      <c r="OR305"/>
      <c r="OS305"/>
      <c r="OT305"/>
      <c r="OU305"/>
      <c r="OV305"/>
      <c r="OW305"/>
      <c r="OX305"/>
      <c r="OY305"/>
      <c r="OZ305"/>
      <c r="PA305"/>
      <c r="PB305"/>
      <c r="PC305"/>
      <c r="PD305"/>
      <c r="PE305"/>
      <c r="PF305"/>
      <c r="PG305"/>
      <c r="PH305"/>
      <c r="PI305"/>
      <c r="PJ305"/>
      <c r="PK305"/>
      <c r="PL305"/>
      <c r="PM305"/>
      <c r="PN305"/>
      <c r="PO305"/>
      <c r="PP305"/>
      <c r="PQ305"/>
      <c r="PR305"/>
      <c r="PS305"/>
      <c r="PT305"/>
      <c r="PU305"/>
      <c r="PV305"/>
      <c r="PW305"/>
      <c r="PX305"/>
      <c r="PY305"/>
      <c r="PZ305"/>
      <c r="QA305"/>
      <c r="QB305"/>
      <c r="QC305"/>
      <c r="QD305"/>
      <c r="QE305"/>
      <c r="QF305"/>
      <c r="QG305"/>
      <c r="QH305"/>
      <c r="QI305"/>
      <c r="QJ305"/>
      <c r="QK305"/>
      <c r="QL305"/>
      <c r="QM305"/>
      <c r="QN305"/>
      <c r="QO305"/>
      <c r="QP305"/>
      <c r="QQ305"/>
      <c r="QR305"/>
      <c r="QS305"/>
      <c r="QT305"/>
      <c r="QU305"/>
      <c r="QV305"/>
      <c r="QW305"/>
      <c r="QX305"/>
      <c r="QY305"/>
      <c r="QZ305"/>
      <c r="RA305"/>
      <c r="RB305"/>
      <c r="RC305"/>
      <c r="RD305"/>
      <c r="RE305"/>
      <c r="RF305"/>
      <c r="RG305"/>
      <c r="RH305"/>
      <c r="RI305"/>
      <c r="RJ305"/>
      <c r="RK305"/>
      <c r="RL305"/>
      <c r="RM305"/>
      <c r="RN305"/>
      <c r="RO305"/>
      <c r="RP305"/>
      <c r="RQ305"/>
      <c r="RR305"/>
      <c r="RS305"/>
      <c r="RT305"/>
      <c r="RU305"/>
      <c r="RV305"/>
      <c r="RW305"/>
      <c r="RX305"/>
      <c r="RY305"/>
      <c r="RZ305"/>
      <c r="SA305"/>
      <c r="SB305"/>
      <c r="SC305"/>
      <c r="SD305"/>
      <c r="SE305"/>
      <c r="SF305"/>
      <c r="SG305"/>
      <c r="SH305"/>
      <c r="SI305"/>
      <c r="SJ305"/>
      <c r="SK305"/>
      <c r="SL305"/>
      <c r="SM305"/>
      <c r="SN305"/>
      <c r="SO305"/>
      <c r="SP305"/>
      <c r="SQ305"/>
      <c r="SR305"/>
      <c r="SS305"/>
      <c r="ST305"/>
      <c r="SU305"/>
      <c r="SV305"/>
      <c r="SW305"/>
      <c r="SX305"/>
      <c r="SY305"/>
      <c r="SZ305"/>
      <c r="TA305"/>
      <c r="TB305"/>
      <c r="TC305"/>
      <c r="TD305"/>
      <c r="TE305"/>
      <c r="TF305"/>
      <c r="TG305"/>
      <c r="TH305"/>
      <c r="TI305"/>
      <c r="TJ305"/>
      <c r="TK305"/>
      <c r="TL305"/>
      <c r="TM305"/>
      <c r="TN305"/>
      <c r="TO305"/>
      <c r="TP305"/>
      <c r="TQ305"/>
      <c r="TR305"/>
      <c r="TS305"/>
      <c r="TT305"/>
      <c r="TU305"/>
      <c r="TV305"/>
      <c r="TW305"/>
      <c r="TX305"/>
      <c r="TY305"/>
      <c r="TZ305"/>
      <c r="UA305"/>
      <c r="UB305"/>
      <c r="UC305"/>
      <c r="UD305"/>
      <c r="UE305"/>
      <c r="UF305"/>
      <c r="UG305"/>
      <c r="UH305"/>
      <c r="UI305"/>
      <c r="UJ305"/>
      <c r="UK305"/>
      <c r="UL305"/>
      <c r="UM305"/>
      <c r="UN305"/>
      <c r="UO305"/>
      <c r="UP305"/>
      <c r="UQ305"/>
      <c r="UR305"/>
      <c r="US305"/>
      <c r="UT305"/>
      <c r="UU305"/>
      <c r="UV305"/>
      <c r="UW305"/>
      <c r="UX305"/>
      <c r="UY305"/>
      <c r="UZ305"/>
      <c r="VA305"/>
      <c r="VB305"/>
      <c r="VC305"/>
      <c r="VD305"/>
      <c r="VE305"/>
      <c r="VF305"/>
      <c r="VG305"/>
      <c r="VH305"/>
      <c r="VI305"/>
      <c r="VJ305"/>
      <c r="VK305"/>
      <c r="VL305"/>
      <c r="VM305"/>
      <c r="VN305"/>
      <c r="VO305"/>
      <c r="VP305"/>
      <c r="VQ305"/>
      <c r="VR305"/>
      <c r="VS305"/>
      <c r="VT305"/>
      <c r="VU305"/>
      <c r="VV305"/>
      <c r="VW305"/>
      <c r="VX305"/>
      <c r="VY305"/>
      <c r="VZ305"/>
      <c r="WA305"/>
      <c r="WB305"/>
      <c r="WC305"/>
      <c r="WD305"/>
      <c r="WE305"/>
      <c r="WF305"/>
      <c r="WG305"/>
      <c r="WH305"/>
      <c r="WI305"/>
      <c r="WJ305"/>
      <c r="WK305"/>
      <c r="WL305"/>
      <c r="WM305"/>
      <c r="WN305"/>
      <c r="WO305"/>
      <c r="WP305"/>
      <c r="WQ305"/>
      <c r="WR305"/>
      <c r="WS305"/>
      <c r="WT305"/>
      <c r="WU305"/>
      <c r="WV305"/>
      <c r="WW305"/>
      <c r="WX305"/>
      <c r="WY305"/>
      <c r="WZ305"/>
      <c r="XA305"/>
      <c r="XB305"/>
      <c r="XC305"/>
      <c r="XD305"/>
      <c r="XE305"/>
      <c r="XF305"/>
      <c r="XG305"/>
      <c r="XH305"/>
      <c r="XI305"/>
      <c r="XJ305"/>
      <c r="XK305"/>
      <c r="XL305"/>
      <c r="XM305"/>
      <c r="XN305"/>
      <c r="XO305"/>
      <c r="XP305"/>
      <c r="XQ305"/>
      <c r="XR305"/>
      <c r="XS305"/>
      <c r="XT305"/>
      <c r="XU305"/>
      <c r="XV305"/>
      <c r="XW305"/>
      <c r="XX305"/>
      <c r="XY305"/>
      <c r="XZ305"/>
      <c r="YA305"/>
      <c r="YB305"/>
      <c r="YC305"/>
      <c r="YD305"/>
      <c r="YE305"/>
      <c r="YF305"/>
      <c r="YG305"/>
      <c r="YH305"/>
      <c r="YI305"/>
      <c r="YJ305"/>
      <c r="YK305"/>
      <c r="YL305"/>
      <c r="YM305"/>
      <c r="YN305"/>
      <c r="YO305"/>
      <c r="YP305"/>
      <c r="YQ305"/>
      <c r="YR305"/>
      <c r="YS305"/>
      <c r="YT305"/>
      <c r="YU305"/>
      <c r="YV305"/>
      <c r="YW305"/>
      <c r="YX305"/>
      <c r="YY305"/>
      <c r="YZ305"/>
      <c r="ZA305"/>
      <c r="ZB305"/>
      <c r="ZC305"/>
      <c r="ZD305"/>
      <c r="ZE305"/>
      <c r="ZF305"/>
      <c r="ZG305"/>
      <c r="ZH305"/>
      <c r="ZI305"/>
      <c r="ZJ305"/>
      <c r="ZK305"/>
      <c r="ZL305"/>
      <c r="ZM305"/>
      <c r="ZN305"/>
      <c r="ZO305"/>
      <c r="ZP305"/>
      <c r="ZQ305"/>
      <c r="ZR305"/>
      <c r="ZS305"/>
      <c r="ZT305"/>
      <c r="ZU305"/>
      <c r="ZV305"/>
      <c r="ZW305"/>
      <c r="ZX305"/>
      <c r="ZY305"/>
      <c r="ZZ305"/>
      <c r="AAA305"/>
      <c r="AAB305"/>
      <c r="AAC305"/>
      <c r="AAD305"/>
      <c r="AAE305"/>
      <c r="AAF305"/>
      <c r="AAG305"/>
      <c r="AAH305"/>
      <c r="AAI305"/>
      <c r="AAJ305"/>
      <c r="AAK305"/>
      <c r="AAL305"/>
      <c r="AAM305"/>
      <c r="AAN305"/>
      <c r="AAO305"/>
      <c r="AAP305"/>
      <c r="AAQ305"/>
      <c r="AAR305"/>
      <c r="AAS305"/>
      <c r="AAT305"/>
      <c r="AAU305"/>
      <c r="AAV305"/>
      <c r="AAW305"/>
      <c r="AAX305"/>
      <c r="AAY305"/>
      <c r="AAZ305"/>
      <c r="ABA305"/>
      <c r="ABB305"/>
      <c r="ABC305"/>
      <c r="ABD305"/>
      <c r="ABE305"/>
      <c r="ABF305"/>
      <c r="ABG305"/>
      <c r="ABH305"/>
      <c r="ABI305"/>
      <c r="ABJ305"/>
      <c r="ABK305"/>
      <c r="ABL305"/>
      <c r="ABM305"/>
      <c r="ABN305"/>
      <c r="ABO305"/>
      <c r="ABP305"/>
      <c r="ABQ305"/>
      <c r="ABR305"/>
      <c r="ABS305"/>
      <c r="ABT305"/>
      <c r="ABU305"/>
      <c r="ABV305"/>
      <c r="ABW305"/>
      <c r="ABX305"/>
      <c r="ABY305"/>
      <c r="ABZ305"/>
      <c r="ACA305"/>
      <c r="ACB305"/>
      <c r="ACC305"/>
      <c r="ACD305"/>
      <c r="ACE305"/>
      <c r="ACF305"/>
      <c r="ACG305"/>
      <c r="ACH305"/>
      <c r="ACI305"/>
      <c r="ACJ305"/>
      <c r="ACK305"/>
      <c r="ACL305"/>
      <c r="ACM305"/>
      <c r="ACN305"/>
      <c r="ACO305"/>
      <c r="ACP305"/>
      <c r="ACQ305"/>
      <c r="ACR305"/>
      <c r="ACS305"/>
      <c r="ACT305"/>
      <c r="ACU305"/>
      <c r="ACV305"/>
      <c r="ACW305"/>
      <c r="ACX305"/>
      <c r="ACY305"/>
      <c r="ACZ305"/>
      <c r="ADA305"/>
      <c r="ADB305"/>
      <c r="ADC305"/>
      <c r="ADD305"/>
      <c r="ADE305"/>
      <c r="ADF305"/>
      <c r="ADG305"/>
      <c r="ADH305"/>
      <c r="ADI305"/>
      <c r="ADJ305"/>
      <c r="ADK305"/>
      <c r="ADL305"/>
      <c r="ADM305"/>
      <c r="ADN305"/>
      <c r="ADO305"/>
      <c r="ADP305"/>
      <c r="ADQ305"/>
      <c r="ADR305"/>
      <c r="ADS305"/>
      <c r="ADT305"/>
      <c r="ADU305"/>
      <c r="ADV305"/>
      <c r="ADW305"/>
      <c r="ADX305"/>
      <c r="ADY305"/>
      <c r="ADZ305"/>
      <c r="AEA305"/>
      <c r="AEB305"/>
      <c r="AEC305"/>
      <c r="AED305"/>
      <c r="AEE305"/>
      <c r="AEF305"/>
      <c r="AEG305"/>
      <c r="AEH305"/>
      <c r="AEI305"/>
      <c r="AEJ305"/>
      <c r="AEK305"/>
      <c r="AEL305"/>
      <c r="AEM305"/>
      <c r="AEN305"/>
      <c r="AEO305"/>
      <c r="AEP305"/>
      <c r="AEQ305"/>
      <c r="AER305"/>
      <c r="AES305"/>
      <c r="AET305"/>
      <c r="AEU305"/>
      <c r="AEV305"/>
      <c r="AEW305"/>
      <c r="AEX305"/>
      <c r="AEY305"/>
      <c r="AEZ305"/>
      <c r="AFA305"/>
      <c r="AFB305"/>
      <c r="AFC305"/>
      <c r="AFD305"/>
      <c r="AFE305"/>
      <c r="AFF305"/>
      <c r="AFG305"/>
      <c r="AFH305"/>
      <c r="AFI305"/>
      <c r="AFJ305"/>
      <c r="AFK305"/>
      <c r="AFL305"/>
      <c r="AFM305"/>
      <c r="AFN305"/>
      <c r="AFO305"/>
      <c r="AFP305"/>
      <c r="AFQ305"/>
      <c r="AFR305"/>
      <c r="AFS305"/>
      <c r="AFT305"/>
      <c r="AFU305"/>
      <c r="AFV305"/>
      <c r="AFW305"/>
      <c r="AFX305"/>
      <c r="AFY305"/>
      <c r="AFZ305"/>
      <c r="AGA305"/>
      <c r="AGB305"/>
      <c r="AGC305"/>
      <c r="AGD305"/>
      <c r="AGE305"/>
      <c r="AGF305"/>
      <c r="AGG305"/>
      <c r="AGH305"/>
      <c r="AGI305"/>
      <c r="AGJ305"/>
      <c r="AGK305"/>
      <c r="AGL305"/>
      <c r="AGM305"/>
      <c r="AGN305"/>
      <c r="AGO305"/>
      <c r="AGP305"/>
      <c r="AGQ305"/>
      <c r="AGR305"/>
      <c r="AGS305"/>
      <c r="AGT305"/>
      <c r="AGU305"/>
      <c r="AGV305"/>
      <c r="AGW305"/>
      <c r="AGX305"/>
      <c r="AGY305"/>
      <c r="AGZ305"/>
      <c r="AHA305"/>
      <c r="AHB305"/>
      <c r="AHC305"/>
      <c r="AHD305"/>
      <c r="AHE305"/>
      <c r="AHF305"/>
      <c r="AHG305"/>
      <c r="AHH305"/>
      <c r="AHI305"/>
      <c r="AHJ305"/>
      <c r="AHK305"/>
      <c r="AHL305"/>
      <c r="AHM305"/>
      <c r="AHN305"/>
      <c r="AHO305"/>
      <c r="AHP305"/>
      <c r="AHQ305"/>
      <c r="AHR305"/>
      <c r="AHS305"/>
      <c r="AHT305"/>
      <c r="AHU305"/>
      <c r="AHV305"/>
      <c r="AHW305"/>
      <c r="AHX305"/>
      <c r="AHY305"/>
      <c r="AHZ305"/>
      <c r="AIA305"/>
      <c r="AIB305"/>
      <c r="AIC305"/>
      <c r="AID305"/>
      <c r="AIE305"/>
      <c r="AIF305"/>
      <c r="AIG305"/>
      <c r="AIH305"/>
      <c r="AII305"/>
      <c r="AIJ305"/>
      <c r="AIK305"/>
      <c r="AIL305"/>
      <c r="AIM305"/>
      <c r="AIN305"/>
      <c r="AIO305"/>
      <c r="AIP305"/>
      <c r="AIQ305"/>
      <c r="AIR305"/>
      <c r="AIS305"/>
      <c r="AIT305"/>
      <c r="AIU305"/>
      <c r="AIV305"/>
      <c r="AIW305"/>
      <c r="AIX305"/>
      <c r="AIY305"/>
      <c r="AIZ305"/>
      <c r="AJA305"/>
      <c r="AJB305"/>
      <c r="AJC305"/>
      <c r="AJD305"/>
      <c r="AJE305"/>
      <c r="AJF305"/>
      <c r="AJG305"/>
      <c r="AJH305"/>
      <c r="AJI305"/>
      <c r="AJJ305"/>
      <c r="AJK305"/>
      <c r="AJL305"/>
      <c r="AJM305"/>
      <c r="AJN305"/>
      <c r="AJO305"/>
      <c r="AJP305"/>
      <c r="AJQ305"/>
      <c r="AJR305"/>
      <c r="AJS305"/>
      <c r="AJT305"/>
      <c r="AJU305"/>
      <c r="AJV305"/>
      <c r="AJW305"/>
      <c r="AJX305"/>
      <c r="AJY305"/>
      <c r="AJZ305"/>
      <c r="AKA305"/>
      <c r="AKB305"/>
      <c r="AKC305"/>
      <c r="AKD305"/>
      <c r="AKE305"/>
      <c r="AKF305"/>
      <c r="AKG305"/>
      <c r="AKH305"/>
      <c r="AKI305"/>
      <c r="AKJ305"/>
      <c r="AKK305"/>
      <c r="AKL305"/>
      <c r="AKM305"/>
      <c r="AKN305"/>
      <c r="AKO305"/>
      <c r="AKP305"/>
      <c r="AKQ305"/>
      <c r="AKR305"/>
      <c r="AKS305"/>
      <c r="AKT305"/>
      <c r="AKU305"/>
      <c r="AKV305"/>
      <c r="AKW305"/>
      <c r="AKX305"/>
      <c r="AKY305"/>
      <c r="AKZ305"/>
      <c r="ALA305"/>
      <c r="ALB305"/>
      <c r="ALC305"/>
      <c r="ALD305"/>
      <c r="ALE305"/>
      <c r="ALF305"/>
      <c r="ALG305"/>
      <c r="ALH305"/>
      <c r="ALI305"/>
      <c r="ALJ305"/>
      <c r="ALK305"/>
      <c r="ALL305"/>
      <c r="ALM305"/>
      <c r="ALN305"/>
      <c r="ALO305"/>
      <c r="ALP305"/>
      <c r="ALQ305"/>
      <c r="ALR305"/>
      <c r="ALS305"/>
      <c r="ALT305"/>
      <c r="ALU305"/>
      <c r="ALV305"/>
      <c r="ALW305"/>
      <c r="ALX305"/>
      <c r="ALY305"/>
      <c r="ALZ305"/>
      <c r="AMA305"/>
      <c r="AMB305"/>
      <c r="AMC305"/>
      <c r="AMD305"/>
      <c r="AME305"/>
      <c r="AMF305"/>
      <c r="AMG305"/>
      <c r="AMH305"/>
      <c r="AMI305"/>
      <c r="AMJ305"/>
    </row>
    <row r="306" spans="1:1024" s="18" customFormat="1" ht="27.6">
      <c r="A306" s="15" t="s">
        <v>299</v>
      </c>
      <c r="B306" s="15">
        <v>340877</v>
      </c>
      <c r="C306" s="15" t="s">
        <v>833</v>
      </c>
      <c r="D306" s="34"/>
      <c r="E306" s="1">
        <v>0</v>
      </c>
      <c r="F306" s="15">
        <v>0</v>
      </c>
      <c r="G306" s="35">
        <f t="shared" si="15"/>
        <v>-5.333333333333333</v>
      </c>
      <c r="H306" s="15">
        <f t="shared" si="17"/>
        <v>5.333333333333333</v>
      </c>
      <c r="I306" s="36">
        <f t="shared" si="16"/>
        <v>5.333333333333333</v>
      </c>
      <c r="J306" s="36">
        <f>SUMIF(Oeffentlichkeitsarbeit!$D:$D,$B306,Oeffentlichkeitsarbeit!$F:$F)</f>
        <v>0</v>
      </c>
      <c r="K306" s="36">
        <f>COUNTIF(Fairteiler!$D:$D,$B306)*1/2</f>
        <v>0</v>
      </c>
      <c r="L306" s="36">
        <f>COUNTIF('NP-Betrieb'!D:D,$B306)*1/3</f>
        <v>5.333333333333333</v>
      </c>
      <c r="M306" s="36">
        <f>COUNTIF(Fairteilungen!$D:$D,$B306)*3/4</f>
        <v>0</v>
      </c>
      <c r="N306" s="36">
        <f>COUNTIF(Anlieferung!D:D,$B306)*1/2</f>
        <v>0</v>
      </c>
      <c r="O306" s="36">
        <f>COUNTIF(Probeabholungen!B:B,$B306)*1/3</f>
        <v>0</v>
      </c>
    </row>
    <row r="307" spans="1:1024">
      <c r="A307" t="s">
        <v>300</v>
      </c>
      <c r="B307">
        <v>268853</v>
      </c>
      <c r="D307" s="24">
        <v>45720</v>
      </c>
      <c r="E307" s="1">
        <v>0</v>
      </c>
      <c r="F307">
        <v>6</v>
      </c>
      <c r="G307" s="30">
        <f t="shared" si="15"/>
        <v>5</v>
      </c>
      <c r="H307" s="8">
        <f t="shared" si="17"/>
        <v>1</v>
      </c>
      <c r="I307">
        <f t="shared" si="16"/>
        <v>1</v>
      </c>
      <c r="J307">
        <f>SUMIF(Oeffentlichkeitsarbeit!$D:$D,$B307,Oeffentlichkeitsarbeit!$F:$F)</f>
        <v>0</v>
      </c>
      <c r="K307">
        <f>COUNTIF(Fairteiler!$D:$D,$B307)*1/2</f>
        <v>1</v>
      </c>
      <c r="L307">
        <f>COUNTIF('NP-Betrieb'!D:D,$B307)*1/3</f>
        <v>0</v>
      </c>
      <c r="M307">
        <f>COUNTIF(Fairteilungen!$D:$D,$B307)*3/4</f>
        <v>0</v>
      </c>
      <c r="N307">
        <f>COUNTIF(Anlieferung!D:D,$B307)*1/2</f>
        <v>0</v>
      </c>
      <c r="O307">
        <f>COUNTIF(Probeabholungen!B:B,$B307)*1/3</f>
        <v>0</v>
      </c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  <c r="BC307" s="18"/>
      <c r="BD307" s="18"/>
      <c r="BE307" s="18"/>
      <c r="BF307" s="18"/>
      <c r="BG307" s="18"/>
      <c r="BH307" s="18"/>
      <c r="BI307" s="18"/>
      <c r="BJ307" s="18"/>
      <c r="BK307" s="18"/>
      <c r="BL307" s="18"/>
      <c r="BM307" s="18"/>
      <c r="BN307" s="18"/>
      <c r="BO307" s="18"/>
      <c r="BP307" s="18"/>
      <c r="BQ307" s="18"/>
      <c r="BR307" s="18"/>
      <c r="BS307" s="18"/>
      <c r="BT307" s="18"/>
      <c r="BU307" s="18"/>
      <c r="BV307" s="18"/>
      <c r="BW307" s="18"/>
      <c r="BX307" s="18"/>
      <c r="BY307" s="18"/>
      <c r="BZ307" s="18"/>
      <c r="CA307" s="18"/>
      <c r="CB307" s="18"/>
      <c r="CC307" s="18"/>
      <c r="CD307" s="18"/>
      <c r="CE307" s="18"/>
      <c r="CF307" s="18"/>
      <c r="CG307" s="18"/>
      <c r="CH307" s="18"/>
      <c r="CI307" s="18"/>
      <c r="CJ307" s="18"/>
      <c r="CK307" s="18"/>
      <c r="CL307" s="18"/>
      <c r="CM307" s="18"/>
      <c r="CN307" s="18"/>
      <c r="CO307" s="18"/>
      <c r="CP307" s="18"/>
      <c r="CQ307" s="18"/>
      <c r="CR307" s="18"/>
      <c r="CS307" s="18"/>
      <c r="CT307" s="18"/>
      <c r="CU307" s="18"/>
      <c r="CV307" s="18"/>
      <c r="CW307" s="18"/>
      <c r="CX307" s="18"/>
      <c r="CY307" s="18"/>
      <c r="CZ307" s="18"/>
      <c r="DA307" s="18"/>
      <c r="DB307" s="18"/>
      <c r="DC307" s="18"/>
      <c r="DD307" s="18"/>
      <c r="DE307" s="18"/>
      <c r="DF307" s="18"/>
      <c r="DG307" s="18"/>
      <c r="DH307" s="18"/>
      <c r="DI307" s="18"/>
      <c r="DJ307" s="18"/>
      <c r="DK307" s="18"/>
      <c r="DL307" s="18"/>
      <c r="DM307" s="18"/>
      <c r="DN307" s="18"/>
      <c r="DO307" s="18"/>
      <c r="DP307" s="18"/>
      <c r="DQ307" s="18"/>
      <c r="DR307" s="18"/>
      <c r="DS307" s="18"/>
      <c r="DT307" s="18"/>
      <c r="DU307" s="18"/>
      <c r="DV307" s="18"/>
      <c r="DW307" s="18"/>
      <c r="DX307" s="18"/>
      <c r="DY307" s="18"/>
      <c r="DZ307" s="18"/>
      <c r="EA307" s="18"/>
      <c r="EB307" s="18"/>
      <c r="EC307" s="18"/>
      <c r="ED307" s="18"/>
      <c r="EE307" s="18"/>
      <c r="EF307" s="18"/>
      <c r="EG307" s="18"/>
      <c r="EH307" s="18"/>
      <c r="EI307" s="18"/>
      <c r="EJ307" s="18"/>
      <c r="EK307" s="18"/>
      <c r="EL307" s="18"/>
      <c r="EM307" s="18"/>
      <c r="EN307" s="18"/>
      <c r="EO307" s="18"/>
      <c r="EP307" s="18"/>
      <c r="EQ307" s="18"/>
      <c r="ER307" s="18"/>
      <c r="ES307" s="18"/>
      <c r="ET307" s="18"/>
      <c r="EU307" s="18"/>
      <c r="EV307" s="18"/>
      <c r="EW307" s="18"/>
      <c r="EX307" s="18"/>
      <c r="EY307" s="18"/>
      <c r="EZ307" s="18"/>
      <c r="FA307" s="18"/>
      <c r="FB307" s="18"/>
      <c r="FC307" s="18"/>
      <c r="FD307" s="18"/>
      <c r="FE307" s="18"/>
      <c r="FF307" s="18"/>
      <c r="FG307" s="18"/>
      <c r="FH307" s="18"/>
      <c r="FI307" s="18"/>
      <c r="FJ307" s="18"/>
      <c r="FK307" s="18"/>
      <c r="FL307" s="18"/>
      <c r="FM307" s="18"/>
      <c r="FN307" s="18"/>
      <c r="FO307" s="18"/>
      <c r="FP307" s="18"/>
      <c r="FQ307" s="18"/>
      <c r="FR307" s="18"/>
      <c r="FS307" s="18"/>
      <c r="FT307" s="18"/>
      <c r="FU307" s="18"/>
      <c r="FV307" s="18"/>
      <c r="FW307" s="18"/>
      <c r="FX307" s="18"/>
      <c r="FY307" s="18"/>
      <c r="FZ307" s="18"/>
      <c r="GA307" s="18"/>
      <c r="GB307" s="18"/>
      <c r="GC307" s="18"/>
      <c r="GD307" s="18"/>
      <c r="GE307" s="18"/>
      <c r="GF307" s="18"/>
      <c r="GG307" s="18"/>
      <c r="GH307" s="18"/>
      <c r="GI307" s="18"/>
      <c r="GJ307" s="18"/>
      <c r="GK307" s="18"/>
      <c r="GL307" s="18"/>
      <c r="GM307" s="18"/>
      <c r="GN307" s="18"/>
      <c r="GO307" s="18"/>
      <c r="GP307" s="18"/>
      <c r="GQ307" s="18"/>
      <c r="GR307" s="18"/>
      <c r="GS307" s="18"/>
      <c r="GT307" s="18"/>
      <c r="GU307" s="18"/>
      <c r="GV307" s="18"/>
      <c r="GW307" s="18"/>
      <c r="GX307" s="18"/>
      <c r="GY307" s="18"/>
      <c r="GZ307" s="18"/>
      <c r="HA307" s="18"/>
      <c r="HB307" s="18"/>
      <c r="HC307" s="18"/>
      <c r="HD307" s="18"/>
      <c r="HE307" s="18"/>
      <c r="HF307" s="18"/>
      <c r="HG307" s="18"/>
      <c r="HH307" s="18"/>
      <c r="HI307" s="18"/>
      <c r="HJ307" s="18"/>
      <c r="HK307" s="18"/>
      <c r="HL307" s="18"/>
      <c r="HM307" s="18"/>
      <c r="HN307" s="18"/>
      <c r="HO307" s="18"/>
      <c r="HP307" s="18"/>
      <c r="HQ307" s="18"/>
      <c r="HR307" s="18"/>
      <c r="HS307" s="18"/>
      <c r="HT307" s="18"/>
      <c r="HU307" s="18"/>
      <c r="HV307" s="18"/>
      <c r="HW307" s="18"/>
      <c r="HX307" s="18"/>
      <c r="HY307" s="18"/>
      <c r="HZ307" s="18"/>
      <c r="IA307" s="18"/>
      <c r="IB307" s="18"/>
      <c r="IC307" s="18"/>
      <c r="ID307" s="18"/>
      <c r="IE307" s="18"/>
      <c r="IF307" s="18"/>
      <c r="IG307" s="18"/>
      <c r="IH307" s="18"/>
      <c r="II307" s="18"/>
      <c r="IJ307" s="18"/>
      <c r="IK307" s="18"/>
      <c r="IL307" s="18"/>
      <c r="IM307" s="18"/>
      <c r="IN307" s="18"/>
      <c r="IO307" s="18"/>
      <c r="IP307" s="18"/>
      <c r="IQ307" s="18"/>
      <c r="IR307" s="18"/>
      <c r="IS307" s="18"/>
      <c r="IT307" s="18"/>
      <c r="IU307" s="18"/>
      <c r="IV307" s="18"/>
      <c r="IW307" s="18"/>
      <c r="IX307" s="18"/>
      <c r="IY307" s="18"/>
      <c r="IZ307" s="18"/>
      <c r="JA307" s="18"/>
      <c r="JB307" s="18"/>
      <c r="JC307" s="18"/>
      <c r="JD307" s="18"/>
      <c r="JE307" s="18"/>
      <c r="JF307" s="18"/>
      <c r="JG307" s="18"/>
      <c r="JH307" s="18"/>
      <c r="JI307" s="18"/>
      <c r="JJ307" s="18"/>
      <c r="JK307" s="18"/>
      <c r="JL307" s="18"/>
      <c r="JM307" s="18"/>
      <c r="JN307" s="18"/>
      <c r="JO307" s="18"/>
      <c r="JP307" s="18"/>
      <c r="JQ307" s="18"/>
      <c r="JR307" s="18"/>
      <c r="JS307" s="18"/>
      <c r="JT307" s="18"/>
      <c r="JU307" s="18"/>
      <c r="JV307" s="18"/>
      <c r="JW307" s="18"/>
      <c r="JX307" s="18"/>
      <c r="JY307" s="18"/>
      <c r="JZ307" s="18"/>
      <c r="KA307" s="18"/>
      <c r="KB307" s="18"/>
      <c r="KC307" s="18"/>
      <c r="KD307" s="18"/>
      <c r="KE307" s="18"/>
      <c r="KF307" s="18"/>
      <c r="KG307" s="18"/>
      <c r="KH307" s="18"/>
      <c r="KI307" s="18"/>
      <c r="KJ307" s="18"/>
      <c r="KK307" s="18"/>
      <c r="KL307" s="18"/>
      <c r="KM307" s="18"/>
      <c r="KN307" s="18"/>
      <c r="KO307" s="18"/>
      <c r="KP307" s="18"/>
      <c r="KQ307" s="18"/>
      <c r="KR307" s="18"/>
      <c r="KS307" s="18"/>
      <c r="KT307" s="18"/>
      <c r="KU307" s="18"/>
      <c r="KV307" s="18"/>
      <c r="KW307" s="18"/>
      <c r="KX307" s="18"/>
      <c r="KY307" s="18"/>
      <c r="KZ307" s="18"/>
      <c r="LA307" s="18"/>
      <c r="LB307" s="18"/>
      <c r="LC307" s="18"/>
      <c r="LD307" s="18"/>
      <c r="LE307" s="18"/>
      <c r="LF307" s="18"/>
      <c r="LG307" s="18"/>
      <c r="LH307" s="18"/>
      <c r="LI307" s="18"/>
      <c r="LJ307" s="18"/>
      <c r="LK307" s="18"/>
      <c r="LL307" s="18"/>
      <c r="LM307" s="18"/>
      <c r="LN307" s="18"/>
      <c r="LO307" s="18"/>
      <c r="LP307" s="18"/>
      <c r="LQ307" s="18"/>
      <c r="LR307" s="18"/>
      <c r="LS307" s="18"/>
      <c r="LT307" s="18"/>
      <c r="LU307" s="18"/>
      <c r="LV307" s="18"/>
      <c r="LW307" s="18"/>
      <c r="LX307" s="18"/>
      <c r="LY307" s="18"/>
      <c r="LZ307" s="18"/>
      <c r="MA307" s="18"/>
      <c r="MB307" s="18"/>
      <c r="MC307" s="18"/>
      <c r="MD307" s="18"/>
      <c r="ME307" s="18"/>
      <c r="MF307" s="18"/>
      <c r="MG307" s="18"/>
      <c r="MH307" s="18"/>
      <c r="MI307" s="18"/>
      <c r="MJ307" s="18"/>
      <c r="MK307" s="18"/>
      <c r="ML307" s="18"/>
      <c r="MM307" s="18"/>
      <c r="MN307" s="18"/>
      <c r="MO307" s="18"/>
      <c r="MP307" s="18"/>
      <c r="MQ307" s="18"/>
      <c r="MR307" s="18"/>
      <c r="MS307" s="18"/>
      <c r="MT307" s="18"/>
      <c r="MU307" s="18"/>
      <c r="MV307" s="18"/>
      <c r="MW307" s="18"/>
      <c r="MX307" s="18"/>
      <c r="MY307" s="18"/>
      <c r="MZ307" s="18"/>
      <c r="NA307" s="18"/>
      <c r="NB307" s="18"/>
      <c r="NC307" s="18"/>
      <c r="ND307" s="18"/>
      <c r="NE307" s="18"/>
      <c r="NF307" s="18"/>
      <c r="NG307" s="18"/>
      <c r="NH307" s="18"/>
      <c r="NI307" s="18"/>
      <c r="NJ307" s="18"/>
      <c r="NK307" s="18"/>
      <c r="NL307" s="18"/>
      <c r="NM307" s="18"/>
      <c r="NN307" s="18"/>
      <c r="NO307" s="18"/>
      <c r="NP307" s="18"/>
      <c r="NQ307" s="18"/>
      <c r="NR307" s="18"/>
      <c r="NS307" s="18"/>
      <c r="NT307" s="18"/>
      <c r="NU307" s="18"/>
      <c r="NV307" s="18"/>
      <c r="NW307" s="18"/>
      <c r="NX307" s="18"/>
      <c r="NY307" s="18"/>
      <c r="NZ307" s="18"/>
      <c r="OA307" s="18"/>
      <c r="OB307" s="18"/>
      <c r="OC307" s="18"/>
      <c r="OD307" s="18"/>
      <c r="OE307" s="18"/>
      <c r="OF307" s="18"/>
      <c r="OG307" s="18"/>
      <c r="OH307" s="18"/>
      <c r="OI307" s="18"/>
      <c r="OJ307" s="18"/>
      <c r="OK307" s="18"/>
      <c r="OL307" s="18"/>
      <c r="OM307" s="18"/>
      <c r="ON307" s="18"/>
      <c r="OO307" s="18"/>
      <c r="OP307" s="18"/>
      <c r="OQ307" s="18"/>
      <c r="OR307" s="18"/>
      <c r="OS307" s="18"/>
      <c r="OT307" s="18"/>
      <c r="OU307" s="18"/>
      <c r="OV307" s="18"/>
      <c r="OW307" s="18"/>
      <c r="OX307" s="18"/>
      <c r="OY307" s="18"/>
      <c r="OZ307" s="18"/>
      <c r="PA307" s="18"/>
      <c r="PB307" s="18"/>
      <c r="PC307" s="18"/>
      <c r="PD307" s="18"/>
      <c r="PE307" s="18"/>
      <c r="PF307" s="18"/>
      <c r="PG307" s="18"/>
      <c r="PH307" s="18"/>
      <c r="PI307" s="18"/>
      <c r="PJ307" s="18"/>
      <c r="PK307" s="18"/>
      <c r="PL307" s="18"/>
      <c r="PM307" s="18"/>
      <c r="PN307" s="18"/>
      <c r="PO307" s="18"/>
      <c r="PP307" s="18"/>
      <c r="PQ307" s="18"/>
      <c r="PR307" s="18"/>
      <c r="PS307" s="18"/>
      <c r="PT307" s="18"/>
      <c r="PU307" s="18"/>
      <c r="PV307" s="18"/>
      <c r="PW307" s="18"/>
      <c r="PX307" s="18"/>
      <c r="PY307" s="18"/>
      <c r="PZ307" s="18"/>
      <c r="QA307" s="18"/>
      <c r="QB307" s="18"/>
      <c r="QC307" s="18"/>
      <c r="QD307" s="18"/>
      <c r="QE307" s="18"/>
      <c r="QF307" s="18"/>
      <c r="QG307" s="18"/>
      <c r="QH307" s="18"/>
      <c r="QI307" s="18"/>
      <c r="QJ307" s="18"/>
      <c r="QK307" s="18"/>
      <c r="QL307" s="18"/>
      <c r="QM307" s="18"/>
      <c r="QN307" s="18"/>
      <c r="QO307" s="18"/>
      <c r="QP307" s="18"/>
      <c r="QQ307" s="18"/>
      <c r="QR307" s="18"/>
      <c r="QS307" s="18"/>
      <c r="QT307" s="18"/>
      <c r="QU307" s="18"/>
      <c r="QV307" s="18"/>
      <c r="QW307" s="18"/>
      <c r="QX307" s="18"/>
      <c r="QY307" s="18"/>
      <c r="QZ307" s="18"/>
      <c r="RA307" s="18"/>
      <c r="RB307" s="18"/>
      <c r="RC307" s="18"/>
      <c r="RD307" s="18"/>
      <c r="RE307" s="18"/>
      <c r="RF307" s="18"/>
      <c r="RG307" s="18"/>
      <c r="RH307" s="18"/>
      <c r="RI307" s="18"/>
      <c r="RJ307" s="18"/>
      <c r="RK307" s="18"/>
      <c r="RL307" s="18"/>
      <c r="RM307" s="18"/>
      <c r="RN307" s="18"/>
      <c r="RO307" s="18"/>
      <c r="RP307" s="18"/>
      <c r="RQ307" s="18"/>
      <c r="RR307" s="18"/>
      <c r="RS307" s="18"/>
      <c r="RT307" s="18"/>
      <c r="RU307" s="18"/>
      <c r="RV307" s="18"/>
      <c r="RW307" s="18"/>
      <c r="RX307" s="18"/>
      <c r="RY307" s="18"/>
      <c r="RZ307" s="18"/>
      <c r="SA307" s="18"/>
      <c r="SB307" s="18"/>
      <c r="SC307" s="18"/>
      <c r="SD307" s="18"/>
      <c r="SE307" s="18"/>
      <c r="SF307" s="18"/>
      <c r="SG307" s="18"/>
      <c r="SH307" s="18"/>
      <c r="SI307" s="18"/>
      <c r="SJ307" s="18"/>
      <c r="SK307" s="18"/>
      <c r="SL307" s="18"/>
      <c r="SM307" s="18"/>
      <c r="SN307" s="18"/>
      <c r="SO307" s="18"/>
      <c r="SP307" s="18"/>
      <c r="SQ307" s="18"/>
      <c r="SR307" s="18"/>
      <c r="SS307" s="18"/>
      <c r="ST307" s="18"/>
      <c r="SU307" s="18"/>
      <c r="SV307" s="18"/>
      <c r="SW307" s="18"/>
      <c r="SX307" s="18"/>
      <c r="SY307" s="18"/>
      <c r="SZ307" s="18"/>
      <c r="TA307" s="18"/>
      <c r="TB307" s="18"/>
      <c r="TC307" s="18"/>
      <c r="TD307" s="18"/>
      <c r="TE307" s="18"/>
      <c r="TF307" s="18"/>
      <c r="TG307" s="18"/>
      <c r="TH307" s="18"/>
      <c r="TI307" s="18"/>
      <c r="TJ307" s="18"/>
      <c r="TK307" s="18"/>
      <c r="TL307" s="18"/>
      <c r="TM307" s="18"/>
      <c r="TN307" s="18"/>
      <c r="TO307" s="18"/>
      <c r="TP307" s="18"/>
      <c r="TQ307" s="18"/>
      <c r="TR307" s="18"/>
      <c r="TS307" s="18"/>
      <c r="TT307" s="18"/>
      <c r="TU307" s="18"/>
      <c r="TV307" s="18"/>
      <c r="TW307" s="18"/>
      <c r="TX307" s="18"/>
      <c r="TY307" s="18"/>
      <c r="TZ307" s="18"/>
      <c r="UA307" s="18"/>
      <c r="UB307" s="18"/>
      <c r="UC307" s="18"/>
      <c r="UD307" s="18"/>
      <c r="UE307" s="18"/>
      <c r="UF307" s="18"/>
      <c r="UG307" s="18"/>
      <c r="UH307" s="18"/>
      <c r="UI307" s="18"/>
      <c r="UJ307" s="18"/>
      <c r="UK307" s="18"/>
      <c r="UL307" s="18"/>
      <c r="UM307" s="18"/>
      <c r="UN307" s="18"/>
      <c r="UO307" s="18"/>
      <c r="UP307" s="18"/>
      <c r="UQ307" s="18"/>
      <c r="UR307" s="18"/>
      <c r="US307" s="18"/>
      <c r="UT307" s="18"/>
      <c r="UU307" s="18"/>
      <c r="UV307" s="18"/>
      <c r="UW307" s="18"/>
      <c r="UX307" s="18"/>
      <c r="UY307" s="18"/>
      <c r="UZ307" s="18"/>
      <c r="VA307" s="18"/>
      <c r="VB307" s="18"/>
      <c r="VC307" s="18"/>
      <c r="VD307" s="18"/>
      <c r="VE307" s="18"/>
      <c r="VF307" s="18"/>
      <c r="VG307" s="18"/>
      <c r="VH307" s="18"/>
      <c r="VI307" s="18"/>
      <c r="VJ307" s="18"/>
      <c r="VK307" s="18"/>
      <c r="VL307" s="18"/>
      <c r="VM307" s="18"/>
      <c r="VN307" s="18"/>
      <c r="VO307" s="18"/>
      <c r="VP307" s="18"/>
      <c r="VQ307" s="18"/>
      <c r="VR307" s="18"/>
      <c r="VS307" s="18"/>
      <c r="VT307" s="18"/>
      <c r="VU307" s="18"/>
      <c r="VV307" s="18"/>
      <c r="VW307" s="18"/>
      <c r="VX307" s="18"/>
      <c r="VY307" s="18"/>
      <c r="VZ307" s="18"/>
      <c r="WA307" s="18"/>
      <c r="WB307" s="18"/>
      <c r="WC307" s="18"/>
      <c r="WD307" s="18"/>
      <c r="WE307" s="18"/>
      <c r="WF307" s="18"/>
      <c r="WG307" s="18"/>
      <c r="WH307" s="18"/>
      <c r="WI307" s="18"/>
      <c r="WJ307" s="18"/>
      <c r="WK307" s="18"/>
      <c r="WL307" s="18"/>
      <c r="WM307" s="18"/>
      <c r="WN307" s="18"/>
      <c r="WO307" s="18"/>
      <c r="WP307" s="18"/>
      <c r="WQ307" s="18"/>
      <c r="WR307" s="18"/>
      <c r="WS307" s="18"/>
      <c r="WT307" s="18"/>
      <c r="WU307" s="18"/>
      <c r="WV307" s="18"/>
      <c r="WW307" s="18"/>
      <c r="WX307" s="18"/>
      <c r="WY307" s="18"/>
      <c r="WZ307" s="18"/>
      <c r="XA307" s="18"/>
      <c r="XB307" s="18"/>
      <c r="XC307" s="18"/>
      <c r="XD307" s="18"/>
      <c r="XE307" s="18"/>
      <c r="XF307" s="18"/>
      <c r="XG307" s="18"/>
      <c r="XH307" s="18"/>
      <c r="XI307" s="18"/>
      <c r="XJ307" s="18"/>
      <c r="XK307" s="18"/>
      <c r="XL307" s="18"/>
      <c r="XM307" s="18"/>
      <c r="XN307" s="18"/>
      <c r="XO307" s="18"/>
      <c r="XP307" s="18"/>
      <c r="XQ307" s="18"/>
      <c r="XR307" s="18"/>
      <c r="XS307" s="18"/>
      <c r="XT307" s="18"/>
      <c r="XU307" s="18"/>
      <c r="XV307" s="18"/>
      <c r="XW307" s="18"/>
      <c r="XX307" s="18"/>
      <c r="XY307" s="18"/>
      <c r="XZ307" s="18"/>
      <c r="YA307" s="18"/>
      <c r="YB307" s="18"/>
      <c r="YC307" s="18"/>
      <c r="YD307" s="18"/>
      <c r="YE307" s="18"/>
      <c r="YF307" s="18"/>
      <c r="YG307" s="18"/>
      <c r="YH307" s="18"/>
      <c r="YI307" s="18"/>
      <c r="YJ307" s="18"/>
      <c r="YK307" s="18"/>
      <c r="YL307" s="18"/>
      <c r="YM307" s="18"/>
      <c r="YN307" s="18"/>
      <c r="YO307" s="18"/>
      <c r="YP307" s="18"/>
      <c r="YQ307" s="18"/>
      <c r="YR307" s="18"/>
      <c r="YS307" s="18"/>
      <c r="YT307" s="18"/>
      <c r="YU307" s="18"/>
      <c r="YV307" s="18"/>
      <c r="YW307" s="18"/>
      <c r="YX307" s="18"/>
      <c r="YY307" s="18"/>
      <c r="YZ307" s="18"/>
      <c r="ZA307" s="18"/>
      <c r="ZB307" s="18"/>
      <c r="ZC307" s="18"/>
      <c r="ZD307" s="18"/>
      <c r="ZE307" s="18"/>
      <c r="ZF307" s="18"/>
      <c r="ZG307" s="18"/>
      <c r="ZH307" s="18"/>
      <c r="ZI307" s="18"/>
      <c r="ZJ307" s="18"/>
      <c r="ZK307" s="18"/>
      <c r="ZL307" s="18"/>
      <c r="ZM307" s="18"/>
      <c r="ZN307" s="18"/>
      <c r="ZO307" s="18"/>
      <c r="ZP307" s="18"/>
      <c r="ZQ307" s="18"/>
      <c r="ZR307" s="18"/>
      <c r="ZS307" s="18"/>
      <c r="ZT307" s="18"/>
      <c r="ZU307" s="18"/>
      <c r="ZV307" s="18"/>
      <c r="ZW307" s="18"/>
      <c r="ZX307" s="18"/>
      <c r="ZY307" s="18"/>
      <c r="ZZ307" s="18"/>
      <c r="AAA307" s="18"/>
      <c r="AAB307" s="18"/>
      <c r="AAC307" s="18"/>
      <c r="AAD307" s="18"/>
      <c r="AAE307" s="18"/>
      <c r="AAF307" s="18"/>
      <c r="AAG307" s="18"/>
      <c r="AAH307" s="18"/>
      <c r="AAI307" s="18"/>
      <c r="AAJ307" s="18"/>
      <c r="AAK307" s="18"/>
      <c r="AAL307" s="18"/>
      <c r="AAM307" s="18"/>
      <c r="AAN307" s="18"/>
      <c r="AAO307" s="18"/>
      <c r="AAP307" s="18"/>
      <c r="AAQ307" s="18"/>
      <c r="AAR307" s="18"/>
      <c r="AAS307" s="18"/>
      <c r="AAT307" s="18"/>
      <c r="AAU307" s="18"/>
      <c r="AAV307" s="18"/>
      <c r="AAW307" s="18"/>
      <c r="AAX307" s="18"/>
      <c r="AAY307" s="18"/>
      <c r="AAZ307" s="18"/>
      <c r="ABA307" s="18"/>
      <c r="ABB307" s="18"/>
      <c r="ABC307" s="18"/>
      <c r="ABD307" s="18"/>
      <c r="ABE307" s="18"/>
      <c r="ABF307" s="18"/>
      <c r="ABG307" s="18"/>
      <c r="ABH307" s="18"/>
      <c r="ABI307" s="18"/>
      <c r="ABJ307" s="18"/>
      <c r="ABK307" s="18"/>
      <c r="ABL307" s="18"/>
      <c r="ABM307" s="18"/>
      <c r="ABN307" s="18"/>
      <c r="ABO307" s="18"/>
      <c r="ABP307" s="18"/>
      <c r="ABQ307" s="18"/>
      <c r="ABR307" s="18"/>
      <c r="ABS307" s="18"/>
      <c r="ABT307" s="18"/>
      <c r="ABU307" s="18"/>
      <c r="ABV307" s="18"/>
      <c r="ABW307" s="18"/>
      <c r="ABX307" s="18"/>
      <c r="ABY307" s="18"/>
      <c r="ABZ307" s="18"/>
      <c r="ACA307" s="18"/>
      <c r="ACB307" s="18"/>
      <c r="ACC307" s="18"/>
      <c r="ACD307" s="18"/>
      <c r="ACE307" s="18"/>
      <c r="ACF307" s="18"/>
      <c r="ACG307" s="18"/>
      <c r="ACH307" s="18"/>
      <c r="ACI307" s="18"/>
      <c r="ACJ307" s="18"/>
      <c r="ACK307" s="18"/>
      <c r="ACL307" s="18"/>
      <c r="ACM307" s="18"/>
      <c r="ACN307" s="18"/>
      <c r="ACO307" s="18"/>
      <c r="ACP307" s="18"/>
      <c r="ACQ307" s="18"/>
      <c r="ACR307" s="18"/>
      <c r="ACS307" s="18"/>
      <c r="ACT307" s="18"/>
      <c r="ACU307" s="18"/>
      <c r="ACV307" s="18"/>
      <c r="ACW307" s="18"/>
      <c r="ACX307" s="18"/>
      <c r="ACY307" s="18"/>
      <c r="ACZ307" s="18"/>
      <c r="ADA307" s="18"/>
      <c r="ADB307" s="18"/>
      <c r="ADC307" s="18"/>
      <c r="ADD307" s="18"/>
      <c r="ADE307" s="18"/>
      <c r="ADF307" s="18"/>
      <c r="ADG307" s="18"/>
      <c r="ADH307" s="18"/>
      <c r="ADI307" s="18"/>
      <c r="ADJ307" s="18"/>
      <c r="ADK307" s="18"/>
      <c r="ADL307" s="18"/>
      <c r="ADM307" s="18"/>
      <c r="ADN307" s="18"/>
      <c r="ADO307" s="18"/>
      <c r="ADP307" s="18"/>
      <c r="ADQ307" s="18"/>
      <c r="ADR307" s="18"/>
      <c r="ADS307" s="18"/>
      <c r="ADT307" s="18"/>
      <c r="ADU307" s="18"/>
      <c r="ADV307" s="18"/>
      <c r="ADW307" s="18"/>
      <c r="ADX307" s="18"/>
      <c r="ADY307" s="18"/>
      <c r="ADZ307" s="18"/>
      <c r="AEA307" s="18"/>
      <c r="AEB307" s="18"/>
      <c r="AEC307" s="18"/>
      <c r="AED307" s="18"/>
      <c r="AEE307" s="18"/>
      <c r="AEF307" s="18"/>
      <c r="AEG307" s="18"/>
      <c r="AEH307" s="18"/>
      <c r="AEI307" s="18"/>
      <c r="AEJ307" s="18"/>
      <c r="AEK307" s="18"/>
      <c r="AEL307" s="18"/>
      <c r="AEM307" s="18"/>
      <c r="AEN307" s="18"/>
      <c r="AEO307" s="18"/>
      <c r="AEP307" s="18"/>
      <c r="AEQ307" s="18"/>
      <c r="AER307" s="18"/>
      <c r="AES307" s="18"/>
      <c r="AET307" s="18"/>
      <c r="AEU307" s="18"/>
      <c r="AEV307" s="18"/>
      <c r="AEW307" s="18"/>
      <c r="AEX307" s="18"/>
      <c r="AEY307" s="18"/>
      <c r="AEZ307" s="18"/>
      <c r="AFA307" s="18"/>
      <c r="AFB307" s="18"/>
      <c r="AFC307" s="18"/>
      <c r="AFD307" s="18"/>
      <c r="AFE307" s="18"/>
      <c r="AFF307" s="18"/>
      <c r="AFG307" s="18"/>
      <c r="AFH307" s="18"/>
      <c r="AFI307" s="18"/>
      <c r="AFJ307" s="18"/>
      <c r="AFK307" s="18"/>
      <c r="AFL307" s="18"/>
      <c r="AFM307" s="18"/>
      <c r="AFN307" s="18"/>
      <c r="AFO307" s="18"/>
      <c r="AFP307" s="18"/>
      <c r="AFQ307" s="18"/>
      <c r="AFR307" s="18"/>
      <c r="AFS307" s="18"/>
      <c r="AFT307" s="18"/>
      <c r="AFU307" s="18"/>
      <c r="AFV307" s="18"/>
      <c r="AFW307" s="18"/>
      <c r="AFX307" s="18"/>
      <c r="AFY307" s="18"/>
      <c r="AFZ307" s="18"/>
      <c r="AGA307" s="18"/>
      <c r="AGB307" s="18"/>
      <c r="AGC307" s="18"/>
      <c r="AGD307" s="18"/>
      <c r="AGE307" s="18"/>
      <c r="AGF307" s="18"/>
      <c r="AGG307" s="18"/>
      <c r="AGH307" s="18"/>
      <c r="AGI307" s="18"/>
      <c r="AGJ307" s="18"/>
      <c r="AGK307" s="18"/>
      <c r="AGL307" s="18"/>
      <c r="AGM307" s="18"/>
      <c r="AGN307" s="18"/>
      <c r="AGO307" s="18"/>
      <c r="AGP307" s="18"/>
      <c r="AGQ307" s="18"/>
      <c r="AGR307" s="18"/>
      <c r="AGS307" s="18"/>
      <c r="AGT307" s="18"/>
      <c r="AGU307" s="18"/>
      <c r="AGV307" s="18"/>
      <c r="AGW307" s="18"/>
      <c r="AGX307" s="18"/>
      <c r="AGY307" s="18"/>
      <c r="AGZ307" s="18"/>
      <c r="AHA307" s="18"/>
      <c r="AHB307" s="18"/>
      <c r="AHC307" s="18"/>
      <c r="AHD307" s="18"/>
      <c r="AHE307" s="18"/>
      <c r="AHF307" s="18"/>
      <c r="AHG307" s="18"/>
      <c r="AHH307" s="18"/>
      <c r="AHI307" s="18"/>
      <c r="AHJ307" s="18"/>
      <c r="AHK307" s="18"/>
      <c r="AHL307" s="18"/>
      <c r="AHM307" s="18"/>
      <c r="AHN307" s="18"/>
      <c r="AHO307" s="18"/>
      <c r="AHP307" s="18"/>
      <c r="AHQ307" s="18"/>
      <c r="AHR307" s="18"/>
      <c r="AHS307" s="18"/>
      <c r="AHT307" s="18"/>
      <c r="AHU307" s="18"/>
      <c r="AHV307" s="18"/>
      <c r="AHW307" s="18"/>
      <c r="AHX307" s="18"/>
      <c r="AHY307" s="18"/>
      <c r="AHZ307" s="18"/>
      <c r="AIA307" s="18"/>
      <c r="AIB307" s="18"/>
      <c r="AIC307" s="18"/>
      <c r="AID307" s="18"/>
      <c r="AIE307" s="18"/>
      <c r="AIF307" s="18"/>
      <c r="AIG307" s="18"/>
      <c r="AIH307" s="18"/>
      <c r="AII307" s="18"/>
      <c r="AIJ307" s="18"/>
      <c r="AIK307" s="18"/>
      <c r="AIL307" s="18"/>
      <c r="AIM307" s="18"/>
      <c r="AIN307" s="18"/>
      <c r="AIO307" s="18"/>
      <c r="AIP307" s="18"/>
      <c r="AIQ307" s="18"/>
      <c r="AIR307" s="18"/>
      <c r="AIS307" s="18"/>
      <c r="AIT307" s="18"/>
      <c r="AIU307" s="18"/>
      <c r="AIV307" s="18"/>
      <c r="AIW307" s="18"/>
      <c r="AIX307" s="18"/>
      <c r="AIY307" s="18"/>
      <c r="AIZ307" s="18"/>
      <c r="AJA307" s="18"/>
      <c r="AJB307" s="18"/>
      <c r="AJC307" s="18"/>
      <c r="AJD307" s="18"/>
      <c r="AJE307" s="18"/>
      <c r="AJF307" s="18"/>
      <c r="AJG307" s="18"/>
      <c r="AJH307" s="18"/>
      <c r="AJI307" s="18"/>
      <c r="AJJ307" s="18"/>
      <c r="AJK307" s="18"/>
      <c r="AJL307" s="18"/>
      <c r="AJM307" s="18"/>
      <c r="AJN307" s="18"/>
      <c r="AJO307" s="18"/>
      <c r="AJP307" s="18"/>
      <c r="AJQ307" s="18"/>
      <c r="AJR307" s="18"/>
      <c r="AJS307" s="18"/>
      <c r="AJT307" s="18"/>
      <c r="AJU307" s="18"/>
      <c r="AJV307" s="18"/>
      <c r="AJW307" s="18"/>
      <c r="AJX307" s="18"/>
      <c r="AJY307" s="18"/>
      <c r="AJZ307" s="18"/>
      <c r="AKA307" s="18"/>
      <c r="AKB307" s="18"/>
      <c r="AKC307" s="18"/>
      <c r="AKD307" s="18"/>
      <c r="AKE307" s="18"/>
      <c r="AKF307" s="18"/>
      <c r="AKG307" s="18"/>
      <c r="AKH307" s="18"/>
      <c r="AKI307" s="18"/>
      <c r="AKJ307" s="18"/>
      <c r="AKK307" s="18"/>
      <c r="AKL307" s="18"/>
      <c r="AKM307" s="18"/>
      <c r="AKN307" s="18"/>
      <c r="AKO307" s="18"/>
      <c r="AKP307" s="18"/>
      <c r="AKQ307" s="18"/>
      <c r="AKR307" s="18"/>
      <c r="AKS307" s="18"/>
      <c r="AKT307" s="18"/>
      <c r="AKU307" s="18"/>
      <c r="AKV307" s="18"/>
      <c r="AKW307" s="18"/>
      <c r="AKX307" s="18"/>
      <c r="AKY307" s="18"/>
      <c r="AKZ307" s="18"/>
      <c r="ALA307" s="18"/>
      <c r="ALB307" s="18"/>
      <c r="ALC307" s="18"/>
      <c r="ALD307" s="18"/>
      <c r="ALE307" s="18"/>
      <c r="ALF307" s="18"/>
      <c r="ALG307" s="18"/>
      <c r="ALH307" s="18"/>
      <c r="ALI307" s="18"/>
      <c r="ALJ307" s="18"/>
      <c r="ALK307" s="18"/>
      <c r="ALL307" s="18"/>
      <c r="ALM307" s="18"/>
      <c r="ALN307" s="18"/>
      <c r="ALO307" s="18"/>
      <c r="ALP307" s="18"/>
      <c r="ALQ307" s="18"/>
      <c r="ALR307" s="18"/>
      <c r="ALS307" s="18"/>
      <c r="ALT307" s="18"/>
      <c r="ALU307" s="18"/>
      <c r="ALV307" s="18"/>
      <c r="ALW307" s="18"/>
      <c r="ALX307" s="18"/>
      <c r="ALY307" s="18"/>
      <c r="ALZ307" s="18"/>
      <c r="AMA307" s="18"/>
      <c r="AMB307" s="18"/>
      <c r="AMC307" s="18"/>
      <c r="AMD307" s="18"/>
      <c r="AME307" s="18"/>
      <c r="AMF307" s="18"/>
      <c r="AMG307" s="18"/>
      <c r="AMH307" s="18"/>
      <c r="AMI307" s="18"/>
      <c r="AMJ307" s="18"/>
    </row>
    <row r="308" spans="1:1024" ht="27.6">
      <c r="A308" s="8" t="s">
        <v>301</v>
      </c>
      <c r="B308" s="8">
        <v>898849</v>
      </c>
      <c r="C308" s="18"/>
      <c r="D308" s="24">
        <v>45771</v>
      </c>
      <c r="E308" s="1">
        <v>0</v>
      </c>
      <c r="F308" s="18">
        <v>6</v>
      </c>
      <c r="G308" s="30">
        <f t="shared" si="15"/>
        <v>-0.33333333333333304</v>
      </c>
      <c r="H308" s="8">
        <f t="shared" si="17"/>
        <v>6.333333333333333</v>
      </c>
      <c r="I308" s="18">
        <f t="shared" si="16"/>
        <v>6.333333333333333</v>
      </c>
      <c r="J308" s="18">
        <f>SUMIF(Oeffentlichkeitsarbeit!$D:$D,$B308,Oeffentlichkeitsarbeit!$F:$F)</f>
        <v>0</v>
      </c>
      <c r="K308" s="18">
        <f>COUNTIF(Fairteiler!$D:$D,$B308)*1/2</f>
        <v>0</v>
      </c>
      <c r="L308" s="18">
        <f>COUNTIF('NP-Betrieb'!D:D,$B308)*1/3</f>
        <v>6.333333333333333</v>
      </c>
      <c r="M308" s="18">
        <f>COUNTIF(Fairteilungen!$D:$D,$B308)*3/4</f>
        <v>0</v>
      </c>
      <c r="N308" s="18">
        <f>COUNTIF(Anlieferung!D:D,$B308)*1/2</f>
        <v>0</v>
      </c>
      <c r="O308" s="18">
        <f>COUNTIF(Probeabholungen!B:B,$B308)*1/3</f>
        <v>0</v>
      </c>
    </row>
    <row r="309" spans="1:1024" s="11" customFormat="1" ht="27.6">
      <c r="A309" s="8" t="s">
        <v>302</v>
      </c>
      <c r="B309" s="8">
        <v>572589</v>
      </c>
      <c r="C309" s="18"/>
      <c r="D309" s="29"/>
      <c r="E309" s="1">
        <v>0</v>
      </c>
      <c r="F309" s="8">
        <v>0</v>
      </c>
      <c r="G309" s="30">
        <f t="shared" si="15"/>
        <v>-1</v>
      </c>
      <c r="H309" s="8">
        <f t="shared" si="17"/>
        <v>1</v>
      </c>
      <c r="I309" s="18">
        <f t="shared" si="16"/>
        <v>1</v>
      </c>
      <c r="J309" s="18">
        <f>SUMIF(Oeffentlichkeitsarbeit!$D:$D,$B309,Oeffentlichkeitsarbeit!$F:$F)</f>
        <v>0</v>
      </c>
      <c r="K309" s="18">
        <f>COUNTIF(Fairteiler!$D:$D,$B309)*1/2</f>
        <v>0</v>
      </c>
      <c r="L309" s="18">
        <f>COUNTIF('NP-Betrieb'!D:D,$B309)*1/3</f>
        <v>1</v>
      </c>
      <c r="M309" s="18">
        <f>COUNTIF(Fairteilungen!$D:$D,$B309)*3/4</f>
        <v>0</v>
      </c>
      <c r="N309" s="18">
        <f>COUNTIF(Anlieferung!D:D,$B309)*1/2</f>
        <v>0</v>
      </c>
      <c r="O309" s="18">
        <f>COUNTIF(Probeabholungen!B:B,$B309)*1/3</f>
        <v>0</v>
      </c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  <c r="FA309"/>
      <c r="FB309"/>
      <c r="FC309"/>
      <c r="FD309"/>
      <c r="FE309"/>
      <c r="FF309"/>
      <c r="FG309"/>
      <c r="FH309"/>
      <c r="FI309"/>
      <c r="FJ309"/>
      <c r="FK309"/>
      <c r="FL309"/>
      <c r="FM309"/>
      <c r="FN309"/>
      <c r="FO309"/>
      <c r="FP309"/>
      <c r="FQ309"/>
      <c r="FR309"/>
      <c r="FS309"/>
      <c r="FT309"/>
      <c r="FU309"/>
      <c r="FV309"/>
      <c r="FW309"/>
      <c r="FX309"/>
      <c r="FY309"/>
      <c r="FZ309"/>
      <c r="GA309"/>
      <c r="GB309"/>
      <c r="GC309"/>
      <c r="GD309"/>
      <c r="GE309"/>
      <c r="GF309"/>
      <c r="GG309"/>
      <c r="GH309"/>
      <c r="GI309"/>
      <c r="GJ309"/>
      <c r="GK309"/>
      <c r="GL309"/>
      <c r="GM309"/>
      <c r="GN309"/>
      <c r="GO309"/>
      <c r="GP309"/>
      <c r="GQ309"/>
      <c r="GR309"/>
      <c r="GS309"/>
      <c r="GT309"/>
      <c r="GU309"/>
      <c r="GV309"/>
      <c r="GW309"/>
      <c r="GX309"/>
      <c r="GY309"/>
      <c r="GZ309"/>
      <c r="HA309"/>
      <c r="HB309"/>
      <c r="HC309"/>
      <c r="HD309"/>
      <c r="HE309"/>
      <c r="HF309"/>
      <c r="HG309"/>
      <c r="HH309"/>
      <c r="HI309"/>
      <c r="HJ309"/>
      <c r="HK309"/>
      <c r="HL309"/>
      <c r="HM309"/>
      <c r="HN309"/>
      <c r="HO309"/>
      <c r="HP309"/>
      <c r="HQ309"/>
      <c r="HR309"/>
      <c r="HS309"/>
      <c r="HT309"/>
      <c r="HU309"/>
      <c r="HV309"/>
      <c r="HW309"/>
      <c r="HX309"/>
      <c r="HY309"/>
      <c r="HZ309"/>
      <c r="IA309"/>
      <c r="IB309"/>
      <c r="IC309"/>
      <c r="ID309"/>
      <c r="IE309"/>
      <c r="IF309"/>
      <c r="IG309"/>
      <c r="IH309"/>
      <c r="II309"/>
      <c r="IJ309"/>
      <c r="IK309"/>
      <c r="IL309"/>
      <c r="IM309"/>
      <c r="IN309"/>
      <c r="IO309"/>
      <c r="IP309"/>
      <c r="IQ309"/>
      <c r="IR309"/>
      <c r="IS309"/>
      <c r="IT309"/>
      <c r="IU309"/>
      <c r="IV309"/>
      <c r="IW309"/>
      <c r="IX309"/>
      <c r="IY309"/>
      <c r="IZ309"/>
      <c r="JA309"/>
      <c r="JB309"/>
      <c r="JC309"/>
      <c r="JD309"/>
      <c r="JE309"/>
      <c r="JF309"/>
      <c r="JG309"/>
      <c r="JH309"/>
      <c r="JI309"/>
      <c r="JJ309"/>
      <c r="JK309"/>
      <c r="JL309"/>
      <c r="JM309"/>
      <c r="JN309"/>
      <c r="JO309"/>
      <c r="JP309"/>
      <c r="JQ309"/>
      <c r="JR309"/>
      <c r="JS309"/>
      <c r="JT309"/>
      <c r="JU309"/>
      <c r="JV309"/>
      <c r="JW309"/>
      <c r="JX309"/>
      <c r="JY309"/>
      <c r="JZ309"/>
      <c r="KA309"/>
      <c r="KB309"/>
      <c r="KC309"/>
      <c r="KD309"/>
      <c r="KE309"/>
      <c r="KF309"/>
      <c r="KG309"/>
      <c r="KH309"/>
      <c r="KI309"/>
      <c r="KJ309"/>
      <c r="KK309"/>
      <c r="KL309"/>
      <c r="KM309"/>
      <c r="KN309"/>
      <c r="KO309"/>
      <c r="KP309"/>
      <c r="KQ309"/>
      <c r="KR309"/>
      <c r="KS309"/>
      <c r="KT309"/>
      <c r="KU309"/>
      <c r="KV309"/>
      <c r="KW309"/>
      <c r="KX309"/>
      <c r="KY309"/>
      <c r="KZ309"/>
      <c r="LA309"/>
      <c r="LB309"/>
      <c r="LC309"/>
      <c r="LD309"/>
      <c r="LE309"/>
      <c r="LF309"/>
      <c r="LG309"/>
      <c r="LH309"/>
      <c r="LI309"/>
      <c r="LJ309"/>
      <c r="LK309"/>
      <c r="LL309"/>
      <c r="LM309"/>
      <c r="LN309"/>
      <c r="LO309"/>
      <c r="LP309"/>
      <c r="LQ309"/>
      <c r="LR309"/>
      <c r="LS309"/>
      <c r="LT309"/>
      <c r="LU309"/>
      <c r="LV309"/>
      <c r="LW309"/>
      <c r="LX309"/>
      <c r="LY309"/>
      <c r="LZ309"/>
      <c r="MA309"/>
      <c r="MB309"/>
      <c r="MC309"/>
      <c r="MD309"/>
      <c r="ME309"/>
      <c r="MF309"/>
      <c r="MG309"/>
      <c r="MH309"/>
      <c r="MI309"/>
      <c r="MJ309"/>
      <c r="MK309"/>
      <c r="ML309"/>
      <c r="MM309"/>
      <c r="MN309"/>
      <c r="MO309"/>
      <c r="MP309"/>
      <c r="MQ309"/>
      <c r="MR309"/>
      <c r="MS309"/>
      <c r="MT309"/>
      <c r="MU309"/>
      <c r="MV309"/>
      <c r="MW309"/>
      <c r="MX309"/>
      <c r="MY309"/>
      <c r="MZ309"/>
      <c r="NA309"/>
      <c r="NB309"/>
      <c r="NC309"/>
      <c r="ND309"/>
      <c r="NE309"/>
      <c r="NF309"/>
      <c r="NG309"/>
      <c r="NH309"/>
      <c r="NI309"/>
      <c r="NJ309"/>
      <c r="NK309"/>
      <c r="NL309"/>
      <c r="NM309"/>
      <c r="NN309"/>
      <c r="NO309"/>
      <c r="NP309"/>
      <c r="NQ309"/>
      <c r="NR309"/>
      <c r="NS309"/>
      <c r="NT309"/>
      <c r="NU309"/>
      <c r="NV309"/>
      <c r="NW309"/>
      <c r="NX309"/>
      <c r="NY309"/>
      <c r="NZ309"/>
      <c r="OA309"/>
      <c r="OB309"/>
      <c r="OC309"/>
      <c r="OD309"/>
      <c r="OE309"/>
      <c r="OF309"/>
      <c r="OG309"/>
      <c r="OH309"/>
      <c r="OI309"/>
      <c r="OJ309"/>
      <c r="OK309"/>
      <c r="OL309"/>
      <c r="OM309"/>
      <c r="ON309"/>
      <c r="OO309"/>
      <c r="OP309"/>
      <c r="OQ309"/>
      <c r="OR309"/>
      <c r="OS309"/>
      <c r="OT309"/>
      <c r="OU309"/>
      <c r="OV309"/>
      <c r="OW309"/>
      <c r="OX309"/>
      <c r="OY309"/>
      <c r="OZ309"/>
      <c r="PA309"/>
      <c r="PB309"/>
      <c r="PC309"/>
      <c r="PD309"/>
      <c r="PE309"/>
      <c r="PF309"/>
      <c r="PG309"/>
      <c r="PH309"/>
      <c r="PI309"/>
      <c r="PJ309"/>
      <c r="PK309"/>
      <c r="PL309"/>
      <c r="PM309"/>
      <c r="PN309"/>
      <c r="PO309"/>
      <c r="PP309"/>
      <c r="PQ309"/>
      <c r="PR309"/>
      <c r="PS309"/>
      <c r="PT309"/>
      <c r="PU309"/>
      <c r="PV309"/>
      <c r="PW309"/>
      <c r="PX309"/>
      <c r="PY309"/>
      <c r="PZ309"/>
      <c r="QA309"/>
      <c r="QB309"/>
      <c r="QC309"/>
      <c r="QD309"/>
      <c r="QE309"/>
      <c r="QF309"/>
      <c r="QG309"/>
      <c r="QH309"/>
      <c r="QI309"/>
      <c r="QJ309"/>
      <c r="QK309"/>
      <c r="QL309"/>
      <c r="QM309"/>
      <c r="QN309"/>
      <c r="QO309"/>
      <c r="QP309"/>
      <c r="QQ309"/>
      <c r="QR309"/>
      <c r="QS309"/>
      <c r="QT309"/>
      <c r="QU309"/>
      <c r="QV309"/>
      <c r="QW309"/>
      <c r="QX309"/>
      <c r="QY309"/>
      <c r="QZ309"/>
      <c r="RA309"/>
      <c r="RB309"/>
      <c r="RC309"/>
      <c r="RD309"/>
      <c r="RE309"/>
      <c r="RF309"/>
      <c r="RG309"/>
      <c r="RH309"/>
      <c r="RI309"/>
      <c r="RJ309"/>
      <c r="RK309"/>
      <c r="RL309"/>
      <c r="RM309"/>
      <c r="RN309"/>
      <c r="RO309"/>
      <c r="RP309"/>
      <c r="RQ309"/>
      <c r="RR309"/>
      <c r="RS309"/>
      <c r="RT309"/>
      <c r="RU309"/>
      <c r="RV309"/>
      <c r="RW309"/>
      <c r="RX309"/>
      <c r="RY309"/>
      <c r="RZ309"/>
      <c r="SA309"/>
      <c r="SB309"/>
      <c r="SC309"/>
      <c r="SD309"/>
      <c r="SE309"/>
      <c r="SF309"/>
      <c r="SG309"/>
      <c r="SH309"/>
      <c r="SI309"/>
      <c r="SJ309"/>
      <c r="SK309"/>
      <c r="SL309"/>
      <c r="SM309"/>
      <c r="SN309"/>
      <c r="SO309"/>
      <c r="SP309"/>
      <c r="SQ309"/>
      <c r="SR309"/>
      <c r="SS309"/>
      <c r="ST309"/>
      <c r="SU309"/>
      <c r="SV309"/>
      <c r="SW309"/>
      <c r="SX309"/>
      <c r="SY309"/>
      <c r="SZ309"/>
      <c r="TA309"/>
      <c r="TB309"/>
      <c r="TC309"/>
      <c r="TD309"/>
      <c r="TE309"/>
      <c r="TF309"/>
      <c r="TG309"/>
      <c r="TH309"/>
      <c r="TI309"/>
      <c r="TJ309"/>
      <c r="TK309"/>
      <c r="TL309"/>
      <c r="TM309"/>
      <c r="TN309"/>
      <c r="TO309"/>
      <c r="TP309"/>
      <c r="TQ309"/>
      <c r="TR309"/>
      <c r="TS309"/>
      <c r="TT309"/>
      <c r="TU309"/>
      <c r="TV309"/>
      <c r="TW309"/>
      <c r="TX309"/>
      <c r="TY309"/>
      <c r="TZ309"/>
      <c r="UA309"/>
      <c r="UB309"/>
      <c r="UC309"/>
      <c r="UD309"/>
      <c r="UE309"/>
      <c r="UF309"/>
      <c r="UG309"/>
      <c r="UH309"/>
      <c r="UI309"/>
      <c r="UJ309"/>
      <c r="UK309"/>
      <c r="UL309"/>
      <c r="UM309"/>
      <c r="UN309"/>
      <c r="UO309"/>
      <c r="UP309"/>
      <c r="UQ309"/>
      <c r="UR309"/>
      <c r="US309"/>
      <c r="UT309"/>
      <c r="UU309"/>
      <c r="UV309"/>
      <c r="UW309"/>
      <c r="UX309"/>
      <c r="UY309"/>
      <c r="UZ309"/>
      <c r="VA309"/>
      <c r="VB309"/>
      <c r="VC309"/>
      <c r="VD309"/>
      <c r="VE309"/>
      <c r="VF309"/>
      <c r="VG309"/>
      <c r="VH309"/>
      <c r="VI309"/>
      <c r="VJ309"/>
      <c r="VK309"/>
      <c r="VL309"/>
      <c r="VM309"/>
      <c r="VN309"/>
      <c r="VO309"/>
      <c r="VP309"/>
      <c r="VQ309"/>
      <c r="VR309"/>
      <c r="VS309"/>
      <c r="VT309"/>
      <c r="VU309"/>
      <c r="VV309"/>
      <c r="VW309"/>
      <c r="VX309"/>
      <c r="VY309"/>
      <c r="VZ309"/>
      <c r="WA309"/>
      <c r="WB309"/>
      <c r="WC309"/>
      <c r="WD309"/>
      <c r="WE309"/>
      <c r="WF309"/>
      <c r="WG309"/>
      <c r="WH309"/>
      <c r="WI309"/>
      <c r="WJ309"/>
      <c r="WK309"/>
      <c r="WL309"/>
      <c r="WM309"/>
      <c r="WN309"/>
      <c r="WO309"/>
      <c r="WP309"/>
      <c r="WQ309"/>
      <c r="WR309"/>
      <c r="WS309"/>
      <c r="WT309"/>
      <c r="WU309"/>
      <c r="WV309"/>
      <c r="WW309"/>
      <c r="WX309"/>
      <c r="WY309"/>
      <c r="WZ309"/>
      <c r="XA309"/>
      <c r="XB309"/>
      <c r="XC309"/>
      <c r="XD309"/>
      <c r="XE309"/>
      <c r="XF309"/>
      <c r="XG309"/>
      <c r="XH309"/>
      <c r="XI309"/>
      <c r="XJ309"/>
      <c r="XK309"/>
      <c r="XL309"/>
      <c r="XM309"/>
      <c r="XN309"/>
      <c r="XO309"/>
      <c r="XP309"/>
      <c r="XQ309"/>
      <c r="XR309"/>
      <c r="XS309"/>
      <c r="XT309"/>
      <c r="XU309"/>
      <c r="XV309"/>
      <c r="XW309"/>
      <c r="XX309"/>
      <c r="XY309"/>
      <c r="XZ309"/>
      <c r="YA309"/>
      <c r="YB309"/>
      <c r="YC309"/>
      <c r="YD309"/>
      <c r="YE309"/>
      <c r="YF309"/>
      <c r="YG309"/>
      <c r="YH309"/>
      <c r="YI309"/>
      <c r="YJ309"/>
      <c r="YK309"/>
      <c r="YL309"/>
      <c r="YM309"/>
      <c r="YN309"/>
      <c r="YO309"/>
      <c r="YP309"/>
      <c r="YQ309"/>
      <c r="YR309"/>
      <c r="YS309"/>
      <c r="YT309"/>
      <c r="YU309"/>
      <c r="YV309"/>
      <c r="YW309"/>
      <c r="YX309"/>
      <c r="YY309"/>
      <c r="YZ309"/>
      <c r="ZA309"/>
      <c r="ZB309"/>
      <c r="ZC309"/>
      <c r="ZD309"/>
      <c r="ZE309"/>
      <c r="ZF309"/>
      <c r="ZG309"/>
      <c r="ZH309"/>
      <c r="ZI309"/>
      <c r="ZJ309"/>
      <c r="ZK309"/>
      <c r="ZL309"/>
      <c r="ZM309"/>
      <c r="ZN309"/>
      <c r="ZO309"/>
      <c r="ZP309"/>
      <c r="ZQ309"/>
      <c r="ZR309"/>
      <c r="ZS309"/>
      <c r="ZT309"/>
      <c r="ZU309"/>
      <c r="ZV309"/>
      <c r="ZW309"/>
      <c r="ZX309"/>
      <c r="ZY309"/>
      <c r="ZZ309"/>
      <c r="AAA309"/>
      <c r="AAB309"/>
      <c r="AAC309"/>
      <c r="AAD309"/>
      <c r="AAE309"/>
      <c r="AAF309"/>
      <c r="AAG309"/>
      <c r="AAH309"/>
      <c r="AAI309"/>
      <c r="AAJ309"/>
      <c r="AAK309"/>
      <c r="AAL309"/>
      <c r="AAM309"/>
      <c r="AAN309"/>
      <c r="AAO309"/>
      <c r="AAP309"/>
      <c r="AAQ309"/>
      <c r="AAR309"/>
      <c r="AAS309"/>
      <c r="AAT309"/>
      <c r="AAU309"/>
      <c r="AAV309"/>
      <c r="AAW309"/>
      <c r="AAX309"/>
      <c r="AAY309"/>
      <c r="AAZ309"/>
      <c r="ABA309"/>
      <c r="ABB309"/>
      <c r="ABC309"/>
      <c r="ABD309"/>
      <c r="ABE309"/>
      <c r="ABF309"/>
      <c r="ABG309"/>
      <c r="ABH309"/>
      <c r="ABI309"/>
      <c r="ABJ309"/>
      <c r="ABK309"/>
      <c r="ABL309"/>
      <c r="ABM309"/>
      <c r="ABN309"/>
      <c r="ABO309"/>
      <c r="ABP309"/>
      <c r="ABQ309"/>
      <c r="ABR309"/>
      <c r="ABS309"/>
      <c r="ABT309"/>
      <c r="ABU309"/>
      <c r="ABV309"/>
      <c r="ABW309"/>
      <c r="ABX309"/>
      <c r="ABY309"/>
      <c r="ABZ309"/>
      <c r="ACA309"/>
      <c r="ACB309"/>
      <c r="ACC309"/>
      <c r="ACD309"/>
      <c r="ACE309"/>
      <c r="ACF309"/>
      <c r="ACG309"/>
      <c r="ACH309"/>
      <c r="ACI309"/>
      <c r="ACJ309"/>
      <c r="ACK309"/>
      <c r="ACL309"/>
      <c r="ACM309"/>
      <c r="ACN309"/>
      <c r="ACO309"/>
      <c r="ACP309"/>
      <c r="ACQ309"/>
      <c r="ACR309"/>
      <c r="ACS309"/>
      <c r="ACT309"/>
      <c r="ACU309"/>
      <c r="ACV309"/>
      <c r="ACW309"/>
      <c r="ACX309"/>
      <c r="ACY309"/>
      <c r="ACZ309"/>
      <c r="ADA309"/>
      <c r="ADB309"/>
      <c r="ADC309"/>
      <c r="ADD309"/>
      <c r="ADE309"/>
      <c r="ADF309"/>
      <c r="ADG309"/>
      <c r="ADH309"/>
      <c r="ADI309"/>
      <c r="ADJ309"/>
      <c r="ADK309"/>
      <c r="ADL309"/>
      <c r="ADM309"/>
      <c r="ADN309"/>
      <c r="ADO309"/>
      <c r="ADP309"/>
      <c r="ADQ309"/>
      <c r="ADR309"/>
      <c r="ADS309"/>
      <c r="ADT309"/>
      <c r="ADU309"/>
      <c r="ADV309"/>
      <c r="ADW309"/>
      <c r="ADX309"/>
      <c r="ADY309"/>
      <c r="ADZ309"/>
      <c r="AEA309"/>
      <c r="AEB309"/>
      <c r="AEC309"/>
      <c r="AED309"/>
      <c r="AEE309"/>
      <c r="AEF309"/>
      <c r="AEG309"/>
      <c r="AEH309"/>
      <c r="AEI309"/>
      <c r="AEJ309"/>
      <c r="AEK309"/>
      <c r="AEL309"/>
      <c r="AEM309"/>
      <c r="AEN309"/>
      <c r="AEO309"/>
      <c r="AEP309"/>
      <c r="AEQ309"/>
      <c r="AER309"/>
      <c r="AES309"/>
      <c r="AET309"/>
      <c r="AEU309"/>
      <c r="AEV309"/>
      <c r="AEW309"/>
      <c r="AEX309"/>
      <c r="AEY309"/>
      <c r="AEZ309"/>
      <c r="AFA309"/>
      <c r="AFB309"/>
      <c r="AFC309"/>
      <c r="AFD309"/>
      <c r="AFE309"/>
      <c r="AFF309"/>
      <c r="AFG309"/>
      <c r="AFH309"/>
      <c r="AFI309"/>
      <c r="AFJ309"/>
      <c r="AFK309"/>
      <c r="AFL309"/>
      <c r="AFM309"/>
      <c r="AFN309"/>
      <c r="AFO309"/>
      <c r="AFP309"/>
      <c r="AFQ309"/>
      <c r="AFR309"/>
      <c r="AFS309"/>
      <c r="AFT309"/>
      <c r="AFU309"/>
      <c r="AFV309"/>
      <c r="AFW309"/>
      <c r="AFX309"/>
      <c r="AFY309"/>
      <c r="AFZ309"/>
      <c r="AGA309"/>
      <c r="AGB309"/>
      <c r="AGC309"/>
      <c r="AGD309"/>
      <c r="AGE309"/>
      <c r="AGF309"/>
      <c r="AGG309"/>
      <c r="AGH309"/>
      <c r="AGI309"/>
      <c r="AGJ309"/>
      <c r="AGK309"/>
      <c r="AGL309"/>
      <c r="AGM309"/>
      <c r="AGN309"/>
      <c r="AGO309"/>
      <c r="AGP309"/>
      <c r="AGQ309"/>
      <c r="AGR309"/>
      <c r="AGS309"/>
      <c r="AGT309"/>
      <c r="AGU309"/>
      <c r="AGV309"/>
      <c r="AGW309"/>
      <c r="AGX309"/>
      <c r="AGY309"/>
      <c r="AGZ309"/>
      <c r="AHA309"/>
      <c r="AHB309"/>
      <c r="AHC309"/>
      <c r="AHD309"/>
      <c r="AHE309"/>
      <c r="AHF309"/>
      <c r="AHG309"/>
      <c r="AHH309"/>
      <c r="AHI309"/>
      <c r="AHJ309"/>
      <c r="AHK309"/>
      <c r="AHL309"/>
      <c r="AHM309"/>
      <c r="AHN309"/>
      <c r="AHO309"/>
      <c r="AHP309"/>
      <c r="AHQ309"/>
      <c r="AHR309"/>
      <c r="AHS309"/>
      <c r="AHT309"/>
      <c r="AHU309"/>
      <c r="AHV309"/>
      <c r="AHW309"/>
      <c r="AHX309"/>
      <c r="AHY309"/>
      <c r="AHZ309"/>
      <c r="AIA309"/>
      <c r="AIB309"/>
      <c r="AIC309"/>
      <c r="AID309"/>
      <c r="AIE309"/>
      <c r="AIF309"/>
      <c r="AIG309"/>
      <c r="AIH309"/>
      <c r="AII309"/>
      <c r="AIJ309"/>
      <c r="AIK309"/>
      <c r="AIL309"/>
      <c r="AIM309"/>
      <c r="AIN309"/>
      <c r="AIO309"/>
      <c r="AIP309"/>
      <c r="AIQ309"/>
      <c r="AIR309"/>
      <c r="AIS309"/>
      <c r="AIT309"/>
      <c r="AIU309"/>
      <c r="AIV309"/>
      <c r="AIW309"/>
      <c r="AIX309"/>
      <c r="AIY309"/>
      <c r="AIZ309"/>
      <c r="AJA309"/>
      <c r="AJB309"/>
      <c r="AJC309"/>
      <c r="AJD309"/>
      <c r="AJE309"/>
      <c r="AJF309"/>
      <c r="AJG309"/>
      <c r="AJH309"/>
      <c r="AJI309"/>
      <c r="AJJ309"/>
      <c r="AJK309"/>
      <c r="AJL309"/>
      <c r="AJM309"/>
      <c r="AJN309"/>
      <c r="AJO309"/>
      <c r="AJP309"/>
      <c r="AJQ309"/>
      <c r="AJR309"/>
      <c r="AJS309"/>
      <c r="AJT309"/>
      <c r="AJU309"/>
      <c r="AJV309"/>
      <c r="AJW309"/>
      <c r="AJX309"/>
      <c r="AJY309"/>
      <c r="AJZ309"/>
      <c r="AKA309"/>
      <c r="AKB309"/>
      <c r="AKC309"/>
      <c r="AKD309"/>
      <c r="AKE309"/>
      <c r="AKF309"/>
      <c r="AKG309"/>
      <c r="AKH309"/>
      <c r="AKI309"/>
      <c r="AKJ309"/>
      <c r="AKK309"/>
      <c r="AKL309"/>
      <c r="AKM309"/>
      <c r="AKN309"/>
      <c r="AKO309"/>
      <c r="AKP309"/>
      <c r="AKQ309"/>
      <c r="AKR309"/>
      <c r="AKS309"/>
      <c r="AKT309"/>
      <c r="AKU309"/>
      <c r="AKV309"/>
      <c r="AKW309"/>
      <c r="AKX309"/>
      <c r="AKY309"/>
      <c r="AKZ309"/>
      <c r="ALA309"/>
      <c r="ALB309"/>
      <c r="ALC309"/>
      <c r="ALD309"/>
      <c r="ALE309"/>
      <c r="ALF309"/>
      <c r="ALG309"/>
      <c r="ALH309"/>
      <c r="ALI309"/>
      <c r="ALJ309"/>
      <c r="ALK309"/>
      <c r="ALL309"/>
      <c r="ALM309"/>
      <c r="ALN309"/>
      <c r="ALO309"/>
      <c r="ALP309"/>
      <c r="ALQ309"/>
      <c r="ALR309"/>
      <c r="ALS309"/>
      <c r="ALT309"/>
      <c r="ALU309"/>
      <c r="ALV309"/>
      <c r="ALW309"/>
      <c r="ALX309"/>
      <c r="ALY309"/>
      <c r="ALZ309"/>
      <c r="AMA309"/>
      <c r="AMB309"/>
      <c r="AMC309"/>
      <c r="AMD309"/>
      <c r="AME309"/>
      <c r="AMF309"/>
      <c r="AMG309"/>
      <c r="AMH309"/>
      <c r="AMI309"/>
      <c r="AMJ309"/>
    </row>
    <row r="310" spans="1:1024" ht="27.6">
      <c r="A310" s="15" t="s">
        <v>303</v>
      </c>
      <c r="B310" s="15">
        <v>102703</v>
      </c>
      <c r="C310" s="15" t="s">
        <v>833</v>
      </c>
      <c r="D310" s="29"/>
      <c r="E310" s="1">
        <v>0</v>
      </c>
      <c r="F310" s="15">
        <v>0</v>
      </c>
      <c r="G310" s="30">
        <f t="shared" si="15"/>
        <v>-0.33333333333333331</v>
      </c>
      <c r="H310" s="15">
        <f t="shared" si="17"/>
        <v>0.33333333333333331</v>
      </c>
      <c r="I310">
        <f t="shared" si="16"/>
        <v>0.33333333333333331</v>
      </c>
      <c r="J310">
        <f>SUMIF(Oeffentlichkeitsarbeit!$D:$D,$B310,Oeffentlichkeitsarbeit!$F:$F)</f>
        <v>0</v>
      </c>
      <c r="K310">
        <f>COUNTIF(Fairteiler!$D:$D,$B310)*1/2</f>
        <v>0</v>
      </c>
      <c r="L310">
        <f>COUNTIF('NP-Betrieb'!D:D,$B310)*1/3</f>
        <v>0.33333333333333331</v>
      </c>
      <c r="M310">
        <f>COUNTIF(Fairteilungen!$D:$D,$B310)*3/4</f>
        <v>0</v>
      </c>
      <c r="N310">
        <f>COUNTIF(Anlieferung!D:D,$B310)*1/2</f>
        <v>0</v>
      </c>
      <c r="O310">
        <f>COUNTIF(Probeabholungen!B:B,$B310)*1/3</f>
        <v>0</v>
      </c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  <c r="BN310" s="11"/>
      <c r="BO310" s="11"/>
      <c r="BP310" s="11"/>
      <c r="BQ310" s="11"/>
      <c r="BR310" s="11"/>
      <c r="BS310" s="11"/>
      <c r="BT310" s="11"/>
      <c r="BU310" s="11"/>
      <c r="BV310" s="11"/>
      <c r="BW310" s="11"/>
      <c r="BX310" s="11"/>
      <c r="BY310" s="11"/>
      <c r="BZ310" s="11"/>
      <c r="CA310" s="11"/>
      <c r="CB310" s="11"/>
      <c r="CC310" s="11"/>
      <c r="CD310" s="11"/>
      <c r="CE310" s="11"/>
      <c r="CF310" s="11"/>
      <c r="CG310" s="11"/>
      <c r="CH310" s="11"/>
      <c r="CI310" s="11"/>
      <c r="CJ310" s="11"/>
      <c r="CK310" s="11"/>
      <c r="CL310" s="11"/>
      <c r="CM310" s="11"/>
      <c r="CN310" s="11"/>
      <c r="CO310" s="11"/>
      <c r="CP310" s="11"/>
      <c r="CQ310" s="11"/>
      <c r="CR310" s="11"/>
      <c r="CS310" s="11"/>
      <c r="CT310" s="11"/>
      <c r="CU310" s="11"/>
      <c r="CV310" s="11"/>
      <c r="CW310" s="11"/>
      <c r="CX310" s="11"/>
      <c r="CY310" s="11"/>
      <c r="CZ310" s="11"/>
      <c r="DA310" s="11"/>
      <c r="DB310" s="11"/>
      <c r="DC310" s="11"/>
      <c r="DD310" s="11"/>
      <c r="DE310" s="11"/>
      <c r="DF310" s="11"/>
      <c r="DG310" s="11"/>
      <c r="DH310" s="11"/>
      <c r="DI310" s="11"/>
      <c r="DJ310" s="11"/>
      <c r="DK310" s="11"/>
      <c r="DL310" s="11"/>
      <c r="DM310" s="11"/>
      <c r="DN310" s="11"/>
      <c r="DO310" s="11"/>
      <c r="DP310" s="11"/>
      <c r="DQ310" s="11"/>
      <c r="DR310" s="11"/>
      <c r="DS310" s="11"/>
      <c r="DT310" s="11"/>
      <c r="DU310" s="11"/>
      <c r="DV310" s="11"/>
      <c r="DW310" s="11"/>
      <c r="DX310" s="11"/>
      <c r="DY310" s="11"/>
      <c r="DZ310" s="11"/>
      <c r="EA310" s="11"/>
      <c r="EB310" s="11"/>
      <c r="EC310" s="11"/>
      <c r="ED310" s="11"/>
      <c r="EE310" s="11"/>
      <c r="EF310" s="11"/>
      <c r="EG310" s="11"/>
      <c r="EH310" s="11"/>
      <c r="EI310" s="11"/>
      <c r="EJ310" s="11"/>
      <c r="EK310" s="11"/>
      <c r="EL310" s="11"/>
      <c r="EM310" s="11"/>
      <c r="EN310" s="11"/>
      <c r="EO310" s="11"/>
      <c r="EP310" s="11"/>
      <c r="EQ310" s="11"/>
      <c r="ER310" s="11"/>
      <c r="ES310" s="11"/>
      <c r="ET310" s="11"/>
      <c r="EU310" s="11"/>
      <c r="EV310" s="11"/>
      <c r="EW310" s="11"/>
      <c r="EX310" s="11"/>
      <c r="EY310" s="11"/>
      <c r="EZ310" s="11"/>
      <c r="FA310" s="11"/>
      <c r="FB310" s="11"/>
      <c r="FC310" s="11"/>
      <c r="FD310" s="11"/>
      <c r="FE310" s="11"/>
      <c r="FF310" s="11"/>
      <c r="FG310" s="11"/>
      <c r="FH310" s="11"/>
      <c r="FI310" s="11"/>
      <c r="FJ310" s="11"/>
      <c r="FK310" s="11"/>
      <c r="FL310" s="11"/>
      <c r="FM310" s="11"/>
      <c r="FN310" s="11"/>
      <c r="FO310" s="11"/>
      <c r="FP310" s="11"/>
      <c r="FQ310" s="11"/>
      <c r="FR310" s="11"/>
      <c r="FS310" s="11"/>
      <c r="FT310" s="11"/>
      <c r="FU310" s="11"/>
      <c r="FV310" s="11"/>
      <c r="FW310" s="11"/>
      <c r="FX310" s="11"/>
      <c r="FY310" s="11"/>
      <c r="FZ310" s="11"/>
      <c r="GA310" s="11"/>
      <c r="GB310" s="11"/>
      <c r="GC310" s="11"/>
      <c r="GD310" s="11"/>
      <c r="GE310" s="11"/>
      <c r="GF310" s="11"/>
      <c r="GG310" s="11"/>
      <c r="GH310" s="11"/>
      <c r="GI310" s="11"/>
      <c r="GJ310" s="11"/>
      <c r="GK310" s="11"/>
      <c r="GL310" s="11"/>
      <c r="GM310" s="11"/>
      <c r="GN310" s="11"/>
      <c r="GO310" s="11"/>
      <c r="GP310" s="11"/>
      <c r="GQ310" s="11"/>
      <c r="GR310" s="11"/>
      <c r="GS310" s="11"/>
      <c r="GT310" s="11"/>
      <c r="GU310" s="11"/>
      <c r="GV310" s="11"/>
      <c r="GW310" s="11"/>
      <c r="GX310" s="11"/>
      <c r="GY310" s="11"/>
      <c r="GZ310" s="11"/>
      <c r="HA310" s="11"/>
      <c r="HB310" s="11"/>
      <c r="HC310" s="11"/>
      <c r="HD310" s="11"/>
      <c r="HE310" s="11"/>
      <c r="HF310" s="11"/>
      <c r="HG310" s="11"/>
      <c r="HH310" s="11"/>
      <c r="HI310" s="11"/>
      <c r="HJ310" s="11"/>
      <c r="HK310" s="11"/>
      <c r="HL310" s="11"/>
      <c r="HM310" s="11"/>
      <c r="HN310" s="11"/>
      <c r="HO310" s="11"/>
      <c r="HP310" s="11"/>
      <c r="HQ310" s="11"/>
      <c r="HR310" s="11"/>
      <c r="HS310" s="11"/>
      <c r="HT310" s="11"/>
      <c r="HU310" s="11"/>
      <c r="HV310" s="11"/>
      <c r="HW310" s="11"/>
      <c r="HX310" s="11"/>
      <c r="HY310" s="11"/>
      <c r="HZ310" s="11"/>
      <c r="IA310" s="11"/>
      <c r="IB310" s="11"/>
      <c r="IC310" s="11"/>
      <c r="ID310" s="11"/>
      <c r="IE310" s="11"/>
      <c r="IF310" s="11"/>
      <c r="IG310" s="11"/>
      <c r="IH310" s="11"/>
      <c r="II310" s="11"/>
      <c r="IJ310" s="11"/>
      <c r="IK310" s="11"/>
      <c r="IL310" s="11"/>
      <c r="IM310" s="11"/>
      <c r="IN310" s="11"/>
      <c r="IO310" s="11"/>
      <c r="IP310" s="11"/>
      <c r="IQ310" s="11"/>
      <c r="IR310" s="11"/>
      <c r="IS310" s="11"/>
      <c r="IT310" s="11"/>
      <c r="IU310" s="11"/>
      <c r="IV310" s="11"/>
      <c r="IW310" s="11"/>
      <c r="IX310" s="11"/>
      <c r="IY310" s="11"/>
      <c r="IZ310" s="11"/>
      <c r="JA310" s="11"/>
      <c r="JB310" s="11"/>
      <c r="JC310" s="11"/>
      <c r="JD310" s="11"/>
      <c r="JE310" s="11"/>
      <c r="JF310" s="11"/>
      <c r="JG310" s="11"/>
      <c r="JH310" s="11"/>
      <c r="JI310" s="11"/>
      <c r="JJ310" s="11"/>
      <c r="JK310" s="11"/>
      <c r="JL310" s="11"/>
      <c r="JM310" s="11"/>
      <c r="JN310" s="11"/>
      <c r="JO310" s="11"/>
      <c r="JP310" s="11"/>
      <c r="JQ310" s="11"/>
      <c r="JR310" s="11"/>
      <c r="JS310" s="11"/>
      <c r="JT310" s="11"/>
      <c r="JU310" s="11"/>
      <c r="JV310" s="11"/>
      <c r="JW310" s="11"/>
      <c r="JX310" s="11"/>
      <c r="JY310" s="11"/>
      <c r="JZ310" s="11"/>
      <c r="KA310" s="11"/>
      <c r="KB310" s="11"/>
      <c r="KC310" s="11"/>
      <c r="KD310" s="11"/>
      <c r="KE310" s="11"/>
      <c r="KF310" s="11"/>
      <c r="KG310" s="11"/>
      <c r="KH310" s="11"/>
      <c r="KI310" s="11"/>
      <c r="KJ310" s="11"/>
      <c r="KK310" s="11"/>
      <c r="KL310" s="11"/>
      <c r="KM310" s="11"/>
      <c r="KN310" s="11"/>
      <c r="KO310" s="11"/>
      <c r="KP310" s="11"/>
      <c r="KQ310" s="11"/>
      <c r="KR310" s="11"/>
      <c r="KS310" s="11"/>
      <c r="KT310" s="11"/>
      <c r="KU310" s="11"/>
      <c r="KV310" s="11"/>
      <c r="KW310" s="11"/>
      <c r="KX310" s="11"/>
      <c r="KY310" s="11"/>
      <c r="KZ310" s="11"/>
      <c r="LA310" s="11"/>
      <c r="LB310" s="11"/>
      <c r="LC310" s="11"/>
      <c r="LD310" s="11"/>
      <c r="LE310" s="11"/>
      <c r="LF310" s="11"/>
      <c r="LG310" s="11"/>
      <c r="LH310" s="11"/>
      <c r="LI310" s="11"/>
      <c r="LJ310" s="11"/>
      <c r="LK310" s="11"/>
      <c r="LL310" s="11"/>
      <c r="LM310" s="11"/>
      <c r="LN310" s="11"/>
      <c r="LO310" s="11"/>
      <c r="LP310" s="11"/>
      <c r="LQ310" s="11"/>
      <c r="LR310" s="11"/>
      <c r="LS310" s="11"/>
      <c r="LT310" s="11"/>
      <c r="LU310" s="11"/>
      <c r="LV310" s="11"/>
      <c r="LW310" s="11"/>
      <c r="LX310" s="11"/>
      <c r="LY310" s="11"/>
      <c r="LZ310" s="11"/>
      <c r="MA310" s="11"/>
      <c r="MB310" s="11"/>
      <c r="MC310" s="11"/>
      <c r="MD310" s="11"/>
      <c r="ME310" s="11"/>
      <c r="MF310" s="11"/>
      <c r="MG310" s="11"/>
      <c r="MH310" s="11"/>
      <c r="MI310" s="11"/>
      <c r="MJ310" s="11"/>
      <c r="MK310" s="11"/>
      <c r="ML310" s="11"/>
      <c r="MM310" s="11"/>
      <c r="MN310" s="11"/>
      <c r="MO310" s="11"/>
      <c r="MP310" s="11"/>
      <c r="MQ310" s="11"/>
      <c r="MR310" s="11"/>
      <c r="MS310" s="11"/>
      <c r="MT310" s="11"/>
      <c r="MU310" s="11"/>
      <c r="MV310" s="11"/>
      <c r="MW310" s="11"/>
      <c r="MX310" s="11"/>
      <c r="MY310" s="11"/>
      <c r="MZ310" s="11"/>
      <c r="NA310" s="11"/>
      <c r="NB310" s="11"/>
      <c r="NC310" s="11"/>
      <c r="ND310" s="11"/>
      <c r="NE310" s="11"/>
      <c r="NF310" s="11"/>
      <c r="NG310" s="11"/>
      <c r="NH310" s="11"/>
      <c r="NI310" s="11"/>
      <c r="NJ310" s="11"/>
      <c r="NK310" s="11"/>
      <c r="NL310" s="11"/>
      <c r="NM310" s="11"/>
      <c r="NN310" s="11"/>
      <c r="NO310" s="11"/>
      <c r="NP310" s="11"/>
      <c r="NQ310" s="11"/>
      <c r="NR310" s="11"/>
      <c r="NS310" s="11"/>
      <c r="NT310" s="11"/>
      <c r="NU310" s="11"/>
      <c r="NV310" s="11"/>
      <c r="NW310" s="11"/>
      <c r="NX310" s="11"/>
      <c r="NY310" s="11"/>
      <c r="NZ310" s="11"/>
      <c r="OA310" s="11"/>
      <c r="OB310" s="11"/>
      <c r="OC310" s="11"/>
      <c r="OD310" s="11"/>
      <c r="OE310" s="11"/>
      <c r="OF310" s="11"/>
      <c r="OG310" s="11"/>
      <c r="OH310" s="11"/>
      <c r="OI310" s="11"/>
      <c r="OJ310" s="11"/>
      <c r="OK310" s="11"/>
      <c r="OL310" s="11"/>
      <c r="OM310" s="11"/>
      <c r="ON310" s="11"/>
      <c r="OO310" s="11"/>
      <c r="OP310" s="11"/>
      <c r="OQ310" s="11"/>
      <c r="OR310" s="11"/>
      <c r="OS310" s="11"/>
      <c r="OT310" s="11"/>
      <c r="OU310" s="11"/>
      <c r="OV310" s="11"/>
      <c r="OW310" s="11"/>
      <c r="OX310" s="11"/>
      <c r="OY310" s="11"/>
      <c r="OZ310" s="11"/>
      <c r="PA310" s="11"/>
      <c r="PB310" s="11"/>
      <c r="PC310" s="11"/>
      <c r="PD310" s="11"/>
      <c r="PE310" s="11"/>
      <c r="PF310" s="11"/>
      <c r="PG310" s="11"/>
      <c r="PH310" s="11"/>
      <c r="PI310" s="11"/>
      <c r="PJ310" s="11"/>
      <c r="PK310" s="11"/>
      <c r="PL310" s="11"/>
      <c r="PM310" s="11"/>
      <c r="PN310" s="11"/>
      <c r="PO310" s="11"/>
      <c r="PP310" s="11"/>
      <c r="PQ310" s="11"/>
      <c r="PR310" s="11"/>
      <c r="PS310" s="11"/>
      <c r="PT310" s="11"/>
      <c r="PU310" s="11"/>
      <c r="PV310" s="11"/>
      <c r="PW310" s="11"/>
      <c r="PX310" s="11"/>
      <c r="PY310" s="11"/>
      <c r="PZ310" s="11"/>
      <c r="QA310" s="11"/>
      <c r="QB310" s="11"/>
      <c r="QC310" s="11"/>
      <c r="QD310" s="11"/>
      <c r="QE310" s="11"/>
      <c r="QF310" s="11"/>
      <c r="QG310" s="11"/>
      <c r="QH310" s="11"/>
      <c r="QI310" s="11"/>
      <c r="QJ310" s="11"/>
      <c r="QK310" s="11"/>
      <c r="QL310" s="11"/>
      <c r="QM310" s="11"/>
      <c r="QN310" s="11"/>
      <c r="QO310" s="11"/>
      <c r="QP310" s="11"/>
      <c r="QQ310" s="11"/>
      <c r="QR310" s="11"/>
      <c r="QS310" s="11"/>
      <c r="QT310" s="11"/>
      <c r="QU310" s="11"/>
      <c r="QV310" s="11"/>
      <c r="QW310" s="11"/>
      <c r="QX310" s="11"/>
      <c r="QY310" s="11"/>
      <c r="QZ310" s="11"/>
      <c r="RA310" s="11"/>
      <c r="RB310" s="11"/>
      <c r="RC310" s="11"/>
      <c r="RD310" s="11"/>
      <c r="RE310" s="11"/>
      <c r="RF310" s="11"/>
      <c r="RG310" s="11"/>
      <c r="RH310" s="11"/>
      <c r="RI310" s="11"/>
      <c r="RJ310" s="11"/>
      <c r="RK310" s="11"/>
      <c r="RL310" s="11"/>
      <c r="RM310" s="11"/>
      <c r="RN310" s="11"/>
      <c r="RO310" s="11"/>
      <c r="RP310" s="11"/>
      <c r="RQ310" s="11"/>
      <c r="RR310" s="11"/>
      <c r="RS310" s="11"/>
      <c r="RT310" s="11"/>
      <c r="RU310" s="11"/>
      <c r="RV310" s="11"/>
      <c r="RW310" s="11"/>
      <c r="RX310" s="11"/>
      <c r="RY310" s="11"/>
      <c r="RZ310" s="11"/>
      <c r="SA310" s="11"/>
      <c r="SB310" s="11"/>
      <c r="SC310" s="11"/>
      <c r="SD310" s="11"/>
      <c r="SE310" s="11"/>
      <c r="SF310" s="11"/>
      <c r="SG310" s="11"/>
      <c r="SH310" s="11"/>
      <c r="SI310" s="11"/>
      <c r="SJ310" s="11"/>
      <c r="SK310" s="11"/>
      <c r="SL310" s="11"/>
      <c r="SM310" s="11"/>
      <c r="SN310" s="11"/>
      <c r="SO310" s="11"/>
      <c r="SP310" s="11"/>
      <c r="SQ310" s="11"/>
      <c r="SR310" s="11"/>
      <c r="SS310" s="11"/>
      <c r="ST310" s="11"/>
      <c r="SU310" s="11"/>
      <c r="SV310" s="11"/>
      <c r="SW310" s="11"/>
      <c r="SX310" s="11"/>
      <c r="SY310" s="11"/>
      <c r="SZ310" s="11"/>
      <c r="TA310" s="11"/>
      <c r="TB310" s="11"/>
      <c r="TC310" s="11"/>
      <c r="TD310" s="11"/>
      <c r="TE310" s="11"/>
      <c r="TF310" s="11"/>
      <c r="TG310" s="11"/>
      <c r="TH310" s="11"/>
      <c r="TI310" s="11"/>
      <c r="TJ310" s="11"/>
      <c r="TK310" s="11"/>
      <c r="TL310" s="11"/>
      <c r="TM310" s="11"/>
      <c r="TN310" s="11"/>
      <c r="TO310" s="11"/>
      <c r="TP310" s="11"/>
      <c r="TQ310" s="11"/>
      <c r="TR310" s="11"/>
      <c r="TS310" s="11"/>
      <c r="TT310" s="11"/>
      <c r="TU310" s="11"/>
      <c r="TV310" s="11"/>
      <c r="TW310" s="11"/>
      <c r="TX310" s="11"/>
      <c r="TY310" s="11"/>
      <c r="TZ310" s="11"/>
      <c r="UA310" s="11"/>
      <c r="UB310" s="11"/>
      <c r="UC310" s="11"/>
      <c r="UD310" s="11"/>
      <c r="UE310" s="11"/>
      <c r="UF310" s="11"/>
      <c r="UG310" s="11"/>
      <c r="UH310" s="11"/>
      <c r="UI310" s="11"/>
      <c r="UJ310" s="11"/>
      <c r="UK310" s="11"/>
      <c r="UL310" s="11"/>
      <c r="UM310" s="11"/>
      <c r="UN310" s="11"/>
      <c r="UO310" s="11"/>
      <c r="UP310" s="11"/>
      <c r="UQ310" s="11"/>
      <c r="UR310" s="11"/>
      <c r="US310" s="11"/>
      <c r="UT310" s="11"/>
      <c r="UU310" s="11"/>
      <c r="UV310" s="11"/>
      <c r="UW310" s="11"/>
      <c r="UX310" s="11"/>
      <c r="UY310" s="11"/>
      <c r="UZ310" s="11"/>
      <c r="VA310" s="11"/>
      <c r="VB310" s="11"/>
      <c r="VC310" s="11"/>
      <c r="VD310" s="11"/>
      <c r="VE310" s="11"/>
      <c r="VF310" s="11"/>
      <c r="VG310" s="11"/>
      <c r="VH310" s="11"/>
      <c r="VI310" s="11"/>
      <c r="VJ310" s="11"/>
      <c r="VK310" s="11"/>
      <c r="VL310" s="11"/>
      <c r="VM310" s="11"/>
      <c r="VN310" s="11"/>
      <c r="VO310" s="11"/>
      <c r="VP310" s="11"/>
      <c r="VQ310" s="11"/>
      <c r="VR310" s="11"/>
      <c r="VS310" s="11"/>
      <c r="VT310" s="11"/>
      <c r="VU310" s="11"/>
      <c r="VV310" s="11"/>
      <c r="VW310" s="11"/>
      <c r="VX310" s="11"/>
      <c r="VY310" s="11"/>
      <c r="VZ310" s="11"/>
      <c r="WA310" s="11"/>
      <c r="WB310" s="11"/>
      <c r="WC310" s="11"/>
      <c r="WD310" s="11"/>
      <c r="WE310" s="11"/>
      <c r="WF310" s="11"/>
      <c r="WG310" s="11"/>
      <c r="WH310" s="11"/>
      <c r="WI310" s="11"/>
      <c r="WJ310" s="11"/>
      <c r="WK310" s="11"/>
      <c r="WL310" s="11"/>
      <c r="WM310" s="11"/>
      <c r="WN310" s="11"/>
      <c r="WO310" s="11"/>
      <c r="WP310" s="11"/>
      <c r="WQ310" s="11"/>
      <c r="WR310" s="11"/>
      <c r="WS310" s="11"/>
      <c r="WT310" s="11"/>
      <c r="WU310" s="11"/>
      <c r="WV310" s="11"/>
      <c r="WW310" s="11"/>
      <c r="WX310" s="11"/>
      <c r="WY310" s="11"/>
      <c r="WZ310" s="11"/>
      <c r="XA310" s="11"/>
      <c r="XB310" s="11"/>
      <c r="XC310" s="11"/>
      <c r="XD310" s="11"/>
      <c r="XE310" s="11"/>
      <c r="XF310" s="11"/>
      <c r="XG310" s="11"/>
      <c r="XH310" s="11"/>
      <c r="XI310" s="11"/>
      <c r="XJ310" s="11"/>
      <c r="XK310" s="11"/>
      <c r="XL310" s="11"/>
      <c r="XM310" s="11"/>
      <c r="XN310" s="11"/>
      <c r="XO310" s="11"/>
      <c r="XP310" s="11"/>
      <c r="XQ310" s="11"/>
      <c r="XR310" s="11"/>
      <c r="XS310" s="11"/>
      <c r="XT310" s="11"/>
      <c r="XU310" s="11"/>
      <c r="XV310" s="11"/>
      <c r="XW310" s="11"/>
      <c r="XX310" s="11"/>
      <c r="XY310" s="11"/>
      <c r="XZ310" s="11"/>
      <c r="YA310" s="11"/>
      <c r="YB310" s="11"/>
      <c r="YC310" s="11"/>
      <c r="YD310" s="11"/>
      <c r="YE310" s="11"/>
      <c r="YF310" s="11"/>
      <c r="YG310" s="11"/>
      <c r="YH310" s="11"/>
      <c r="YI310" s="11"/>
      <c r="YJ310" s="11"/>
      <c r="YK310" s="11"/>
      <c r="YL310" s="11"/>
      <c r="YM310" s="11"/>
      <c r="YN310" s="11"/>
      <c r="YO310" s="11"/>
      <c r="YP310" s="11"/>
      <c r="YQ310" s="11"/>
      <c r="YR310" s="11"/>
      <c r="YS310" s="11"/>
      <c r="YT310" s="11"/>
      <c r="YU310" s="11"/>
      <c r="YV310" s="11"/>
      <c r="YW310" s="11"/>
      <c r="YX310" s="11"/>
      <c r="YY310" s="11"/>
      <c r="YZ310" s="11"/>
      <c r="ZA310" s="11"/>
      <c r="ZB310" s="11"/>
      <c r="ZC310" s="11"/>
      <c r="ZD310" s="11"/>
      <c r="ZE310" s="11"/>
      <c r="ZF310" s="11"/>
      <c r="ZG310" s="11"/>
      <c r="ZH310" s="11"/>
      <c r="ZI310" s="11"/>
      <c r="ZJ310" s="11"/>
      <c r="ZK310" s="11"/>
      <c r="ZL310" s="11"/>
      <c r="ZM310" s="11"/>
      <c r="ZN310" s="11"/>
      <c r="ZO310" s="11"/>
      <c r="ZP310" s="11"/>
      <c r="ZQ310" s="11"/>
      <c r="ZR310" s="11"/>
      <c r="ZS310" s="11"/>
      <c r="ZT310" s="11"/>
      <c r="ZU310" s="11"/>
      <c r="ZV310" s="11"/>
      <c r="ZW310" s="11"/>
      <c r="ZX310" s="11"/>
      <c r="ZY310" s="11"/>
      <c r="ZZ310" s="11"/>
      <c r="AAA310" s="11"/>
      <c r="AAB310" s="11"/>
      <c r="AAC310" s="11"/>
      <c r="AAD310" s="11"/>
      <c r="AAE310" s="11"/>
      <c r="AAF310" s="11"/>
      <c r="AAG310" s="11"/>
      <c r="AAH310" s="11"/>
      <c r="AAI310" s="11"/>
      <c r="AAJ310" s="11"/>
      <c r="AAK310" s="11"/>
      <c r="AAL310" s="11"/>
      <c r="AAM310" s="11"/>
      <c r="AAN310" s="11"/>
      <c r="AAO310" s="11"/>
      <c r="AAP310" s="11"/>
      <c r="AAQ310" s="11"/>
      <c r="AAR310" s="11"/>
      <c r="AAS310" s="11"/>
      <c r="AAT310" s="11"/>
      <c r="AAU310" s="11"/>
      <c r="AAV310" s="11"/>
      <c r="AAW310" s="11"/>
      <c r="AAX310" s="11"/>
      <c r="AAY310" s="11"/>
      <c r="AAZ310" s="11"/>
      <c r="ABA310" s="11"/>
      <c r="ABB310" s="11"/>
      <c r="ABC310" s="11"/>
      <c r="ABD310" s="11"/>
      <c r="ABE310" s="11"/>
      <c r="ABF310" s="11"/>
      <c r="ABG310" s="11"/>
      <c r="ABH310" s="11"/>
      <c r="ABI310" s="11"/>
      <c r="ABJ310" s="11"/>
      <c r="ABK310" s="11"/>
      <c r="ABL310" s="11"/>
      <c r="ABM310" s="11"/>
      <c r="ABN310" s="11"/>
      <c r="ABO310" s="11"/>
      <c r="ABP310" s="11"/>
      <c r="ABQ310" s="11"/>
      <c r="ABR310" s="11"/>
      <c r="ABS310" s="11"/>
      <c r="ABT310" s="11"/>
      <c r="ABU310" s="11"/>
      <c r="ABV310" s="11"/>
      <c r="ABW310" s="11"/>
      <c r="ABX310" s="11"/>
      <c r="ABY310" s="11"/>
      <c r="ABZ310" s="11"/>
      <c r="ACA310" s="11"/>
      <c r="ACB310" s="11"/>
      <c r="ACC310" s="11"/>
      <c r="ACD310" s="11"/>
      <c r="ACE310" s="11"/>
      <c r="ACF310" s="11"/>
      <c r="ACG310" s="11"/>
      <c r="ACH310" s="11"/>
      <c r="ACI310" s="11"/>
      <c r="ACJ310" s="11"/>
      <c r="ACK310" s="11"/>
      <c r="ACL310" s="11"/>
      <c r="ACM310" s="11"/>
      <c r="ACN310" s="11"/>
      <c r="ACO310" s="11"/>
      <c r="ACP310" s="11"/>
      <c r="ACQ310" s="11"/>
      <c r="ACR310" s="11"/>
      <c r="ACS310" s="11"/>
      <c r="ACT310" s="11"/>
      <c r="ACU310" s="11"/>
      <c r="ACV310" s="11"/>
      <c r="ACW310" s="11"/>
      <c r="ACX310" s="11"/>
      <c r="ACY310" s="11"/>
      <c r="ACZ310" s="11"/>
      <c r="ADA310" s="11"/>
      <c r="ADB310" s="11"/>
      <c r="ADC310" s="11"/>
      <c r="ADD310" s="11"/>
      <c r="ADE310" s="11"/>
      <c r="ADF310" s="11"/>
      <c r="ADG310" s="11"/>
      <c r="ADH310" s="11"/>
      <c r="ADI310" s="11"/>
      <c r="ADJ310" s="11"/>
      <c r="ADK310" s="11"/>
      <c r="ADL310" s="11"/>
      <c r="ADM310" s="11"/>
      <c r="ADN310" s="11"/>
      <c r="ADO310" s="11"/>
      <c r="ADP310" s="11"/>
      <c r="ADQ310" s="11"/>
      <c r="ADR310" s="11"/>
      <c r="ADS310" s="11"/>
      <c r="ADT310" s="11"/>
      <c r="ADU310" s="11"/>
      <c r="ADV310" s="11"/>
      <c r="ADW310" s="11"/>
      <c r="ADX310" s="11"/>
      <c r="ADY310" s="11"/>
      <c r="ADZ310" s="11"/>
      <c r="AEA310" s="11"/>
      <c r="AEB310" s="11"/>
      <c r="AEC310" s="11"/>
      <c r="AED310" s="11"/>
      <c r="AEE310" s="11"/>
      <c r="AEF310" s="11"/>
      <c r="AEG310" s="11"/>
      <c r="AEH310" s="11"/>
      <c r="AEI310" s="11"/>
      <c r="AEJ310" s="11"/>
      <c r="AEK310" s="11"/>
      <c r="AEL310" s="11"/>
      <c r="AEM310" s="11"/>
      <c r="AEN310" s="11"/>
      <c r="AEO310" s="11"/>
      <c r="AEP310" s="11"/>
      <c r="AEQ310" s="11"/>
      <c r="AER310" s="11"/>
      <c r="AES310" s="11"/>
      <c r="AET310" s="11"/>
      <c r="AEU310" s="11"/>
      <c r="AEV310" s="11"/>
      <c r="AEW310" s="11"/>
      <c r="AEX310" s="11"/>
      <c r="AEY310" s="11"/>
      <c r="AEZ310" s="11"/>
      <c r="AFA310" s="11"/>
      <c r="AFB310" s="11"/>
      <c r="AFC310" s="11"/>
      <c r="AFD310" s="11"/>
      <c r="AFE310" s="11"/>
      <c r="AFF310" s="11"/>
      <c r="AFG310" s="11"/>
      <c r="AFH310" s="11"/>
      <c r="AFI310" s="11"/>
      <c r="AFJ310" s="11"/>
      <c r="AFK310" s="11"/>
      <c r="AFL310" s="11"/>
      <c r="AFM310" s="11"/>
      <c r="AFN310" s="11"/>
      <c r="AFO310" s="11"/>
      <c r="AFP310" s="11"/>
      <c r="AFQ310" s="11"/>
      <c r="AFR310" s="11"/>
      <c r="AFS310" s="11"/>
      <c r="AFT310" s="11"/>
      <c r="AFU310" s="11"/>
      <c r="AFV310" s="11"/>
      <c r="AFW310" s="11"/>
      <c r="AFX310" s="11"/>
      <c r="AFY310" s="11"/>
      <c r="AFZ310" s="11"/>
      <c r="AGA310" s="11"/>
      <c r="AGB310" s="11"/>
      <c r="AGC310" s="11"/>
      <c r="AGD310" s="11"/>
      <c r="AGE310" s="11"/>
      <c r="AGF310" s="11"/>
      <c r="AGG310" s="11"/>
      <c r="AGH310" s="11"/>
      <c r="AGI310" s="11"/>
      <c r="AGJ310" s="11"/>
      <c r="AGK310" s="11"/>
      <c r="AGL310" s="11"/>
      <c r="AGM310" s="11"/>
      <c r="AGN310" s="11"/>
      <c r="AGO310" s="11"/>
      <c r="AGP310" s="11"/>
      <c r="AGQ310" s="11"/>
      <c r="AGR310" s="11"/>
      <c r="AGS310" s="11"/>
      <c r="AGT310" s="11"/>
      <c r="AGU310" s="11"/>
      <c r="AGV310" s="11"/>
      <c r="AGW310" s="11"/>
      <c r="AGX310" s="11"/>
      <c r="AGY310" s="11"/>
      <c r="AGZ310" s="11"/>
      <c r="AHA310" s="11"/>
      <c r="AHB310" s="11"/>
      <c r="AHC310" s="11"/>
      <c r="AHD310" s="11"/>
      <c r="AHE310" s="11"/>
      <c r="AHF310" s="11"/>
      <c r="AHG310" s="11"/>
      <c r="AHH310" s="11"/>
      <c r="AHI310" s="11"/>
      <c r="AHJ310" s="11"/>
      <c r="AHK310" s="11"/>
      <c r="AHL310" s="11"/>
      <c r="AHM310" s="11"/>
      <c r="AHN310" s="11"/>
      <c r="AHO310" s="11"/>
      <c r="AHP310" s="11"/>
      <c r="AHQ310" s="11"/>
      <c r="AHR310" s="11"/>
      <c r="AHS310" s="11"/>
      <c r="AHT310" s="11"/>
      <c r="AHU310" s="11"/>
      <c r="AHV310" s="11"/>
      <c r="AHW310" s="11"/>
      <c r="AHX310" s="11"/>
      <c r="AHY310" s="11"/>
      <c r="AHZ310" s="11"/>
      <c r="AIA310" s="11"/>
      <c r="AIB310" s="11"/>
      <c r="AIC310" s="11"/>
      <c r="AID310" s="11"/>
      <c r="AIE310" s="11"/>
      <c r="AIF310" s="11"/>
      <c r="AIG310" s="11"/>
      <c r="AIH310" s="11"/>
      <c r="AII310" s="11"/>
      <c r="AIJ310" s="11"/>
      <c r="AIK310" s="11"/>
      <c r="AIL310" s="11"/>
      <c r="AIM310" s="11"/>
      <c r="AIN310" s="11"/>
      <c r="AIO310" s="11"/>
      <c r="AIP310" s="11"/>
      <c r="AIQ310" s="11"/>
      <c r="AIR310" s="11"/>
      <c r="AIS310" s="11"/>
      <c r="AIT310" s="11"/>
      <c r="AIU310" s="11"/>
      <c r="AIV310" s="11"/>
      <c r="AIW310" s="11"/>
      <c r="AIX310" s="11"/>
      <c r="AIY310" s="11"/>
      <c r="AIZ310" s="11"/>
      <c r="AJA310" s="11"/>
      <c r="AJB310" s="11"/>
      <c r="AJC310" s="11"/>
      <c r="AJD310" s="11"/>
      <c r="AJE310" s="11"/>
      <c r="AJF310" s="11"/>
      <c r="AJG310" s="11"/>
      <c r="AJH310" s="11"/>
      <c r="AJI310" s="11"/>
      <c r="AJJ310" s="11"/>
      <c r="AJK310" s="11"/>
      <c r="AJL310" s="11"/>
      <c r="AJM310" s="11"/>
      <c r="AJN310" s="11"/>
      <c r="AJO310" s="11"/>
      <c r="AJP310" s="11"/>
      <c r="AJQ310" s="11"/>
      <c r="AJR310" s="11"/>
      <c r="AJS310" s="11"/>
      <c r="AJT310" s="11"/>
      <c r="AJU310" s="11"/>
      <c r="AJV310" s="11"/>
      <c r="AJW310" s="11"/>
      <c r="AJX310" s="11"/>
      <c r="AJY310" s="11"/>
      <c r="AJZ310" s="11"/>
      <c r="AKA310" s="11"/>
      <c r="AKB310" s="11"/>
      <c r="AKC310" s="11"/>
      <c r="AKD310" s="11"/>
      <c r="AKE310" s="11"/>
      <c r="AKF310" s="11"/>
      <c r="AKG310" s="11"/>
      <c r="AKH310" s="11"/>
      <c r="AKI310" s="11"/>
      <c r="AKJ310" s="11"/>
      <c r="AKK310" s="11"/>
      <c r="AKL310" s="11"/>
      <c r="AKM310" s="11"/>
      <c r="AKN310" s="11"/>
      <c r="AKO310" s="11"/>
      <c r="AKP310" s="11"/>
      <c r="AKQ310" s="11"/>
      <c r="AKR310" s="11"/>
      <c r="AKS310" s="11"/>
      <c r="AKT310" s="11"/>
      <c r="AKU310" s="11"/>
      <c r="AKV310" s="11"/>
      <c r="AKW310" s="11"/>
      <c r="AKX310" s="11"/>
      <c r="AKY310" s="11"/>
      <c r="AKZ310" s="11"/>
      <c r="ALA310" s="11"/>
      <c r="ALB310" s="11"/>
      <c r="ALC310" s="11"/>
      <c r="ALD310" s="11"/>
      <c r="ALE310" s="11"/>
      <c r="ALF310" s="11"/>
      <c r="ALG310" s="11"/>
      <c r="ALH310" s="11"/>
      <c r="ALI310" s="11"/>
      <c r="ALJ310" s="11"/>
      <c r="ALK310" s="11"/>
      <c r="ALL310" s="11"/>
      <c r="ALM310" s="11"/>
      <c r="ALN310" s="11"/>
      <c r="ALO310" s="11"/>
      <c r="ALP310" s="11"/>
      <c r="ALQ310" s="11"/>
      <c r="ALR310" s="11"/>
      <c r="ALS310" s="11"/>
      <c r="ALT310" s="11"/>
      <c r="ALU310" s="11"/>
      <c r="ALV310" s="11"/>
      <c r="ALW310" s="11"/>
      <c r="ALX310" s="11"/>
      <c r="ALY310" s="11"/>
      <c r="ALZ310" s="11"/>
      <c r="AMA310" s="11"/>
      <c r="AMB310" s="11"/>
      <c r="AMC310" s="11"/>
      <c r="AMD310" s="11"/>
      <c r="AME310" s="11"/>
      <c r="AMF310" s="11"/>
      <c r="AMG310" s="11"/>
      <c r="AMH310" s="11"/>
      <c r="AMI310" s="11"/>
      <c r="AMJ310" s="11"/>
    </row>
    <row r="311" spans="1:1024" ht="27.6">
      <c r="A311" s="16" t="s">
        <v>304</v>
      </c>
      <c r="B311" s="16">
        <v>466400</v>
      </c>
      <c r="C311" s="16" t="s">
        <v>831</v>
      </c>
      <c r="D311" s="32"/>
      <c r="E311" s="1">
        <v>0</v>
      </c>
      <c r="F311" s="16">
        <v>0</v>
      </c>
      <c r="G311" s="33">
        <f t="shared" si="15"/>
        <v>-8</v>
      </c>
      <c r="H311" s="16">
        <f t="shared" si="17"/>
        <v>8</v>
      </c>
      <c r="I311" s="31">
        <f t="shared" si="16"/>
        <v>8</v>
      </c>
      <c r="J311" s="31">
        <f>SUMIF(Oeffentlichkeitsarbeit!$D:$D,$B311,Oeffentlichkeitsarbeit!$F:$F)</f>
        <v>0</v>
      </c>
      <c r="K311" s="31">
        <f>COUNTIF(Fairteiler!$D:$D,$B311)*1/2</f>
        <v>0</v>
      </c>
      <c r="L311" s="31">
        <f>COUNTIF('NP-Betrieb'!D:D,$B311)*1/3</f>
        <v>8</v>
      </c>
      <c r="M311" s="31">
        <f>COUNTIF(Fairteilungen!$D:$D,$B311)*3/4</f>
        <v>0</v>
      </c>
      <c r="N311" s="31">
        <f>COUNTIF(Anlieferung!D:D,$B311)*1/2</f>
        <v>0</v>
      </c>
      <c r="O311" s="31">
        <f>COUNTIF(Probeabholungen!B:B,$B311)*1/3</f>
        <v>0</v>
      </c>
    </row>
    <row r="312" spans="1:1024" ht="27.6">
      <c r="A312" s="8" t="s">
        <v>305</v>
      </c>
      <c r="B312" s="8">
        <v>657156</v>
      </c>
      <c r="C312" s="8"/>
      <c r="D312" s="29"/>
      <c r="E312" s="1">
        <v>0</v>
      </c>
      <c r="F312" s="8">
        <v>6</v>
      </c>
      <c r="G312" s="30">
        <f t="shared" si="15"/>
        <v>4</v>
      </c>
      <c r="H312" s="8">
        <f t="shared" si="17"/>
        <v>2</v>
      </c>
      <c r="I312" s="11">
        <f t="shared" si="16"/>
        <v>2</v>
      </c>
      <c r="J312" s="11">
        <f>SUMIF(Oeffentlichkeitsarbeit!$D:$D,$B312,Oeffentlichkeitsarbeit!$F:$F)</f>
        <v>0</v>
      </c>
      <c r="K312" s="11">
        <f>COUNTIF(Fairteiler!$D:$D,$B312)*1/2</f>
        <v>0</v>
      </c>
      <c r="L312" s="11">
        <f>COUNTIF('NP-Betrieb'!D:D,$B312)*1/3</f>
        <v>2</v>
      </c>
      <c r="M312" s="11">
        <f>COUNTIF(Fairteilungen!$D:$D,$B312)*3/4</f>
        <v>0</v>
      </c>
      <c r="N312" s="11">
        <f>COUNTIF(Anlieferung!D:D,$B312)*1/2</f>
        <v>0</v>
      </c>
      <c r="O312" s="11">
        <f>COUNTIF(Probeabholungen!B:B,$B312)*1/3</f>
        <v>0</v>
      </c>
    </row>
    <row r="313" spans="1:1024" ht="27.6">
      <c r="A313" s="8" t="s">
        <v>306</v>
      </c>
      <c r="B313" s="8">
        <v>529912</v>
      </c>
      <c r="D313" s="29"/>
      <c r="E313" s="1">
        <v>6</v>
      </c>
      <c r="F313" s="8">
        <v>6</v>
      </c>
      <c r="G313" s="30">
        <f t="shared" si="15"/>
        <v>12</v>
      </c>
      <c r="H313" s="8">
        <f t="shared" si="17"/>
        <v>-6</v>
      </c>
      <c r="I313">
        <f t="shared" si="16"/>
        <v>0</v>
      </c>
      <c r="J313">
        <f>SUMIF(Oeffentlichkeitsarbeit!$D:$D,$B313,Oeffentlichkeitsarbeit!$F:$F)</f>
        <v>0</v>
      </c>
      <c r="K313">
        <f>COUNTIF(Fairteiler!$D:$D,$B313)*1/2</f>
        <v>0</v>
      </c>
      <c r="L313">
        <f>COUNTIF('NP-Betrieb'!D:D,$B313)*1/3</f>
        <v>0</v>
      </c>
      <c r="M313">
        <f>COUNTIF(Fairteilungen!$D:$D,$B313)*3/4</f>
        <v>0</v>
      </c>
      <c r="N313">
        <f>COUNTIF(Anlieferung!D:D,$B313)*1/2</f>
        <v>0</v>
      </c>
      <c r="O313">
        <f>COUNTIF(Probeabholungen!B:B,$B313)*1/3</f>
        <v>0</v>
      </c>
    </row>
    <row r="314" spans="1:1024" s="18" customFormat="1" ht="27.6">
      <c r="A314" s="8" t="s">
        <v>307</v>
      </c>
      <c r="B314" s="8">
        <v>203822</v>
      </c>
      <c r="C314"/>
      <c r="D314" s="29">
        <v>45148</v>
      </c>
      <c r="E314" s="1">
        <v>14.5</v>
      </c>
      <c r="F314" s="8">
        <v>6</v>
      </c>
      <c r="G314" s="30">
        <f t="shared" si="15"/>
        <v>20.5</v>
      </c>
      <c r="H314" s="8">
        <f t="shared" si="17"/>
        <v>-14.5</v>
      </c>
      <c r="I314">
        <f t="shared" si="16"/>
        <v>0</v>
      </c>
      <c r="J314">
        <f>SUMIF(Oeffentlichkeitsarbeit!$D:$D,$B314,Oeffentlichkeitsarbeit!$F:$F)</f>
        <v>0</v>
      </c>
      <c r="K314">
        <f>COUNTIF(Fairteiler!$D:$D,$B314)*1/2</f>
        <v>0</v>
      </c>
      <c r="L314">
        <f>COUNTIF('NP-Betrieb'!D:D,$B314)*1/3</f>
        <v>0</v>
      </c>
      <c r="M314">
        <f>COUNTIF(Fairteilungen!$D:$D,$B314)*3/4</f>
        <v>0</v>
      </c>
      <c r="N314">
        <f>COUNTIF(Anlieferung!D:D,$B314)*1/2</f>
        <v>0</v>
      </c>
      <c r="O314">
        <f>COUNTIF(Probeabholungen!B:B,$B314)*1/3</f>
        <v>0</v>
      </c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DV314"/>
      <c r="DW314"/>
      <c r="DX314"/>
      <c r="DY314"/>
      <c r="DZ314"/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/>
      <c r="EO314"/>
      <c r="EP314"/>
      <c r="EQ314"/>
      <c r="ER314"/>
      <c r="ES314"/>
      <c r="ET314"/>
      <c r="EU314"/>
      <c r="EV314"/>
      <c r="EW314"/>
      <c r="EX314"/>
      <c r="EY314"/>
      <c r="EZ314"/>
      <c r="FA314"/>
      <c r="FB314"/>
      <c r="FC314"/>
      <c r="FD314"/>
      <c r="FE314"/>
      <c r="FF314"/>
      <c r="FG314"/>
      <c r="FH314"/>
      <c r="FI314"/>
      <c r="FJ314"/>
      <c r="FK314"/>
      <c r="FL314"/>
      <c r="FM314"/>
      <c r="FN314"/>
      <c r="FO314"/>
      <c r="FP314"/>
      <c r="FQ314"/>
      <c r="FR314"/>
      <c r="FS314"/>
      <c r="FT314"/>
      <c r="FU314"/>
      <c r="FV314"/>
      <c r="FW314"/>
      <c r="FX314"/>
      <c r="FY314"/>
      <c r="FZ314"/>
      <c r="GA314"/>
      <c r="GB314"/>
      <c r="GC314"/>
      <c r="GD314"/>
      <c r="GE314"/>
      <c r="GF314"/>
      <c r="GG314"/>
      <c r="GH314"/>
      <c r="GI314"/>
      <c r="GJ314"/>
      <c r="GK314"/>
      <c r="GL314"/>
      <c r="GM314"/>
      <c r="GN314"/>
      <c r="GO314"/>
      <c r="GP314"/>
      <c r="GQ314"/>
      <c r="GR314"/>
      <c r="GS314"/>
      <c r="GT314"/>
      <c r="GU314"/>
      <c r="GV314"/>
      <c r="GW314"/>
      <c r="GX314"/>
      <c r="GY314"/>
      <c r="GZ314"/>
      <c r="HA314"/>
      <c r="HB314"/>
      <c r="HC314"/>
      <c r="HD314"/>
      <c r="HE314"/>
      <c r="HF314"/>
      <c r="HG314"/>
      <c r="HH314"/>
      <c r="HI314"/>
      <c r="HJ314"/>
      <c r="HK314"/>
      <c r="HL314"/>
      <c r="HM314"/>
      <c r="HN314"/>
      <c r="HO314"/>
      <c r="HP314"/>
      <c r="HQ314"/>
      <c r="HR314"/>
      <c r="HS314"/>
      <c r="HT314"/>
      <c r="HU314"/>
      <c r="HV314"/>
      <c r="HW314"/>
      <c r="HX314"/>
      <c r="HY314"/>
      <c r="HZ314"/>
      <c r="IA314"/>
      <c r="IB314"/>
      <c r="IC314"/>
      <c r="ID314"/>
      <c r="IE314"/>
      <c r="IF314"/>
      <c r="IG314"/>
      <c r="IH314"/>
      <c r="II314"/>
      <c r="IJ314"/>
      <c r="IK314"/>
      <c r="IL314"/>
      <c r="IM314"/>
      <c r="IN314"/>
      <c r="IO314"/>
      <c r="IP314"/>
      <c r="IQ314"/>
      <c r="IR314"/>
      <c r="IS314"/>
      <c r="IT314"/>
      <c r="IU314"/>
      <c r="IV314"/>
      <c r="IW314"/>
      <c r="IX314"/>
      <c r="IY314"/>
      <c r="IZ314"/>
      <c r="JA314"/>
      <c r="JB314"/>
      <c r="JC314"/>
      <c r="JD314"/>
      <c r="JE314"/>
      <c r="JF314"/>
      <c r="JG314"/>
      <c r="JH314"/>
      <c r="JI314"/>
      <c r="JJ314"/>
      <c r="JK314"/>
      <c r="JL314"/>
      <c r="JM314"/>
      <c r="JN314"/>
      <c r="JO314"/>
      <c r="JP314"/>
      <c r="JQ314"/>
      <c r="JR314"/>
      <c r="JS314"/>
      <c r="JT314"/>
      <c r="JU314"/>
      <c r="JV314"/>
      <c r="JW314"/>
      <c r="JX314"/>
      <c r="JY314"/>
      <c r="JZ314"/>
      <c r="KA314"/>
      <c r="KB314"/>
      <c r="KC314"/>
      <c r="KD314"/>
      <c r="KE314"/>
      <c r="KF314"/>
      <c r="KG314"/>
      <c r="KH314"/>
      <c r="KI314"/>
      <c r="KJ314"/>
      <c r="KK314"/>
      <c r="KL314"/>
      <c r="KM314"/>
      <c r="KN314"/>
      <c r="KO314"/>
      <c r="KP314"/>
      <c r="KQ314"/>
      <c r="KR314"/>
      <c r="KS314"/>
      <c r="KT314"/>
      <c r="KU314"/>
      <c r="KV314"/>
      <c r="KW314"/>
      <c r="KX314"/>
      <c r="KY314"/>
      <c r="KZ314"/>
      <c r="LA314"/>
      <c r="LB314"/>
      <c r="LC314"/>
      <c r="LD314"/>
      <c r="LE314"/>
      <c r="LF314"/>
      <c r="LG314"/>
      <c r="LH314"/>
      <c r="LI314"/>
      <c r="LJ314"/>
      <c r="LK314"/>
      <c r="LL314"/>
      <c r="LM314"/>
      <c r="LN314"/>
      <c r="LO314"/>
      <c r="LP314"/>
      <c r="LQ314"/>
      <c r="LR314"/>
      <c r="LS314"/>
      <c r="LT314"/>
      <c r="LU314"/>
      <c r="LV314"/>
      <c r="LW314"/>
      <c r="LX314"/>
      <c r="LY314"/>
      <c r="LZ314"/>
      <c r="MA314"/>
      <c r="MB314"/>
      <c r="MC314"/>
      <c r="MD314"/>
      <c r="ME314"/>
      <c r="MF314"/>
      <c r="MG314"/>
      <c r="MH314"/>
      <c r="MI314"/>
      <c r="MJ314"/>
      <c r="MK314"/>
      <c r="ML314"/>
      <c r="MM314"/>
      <c r="MN314"/>
      <c r="MO314"/>
      <c r="MP314"/>
      <c r="MQ314"/>
      <c r="MR314"/>
      <c r="MS314"/>
      <c r="MT314"/>
      <c r="MU314"/>
      <c r="MV314"/>
      <c r="MW314"/>
      <c r="MX314"/>
      <c r="MY314"/>
      <c r="MZ314"/>
      <c r="NA314"/>
      <c r="NB314"/>
      <c r="NC314"/>
      <c r="ND314"/>
      <c r="NE314"/>
      <c r="NF314"/>
      <c r="NG314"/>
      <c r="NH314"/>
      <c r="NI314"/>
      <c r="NJ314"/>
      <c r="NK314"/>
      <c r="NL314"/>
      <c r="NM314"/>
      <c r="NN314"/>
      <c r="NO314"/>
      <c r="NP314"/>
      <c r="NQ314"/>
      <c r="NR314"/>
      <c r="NS314"/>
      <c r="NT314"/>
      <c r="NU314"/>
      <c r="NV314"/>
      <c r="NW314"/>
      <c r="NX314"/>
      <c r="NY314"/>
      <c r="NZ314"/>
      <c r="OA314"/>
      <c r="OB314"/>
      <c r="OC314"/>
      <c r="OD314"/>
      <c r="OE314"/>
      <c r="OF314"/>
      <c r="OG314"/>
      <c r="OH314"/>
      <c r="OI314"/>
      <c r="OJ314"/>
      <c r="OK314"/>
      <c r="OL314"/>
      <c r="OM314"/>
      <c r="ON314"/>
      <c r="OO314"/>
      <c r="OP314"/>
      <c r="OQ314"/>
      <c r="OR314"/>
      <c r="OS314"/>
      <c r="OT314"/>
      <c r="OU314"/>
      <c r="OV314"/>
      <c r="OW314"/>
      <c r="OX314"/>
      <c r="OY314"/>
      <c r="OZ314"/>
      <c r="PA314"/>
      <c r="PB314"/>
      <c r="PC314"/>
      <c r="PD314"/>
      <c r="PE314"/>
      <c r="PF314"/>
      <c r="PG314"/>
      <c r="PH314"/>
      <c r="PI314"/>
      <c r="PJ314"/>
      <c r="PK314"/>
      <c r="PL314"/>
      <c r="PM314"/>
      <c r="PN314"/>
      <c r="PO314"/>
      <c r="PP314"/>
      <c r="PQ314"/>
      <c r="PR314"/>
      <c r="PS314"/>
      <c r="PT314"/>
      <c r="PU314"/>
      <c r="PV314"/>
      <c r="PW314"/>
      <c r="PX314"/>
      <c r="PY314"/>
      <c r="PZ314"/>
      <c r="QA314"/>
      <c r="QB314"/>
      <c r="QC314"/>
      <c r="QD314"/>
      <c r="QE314"/>
      <c r="QF314"/>
      <c r="QG314"/>
      <c r="QH314"/>
      <c r="QI314"/>
      <c r="QJ314"/>
      <c r="QK314"/>
      <c r="QL314"/>
      <c r="QM314"/>
      <c r="QN314"/>
      <c r="QO314"/>
      <c r="QP314"/>
      <c r="QQ314"/>
      <c r="QR314"/>
      <c r="QS314"/>
      <c r="QT314"/>
      <c r="QU314"/>
      <c r="QV314"/>
      <c r="QW314"/>
      <c r="QX314"/>
      <c r="QY314"/>
      <c r="QZ314"/>
      <c r="RA314"/>
      <c r="RB314"/>
      <c r="RC314"/>
      <c r="RD314"/>
      <c r="RE314"/>
      <c r="RF314"/>
      <c r="RG314"/>
      <c r="RH314"/>
      <c r="RI314"/>
      <c r="RJ314"/>
      <c r="RK314"/>
      <c r="RL314"/>
      <c r="RM314"/>
      <c r="RN314"/>
      <c r="RO314"/>
      <c r="RP314"/>
      <c r="RQ314"/>
      <c r="RR314"/>
      <c r="RS314"/>
      <c r="RT314"/>
      <c r="RU314"/>
      <c r="RV314"/>
      <c r="RW314"/>
      <c r="RX314"/>
      <c r="RY314"/>
      <c r="RZ314"/>
      <c r="SA314"/>
      <c r="SB314"/>
      <c r="SC314"/>
      <c r="SD314"/>
      <c r="SE314"/>
      <c r="SF314"/>
      <c r="SG314"/>
      <c r="SH314"/>
      <c r="SI314"/>
      <c r="SJ314"/>
      <c r="SK314"/>
      <c r="SL314"/>
      <c r="SM314"/>
      <c r="SN314"/>
      <c r="SO314"/>
      <c r="SP314"/>
      <c r="SQ314"/>
      <c r="SR314"/>
      <c r="SS314"/>
      <c r="ST314"/>
      <c r="SU314"/>
      <c r="SV314"/>
      <c r="SW314"/>
      <c r="SX314"/>
      <c r="SY314"/>
      <c r="SZ314"/>
      <c r="TA314"/>
      <c r="TB314"/>
      <c r="TC314"/>
      <c r="TD314"/>
      <c r="TE314"/>
      <c r="TF314"/>
      <c r="TG314"/>
      <c r="TH314"/>
      <c r="TI314"/>
      <c r="TJ314"/>
      <c r="TK314"/>
      <c r="TL314"/>
      <c r="TM314"/>
      <c r="TN314"/>
      <c r="TO314"/>
      <c r="TP314"/>
      <c r="TQ314"/>
      <c r="TR314"/>
      <c r="TS314"/>
      <c r="TT314"/>
      <c r="TU314"/>
      <c r="TV314"/>
      <c r="TW314"/>
      <c r="TX314"/>
      <c r="TY314"/>
      <c r="TZ314"/>
      <c r="UA314"/>
      <c r="UB314"/>
      <c r="UC314"/>
      <c r="UD314"/>
      <c r="UE314"/>
      <c r="UF314"/>
      <c r="UG314"/>
      <c r="UH314"/>
      <c r="UI314"/>
      <c r="UJ314"/>
      <c r="UK314"/>
      <c r="UL314"/>
      <c r="UM314"/>
      <c r="UN314"/>
      <c r="UO314"/>
      <c r="UP314"/>
      <c r="UQ314"/>
      <c r="UR314"/>
      <c r="US314"/>
      <c r="UT314"/>
      <c r="UU314"/>
      <c r="UV314"/>
      <c r="UW314"/>
      <c r="UX314"/>
      <c r="UY314"/>
      <c r="UZ314"/>
      <c r="VA314"/>
      <c r="VB314"/>
      <c r="VC314"/>
      <c r="VD314"/>
      <c r="VE314"/>
      <c r="VF314"/>
      <c r="VG314"/>
      <c r="VH314"/>
      <c r="VI314"/>
      <c r="VJ314"/>
      <c r="VK314"/>
      <c r="VL314"/>
      <c r="VM314"/>
      <c r="VN314"/>
      <c r="VO314"/>
      <c r="VP314"/>
      <c r="VQ314"/>
      <c r="VR314"/>
      <c r="VS314"/>
      <c r="VT314"/>
      <c r="VU314"/>
      <c r="VV314"/>
      <c r="VW314"/>
      <c r="VX314"/>
      <c r="VY314"/>
      <c r="VZ314"/>
      <c r="WA314"/>
      <c r="WB314"/>
      <c r="WC314"/>
      <c r="WD314"/>
      <c r="WE314"/>
      <c r="WF314"/>
      <c r="WG314"/>
      <c r="WH314"/>
      <c r="WI314"/>
      <c r="WJ314"/>
      <c r="WK314"/>
      <c r="WL314"/>
      <c r="WM314"/>
      <c r="WN314"/>
      <c r="WO314"/>
      <c r="WP314"/>
      <c r="WQ314"/>
      <c r="WR314"/>
      <c r="WS314"/>
      <c r="WT314"/>
      <c r="WU314"/>
      <c r="WV314"/>
      <c r="WW314"/>
      <c r="WX314"/>
      <c r="WY314"/>
      <c r="WZ314"/>
      <c r="XA314"/>
      <c r="XB314"/>
      <c r="XC314"/>
      <c r="XD314"/>
      <c r="XE314"/>
      <c r="XF314"/>
      <c r="XG314"/>
      <c r="XH314"/>
      <c r="XI314"/>
      <c r="XJ314"/>
      <c r="XK314"/>
      <c r="XL314"/>
      <c r="XM314"/>
      <c r="XN314"/>
      <c r="XO314"/>
      <c r="XP314"/>
      <c r="XQ314"/>
      <c r="XR314"/>
      <c r="XS314"/>
      <c r="XT314"/>
      <c r="XU314"/>
      <c r="XV314"/>
      <c r="XW314"/>
      <c r="XX314"/>
      <c r="XY314"/>
      <c r="XZ314"/>
      <c r="YA314"/>
      <c r="YB314"/>
      <c r="YC314"/>
      <c r="YD314"/>
      <c r="YE314"/>
      <c r="YF314"/>
      <c r="YG314"/>
      <c r="YH314"/>
      <c r="YI314"/>
      <c r="YJ314"/>
      <c r="YK314"/>
      <c r="YL314"/>
      <c r="YM314"/>
      <c r="YN314"/>
      <c r="YO314"/>
      <c r="YP314"/>
      <c r="YQ314"/>
      <c r="YR314"/>
      <c r="YS314"/>
      <c r="YT314"/>
      <c r="YU314"/>
      <c r="YV314"/>
      <c r="YW314"/>
      <c r="YX314"/>
      <c r="YY314"/>
      <c r="YZ314"/>
      <c r="ZA314"/>
      <c r="ZB314"/>
      <c r="ZC314"/>
      <c r="ZD314"/>
      <c r="ZE314"/>
      <c r="ZF314"/>
      <c r="ZG314"/>
      <c r="ZH314"/>
      <c r="ZI314"/>
      <c r="ZJ314"/>
      <c r="ZK314"/>
      <c r="ZL314"/>
      <c r="ZM314"/>
      <c r="ZN314"/>
      <c r="ZO314"/>
      <c r="ZP314"/>
      <c r="ZQ314"/>
      <c r="ZR314"/>
      <c r="ZS314"/>
      <c r="ZT314"/>
      <c r="ZU314"/>
      <c r="ZV314"/>
      <c r="ZW314"/>
      <c r="ZX314"/>
      <c r="ZY314"/>
      <c r="ZZ314"/>
      <c r="AAA314"/>
      <c r="AAB314"/>
      <c r="AAC314"/>
      <c r="AAD314"/>
      <c r="AAE314"/>
      <c r="AAF314"/>
      <c r="AAG314"/>
      <c r="AAH314"/>
      <c r="AAI314"/>
      <c r="AAJ314"/>
      <c r="AAK314"/>
      <c r="AAL314"/>
      <c r="AAM314"/>
      <c r="AAN314"/>
      <c r="AAO314"/>
      <c r="AAP314"/>
      <c r="AAQ314"/>
      <c r="AAR314"/>
      <c r="AAS314"/>
      <c r="AAT314"/>
      <c r="AAU314"/>
      <c r="AAV314"/>
      <c r="AAW314"/>
      <c r="AAX314"/>
      <c r="AAY314"/>
      <c r="AAZ314"/>
      <c r="ABA314"/>
      <c r="ABB314"/>
      <c r="ABC314"/>
      <c r="ABD314"/>
      <c r="ABE314"/>
      <c r="ABF314"/>
      <c r="ABG314"/>
      <c r="ABH314"/>
      <c r="ABI314"/>
      <c r="ABJ314"/>
      <c r="ABK314"/>
      <c r="ABL314"/>
      <c r="ABM314"/>
      <c r="ABN314"/>
      <c r="ABO314"/>
      <c r="ABP314"/>
      <c r="ABQ314"/>
      <c r="ABR314"/>
      <c r="ABS314"/>
      <c r="ABT314"/>
      <c r="ABU314"/>
      <c r="ABV314"/>
      <c r="ABW314"/>
      <c r="ABX314"/>
      <c r="ABY314"/>
      <c r="ABZ314"/>
      <c r="ACA314"/>
      <c r="ACB314"/>
      <c r="ACC314"/>
      <c r="ACD314"/>
      <c r="ACE314"/>
      <c r="ACF314"/>
      <c r="ACG314"/>
      <c r="ACH314"/>
      <c r="ACI314"/>
      <c r="ACJ314"/>
      <c r="ACK314"/>
      <c r="ACL314"/>
      <c r="ACM314"/>
      <c r="ACN314"/>
      <c r="ACO314"/>
      <c r="ACP314"/>
      <c r="ACQ314"/>
      <c r="ACR314"/>
      <c r="ACS314"/>
      <c r="ACT314"/>
      <c r="ACU314"/>
      <c r="ACV314"/>
      <c r="ACW314"/>
      <c r="ACX314"/>
      <c r="ACY314"/>
      <c r="ACZ314"/>
      <c r="ADA314"/>
      <c r="ADB314"/>
      <c r="ADC314"/>
      <c r="ADD314"/>
      <c r="ADE314"/>
      <c r="ADF314"/>
      <c r="ADG314"/>
      <c r="ADH314"/>
      <c r="ADI314"/>
      <c r="ADJ314"/>
      <c r="ADK314"/>
      <c r="ADL314"/>
      <c r="ADM314"/>
      <c r="ADN314"/>
      <c r="ADO314"/>
      <c r="ADP314"/>
      <c r="ADQ314"/>
      <c r="ADR314"/>
      <c r="ADS314"/>
      <c r="ADT314"/>
      <c r="ADU314"/>
      <c r="ADV314"/>
      <c r="ADW314"/>
      <c r="ADX314"/>
      <c r="ADY314"/>
      <c r="ADZ314"/>
      <c r="AEA314"/>
      <c r="AEB314"/>
      <c r="AEC314"/>
      <c r="AED314"/>
      <c r="AEE314"/>
      <c r="AEF314"/>
      <c r="AEG314"/>
      <c r="AEH314"/>
      <c r="AEI314"/>
      <c r="AEJ314"/>
      <c r="AEK314"/>
      <c r="AEL314"/>
      <c r="AEM314"/>
      <c r="AEN314"/>
      <c r="AEO314"/>
      <c r="AEP314"/>
      <c r="AEQ314"/>
      <c r="AER314"/>
      <c r="AES314"/>
      <c r="AET314"/>
      <c r="AEU314"/>
      <c r="AEV314"/>
      <c r="AEW314"/>
      <c r="AEX314"/>
      <c r="AEY314"/>
      <c r="AEZ314"/>
      <c r="AFA314"/>
      <c r="AFB314"/>
      <c r="AFC314"/>
      <c r="AFD314"/>
      <c r="AFE314"/>
      <c r="AFF314"/>
      <c r="AFG314"/>
      <c r="AFH314"/>
      <c r="AFI314"/>
      <c r="AFJ314"/>
      <c r="AFK314"/>
      <c r="AFL314"/>
      <c r="AFM314"/>
      <c r="AFN314"/>
      <c r="AFO314"/>
      <c r="AFP314"/>
      <c r="AFQ314"/>
      <c r="AFR314"/>
      <c r="AFS314"/>
      <c r="AFT314"/>
      <c r="AFU314"/>
      <c r="AFV314"/>
      <c r="AFW314"/>
      <c r="AFX314"/>
      <c r="AFY314"/>
      <c r="AFZ314"/>
      <c r="AGA314"/>
      <c r="AGB314"/>
      <c r="AGC314"/>
      <c r="AGD314"/>
      <c r="AGE314"/>
      <c r="AGF314"/>
      <c r="AGG314"/>
      <c r="AGH314"/>
      <c r="AGI314"/>
      <c r="AGJ314"/>
      <c r="AGK314"/>
      <c r="AGL314"/>
      <c r="AGM314"/>
      <c r="AGN314"/>
      <c r="AGO314"/>
      <c r="AGP314"/>
      <c r="AGQ314"/>
      <c r="AGR314"/>
      <c r="AGS314"/>
      <c r="AGT314"/>
      <c r="AGU314"/>
      <c r="AGV314"/>
      <c r="AGW314"/>
      <c r="AGX314"/>
      <c r="AGY314"/>
      <c r="AGZ314"/>
      <c r="AHA314"/>
      <c r="AHB314"/>
      <c r="AHC314"/>
      <c r="AHD314"/>
      <c r="AHE314"/>
      <c r="AHF314"/>
      <c r="AHG314"/>
      <c r="AHH314"/>
      <c r="AHI314"/>
      <c r="AHJ314"/>
      <c r="AHK314"/>
      <c r="AHL314"/>
      <c r="AHM314"/>
      <c r="AHN314"/>
      <c r="AHO314"/>
      <c r="AHP314"/>
      <c r="AHQ314"/>
      <c r="AHR314"/>
      <c r="AHS314"/>
      <c r="AHT314"/>
      <c r="AHU314"/>
      <c r="AHV314"/>
      <c r="AHW314"/>
      <c r="AHX314"/>
      <c r="AHY314"/>
      <c r="AHZ314"/>
      <c r="AIA314"/>
      <c r="AIB314"/>
      <c r="AIC314"/>
      <c r="AID314"/>
      <c r="AIE314"/>
      <c r="AIF314"/>
      <c r="AIG314"/>
      <c r="AIH314"/>
      <c r="AII314"/>
      <c r="AIJ314"/>
      <c r="AIK314"/>
      <c r="AIL314"/>
      <c r="AIM314"/>
      <c r="AIN314"/>
      <c r="AIO314"/>
      <c r="AIP314"/>
      <c r="AIQ314"/>
      <c r="AIR314"/>
      <c r="AIS314"/>
      <c r="AIT314"/>
      <c r="AIU314"/>
      <c r="AIV314"/>
      <c r="AIW314"/>
      <c r="AIX314"/>
      <c r="AIY314"/>
      <c r="AIZ314"/>
      <c r="AJA314"/>
      <c r="AJB314"/>
      <c r="AJC314"/>
      <c r="AJD314"/>
      <c r="AJE314"/>
      <c r="AJF314"/>
      <c r="AJG314"/>
      <c r="AJH314"/>
      <c r="AJI314"/>
      <c r="AJJ314"/>
      <c r="AJK314"/>
      <c r="AJL314"/>
      <c r="AJM314"/>
      <c r="AJN314"/>
      <c r="AJO314"/>
      <c r="AJP314"/>
      <c r="AJQ314"/>
      <c r="AJR314"/>
      <c r="AJS314"/>
      <c r="AJT314"/>
      <c r="AJU314"/>
      <c r="AJV314"/>
      <c r="AJW314"/>
      <c r="AJX314"/>
      <c r="AJY314"/>
      <c r="AJZ314"/>
      <c r="AKA314"/>
      <c r="AKB314"/>
      <c r="AKC314"/>
      <c r="AKD314"/>
      <c r="AKE314"/>
      <c r="AKF314"/>
      <c r="AKG314"/>
      <c r="AKH314"/>
      <c r="AKI314"/>
      <c r="AKJ314"/>
      <c r="AKK314"/>
      <c r="AKL314"/>
      <c r="AKM314"/>
      <c r="AKN314"/>
      <c r="AKO314"/>
      <c r="AKP314"/>
      <c r="AKQ314"/>
      <c r="AKR314"/>
      <c r="AKS314"/>
      <c r="AKT314"/>
      <c r="AKU314"/>
      <c r="AKV314"/>
      <c r="AKW314"/>
      <c r="AKX314"/>
      <c r="AKY314"/>
      <c r="AKZ314"/>
      <c r="ALA314"/>
      <c r="ALB314"/>
      <c r="ALC314"/>
      <c r="ALD314"/>
      <c r="ALE314"/>
      <c r="ALF314"/>
      <c r="ALG314"/>
      <c r="ALH314"/>
      <c r="ALI314"/>
      <c r="ALJ314"/>
      <c r="ALK314"/>
      <c r="ALL314"/>
      <c r="ALM314"/>
      <c r="ALN314"/>
      <c r="ALO314"/>
      <c r="ALP314"/>
      <c r="ALQ314"/>
      <c r="ALR314"/>
      <c r="ALS314"/>
      <c r="ALT314"/>
      <c r="ALU314"/>
      <c r="ALV314"/>
      <c r="ALW314"/>
      <c r="ALX314"/>
      <c r="ALY314"/>
      <c r="ALZ314"/>
      <c r="AMA314"/>
      <c r="AMB314"/>
      <c r="AMC314"/>
      <c r="AMD314"/>
      <c r="AME314"/>
      <c r="AMF314"/>
      <c r="AMG314"/>
      <c r="AMH314"/>
      <c r="AMI314"/>
      <c r="AMJ314"/>
    </row>
    <row r="315" spans="1:1024" ht="27.6">
      <c r="A315" s="14" t="s">
        <v>308</v>
      </c>
      <c r="B315" s="14">
        <v>166419</v>
      </c>
      <c r="C315" s="38" t="s">
        <v>839</v>
      </c>
      <c r="D315" s="42"/>
      <c r="E315" s="1">
        <v>0</v>
      </c>
      <c r="F315" s="14">
        <v>0</v>
      </c>
      <c r="G315" s="43">
        <f t="shared" si="15"/>
        <v>-1.5</v>
      </c>
      <c r="H315" s="14">
        <f t="shared" si="17"/>
        <v>1.5</v>
      </c>
      <c r="I315" s="38">
        <f t="shared" si="16"/>
        <v>1.5</v>
      </c>
      <c r="J315" s="38">
        <f>SUMIF(Oeffentlichkeitsarbeit!$D:$D,$B315,Oeffentlichkeitsarbeit!$F:$F)</f>
        <v>0</v>
      </c>
      <c r="K315" s="38">
        <f>COUNTIF(Fairteiler!$D:$D,$B315)*1/2</f>
        <v>1.5</v>
      </c>
      <c r="L315" s="18">
        <f>COUNTIF('NP-Betrieb'!D:D,$B315)*1/3</f>
        <v>0</v>
      </c>
      <c r="M315" s="38">
        <f>COUNTIF(Fairteilungen!$D:$D,$B315)*3/4</f>
        <v>0</v>
      </c>
      <c r="N315" s="38">
        <f>COUNTIF(Anlieferung!D:D,$B315)*1/2</f>
        <v>0</v>
      </c>
      <c r="O315" s="38">
        <f>COUNTIF(Probeabholungen!B:B,$B315)*1/3</f>
        <v>0</v>
      </c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  <c r="BA315" s="18"/>
      <c r="BB315" s="18"/>
      <c r="BC315" s="18"/>
      <c r="BD315" s="18"/>
      <c r="BE315" s="18"/>
      <c r="BF315" s="18"/>
      <c r="BG315" s="18"/>
      <c r="BH315" s="18"/>
      <c r="BI315" s="18"/>
      <c r="BJ315" s="18"/>
      <c r="BK315" s="18"/>
      <c r="BL315" s="18"/>
      <c r="BM315" s="18"/>
      <c r="BN315" s="18"/>
      <c r="BO315" s="18"/>
      <c r="BP315" s="18"/>
      <c r="BQ315" s="18"/>
      <c r="BR315" s="18"/>
      <c r="BS315" s="18"/>
      <c r="BT315" s="18"/>
      <c r="BU315" s="18"/>
      <c r="BV315" s="18"/>
      <c r="BW315" s="18"/>
      <c r="BX315" s="18"/>
      <c r="BY315" s="18"/>
      <c r="BZ315" s="18"/>
      <c r="CA315" s="18"/>
      <c r="CB315" s="18"/>
      <c r="CC315" s="18"/>
      <c r="CD315" s="18"/>
      <c r="CE315" s="18"/>
      <c r="CF315" s="18"/>
      <c r="CG315" s="18"/>
      <c r="CH315" s="18"/>
      <c r="CI315" s="18"/>
      <c r="CJ315" s="18"/>
      <c r="CK315" s="18"/>
      <c r="CL315" s="18"/>
      <c r="CM315" s="18"/>
      <c r="CN315" s="18"/>
      <c r="CO315" s="18"/>
      <c r="CP315" s="18"/>
      <c r="CQ315" s="18"/>
      <c r="CR315" s="18"/>
      <c r="CS315" s="18"/>
      <c r="CT315" s="18"/>
      <c r="CU315" s="18"/>
      <c r="CV315" s="18"/>
      <c r="CW315" s="18"/>
      <c r="CX315" s="18"/>
      <c r="CY315" s="18"/>
      <c r="CZ315" s="18"/>
      <c r="DA315" s="18"/>
      <c r="DB315" s="18"/>
      <c r="DC315" s="18"/>
      <c r="DD315" s="18"/>
      <c r="DE315" s="18"/>
      <c r="DF315" s="18"/>
      <c r="DG315" s="18"/>
      <c r="DH315" s="18"/>
      <c r="DI315" s="18"/>
      <c r="DJ315" s="18"/>
      <c r="DK315" s="18"/>
      <c r="DL315" s="18"/>
      <c r="DM315" s="18"/>
      <c r="DN315" s="18"/>
      <c r="DO315" s="18"/>
      <c r="DP315" s="18"/>
      <c r="DQ315" s="18"/>
      <c r="DR315" s="18"/>
      <c r="DS315" s="18"/>
      <c r="DT315" s="18"/>
      <c r="DU315" s="18"/>
      <c r="DV315" s="18"/>
      <c r="DW315" s="18"/>
      <c r="DX315" s="18"/>
      <c r="DY315" s="18"/>
      <c r="DZ315" s="18"/>
      <c r="EA315" s="18"/>
      <c r="EB315" s="18"/>
      <c r="EC315" s="18"/>
      <c r="ED315" s="18"/>
      <c r="EE315" s="18"/>
      <c r="EF315" s="18"/>
      <c r="EG315" s="18"/>
      <c r="EH315" s="18"/>
      <c r="EI315" s="18"/>
      <c r="EJ315" s="18"/>
      <c r="EK315" s="18"/>
      <c r="EL315" s="18"/>
      <c r="EM315" s="18"/>
      <c r="EN315" s="18"/>
      <c r="EO315" s="18"/>
      <c r="EP315" s="18"/>
      <c r="EQ315" s="18"/>
      <c r="ER315" s="18"/>
      <c r="ES315" s="18"/>
      <c r="ET315" s="18"/>
      <c r="EU315" s="18"/>
      <c r="EV315" s="18"/>
      <c r="EW315" s="18"/>
      <c r="EX315" s="18"/>
      <c r="EY315" s="18"/>
      <c r="EZ315" s="18"/>
      <c r="FA315" s="18"/>
      <c r="FB315" s="18"/>
      <c r="FC315" s="18"/>
      <c r="FD315" s="18"/>
      <c r="FE315" s="18"/>
      <c r="FF315" s="18"/>
      <c r="FG315" s="18"/>
      <c r="FH315" s="18"/>
      <c r="FI315" s="18"/>
      <c r="FJ315" s="18"/>
      <c r="FK315" s="18"/>
      <c r="FL315" s="18"/>
      <c r="FM315" s="18"/>
      <c r="FN315" s="18"/>
      <c r="FO315" s="18"/>
      <c r="FP315" s="18"/>
      <c r="FQ315" s="18"/>
      <c r="FR315" s="18"/>
      <c r="FS315" s="18"/>
      <c r="FT315" s="18"/>
      <c r="FU315" s="18"/>
      <c r="FV315" s="18"/>
      <c r="FW315" s="18"/>
      <c r="FX315" s="18"/>
      <c r="FY315" s="18"/>
      <c r="FZ315" s="18"/>
      <c r="GA315" s="18"/>
      <c r="GB315" s="18"/>
      <c r="GC315" s="18"/>
      <c r="GD315" s="18"/>
      <c r="GE315" s="18"/>
      <c r="GF315" s="18"/>
      <c r="GG315" s="18"/>
      <c r="GH315" s="18"/>
      <c r="GI315" s="18"/>
      <c r="GJ315" s="18"/>
      <c r="GK315" s="18"/>
      <c r="GL315" s="18"/>
      <c r="GM315" s="18"/>
      <c r="GN315" s="18"/>
      <c r="GO315" s="18"/>
      <c r="GP315" s="18"/>
      <c r="GQ315" s="18"/>
      <c r="GR315" s="18"/>
      <c r="GS315" s="18"/>
      <c r="GT315" s="18"/>
      <c r="GU315" s="18"/>
      <c r="GV315" s="18"/>
      <c r="GW315" s="18"/>
      <c r="GX315" s="18"/>
      <c r="GY315" s="18"/>
      <c r="GZ315" s="18"/>
      <c r="HA315" s="18"/>
      <c r="HB315" s="18"/>
      <c r="HC315" s="18"/>
      <c r="HD315" s="18"/>
      <c r="HE315" s="18"/>
      <c r="HF315" s="18"/>
      <c r="HG315" s="18"/>
      <c r="HH315" s="18"/>
      <c r="HI315" s="18"/>
      <c r="HJ315" s="18"/>
      <c r="HK315" s="18"/>
      <c r="HL315" s="18"/>
      <c r="HM315" s="18"/>
      <c r="HN315" s="18"/>
      <c r="HO315" s="18"/>
      <c r="HP315" s="18"/>
      <c r="HQ315" s="18"/>
      <c r="HR315" s="18"/>
      <c r="HS315" s="18"/>
      <c r="HT315" s="18"/>
      <c r="HU315" s="18"/>
      <c r="HV315" s="18"/>
      <c r="HW315" s="18"/>
      <c r="HX315" s="18"/>
      <c r="HY315" s="18"/>
      <c r="HZ315" s="18"/>
      <c r="IA315" s="18"/>
      <c r="IB315" s="18"/>
      <c r="IC315" s="18"/>
      <c r="ID315" s="18"/>
      <c r="IE315" s="18"/>
      <c r="IF315" s="18"/>
      <c r="IG315" s="18"/>
      <c r="IH315" s="18"/>
      <c r="II315" s="18"/>
      <c r="IJ315" s="18"/>
      <c r="IK315" s="18"/>
      <c r="IL315" s="18"/>
      <c r="IM315" s="18"/>
      <c r="IN315" s="18"/>
      <c r="IO315" s="18"/>
      <c r="IP315" s="18"/>
      <c r="IQ315" s="18"/>
      <c r="IR315" s="18"/>
      <c r="IS315" s="18"/>
      <c r="IT315" s="18"/>
      <c r="IU315" s="18"/>
      <c r="IV315" s="18"/>
      <c r="IW315" s="18"/>
      <c r="IX315" s="18"/>
      <c r="IY315" s="18"/>
      <c r="IZ315" s="18"/>
      <c r="JA315" s="18"/>
      <c r="JB315" s="18"/>
      <c r="JC315" s="18"/>
      <c r="JD315" s="18"/>
      <c r="JE315" s="18"/>
      <c r="JF315" s="18"/>
      <c r="JG315" s="18"/>
      <c r="JH315" s="18"/>
      <c r="JI315" s="18"/>
      <c r="JJ315" s="18"/>
      <c r="JK315" s="18"/>
      <c r="JL315" s="18"/>
      <c r="JM315" s="18"/>
      <c r="JN315" s="18"/>
      <c r="JO315" s="18"/>
      <c r="JP315" s="18"/>
      <c r="JQ315" s="18"/>
      <c r="JR315" s="18"/>
      <c r="JS315" s="18"/>
      <c r="JT315" s="18"/>
      <c r="JU315" s="18"/>
      <c r="JV315" s="18"/>
      <c r="JW315" s="18"/>
      <c r="JX315" s="18"/>
      <c r="JY315" s="18"/>
      <c r="JZ315" s="18"/>
      <c r="KA315" s="18"/>
      <c r="KB315" s="18"/>
      <c r="KC315" s="18"/>
      <c r="KD315" s="18"/>
      <c r="KE315" s="18"/>
      <c r="KF315" s="18"/>
      <c r="KG315" s="18"/>
      <c r="KH315" s="18"/>
      <c r="KI315" s="18"/>
      <c r="KJ315" s="18"/>
      <c r="KK315" s="18"/>
      <c r="KL315" s="18"/>
      <c r="KM315" s="18"/>
      <c r="KN315" s="18"/>
      <c r="KO315" s="18"/>
      <c r="KP315" s="18"/>
      <c r="KQ315" s="18"/>
      <c r="KR315" s="18"/>
      <c r="KS315" s="18"/>
      <c r="KT315" s="18"/>
      <c r="KU315" s="18"/>
      <c r="KV315" s="18"/>
      <c r="KW315" s="18"/>
      <c r="KX315" s="18"/>
      <c r="KY315" s="18"/>
      <c r="KZ315" s="18"/>
      <c r="LA315" s="18"/>
      <c r="LB315" s="18"/>
      <c r="LC315" s="18"/>
      <c r="LD315" s="18"/>
      <c r="LE315" s="18"/>
      <c r="LF315" s="18"/>
      <c r="LG315" s="18"/>
      <c r="LH315" s="18"/>
      <c r="LI315" s="18"/>
      <c r="LJ315" s="18"/>
      <c r="LK315" s="18"/>
      <c r="LL315" s="18"/>
      <c r="LM315" s="18"/>
      <c r="LN315" s="18"/>
      <c r="LO315" s="18"/>
      <c r="LP315" s="18"/>
      <c r="LQ315" s="18"/>
      <c r="LR315" s="18"/>
      <c r="LS315" s="18"/>
      <c r="LT315" s="18"/>
      <c r="LU315" s="18"/>
      <c r="LV315" s="18"/>
      <c r="LW315" s="18"/>
      <c r="LX315" s="18"/>
      <c r="LY315" s="18"/>
      <c r="LZ315" s="18"/>
      <c r="MA315" s="18"/>
      <c r="MB315" s="18"/>
      <c r="MC315" s="18"/>
      <c r="MD315" s="18"/>
      <c r="ME315" s="18"/>
      <c r="MF315" s="18"/>
      <c r="MG315" s="18"/>
      <c r="MH315" s="18"/>
      <c r="MI315" s="18"/>
      <c r="MJ315" s="18"/>
      <c r="MK315" s="18"/>
      <c r="ML315" s="18"/>
      <c r="MM315" s="18"/>
      <c r="MN315" s="18"/>
      <c r="MO315" s="18"/>
      <c r="MP315" s="18"/>
      <c r="MQ315" s="18"/>
      <c r="MR315" s="18"/>
      <c r="MS315" s="18"/>
      <c r="MT315" s="18"/>
      <c r="MU315" s="18"/>
      <c r="MV315" s="18"/>
      <c r="MW315" s="18"/>
      <c r="MX315" s="18"/>
      <c r="MY315" s="18"/>
      <c r="MZ315" s="18"/>
      <c r="NA315" s="18"/>
      <c r="NB315" s="18"/>
      <c r="NC315" s="18"/>
      <c r="ND315" s="18"/>
      <c r="NE315" s="18"/>
      <c r="NF315" s="18"/>
      <c r="NG315" s="18"/>
      <c r="NH315" s="18"/>
      <c r="NI315" s="18"/>
      <c r="NJ315" s="18"/>
      <c r="NK315" s="18"/>
      <c r="NL315" s="18"/>
      <c r="NM315" s="18"/>
      <c r="NN315" s="18"/>
      <c r="NO315" s="18"/>
      <c r="NP315" s="18"/>
      <c r="NQ315" s="18"/>
      <c r="NR315" s="18"/>
      <c r="NS315" s="18"/>
      <c r="NT315" s="18"/>
      <c r="NU315" s="18"/>
      <c r="NV315" s="18"/>
      <c r="NW315" s="18"/>
      <c r="NX315" s="18"/>
      <c r="NY315" s="18"/>
      <c r="NZ315" s="18"/>
      <c r="OA315" s="18"/>
      <c r="OB315" s="18"/>
      <c r="OC315" s="18"/>
      <c r="OD315" s="18"/>
      <c r="OE315" s="18"/>
      <c r="OF315" s="18"/>
      <c r="OG315" s="18"/>
      <c r="OH315" s="18"/>
      <c r="OI315" s="18"/>
      <c r="OJ315" s="18"/>
      <c r="OK315" s="18"/>
      <c r="OL315" s="18"/>
      <c r="OM315" s="18"/>
      <c r="ON315" s="18"/>
      <c r="OO315" s="18"/>
      <c r="OP315" s="18"/>
      <c r="OQ315" s="18"/>
      <c r="OR315" s="18"/>
      <c r="OS315" s="18"/>
      <c r="OT315" s="18"/>
      <c r="OU315" s="18"/>
      <c r="OV315" s="18"/>
      <c r="OW315" s="18"/>
      <c r="OX315" s="18"/>
      <c r="OY315" s="18"/>
      <c r="OZ315" s="18"/>
      <c r="PA315" s="18"/>
      <c r="PB315" s="18"/>
      <c r="PC315" s="18"/>
      <c r="PD315" s="18"/>
      <c r="PE315" s="18"/>
      <c r="PF315" s="18"/>
      <c r="PG315" s="18"/>
      <c r="PH315" s="18"/>
      <c r="PI315" s="18"/>
      <c r="PJ315" s="18"/>
      <c r="PK315" s="18"/>
      <c r="PL315" s="18"/>
      <c r="PM315" s="18"/>
      <c r="PN315" s="18"/>
      <c r="PO315" s="18"/>
      <c r="PP315" s="18"/>
      <c r="PQ315" s="18"/>
      <c r="PR315" s="18"/>
      <c r="PS315" s="18"/>
      <c r="PT315" s="18"/>
      <c r="PU315" s="18"/>
      <c r="PV315" s="18"/>
      <c r="PW315" s="18"/>
      <c r="PX315" s="18"/>
      <c r="PY315" s="18"/>
      <c r="PZ315" s="18"/>
      <c r="QA315" s="18"/>
      <c r="QB315" s="18"/>
      <c r="QC315" s="18"/>
      <c r="QD315" s="18"/>
      <c r="QE315" s="18"/>
      <c r="QF315" s="18"/>
      <c r="QG315" s="18"/>
      <c r="QH315" s="18"/>
      <c r="QI315" s="18"/>
      <c r="QJ315" s="18"/>
      <c r="QK315" s="18"/>
      <c r="QL315" s="18"/>
      <c r="QM315" s="18"/>
      <c r="QN315" s="18"/>
      <c r="QO315" s="18"/>
      <c r="QP315" s="18"/>
      <c r="QQ315" s="18"/>
      <c r="QR315" s="18"/>
      <c r="QS315" s="18"/>
      <c r="QT315" s="18"/>
      <c r="QU315" s="18"/>
      <c r="QV315" s="18"/>
      <c r="QW315" s="18"/>
      <c r="QX315" s="18"/>
      <c r="QY315" s="18"/>
      <c r="QZ315" s="18"/>
      <c r="RA315" s="18"/>
      <c r="RB315" s="18"/>
      <c r="RC315" s="18"/>
      <c r="RD315" s="18"/>
      <c r="RE315" s="18"/>
      <c r="RF315" s="18"/>
      <c r="RG315" s="18"/>
      <c r="RH315" s="18"/>
      <c r="RI315" s="18"/>
      <c r="RJ315" s="18"/>
      <c r="RK315" s="18"/>
      <c r="RL315" s="18"/>
      <c r="RM315" s="18"/>
      <c r="RN315" s="18"/>
      <c r="RO315" s="18"/>
      <c r="RP315" s="18"/>
      <c r="RQ315" s="18"/>
      <c r="RR315" s="18"/>
      <c r="RS315" s="18"/>
      <c r="RT315" s="18"/>
      <c r="RU315" s="18"/>
      <c r="RV315" s="18"/>
      <c r="RW315" s="18"/>
      <c r="RX315" s="18"/>
      <c r="RY315" s="18"/>
      <c r="RZ315" s="18"/>
      <c r="SA315" s="18"/>
      <c r="SB315" s="18"/>
      <c r="SC315" s="18"/>
      <c r="SD315" s="18"/>
      <c r="SE315" s="18"/>
      <c r="SF315" s="18"/>
      <c r="SG315" s="18"/>
      <c r="SH315" s="18"/>
      <c r="SI315" s="18"/>
      <c r="SJ315" s="18"/>
      <c r="SK315" s="18"/>
      <c r="SL315" s="18"/>
      <c r="SM315" s="18"/>
      <c r="SN315" s="18"/>
      <c r="SO315" s="18"/>
      <c r="SP315" s="18"/>
      <c r="SQ315" s="18"/>
      <c r="SR315" s="18"/>
      <c r="SS315" s="18"/>
      <c r="ST315" s="18"/>
      <c r="SU315" s="18"/>
      <c r="SV315" s="18"/>
      <c r="SW315" s="18"/>
      <c r="SX315" s="18"/>
      <c r="SY315" s="18"/>
      <c r="SZ315" s="18"/>
      <c r="TA315" s="18"/>
      <c r="TB315" s="18"/>
      <c r="TC315" s="18"/>
      <c r="TD315" s="18"/>
      <c r="TE315" s="18"/>
      <c r="TF315" s="18"/>
      <c r="TG315" s="18"/>
      <c r="TH315" s="18"/>
      <c r="TI315" s="18"/>
      <c r="TJ315" s="18"/>
      <c r="TK315" s="18"/>
      <c r="TL315" s="18"/>
      <c r="TM315" s="18"/>
      <c r="TN315" s="18"/>
      <c r="TO315" s="18"/>
      <c r="TP315" s="18"/>
      <c r="TQ315" s="18"/>
      <c r="TR315" s="18"/>
      <c r="TS315" s="18"/>
      <c r="TT315" s="18"/>
      <c r="TU315" s="18"/>
      <c r="TV315" s="18"/>
      <c r="TW315" s="18"/>
      <c r="TX315" s="18"/>
      <c r="TY315" s="18"/>
      <c r="TZ315" s="18"/>
      <c r="UA315" s="18"/>
      <c r="UB315" s="18"/>
      <c r="UC315" s="18"/>
      <c r="UD315" s="18"/>
      <c r="UE315" s="18"/>
      <c r="UF315" s="18"/>
      <c r="UG315" s="18"/>
      <c r="UH315" s="18"/>
      <c r="UI315" s="18"/>
      <c r="UJ315" s="18"/>
      <c r="UK315" s="18"/>
      <c r="UL315" s="18"/>
      <c r="UM315" s="18"/>
      <c r="UN315" s="18"/>
      <c r="UO315" s="18"/>
      <c r="UP315" s="18"/>
      <c r="UQ315" s="18"/>
      <c r="UR315" s="18"/>
      <c r="US315" s="18"/>
      <c r="UT315" s="18"/>
      <c r="UU315" s="18"/>
      <c r="UV315" s="18"/>
      <c r="UW315" s="18"/>
      <c r="UX315" s="18"/>
      <c r="UY315" s="18"/>
      <c r="UZ315" s="18"/>
      <c r="VA315" s="18"/>
      <c r="VB315" s="18"/>
      <c r="VC315" s="18"/>
      <c r="VD315" s="18"/>
      <c r="VE315" s="18"/>
      <c r="VF315" s="18"/>
      <c r="VG315" s="18"/>
      <c r="VH315" s="18"/>
      <c r="VI315" s="18"/>
      <c r="VJ315" s="18"/>
      <c r="VK315" s="18"/>
      <c r="VL315" s="18"/>
      <c r="VM315" s="18"/>
      <c r="VN315" s="18"/>
      <c r="VO315" s="18"/>
      <c r="VP315" s="18"/>
      <c r="VQ315" s="18"/>
      <c r="VR315" s="18"/>
      <c r="VS315" s="18"/>
      <c r="VT315" s="18"/>
      <c r="VU315" s="18"/>
      <c r="VV315" s="18"/>
      <c r="VW315" s="18"/>
      <c r="VX315" s="18"/>
      <c r="VY315" s="18"/>
      <c r="VZ315" s="18"/>
      <c r="WA315" s="18"/>
      <c r="WB315" s="18"/>
      <c r="WC315" s="18"/>
      <c r="WD315" s="18"/>
      <c r="WE315" s="18"/>
      <c r="WF315" s="18"/>
      <c r="WG315" s="18"/>
      <c r="WH315" s="18"/>
      <c r="WI315" s="18"/>
      <c r="WJ315" s="18"/>
      <c r="WK315" s="18"/>
      <c r="WL315" s="18"/>
      <c r="WM315" s="18"/>
      <c r="WN315" s="18"/>
      <c r="WO315" s="18"/>
      <c r="WP315" s="18"/>
      <c r="WQ315" s="18"/>
      <c r="WR315" s="18"/>
      <c r="WS315" s="18"/>
      <c r="WT315" s="18"/>
      <c r="WU315" s="18"/>
      <c r="WV315" s="18"/>
      <c r="WW315" s="18"/>
      <c r="WX315" s="18"/>
      <c r="WY315" s="18"/>
      <c r="WZ315" s="18"/>
      <c r="XA315" s="18"/>
      <c r="XB315" s="18"/>
      <c r="XC315" s="18"/>
      <c r="XD315" s="18"/>
      <c r="XE315" s="18"/>
      <c r="XF315" s="18"/>
      <c r="XG315" s="18"/>
      <c r="XH315" s="18"/>
      <c r="XI315" s="18"/>
      <c r="XJ315" s="18"/>
      <c r="XK315" s="18"/>
      <c r="XL315" s="18"/>
      <c r="XM315" s="18"/>
      <c r="XN315" s="18"/>
      <c r="XO315" s="18"/>
      <c r="XP315" s="18"/>
      <c r="XQ315" s="18"/>
      <c r="XR315" s="18"/>
      <c r="XS315" s="18"/>
      <c r="XT315" s="18"/>
      <c r="XU315" s="18"/>
      <c r="XV315" s="18"/>
      <c r="XW315" s="18"/>
      <c r="XX315" s="18"/>
      <c r="XY315" s="18"/>
      <c r="XZ315" s="18"/>
      <c r="YA315" s="18"/>
      <c r="YB315" s="18"/>
      <c r="YC315" s="18"/>
      <c r="YD315" s="18"/>
      <c r="YE315" s="18"/>
      <c r="YF315" s="18"/>
      <c r="YG315" s="18"/>
      <c r="YH315" s="18"/>
      <c r="YI315" s="18"/>
      <c r="YJ315" s="18"/>
      <c r="YK315" s="18"/>
      <c r="YL315" s="18"/>
      <c r="YM315" s="18"/>
      <c r="YN315" s="18"/>
      <c r="YO315" s="18"/>
      <c r="YP315" s="18"/>
      <c r="YQ315" s="18"/>
      <c r="YR315" s="18"/>
      <c r="YS315" s="18"/>
      <c r="YT315" s="18"/>
      <c r="YU315" s="18"/>
      <c r="YV315" s="18"/>
      <c r="YW315" s="18"/>
      <c r="YX315" s="18"/>
      <c r="YY315" s="18"/>
      <c r="YZ315" s="18"/>
      <c r="ZA315" s="18"/>
      <c r="ZB315" s="18"/>
      <c r="ZC315" s="18"/>
      <c r="ZD315" s="18"/>
      <c r="ZE315" s="18"/>
      <c r="ZF315" s="18"/>
      <c r="ZG315" s="18"/>
      <c r="ZH315" s="18"/>
      <c r="ZI315" s="18"/>
      <c r="ZJ315" s="18"/>
      <c r="ZK315" s="18"/>
      <c r="ZL315" s="18"/>
      <c r="ZM315" s="18"/>
      <c r="ZN315" s="18"/>
      <c r="ZO315" s="18"/>
      <c r="ZP315" s="18"/>
      <c r="ZQ315" s="18"/>
      <c r="ZR315" s="18"/>
      <c r="ZS315" s="18"/>
      <c r="ZT315" s="18"/>
      <c r="ZU315" s="18"/>
      <c r="ZV315" s="18"/>
      <c r="ZW315" s="18"/>
      <c r="ZX315" s="18"/>
      <c r="ZY315" s="18"/>
      <c r="ZZ315" s="18"/>
      <c r="AAA315" s="18"/>
      <c r="AAB315" s="18"/>
      <c r="AAC315" s="18"/>
      <c r="AAD315" s="18"/>
      <c r="AAE315" s="18"/>
      <c r="AAF315" s="18"/>
      <c r="AAG315" s="18"/>
      <c r="AAH315" s="18"/>
      <c r="AAI315" s="18"/>
      <c r="AAJ315" s="18"/>
      <c r="AAK315" s="18"/>
      <c r="AAL315" s="18"/>
      <c r="AAM315" s="18"/>
      <c r="AAN315" s="18"/>
      <c r="AAO315" s="18"/>
      <c r="AAP315" s="18"/>
      <c r="AAQ315" s="18"/>
      <c r="AAR315" s="18"/>
      <c r="AAS315" s="18"/>
      <c r="AAT315" s="18"/>
      <c r="AAU315" s="18"/>
      <c r="AAV315" s="18"/>
      <c r="AAW315" s="18"/>
      <c r="AAX315" s="18"/>
      <c r="AAY315" s="18"/>
      <c r="AAZ315" s="18"/>
      <c r="ABA315" s="18"/>
      <c r="ABB315" s="18"/>
      <c r="ABC315" s="18"/>
      <c r="ABD315" s="18"/>
      <c r="ABE315" s="18"/>
      <c r="ABF315" s="18"/>
      <c r="ABG315" s="18"/>
      <c r="ABH315" s="18"/>
      <c r="ABI315" s="18"/>
      <c r="ABJ315" s="18"/>
      <c r="ABK315" s="18"/>
      <c r="ABL315" s="18"/>
      <c r="ABM315" s="18"/>
      <c r="ABN315" s="18"/>
      <c r="ABO315" s="18"/>
      <c r="ABP315" s="18"/>
      <c r="ABQ315" s="18"/>
      <c r="ABR315" s="18"/>
      <c r="ABS315" s="18"/>
      <c r="ABT315" s="18"/>
      <c r="ABU315" s="18"/>
      <c r="ABV315" s="18"/>
      <c r="ABW315" s="18"/>
      <c r="ABX315" s="18"/>
      <c r="ABY315" s="18"/>
      <c r="ABZ315" s="18"/>
      <c r="ACA315" s="18"/>
      <c r="ACB315" s="18"/>
      <c r="ACC315" s="18"/>
      <c r="ACD315" s="18"/>
      <c r="ACE315" s="18"/>
      <c r="ACF315" s="18"/>
      <c r="ACG315" s="18"/>
      <c r="ACH315" s="18"/>
      <c r="ACI315" s="18"/>
      <c r="ACJ315" s="18"/>
      <c r="ACK315" s="18"/>
      <c r="ACL315" s="18"/>
      <c r="ACM315" s="18"/>
      <c r="ACN315" s="18"/>
      <c r="ACO315" s="18"/>
      <c r="ACP315" s="18"/>
      <c r="ACQ315" s="18"/>
      <c r="ACR315" s="18"/>
      <c r="ACS315" s="18"/>
      <c r="ACT315" s="18"/>
      <c r="ACU315" s="18"/>
      <c r="ACV315" s="18"/>
      <c r="ACW315" s="18"/>
      <c r="ACX315" s="18"/>
      <c r="ACY315" s="18"/>
      <c r="ACZ315" s="18"/>
      <c r="ADA315" s="18"/>
      <c r="ADB315" s="18"/>
      <c r="ADC315" s="18"/>
      <c r="ADD315" s="18"/>
      <c r="ADE315" s="18"/>
      <c r="ADF315" s="18"/>
      <c r="ADG315" s="18"/>
      <c r="ADH315" s="18"/>
      <c r="ADI315" s="18"/>
      <c r="ADJ315" s="18"/>
      <c r="ADK315" s="18"/>
      <c r="ADL315" s="18"/>
      <c r="ADM315" s="18"/>
      <c r="ADN315" s="18"/>
      <c r="ADO315" s="18"/>
      <c r="ADP315" s="18"/>
      <c r="ADQ315" s="18"/>
      <c r="ADR315" s="18"/>
      <c r="ADS315" s="18"/>
      <c r="ADT315" s="18"/>
      <c r="ADU315" s="18"/>
      <c r="ADV315" s="18"/>
      <c r="ADW315" s="18"/>
      <c r="ADX315" s="18"/>
      <c r="ADY315" s="18"/>
      <c r="ADZ315" s="18"/>
      <c r="AEA315" s="18"/>
      <c r="AEB315" s="18"/>
      <c r="AEC315" s="18"/>
      <c r="AED315" s="18"/>
      <c r="AEE315" s="18"/>
      <c r="AEF315" s="18"/>
      <c r="AEG315" s="18"/>
      <c r="AEH315" s="18"/>
      <c r="AEI315" s="18"/>
      <c r="AEJ315" s="18"/>
      <c r="AEK315" s="18"/>
      <c r="AEL315" s="18"/>
      <c r="AEM315" s="18"/>
      <c r="AEN315" s="18"/>
      <c r="AEO315" s="18"/>
      <c r="AEP315" s="18"/>
      <c r="AEQ315" s="18"/>
      <c r="AER315" s="18"/>
      <c r="AES315" s="18"/>
      <c r="AET315" s="18"/>
      <c r="AEU315" s="18"/>
      <c r="AEV315" s="18"/>
      <c r="AEW315" s="18"/>
      <c r="AEX315" s="18"/>
      <c r="AEY315" s="18"/>
      <c r="AEZ315" s="18"/>
      <c r="AFA315" s="18"/>
      <c r="AFB315" s="18"/>
      <c r="AFC315" s="18"/>
      <c r="AFD315" s="18"/>
      <c r="AFE315" s="18"/>
      <c r="AFF315" s="18"/>
      <c r="AFG315" s="18"/>
      <c r="AFH315" s="18"/>
      <c r="AFI315" s="18"/>
      <c r="AFJ315" s="18"/>
      <c r="AFK315" s="18"/>
      <c r="AFL315" s="18"/>
      <c r="AFM315" s="18"/>
      <c r="AFN315" s="18"/>
      <c r="AFO315" s="18"/>
      <c r="AFP315" s="18"/>
      <c r="AFQ315" s="18"/>
      <c r="AFR315" s="18"/>
      <c r="AFS315" s="18"/>
      <c r="AFT315" s="18"/>
      <c r="AFU315" s="18"/>
      <c r="AFV315" s="18"/>
      <c r="AFW315" s="18"/>
      <c r="AFX315" s="18"/>
      <c r="AFY315" s="18"/>
      <c r="AFZ315" s="18"/>
      <c r="AGA315" s="18"/>
      <c r="AGB315" s="18"/>
      <c r="AGC315" s="18"/>
      <c r="AGD315" s="18"/>
      <c r="AGE315" s="18"/>
      <c r="AGF315" s="18"/>
      <c r="AGG315" s="18"/>
      <c r="AGH315" s="18"/>
      <c r="AGI315" s="18"/>
      <c r="AGJ315" s="18"/>
      <c r="AGK315" s="18"/>
      <c r="AGL315" s="18"/>
      <c r="AGM315" s="18"/>
      <c r="AGN315" s="18"/>
      <c r="AGO315" s="18"/>
      <c r="AGP315" s="18"/>
      <c r="AGQ315" s="18"/>
      <c r="AGR315" s="18"/>
      <c r="AGS315" s="18"/>
      <c r="AGT315" s="18"/>
      <c r="AGU315" s="18"/>
      <c r="AGV315" s="18"/>
      <c r="AGW315" s="18"/>
      <c r="AGX315" s="18"/>
      <c r="AGY315" s="18"/>
      <c r="AGZ315" s="18"/>
      <c r="AHA315" s="18"/>
      <c r="AHB315" s="18"/>
      <c r="AHC315" s="18"/>
      <c r="AHD315" s="18"/>
      <c r="AHE315" s="18"/>
      <c r="AHF315" s="18"/>
      <c r="AHG315" s="18"/>
      <c r="AHH315" s="18"/>
      <c r="AHI315" s="18"/>
      <c r="AHJ315" s="18"/>
      <c r="AHK315" s="18"/>
      <c r="AHL315" s="18"/>
      <c r="AHM315" s="18"/>
      <c r="AHN315" s="18"/>
      <c r="AHO315" s="18"/>
      <c r="AHP315" s="18"/>
      <c r="AHQ315" s="18"/>
      <c r="AHR315" s="18"/>
      <c r="AHS315" s="18"/>
      <c r="AHT315" s="18"/>
      <c r="AHU315" s="18"/>
      <c r="AHV315" s="18"/>
      <c r="AHW315" s="18"/>
      <c r="AHX315" s="18"/>
      <c r="AHY315" s="18"/>
      <c r="AHZ315" s="18"/>
      <c r="AIA315" s="18"/>
      <c r="AIB315" s="18"/>
      <c r="AIC315" s="18"/>
      <c r="AID315" s="18"/>
      <c r="AIE315" s="18"/>
      <c r="AIF315" s="18"/>
      <c r="AIG315" s="18"/>
      <c r="AIH315" s="18"/>
      <c r="AII315" s="18"/>
      <c r="AIJ315" s="18"/>
      <c r="AIK315" s="18"/>
      <c r="AIL315" s="18"/>
      <c r="AIM315" s="18"/>
      <c r="AIN315" s="18"/>
      <c r="AIO315" s="18"/>
      <c r="AIP315" s="18"/>
      <c r="AIQ315" s="18"/>
      <c r="AIR315" s="18"/>
      <c r="AIS315" s="18"/>
      <c r="AIT315" s="18"/>
      <c r="AIU315" s="18"/>
      <c r="AIV315" s="18"/>
      <c r="AIW315" s="18"/>
      <c r="AIX315" s="18"/>
      <c r="AIY315" s="18"/>
      <c r="AIZ315" s="18"/>
      <c r="AJA315" s="18"/>
      <c r="AJB315" s="18"/>
      <c r="AJC315" s="18"/>
      <c r="AJD315" s="18"/>
      <c r="AJE315" s="18"/>
      <c r="AJF315" s="18"/>
      <c r="AJG315" s="18"/>
      <c r="AJH315" s="18"/>
      <c r="AJI315" s="18"/>
      <c r="AJJ315" s="18"/>
      <c r="AJK315" s="18"/>
      <c r="AJL315" s="18"/>
      <c r="AJM315" s="18"/>
      <c r="AJN315" s="18"/>
      <c r="AJO315" s="18"/>
      <c r="AJP315" s="18"/>
      <c r="AJQ315" s="18"/>
      <c r="AJR315" s="18"/>
      <c r="AJS315" s="18"/>
      <c r="AJT315" s="18"/>
      <c r="AJU315" s="18"/>
      <c r="AJV315" s="18"/>
      <c r="AJW315" s="18"/>
      <c r="AJX315" s="18"/>
      <c r="AJY315" s="18"/>
      <c r="AJZ315" s="18"/>
      <c r="AKA315" s="18"/>
      <c r="AKB315" s="18"/>
      <c r="AKC315" s="18"/>
      <c r="AKD315" s="18"/>
      <c r="AKE315" s="18"/>
      <c r="AKF315" s="18"/>
      <c r="AKG315" s="18"/>
      <c r="AKH315" s="18"/>
      <c r="AKI315" s="18"/>
      <c r="AKJ315" s="18"/>
      <c r="AKK315" s="18"/>
      <c r="AKL315" s="18"/>
      <c r="AKM315" s="18"/>
      <c r="AKN315" s="18"/>
      <c r="AKO315" s="18"/>
      <c r="AKP315" s="18"/>
      <c r="AKQ315" s="18"/>
      <c r="AKR315" s="18"/>
      <c r="AKS315" s="18"/>
      <c r="AKT315" s="18"/>
      <c r="AKU315" s="18"/>
      <c r="AKV315" s="18"/>
      <c r="AKW315" s="18"/>
      <c r="AKX315" s="18"/>
      <c r="AKY315" s="18"/>
      <c r="AKZ315" s="18"/>
      <c r="ALA315" s="18"/>
      <c r="ALB315" s="18"/>
      <c r="ALC315" s="18"/>
      <c r="ALD315" s="18"/>
      <c r="ALE315" s="18"/>
      <c r="ALF315" s="18"/>
      <c r="ALG315" s="18"/>
      <c r="ALH315" s="18"/>
      <c r="ALI315" s="18"/>
      <c r="ALJ315" s="18"/>
      <c r="ALK315" s="18"/>
      <c r="ALL315" s="18"/>
      <c r="ALM315" s="18"/>
      <c r="ALN315" s="18"/>
      <c r="ALO315" s="18"/>
      <c r="ALP315" s="18"/>
      <c r="ALQ315" s="18"/>
      <c r="ALR315" s="18"/>
      <c r="ALS315" s="18"/>
      <c r="ALT315" s="18"/>
      <c r="ALU315" s="18"/>
      <c r="ALV315" s="18"/>
      <c r="ALW315" s="18"/>
      <c r="ALX315" s="18"/>
      <c r="ALY315" s="18"/>
      <c r="ALZ315" s="18"/>
      <c r="AMA315" s="18"/>
      <c r="AMB315" s="18"/>
      <c r="AMC315" s="18"/>
      <c r="AMD315" s="18"/>
      <c r="AME315" s="18"/>
      <c r="AMF315" s="18"/>
      <c r="AMG315" s="18"/>
      <c r="AMH315" s="18"/>
      <c r="AMI315" s="18"/>
      <c r="AMJ315" s="18"/>
    </row>
    <row r="316" spans="1:1024" ht="41.4">
      <c r="A316" s="14" t="s">
        <v>309</v>
      </c>
      <c r="B316" s="14">
        <v>623731</v>
      </c>
      <c r="C316" s="38" t="s">
        <v>839</v>
      </c>
      <c r="D316" s="42"/>
      <c r="E316" s="1">
        <v>0</v>
      </c>
      <c r="F316" s="14">
        <v>0</v>
      </c>
      <c r="G316" s="43">
        <f t="shared" si="15"/>
        <v>-0.66666666666666663</v>
      </c>
      <c r="H316" s="14">
        <f t="shared" si="17"/>
        <v>0.66666666666666663</v>
      </c>
      <c r="I316" s="38">
        <f t="shared" si="16"/>
        <v>0.66666666666666663</v>
      </c>
      <c r="J316" s="38">
        <f>SUMIF(Oeffentlichkeitsarbeit!$D:$D,$B316,Oeffentlichkeitsarbeit!$F:$F)</f>
        <v>0</v>
      </c>
      <c r="K316" s="38">
        <f>COUNTIF(Fairteiler!$D:$D,$B316)*1/2</f>
        <v>0</v>
      </c>
      <c r="L316" s="18">
        <f>COUNTIF('NP-Betrieb'!D:D,$B316)*1/3</f>
        <v>0.66666666666666663</v>
      </c>
      <c r="M316" s="38">
        <f>COUNTIF(Fairteilungen!$D:$D,$B316)*3/4</f>
        <v>0</v>
      </c>
      <c r="N316" s="38">
        <f>COUNTIF(Anlieferung!D:D,$B316)*1/2</f>
        <v>0</v>
      </c>
      <c r="O316" s="38">
        <f>COUNTIF(Probeabholungen!B:B,$B316)*1/3</f>
        <v>0</v>
      </c>
    </row>
    <row r="317" spans="1:1024" ht="27.6">
      <c r="A317" s="16" t="s">
        <v>310</v>
      </c>
      <c r="B317" s="16">
        <v>321254</v>
      </c>
      <c r="C317" s="16" t="s">
        <v>852</v>
      </c>
      <c r="D317" s="29"/>
      <c r="E317" s="1">
        <v>0</v>
      </c>
      <c r="F317" s="16">
        <v>0</v>
      </c>
      <c r="G317" s="30">
        <f t="shared" si="15"/>
        <v>-0.66666666666666663</v>
      </c>
      <c r="H317" s="16">
        <f t="shared" si="17"/>
        <v>0.66666666666666663</v>
      </c>
      <c r="I317" s="18">
        <f t="shared" si="16"/>
        <v>0.66666666666666663</v>
      </c>
      <c r="J317" s="18">
        <f>SUMIF(Oeffentlichkeitsarbeit!$D:$D,$B317,Oeffentlichkeitsarbeit!$F:$F)</f>
        <v>0</v>
      </c>
      <c r="K317" s="18">
        <f>COUNTIF(Fairteiler!$D:$D,$B317)*1/2</f>
        <v>0</v>
      </c>
      <c r="L317" s="18">
        <f>COUNTIF('NP-Betrieb'!D:D,$B317)*1/3</f>
        <v>0.66666666666666663</v>
      </c>
      <c r="M317" s="18">
        <f>COUNTIF(Fairteilungen!$D:$D,$B317)*3/4</f>
        <v>0</v>
      </c>
      <c r="N317" s="18">
        <f>COUNTIF(Anlieferung!D:D,$B317)*1/2</f>
        <v>0</v>
      </c>
      <c r="O317" s="18">
        <f>COUNTIF(Probeabholungen!B:B,$B317)*1/3</f>
        <v>0</v>
      </c>
    </row>
    <row r="318" spans="1:1024" ht="41.4">
      <c r="A318" s="14" t="s">
        <v>311</v>
      </c>
      <c r="B318" s="14">
        <v>652313</v>
      </c>
      <c r="C318" s="38" t="s">
        <v>853</v>
      </c>
      <c r="D318" s="42"/>
      <c r="E318" s="1">
        <v>0</v>
      </c>
      <c r="F318" s="14">
        <v>0</v>
      </c>
      <c r="G318" s="43">
        <f t="shared" si="15"/>
        <v>0</v>
      </c>
      <c r="H318" s="14">
        <f t="shared" si="17"/>
        <v>0</v>
      </c>
      <c r="I318" s="38">
        <f t="shared" si="16"/>
        <v>0</v>
      </c>
      <c r="J318" s="38">
        <f>SUMIF(Oeffentlichkeitsarbeit!$D:$D,$B318,Oeffentlichkeitsarbeit!$F:$F)</f>
        <v>0</v>
      </c>
      <c r="K318" s="38">
        <f>COUNTIF(Fairteiler!$D:$D,$B318)*1/2</f>
        <v>0</v>
      </c>
      <c r="L318" s="38">
        <f>COUNTIF('NP-Betrieb'!D:D,$B318)*1/3</f>
        <v>0</v>
      </c>
      <c r="M318" s="38">
        <f>COUNTIF(Fairteilungen!$D:$D,$B318)*3/4</f>
        <v>0</v>
      </c>
      <c r="N318" s="38">
        <f>COUNTIF(Anlieferung!D:D,$B318)*1/2</f>
        <v>0</v>
      </c>
      <c r="O318" s="38">
        <f>COUNTIF(Probeabholungen!B:B,$B318)*1/3</f>
        <v>0</v>
      </c>
    </row>
    <row r="319" spans="1:1024">
      <c r="A319" s="8" t="s">
        <v>312</v>
      </c>
      <c r="B319" s="8">
        <v>5221</v>
      </c>
      <c r="C319" s="11"/>
      <c r="D319" s="29"/>
      <c r="E319" s="1">
        <v>0</v>
      </c>
      <c r="F319" s="8">
        <v>6</v>
      </c>
      <c r="G319" s="30">
        <f t="shared" si="15"/>
        <v>4.666666666666667</v>
      </c>
      <c r="H319" s="8">
        <f t="shared" si="17"/>
        <v>1.3333333333333333</v>
      </c>
      <c r="I319" s="11">
        <f t="shared" si="16"/>
        <v>1.3333333333333333</v>
      </c>
      <c r="J319" s="11">
        <f>SUMIF(Oeffentlichkeitsarbeit!$D:$D,$B319,Oeffentlichkeitsarbeit!$F:$F)</f>
        <v>0</v>
      </c>
      <c r="K319" s="11">
        <f>COUNTIF(Fairteiler!$D:$D,$B319)*1/2</f>
        <v>0</v>
      </c>
      <c r="L319" s="11">
        <f>COUNTIF('NP-Betrieb'!D:D,$B319)*1/3</f>
        <v>1.3333333333333333</v>
      </c>
      <c r="M319" s="11">
        <f>COUNTIF(Fairteilungen!$D:$D,$B319)*3/4</f>
        <v>0</v>
      </c>
      <c r="N319" s="11">
        <f>COUNTIF(Anlieferung!D:D,$B319)*1/2</f>
        <v>0</v>
      </c>
      <c r="O319" s="11">
        <f>COUNTIF(Probeabholungen!B:B,$B319)*1/3</f>
        <v>0</v>
      </c>
    </row>
    <row r="320" spans="1:1024">
      <c r="A320" s="8" t="s">
        <v>313</v>
      </c>
      <c r="B320" s="8">
        <v>343175</v>
      </c>
      <c r="D320" s="29"/>
      <c r="E320" s="1">
        <v>0</v>
      </c>
      <c r="F320" s="8">
        <v>6</v>
      </c>
      <c r="G320" s="30">
        <f t="shared" si="15"/>
        <v>5.333333333333333</v>
      </c>
      <c r="H320" s="8">
        <f t="shared" si="17"/>
        <v>0.66666666666666663</v>
      </c>
      <c r="I320">
        <f t="shared" si="16"/>
        <v>0.66666666666666663</v>
      </c>
      <c r="J320">
        <f>SUMIF(Oeffentlichkeitsarbeit!$D:$D,$B320,Oeffentlichkeitsarbeit!$F:$F)</f>
        <v>0</v>
      </c>
      <c r="K320">
        <f>COUNTIF(Fairteiler!$D:$D,$B320)*1/2</f>
        <v>0</v>
      </c>
      <c r="L320">
        <f>COUNTIF('NP-Betrieb'!D:D,$B320)*1/3</f>
        <v>0.66666666666666663</v>
      </c>
      <c r="M320">
        <f>COUNTIF(Fairteilungen!$D:$D,$B320)*3/4</f>
        <v>0</v>
      </c>
      <c r="N320">
        <f>COUNTIF(Anlieferung!D:D,$B320)*1/2</f>
        <v>0</v>
      </c>
      <c r="O320">
        <f>COUNTIF(Probeabholungen!B:B,$B320)*1/3</f>
        <v>0</v>
      </c>
    </row>
    <row r="321" spans="1:1024">
      <c r="A321" s="15" t="s">
        <v>314</v>
      </c>
      <c r="B321" s="15">
        <v>191302</v>
      </c>
      <c r="C321" s="15" t="s">
        <v>833</v>
      </c>
      <c r="D321" s="29"/>
      <c r="E321" s="1">
        <v>0</v>
      </c>
      <c r="F321" s="15">
        <v>0</v>
      </c>
      <c r="G321" s="30">
        <f t="shared" si="15"/>
        <v>-3.3333333333333335</v>
      </c>
      <c r="H321" s="15">
        <f t="shared" si="17"/>
        <v>3.3333333333333335</v>
      </c>
      <c r="I321" s="11">
        <f t="shared" si="16"/>
        <v>3.3333333333333335</v>
      </c>
      <c r="J321" s="11">
        <f>SUMIF(Oeffentlichkeitsarbeit!$D:$D,$B321,Oeffentlichkeitsarbeit!$F:$F)</f>
        <v>0</v>
      </c>
      <c r="K321" s="11">
        <f>COUNTIF(Fairteiler!$D:$D,$B321)*1/2</f>
        <v>0</v>
      </c>
      <c r="L321" s="11">
        <f>COUNTIF('NP-Betrieb'!D:D,$B321)*1/3</f>
        <v>3.3333333333333335</v>
      </c>
      <c r="M321" s="11">
        <f>COUNTIF(Fairteilungen!$D:$D,$B321)*3/4</f>
        <v>0</v>
      </c>
      <c r="N321" s="11">
        <f>COUNTIF(Anlieferung!D:D,$B321)*1/2</f>
        <v>0</v>
      </c>
      <c r="O321" s="11">
        <f>COUNTIF(Probeabholungen!B:B,$B321)*1/3</f>
        <v>0</v>
      </c>
    </row>
    <row r="322" spans="1:1024">
      <c r="A322" t="s">
        <v>315</v>
      </c>
      <c r="B322">
        <v>887940</v>
      </c>
      <c r="D322" s="24">
        <v>45720</v>
      </c>
      <c r="E322" s="1">
        <v>0</v>
      </c>
      <c r="F322">
        <v>6</v>
      </c>
      <c r="G322" s="30">
        <f t="shared" ref="G322:G385" si="18">F322-H322</f>
        <v>0.5</v>
      </c>
      <c r="H322" s="8">
        <f t="shared" si="17"/>
        <v>5.5</v>
      </c>
      <c r="I322">
        <f t="shared" ref="I322:I385" si="19">SUM(J322:O322)</f>
        <v>5.5</v>
      </c>
      <c r="J322">
        <f>SUMIF(Oeffentlichkeitsarbeit!$D:$D,$B322,Oeffentlichkeitsarbeit!$F:$F)</f>
        <v>0</v>
      </c>
      <c r="K322">
        <f>COUNTIF(Fairteiler!$D:$D,$B322)*1/2</f>
        <v>5.5</v>
      </c>
      <c r="L322">
        <f>COUNTIF('NP-Betrieb'!D:D,$B322)*1/3</f>
        <v>0</v>
      </c>
      <c r="M322">
        <f>COUNTIF(Fairteilungen!$D:$D,$B322)*3/4</f>
        <v>0</v>
      </c>
      <c r="N322">
        <f>COUNTIF(Anlieferung!D:D,$B322)*1/2</f>
        <v>0</v>
      </c>
      <c r="O322">
        <f>COUNTIF(Probeabholungen!B:B,$B322)*1/3</f>
        <v>0</v>
      </c>
    </row>
    <row r="323" spans="1:1024" ht="27.6">
      <c r="A323" s="8" t="s">
        <v>316</v>
      </c>
      <c r="B323" s="8">
        <v>355365</v>
      </c>
      <c r="D323" s="29"/>
      <c r="E323" s="1">
        <v>0</v>
      </c>
      <c r="F323" s="8">
        <v>6</v>
      </c>
      <c r="G323" s="30">
        <f t="shared" si="18"/>
        <v>5</v>
      </c>
      <c r="H323" s="8">
        <f t="shared" si="17"/>
        <v>1</v>
      </c>
      <c r="I323">
        <f t="shared" si="19"/>
        <v>1</v>
      </c>
      <c r="J323">
        <f>SUMIF(Oeffentlichkeitsarbeit!$D:$D,$B323,Oeffentlichkeitsarbeit!$F:$F)</f>
        <v>0</v>
      </c>
      <c r="K323">
        <f>COUNTIF(Fairteiler!$D:$D,$B323)*1/2</f>
        <v>0</v>
      </c>
      <c r="L323">
        <f>COUNTIF('NP-Betrieb'!D:D,$B323)*1/3</f>
        <v>1</v>
      </c>
      <c r="M323">
        <f>COUNTIF(Fairteilungen!$D:$D,$B323)*3/4</f>
        <v>0</v>
      </c>
      <c r="N323">
        <f>COUNTIF(Anlieferung!D:D,$B323)*1/2</f>
        <v>0</v>
      </c>
      <c r="O323">
        <f>COUNTIF(Probeabholungen!B:B,$B323)*1/3</f>
        <v>0</v>
      </c>
    </row>
    <row r="324" spans="1:1024">
      <c r="A324" s="8" t="s">
        <v>317</v>
      </c>
      <c r="B324" s="8">
        <v>251356</v>
      </c>
      <c r="C324" s="8"/>
      <c r="D324" s="29"/>
      <c r="E324" s="1">
        <v>6</v>
      </c>
      <c r="F324" s="8">
        <v>6</v>
      </c>
      <c r="G324" s="30">
        <f t="shared" si="18"/>
        <v>12</v>
      </c>
      <c r="H324" s="8">
        <f t="shared" si="17"/>
        <v>-6</v>
      </c>
      <c r="I324" s="18">
        <f t="shared" si="19"/>
        <v>0</v>
      </c>
      <c r="J324" s="18">
        <f>SUMIF(Oeffentlichkeitsarbeit!$D:$D,$B324,Oeffentlichkeitsarbeit!$F:$F)</f>
        <v>0</v>
      </c>
      <c r="K324" s="18">
        <f>COUNTIF(Fairteiler!$D:$D,$B324)*1/2</f>
        <v>0</v>
      </c>
      <c r="L324" s="18">
        <f>COUNTIF('NP-Betrieb'!D:D,$B324)*1/3</f>
        <v>0</v>
      </c>
      <c r="M324" s="18">
        <f>COUNTIF(Fairteilungen!$D:$D,$B324)*3/4</f>
        <v>0</v>
      </c>
      <c r="N324" s="18">
        <f>COUNTIF(Anlieferung!D:D,$B324)*1/2</f>
        <v>0</v>
      </c>
      <c r="O324" s="18">
        <f>COUNTIF(Probeabholungen!B:B,$B324)*1/3</f>
        <v>0</v>
      </c>
    </row>
    <row r="325" spans="1:1024" ht="27.6">
      <c r="A325" s="8" t="s">
        <v>318</v>
      </c>
      <c r="B325" s="8">
        <v>560546</v>
      </c>
      <c r="D325" s="29"/>
      <c r="E325" s="1">
        <v>0</v>
      </c>
      <c r="F325" s="8">
        <v>6</v>
      </c>
      <c r="G325" s="30">
        <f t="shared" si="18"/>
        <v>2.3333333333333335</v>
      </c>
      <c r="H325" s="8">
        <f t="shared" si="17"/>
        <v>3.6666666666666665</v>
      </c>
      <c r="I325">
        <f t="shared" si="19"/>
        <v>3.6666666666666665</v>
      </c>
      <c r="J325">
        <f>SUMIF(Oeffentlichkeitsarbeit!$D:$D,$B325,Oeffentlichkeitsarbeit!$F:$F)</f>
        <v>0</v>
      </c>
      <c r="K325">
        <f>COUNTIF(Fairteiler!$D:$D,$B325)*1/2</f>
        <v>0</v>
      </c>
      <c r="L325">
        <f>COUNTIF('NP-Betrieb'!D:D,$B325)*1/3</f>
        <v>3.6666666666666665</v>
      </c>
      <c r="M325">
        <f>COUNTIF(Fairteilungen!$D:$D,$B325)*3/4</f>
        <v>0</v>
      </c>
      <c r="N325">
        <f>COUNTIF(Anlieferung!D:D,$B325)*1/2</f>
        <v>0</v>
      </c>
      <c r="O325">
        <f>COUNTIF(Probeabholungen!B:B,$B325)*1/3</f>
        <v>0</v>
      </c>
    </row>
    <row r="326" spans="1:1024">
      <c r="A326" s="82" t="s">
        <v>2987</v>
      </c>
      <c r="B326" s="82">
        <v>984878</v>
      </c>
      <c r="D326" s="24">
        <v>46143</v>
      </c>
      <c r="E326" s="1">
        <v>0</v>
      </c>
      <c r="F326" s="8">
        <v>4</v>
      </c>
      <c r="G326" s="30">
        <f t="shared" si="18"/>
        <v>4</v>
      </c>
      <c r="H326" s="8">
        <f t="shared" si="17"/>
        <v>0</v>
      </c>
      <c r="I326">
        <f t="shared" si="19"/>
        <v>0</v>
      </c>
      <c r="J326">
        <f>SUMIF(Oeffentlichkeitsarbeit!$D:$D,$B326,Oeffentlichkeitsarbeit!$F:$F)</f>
        <v>0</v>
      </c>
      <c r="K326">
        <f>COUNTIF(Fairteiler!$D:$D,$B326)*1/2</f>
        <v>0</v>
      </c>
      <c r="L326">
        <f>COUNTIF('NP-Betrieb'!D:D,$B326)*1/3</f>
        <v>0</v>
      </c>
      <c r="M326">
        <f>COUNTIF(Fairteilungen!$D:$D,$B326)*3/4</f>
        <v>0</v>
      </c>
      <c r="N326">
        <f>COUNTIF(Anlieferung!D:D,$B326)*1/2</f>
        <v>0</v>
      </c>
      <c r="O326">
        <f>COUNTIF(Probeabholungen!B:B,$B326)*1/3</f>
        <v>0</v>
      </c>
    </row>
    <row r="327" spans="1:1024" ht="27.6">
      <c r="A327" s="16" t="s">
        <v>319</v>
      </c>
      <c r="B327" s="16">
        <v>571329</v>
      </c>
      <c r="C327" s="16" t="s">
        <v>831</v>
      </c>
      <c r="D327" s="29"/>
      <c r="E327" s="1">
        <v>0</v>
      </c>
      <c r="F327" s="16">
        <v>0</v>
      </c>
      <c r="G327" s="30">
        <f t="shared" si="18"/>
        <v>-14</v>
      </c>
      <c r="H327" s="16">
        <f t="shared" si="17"/>
        <v>14</v>
      </c>
      <c r="I327" s="11">
        <f t="shared" si="19"/>
        <v>14</v>
      </c>
      <c r="J327" s="11">
        <f>SUMIF(Oeffentlichkeitsarbeit!$D:$D,$B327,Oeffentlichkeitsarbeit!$F:$F)</f>
        <v>0</v>
      </c>
      <c r="K327" s="11">
        <f>COUNTIF(Fairteiler!$D:$D,$B327)*1/2</f>
        <v>3</v>
      </c>
      <c r="L327" s="11">
        <f>COUNTIF('NP-Betrieb'!D:D,$B327)*1/3</f>
        <v>11</v>
      </c>
      <c r="M327" s="11">
        <f>COUNTIF(Fairteilungen!$D:$D,$B327)*3/4</f>
        <v>0</v>
      </c>
      <c r="N327" s="11">
        <f>COUNTIF(Anlieferung!D:D,$B327)*1/2</f>
        <v>0</v>
      </c>
      <c r="O327" s="11">
        <f>COUNTIF(Probeabholungen!B:B,$B327)*1/3</f>
        <v>0</v>
      </c>
    </row>
    <row r="328" spans="1:1024">
      <c r="A328" t="s">
        <v>320</v>
      </c>
      <c r="B328">
        <v>903811</v>
      </c>
      <c r="D328" s="24">
        <v>45720</v>
      </c>
      <c r="E328" s="1">
        <v>0</v>
      </c>
      <c r="F328">
        <v>6</v>
      </c>
      <c r="G328" s="30">
        <f t="shared" si="18"/>
        <v>4.333333333333333</v>
      </c>
      <c r="H328" s="8">
        <f t="shared" si="17"/>
        <v>1.6666666666666667</v>
      </c>
      <c r="I328">
        <f t="shared" si="19"/>
        <v>1.6666666666666667</v>
      </c>
      <c r="J328">
        <f>SUMIF(Oeffentlichkeitsarbeit!$D:$D,$B328,Oeffentlichkeitsarbeit!$F:$F)</f>
        <v>0</v>
      </c>
      <c r="K328">
        <f>COUNTIF(Fairteiler!$D:$D,$B328)*1/2</f>
        <v>0</v>
      </c>
      <c r="L328">
        <f>COUNTIF('NP-Betrieb'!D:D,$B328)*1/3</f>
        <v>0</v>
      </c>
      <c r="M328">
        <f>COUNTIF(Fairteilungen!$D:$D,$B328)*3/4</f>
        <v>0</v>
      </c>
      <c r="N328">
        <f>COUNTIF(Anlieferung!D:D,$B328)*1/2</f>
        <v>0</v>
      </c>
      <c r="O328">
        <f>COUNTIF(Probeabholungen!B:B,$B328)*1/3</f>
        <v>1.6666666666666667</v>
      </c>
    </row>
    <row r="329" spans="1:1024">
      <c r="A329" s="8" t="s">
        <v>321</v>
      </c>
      <c r="B329" s="8">
        <v>460635</v>
      </c>
      <c r="D329" s="29"/>
      <c r="E329" s="1">
        <v>12</v>
      </c>
      <c r="F329" s="8">
        <v>6</v>
      </c>
      <c r="G329" s="30">
        <f t="shared" si="18"/>
        <v>18</v>
      </c>
      <c r="H329" s="8">
        <f t="shared" si="17"/>
        <v>-12</v>
      </c>
      <c r="I329">
        <f t="shared" si="19"/>
        <v>0</v>
      </c>
      <c r="J329">
        <f>SUMIF(Oeffentlichkeitsarbeit!$D:$D,$B329,Oeffentlichkeitsarbeit!$F:$F)</f>
        <v>0</v>
      </c>
      <c r="K329">
        <f>COUNTIF(Fairteiler!$D:$D,$B329)*1/2</f>
        <v>0</v>
      </c>
      <c r="L329">
        <f>COUNTIF('NP-Betrieb'!D:D,$B329)*1/3</f>
        <v>0</v>
      </c>
      <c r="M329">
        <f>COUNTIF(Fairteilungen!$D:$D,$B329)*3/4</f>
        <v>0</v>
      </c>
      <c r="N329">
        <f>COUNTIF(Anlieferung!D:D,$B329)*1/2</f>
        <v>0</v>
      </c>
      <c r="O329">
        <f>COUNTIF(Probeabholungen!B:B,$B329)*1/3</f>
        <v>0</v>
      </c>
    </row>
    <row r="330" spans="1:1024" ht="27.6">
      <c r="A330" s="8" t="s">
        <v>322</v>
      </c>
      <c r="B330" s="8">
        <v>933107</v>
      </c>
      <c r="D330" s="24">
        <v>45826</v>
      </c>
      <c r="E330" s="1">
        <v>0</v>
      </c>
      <c r="F330">
        <v>6</v>
      </c>
      <c r="G330" s="30">
        <f t="shared" si="18"/>
        <v>1</v>
      </c>
      <c r="H330" s="8">
        <f t="shared" si="17"/>
        <v>5</v>
      </c>
      <c r="I330">
        <f t="shared" si="19"/>
        <v>5</v>
      </c>
      <c r="J330">
        <f>SUMIF(Oeffentlichkeitsarbeit!$D:$D,$B330,Oeffentlichkeitsarbeit!$F:$F)</f>
        <v>0</v>
      </c>
      <c r="K330">
        <f>COUNTIF(Fairteiler!$D:$D,$B330)*1/2</f>
        <v>0</v>
      </c>
      <c r="L330">
        <f>COUNTIF('NP-Betrieb'!D:D,$B330)*1/3</f>
        <v>5</v>
      </c>
      <c r="M330">
        <f>COUNTIF(Fairteilungen!$D:$D,$B330)*3/4</f>
        <v>0</v>
      </c>
      <c r="N330">
        <f>COUNTIF(Anlieferung!D:D,$B330)*1/2</f>
        <v>0</v>
      </c>
      <c r="O330">
        <f>COUNTIF(Probeabholungen!B:B,$B330)*1/3</f>
        <v>0</v>
      </c>
    </row>
    <row r="331" spans="1:1024">
      <c r="A331" s="82" t="s">
        <v>2988</v>
      </c>
      <c r="B331" s="82">
        <v>979766</v>
      </c>
      <c r="D331" s="24">
        <v>46143</v>
      </c>
      <c r="E331" s="1">
        <v>0</v>
      </c>
      <c r="F331" s="8">
        <v>4</v>
      </c>
      <c r="G331" s="30">
        <f t="shared" si="18"/>
        <v>4</v>
      </c>
      <c r="H331" s="8">
        <f t="shared" si="17"/>
        <v>0</v>
      </c>
      <c r="I331">
        <f t="shared" si="19"/>
        <v>0</v>
      </c>
      <c r="J331">
        <f>SUMIF(Oeffentlichkeitsarbeit!$D:$D,$B331,Oeffentlichkeitsarbeit!$F:$F)</f>
        <v>0</v>
      </c>
      <c r="K331">
        <f>COUNTIF(Fairteiler!$D:$D,$B331)*1/2</f>
        <v>0</v>
      </c>
      <c r="L331">
        <f>COUNTIF('NP-Betrieb'!D:D,$B331)*1/3</f>
        <v>0</v>
      </c>
      <c r="M331">
        <f>COUNTIF(Fairteilungen!$D:$D,$B331)*3/4</f>
        <v>0</v>
      </c>
      <c r="N331">
        <f>COUNTIF(Anlieferung!D:D,$B331)*1/2</f>
        <v>0</v>
      </c>
      <c r="O331">
        <f>COUNTIF(Probeabholungen!B:B,$B331)*1/3</f>
        <v>0</v>
      </c>
    </row>
    <row r="332" spans="1:1024" ht="27.6">
      <c r="A332" s="8" t="s">
        <v>323</v>
      </c>
      <c r="B332" s="8">
        <v>394805</v>
      </c>
      <c r="D332" s="29"/>
      <c r="E332" s="1">
        <v>0</v>
      </c>
      <c r="F332" s="8">
        <v>6</v>
      </c>
      <c r="G332" s="30">
        <f t="shared" si="18"/>
        <v>4</v>
      </c>
      <c r="H332" s="8">
        <f t="shared" si="17"/>
        <v>2</v>
      </c>
      <c r="I332">
        <f t="shared" si="19"/>
        <v>2</v>
      </c>
      <c r="J332">
        <f>SUMIF(Oeffentlichkeitsarbeit!$D:$D,$B332,Oeffentlichkeitsarbeit!$F:$F)</f>
        <v>0</v>
      </c>
      <c r="K332">
        <f>COUNTIF(Fairteiler!$D:$D,$B332)*1/2</f>
        <v>0</v>
      </c>
      <c r="L332">
        <f>COUNTIF('NP-Betrieb'!D:D,$B332)*1/3</f>
        <v>2</v>
      </c>
      <c r="M332">
        <f>COUNTIF(Fairteilungen!$D:$D,$B332)*3/4</f>
        <v>0</v>
      </c>
      <c r="N332">
        <f>COUNTIF(Anlieferung!D:D,$B332)*1/2</f>
        <v>0</v>
      </c>
      <c r="O332">
        <f>COUNTIF(Probeabholungen!B:B,$B332)*1/3</f>
        <v>0</v>
      </c>
    </row>
    <row r="333" spans="1:1024" ht="27.6">
      <c r="A333" s="8" t="s">
        <v>324</v>
      </c>
      <c r="B333" s="8">
        <v>455417</v>
      </c>
      <c r="D333" s="29"/>
      <c r="E333" s="1">
        <v>2</v>
      </c>
      <c r="F333" s="8">
        <v>6</v>
      </c>
      <c r="G333" s="30">
        <f t="shared" si="18"/>
        <v>4</v>
      </c>
      <c r="H333" s="8">
        <f t="shared" si="17"/>
        <v>2</v>
      </c>
      <c r="I333">
        <f t="shared" si="19"/>
        <v>4</v>
      </c>
      <c r="J333">
        <f>SUMIF(Oeffentlichkeitsarbeit!$D:$D,$B333,Oeffentlichkeitsarbeit!$F:$F)</f>
        <v>0</v>
      </c>
      <c r="K333">
        <f>COUNTIF(Fairteiler!$D:$D,$B333)*1/2</f>
        <v>0</v>
      </c>
      <c r="L333">
        <f>COUNTIF('NP-Betrieb'!D:D,$B333)*1/3</f>
        <v>4</v>
      </c>
      <c r="M333">
        <f>COUNTIF(Fairteilungen!$D:$D,$B333)*3/4</f>
        <v>0</v>
      </c>
      <c r="N333">
        <f>COUNTIF(Anlieferung!D:D,$B333)*1/2</f>
        <v>0</v>
      </c>
      <c r="O333">
        <f>COUNTIF(Probeabholungen!B:B,$B333)*1/3</f>
        <v>0</v>
      </c>
    </row>
    <row r="334" spans="1:1024" s="18" customFormat="1" ht="27.6">
      <c r="A334" s="8" t="s">
        <v>325</v>
      </c>
      <c r="B334" s="8">
        <v>532833</v>
      </c>
      <c r="C334"/>
      <c r="D334" s="29"/>
      <c r="E334" s="1">
        <v>0</v>
      </c>
      <c r="F334" s="8">
        <v>6</v>
      </c>
      <c r="G334" s="30">
        <f t="shared" si="18"/>
        <v>-1.833333333333333</v>
      </c>
      <c r="H334" s="8">
        <f t="shared" si="17"/>
        <v>7.833333333333333</v>
      </c>
      <c r="I334">
        <f t="shared" si="19"/>
        <v>7.833333333333333</v>
      </c>
      <c r="J334">
        <f>SUMIF(Oeffentlichkeitsarbeit!$D:$D,$B334,Oeffentlichkeitsarbeit!$F:$F)</f>
        <v>0.5</v>
      </c>
      <c r="K334">
        <f>COUNTIF(Fairteiler!$D:$D,$B334)*1/2</f>
        <v>0</v>
      </c>
      <c r="L334">
        <f>COUNTIF('NP-Betrieb'!D:D,$B334)*1/3</f>
        <v>3</v>
      </c>
      <c r="M334">
        <f>COUNTIF(Fairteilungen!$D:$D,$B334)*3/4</f>
        <v>0</v>
      </c>
      <c r="N334">
        <f>COUNTIF(Anlieferung!D:D,$B334)*1/2</f>
        <v>0</v>
      </c>
      <c r="O334">
        <f>COUNTIF(Probeabholungen!B:B,$B334)*1/3</f>
        <v>4.333333333333333</v>
      </c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DV334"/>
      <c r="DW334"/>
      <c r="DX334"/>
      <c r="DY334"/>
      <c r="DZ334"/>
      <c r="EA334"/>
      <c r="EB334"/>
      <c r="EC334"/>
      <c r="ED334"/>
      <c r="EE334"/>
      <c r="EF334"/>
      <c r="EG334"/>
      <c r="EH334"/>
      <c r="EI334"/>
      <c r="EJ334"/>
      <c r="EK334"/>
      <c r="EL334"/>
      <c r="EM334"/>
      <c r="EN334"/>
      <c r="EO334"/>
      <c r="EP334"/>
      <c r="EQ334"/>
      <c r="ER334"/>
      <c r="ES334"/>
      <c r="ET334"/>
      <c r="EU334"/>
      <c r="EV334"/>
      <c r="EW334"/>
      <c r="EX334"/>
      <c r="EY334"/>
      <c r="EZ334"/>
      <c r="FA334"/>
      <c r="FB334"/>
      <c r="FC334"/>
      <c r="FD334"/>
      <c r="FE334"/>
      <c r="FF334"/>
      <c r="FG334"/>
      <c r="FH334"/>
      <c r="FI334"/>
      <c r="FJ334"/>
      <c r="FK334"/>
      <c r="FL334"/>
      <c r="FM334"/>
      <c r="FN334"/>
      <c r="FO334"/>
      <c r="FP334"/>
      <c r="FQ334"/>
      <c r="FR334"/>
      <c r="FS334"/>
      <c r="FT334"/>
      <c r="FU334"/>
      <c r="FV334"/>
      <c r="FW334"/>
      <c r="FX334"/>
      <c r="FY334"/>
      <c r="FZ334"/>
      <c r="GA334"/>
      <c r="GB334"/>
      <c r="GC334"/>
      <c r="GD334"/>
      <c r="GE334"/>
      <c r="GF334"/>
      <c r="GG334"/>
      <c r="GH334"/>
      <c r="GI334"/>
      <c r="GJ334"/>
      <c r="GK334"/>
      <c r="GL334"/>
      <c r="GM334"/>
      <c r="GN334"/>
      <c r="GO334"/>
      <c r="GP334"/>
      <c r="GQ334"/>
      <c r="GR334"/>
      <c r="GS334"/>
      <c r="GT334"/>
      <c r="GU334"/>
      <c r="GV334"/>
      <c r="GW334"/>
      <c r="GX334"/>
      <c r="GY334"/>
      <c r="GZ334"/>
      <c r="HA334"/>
      <c r="HB334"/>
      <c r="HC334"/>
      <c r="HD334"/>
      <c r="HE334"/>
      <c r="HF334"/>
      <c r="HG334"/>
      <c r="HH334"/>
      <c r="HI334"/>
      <c r="HJ334"/>
      <c r="HK334"/>
      <c r="HL334"/>
      <c r="HM334"/>
      <c r="HN334"/>
      <c r="HO334"/>
      <c r="HP334"/>
      <c r="HQ334"/>
      <c r="HR334"/>
      <c r="HS334"/>
      <c r="HT334"/>
      <c r="HU334"/>
      <c r="HV334"/>
      <c r="HW334"/>
      <c r="HX334"/>
      <c r="HY334"/>
      <c r="HZ334"/>
      <c r="IA334"/>
      <c r="IB334"/>
      <c r="IC334"/>
      <c r="ID334"/>
      <c r="IE334"/>
      <c r="IF334"/>
      <c r="IG334"/>
      <c r="IH334"/>
      <c r="II334"/>
      <c r="IJ334"/>
      <c r="IK334"/>
      <c r="IL334"/>
      <c r="IM334"/>
      <c r="IN334"/>
      <c r="IO334"/>
      <c r="IP334"/>
      <c r="IQ334"/>
      <c r="IR334"/>
      <c r="IS334"/>
      <c r="IT334"/>
      <c r="IU334"/>
      <c r="IV334"/>
      <c r="IW334"/>
      <c r="IX334"/>
      <c r="IY334"/>
      <c r="IZ334"/>
      <c r="JA334"/>
      <c r="JB334"/>
      <c r="JC334"/>
      <c r="JD334"/>
      <c r="JE334"/>
      <c r="JF334"/>
      <c r="JG334"/>
      <c r="JH334"/>
      <c r="JI334"/>
      <c r="JJ334"/>
      <c r="JK334"/>
      <c r="JL334"/>
      <c r="JM334"/>
      <c r="JN334"/>
      <c r="JO334"/>
      <c r="JP334"/>
      <c r="JQ334"/>
      <c r="JR334"/>
      <c r="JS334"/>
      <c r="JT334"/>
      <c r="JU334"/>
      <c r="JV334"/>
      <c r="JW334"/>
      <c r="JX334"/>
      <c r="JY334"/>
      <c r="JZ334"/>
      <c r="KA334"/>
      <c r="KB334"/>
      <c r="KC334"/>
      <c r="KD334"/>
      <c r="KE334"/>
      <c r="KF334"/>
      <c r="KG334"/>
      <c r="KH334"/>
      <c r="KI334"/>
      <c r="KJ334"/>
      <c r="KK334"/>
      <c r="KL334"/>
      <c r="KM334"/>
      <c r="KN334"/>
      <c r="KO334"/>
      <c r="KP334"/>
      <c r="KQ334"/>
      <c r="KR334"/>
      <c r="KS334"/>
      <c r="KT334"/>
      <c r="KU334"/>
      <c r="KV334"/>
      <c r="KW334"/>
      <c r="KX334"/>
      <c r="KY334"/>
      <c r="KZ334"/>
      <c r="LA334"/>
      <c r="LB334"/>
      <c r="LC334"/>
      <c r="LD334"/>
      <c r="LE334"/>
      <c r="LF334"/>
      <c r="LG334"/>
      <c r="LH334"/>
      <c r="LI334"/>
      <c r="LJ334"/>
      <c r="LK334"/>
      <c r="LL334"/>
      <c r="LM334"/>
      <c r="LN334"/>
      <c r="LO334"/>
      <c r="LP334"/>
      <c r="LQ334"/>
      <c r="LR334"/>
      <c r="LS334"/>
      <c r="LT334"/>
      <c r="LU334"/>
      <c r="LV334"/>
      <c r="LW334"/>
      <c r="LX334"/>
      <c r="LY334"/>
      <c r="LZ334"/>
      <c r="MA334"/>
      <c r="MB334"/>
      <c r="MC334"/>
      <c r="MD334"/>
      <c r="ME334"/>
      <c r="MF334"/>
      <c r="MG334"/>
      <c r="MH334"/>
      <c r="MI334"/>
      <c r="MJ334"/>
      <c r="MK334"/>
      <c r="ML334"/>
      <c r="MM334"/>
      <c r="MN334"/>
      <c r="MO334"/>
      <c r="MP334"/>
      <c r="MQ334"/>
      <c r="MR334"/>
      <c r="MS334"/>
      <c r="MT334"/>
      <c r="MU334"/>
      <c r="MV334"/>
      <c r="MW334"/>
      <c r="MX334"/>
      <c r="MY334"/>
      <c r="MZ334"/>
      <c r="NA334"/>
      <c r="NB334"/>
      <c r="NC334"/>
      <c r="ND334"/>
      <c r="NE334"/>
      <c r="NF334"/>
      <c r="NG334"/>
      <c r="NH334"/>
      <c r="NI334"/>
      <c r="NJ334"/>
      <c r="NK334"/>
      <c r="NL334"/>
      <c r="NM334"/>
      <c r="NN334"/>
      <c r="NO334"/>
      <c r="NP334"/>
      <c r="NQ334"/>
      <c r="NR334"/>
      <c r="NS334"/>
      <c r="NT334"/>
      <c r="NU334"/>
      <c r="NV334"/>
      <c r="NW334"/>
      <c r="NX334"/>
      <c r="NY334"/>
      <c r="NZ334"/>
      <c r="OA334"/>
      <c r="OB334"/>
      <c r="OC334"/>
      <c r="OD334"/>
      <c r="OE334"/>
      <c r="OF334"/>
      <c r="OG334"/>
      <c r="OH334"/>
      <c r="OI334"/>
      <c r="OJ334"/>
      <c r="OK334"/>
      <c r="OL334"/>
      <c r="OM334"/>
      <c r="ON334"/>
      <c r="OO334"/>
      <c r="OP334"/>
      <c r="OQ334"/>
      <c r="OR334"/>
      <c r="OS334"/>
      <c r="OT334"/>
      <c r="OU334"/>
      <c r="OV334"/>
      <c r="OW334"/>
      <c r="OX334"/>
      <c r="OY334"/>
      <c r="OZ334"/>
      <c r="PA334"/>
      <c r="PB334"/>
      <c r="PC334"/>
      <c r="PD334"/>
      <c r="PE334"/>
      <c r="PF334"/>
      <c r="PG334"/>
      <c r="PH334"/>
      <c r="PI334"/>
      <c r="PJ334"/>
      <c r="PK334"/>
      <c r="PL334"/>
      <c r="PM334"/>
      <c r="PN334"/>
      <c r="PO334"/>
      <c r="PP334"/>
      <c r="PQ334"/>
      <c r="PR334"/>
      <c r="PS334"/>
      <c r="PT334"/>
      <c r="PU334"/>
      <c r="PV334"/>
      <c r="PW334"/>
      <c r="PX334"/>
      <c r="PY334"/>
      <c r="PZ334"/>
      <c r="QA334"/>
      <c r="QB334"/>
      <c r="QC334"/>
      <c r="QD334"/>
      <c r="QE334"/>
      <c r="QF334"/>
      <c r="QG334"/>
      <c r="QH334"/>
      <c r="QI334"/>
      <c r="QJ334"/>
      <c r="QK334"/>
      <c r="QL334"/>
      <c r="QM334"/>
      <c r="QN334"/>
      <c r="QO334"/>
      <c r="QP334"/>
      <c r="QQ334"/>
      <c r="QR334"/>
      <c r="QS334"/>
      <c r="QT334"/>
      <c r="QU334"/>
      <c r="QV334"/>
      <c r="QW334"/>
      <c r="QX334"/>
      <c r="QY334"/>
      <c r="QZ334"/>
      <c r="RA334"/>
      <c r="RB334"/>
      <c r="RC334"/>
      <c r="RD334"/>
      <c r="RE334"/>
      <c r="RF334"/>
      <c r="RG334"/>
      <c r="RH334"/>
      <c r="RI334"/>
      <c r="RJ334"/>
      <c r="RK334"/>
      <c r="RL334"/>
      <c r="RM334"/>
      <c r="RN334"/>
      <c r="RO334"/>
      <c r="RP334"/>
      <c r="RQ334"/>
      <c r="RR334"/>
      <c r="RS334"/>
      <c r="RT334"/>
      <c r="RU334"/>
      <c r="RV334"/>
      <c r="RW334"/>
      <c r="RX334"/>
      <c r="RY334"/>
      <c r="RZ334"/>
      <c r="SA334"/>
      <c r="SB334"/>
      <c r="SC334"/>
      <c r="SD334"/>
      <c r="SE334"/>
      <c r="SF334"/>
      <c r="SG334"/>
      <c r="SH334"/>
      <c r="SI334"/>
      <c r="SJ334"/>
      <c r="SK334"/>
      <c r="SL334"/>
      <c r="SM334"/>
      <c r="SN334"/>
      <c r="SO334"/>
      <c r="SP334"/>
      <c r="SQ334"/>
      <c r="SR334"/>
      <c r="SS334"/>
      <c r="ST334"/>
      <c r="SU334"/>
      <c r="SV334"/>
      <c r="SW334"/>
      <c r="SX334"/>
      <c r="SY334"/>
      <c r="SZ334"/>
      <c r="TA334"/>
      <c r="TB334"/>
      <c r="TC334"/>
      <c r="TD334"/>
      <c r="TE334"/>
      <c r="TF334"/>
      <c r="TG334"/>
      <c r="TH334"/>
      <c r="TI334"/>
      <c r="TJ334"/>
      <c r="TK334"/>
      <c r="TL334"/>
      <c r="TM334"/>
      <c r="TN334"/>
      <c r="TO334"/>
      <c r="TP334"/>
      <c r="TQ334"/>
      <c r="TR334"/>
      <c r="TS334"/>
      <c r="TT334"/>
      <c r="TU334"/>
      <c r="TV334"/>
      <c r="TW334"/>
      <c r="TX334"/>
      <c r="TY334"/>
      <c r="TZ334"/>
      <c r="UA334"/>
      <c r="UB334"/>
      <c r="UC334"/>
      <c r="UD334"/>
      <c r="UE334"/>
      <c r="UF334"/>
      <c r="UG334"/>
      <c r="UH334"/>
      <c r="UI334"/>
      <c r="UJ334"/>
      <c r="UK334"/>
      <c r="UL334"/>
      <c r="UM334"/>
      <c r="UN334"/>
      <c r="UO334"/>
      <c r="UP334"/>
      <c r="UQ334"/>
      <c r="UR334"/>
      <c r="US334"/>
      <c r="UT334"/>
      <c r="UU334"/>
      <c r="UV334"/>
      <c r="UW334"/>
      <c r="UX334"/>
      <c r="UY334"/>
      <c r="UZ334"/>
      <c r="VA334"/>
      <c r="VB334"/>
      <c r="VC334"/>
      <c r="VD334"/>
      <c r="VE334"/>
      <c r="VF334"/>
      <c r="VG334"/>
      <c r="VH334"/>
      <c r="VI334"/>
      <c r="VJ334"/>
      <c r="VK334"/>
      <c r="VL334"/>
      <c r="VM334"/>
      <c r="VN334"/>
      <c r="VO334"/>
      <c r="VP334"/>
      <c r="VQ334"/>
      <c r="VR334"/>
      <c r="VS334"/>
      <c r="VT334"/>
      <c r="VU334"/>
      <c r="VV334"/>
      <c r="VW334"/>
      <c r="VX334"/>
      <c r="VY334"/>
      <c r="VZ334"/>
      <c r="WA334"/>
      <c r="WB334"/>
      <c r="WC334"/>
      <c r="WD334"/>
      <c r="WE334"/>
      <c r="WF334"/>
      <c r="WG334"/>
      <c r="WH334"/>
      <c r="WI334"/>
      <c r="WJ334"/>
      <c r="WK334"/>
      <c r="WL334"/>
      <c r="WM334"/>
      <c r="WN334"/>
      <c r="WO334"/>
      <c r="WP334"/>
      <c r="WQ334"/>
      <c r="WR334"/>
      <c r="WS334"/>
      <c r="WT334"/>
      <c r="WU334"/>
      <c r="WV334"/>
      <c r="WW334"/>
      <c r="WX334"/>
      <c r="WY334"/>
      <c r="WZ334"/>
      <c r="XA334"/>
      <c r="XB334"/>
      <c r="XC334"/>
      <c r="XD334"/>
      <c r="XE334"/>
      <c r="XF334"/>
      <c r="XG334"/>
      <c r="XH334"/>
      <c r="XI334"/>
      <c r="XJ334"/>
      <c r="XK334"/>
      <c r="XL334"/>
      <c r="XM334"/>
      <c r="XN334"/>
      <c r="XO334"/>
      <c r="XP334"/>
      <c r="XQ334"/>
      <c r="XR334"/>
      <c r="XS334"/>
      <c r="XT334"/>
      <c r="XU334"/>
      <c r="XV334"/>
      <c r="XW334"/>
      <c r="XX334"/>
      <c r="XY334"/>
      <c r="XZ334"/>
      <c r="YA334"/>
      <c r="YB334"/>
      <c r="YC334"/>
      <c r="YD334"/>
      <c r="YE334"/>
      <c r="YF334"/>
      <c r="YG334"/>
      <c r="YH334"/>
      <c r="YI334"/>
      <c r="YJ334"/>
      <c r="YK334"/>
      <c r="YL334"/>
      <c r="YM334"/>
      <c r="YN334"/>
      <c r="YO334"/>
      <c r="YP334"/>
      <c r="YQ334"/>
      <c r="YR334"/>
      <c r="YS334"/>
      <c r="YT334"/>
      <c r="YU334"/>
      <c r="YV334"/>
      <c r="YW334"/>
      <c r="YX334"/>
      <c r="YY334"/>
      <c r="YZ334"/>
      <c r="ZA334"/>
      <c r="ZB334"/>
      <c r="ZC334"/>
      <c r="ZD334"/>
      <c r="ZE334"/>
      <c r="ZF334"/>
      <c r="ZG334"/>
      <c r="ZH334"/>
      <c r="ZI334"/>
      <c r="ZJ334"/>
      <c r="ZK334"/>
      <c r="ZL334"/>
      <c r="ZM334"/>
      <c r="ZN334"/>
      <c r="ZO334"/>
      <c r="ZP334"/>
      <c r="ZQ334"/>
      <c r="ZR334"/>
      <c r="ZS334"/>
      <c r="ZT334"/>
      <c r="ZU334"/>
      <c r="ZV334"/>
      <c r="ZW334"/>
      <c r="ZX334"/>
      <c r="ZY334"/>
      <c r="ZZ334"/>
      <c r="AAA334"/>
      <c r="AAB334"/>
      <c r="AAC334"/>
      <c r="AAD334"/>
      <c r="AAE334"/>
      <c r="AAF334"/>
      <c r="AAG334"/>
      <c r="AAH334"/>
      <c r="AAI334"/>
      <c r="AAJ334"/>
      <c r="AAK334"/>
      <c r="AAL334"/>
      <c r="AAM334"/>
      <c r="AAN334"/>
      <c r="AAO334"/>
      <c r="AAP334"/>
      <c r="AAQ334"/>
      <c r="AAR334"/>
      <c r="AAS334"/>
      <c r="AAT334"/>
      <c r="AAU334"/>
      <c r="AAV334"/>
      <c r="AAW334"/>
      <c r="AAX334"/>
      <c r="AAY334"/>
      <c r="AAZ334"/>
      <c r="ABA334"/>
      <c r="ABB334"/>
      <c r="ABC334"/>
      <c r="ABD334"/>
      <c r="ABE334"/>
      <c r="ABF334"/>
      <c r="ABG334"/>
      <c r="ABH334"/>
      <c r="ABI334"/>
      <c r="ABJ334"/>
      <c r="ABK334"/>
      <c r="ABL334"/>
      <c r="ABM334"/>
      <c r="ABN334"/>
      <c r="ABO334"/>
      <c r="ABP334"/>
      <c r="ABQ334"/>
      <c r="ABR334"/>
      <c r="ABS334"/>
      <c r="ABT334"/>
      <c r="ABU334"/>
      <c r="ABV334"/>
      <c r="ABW334"/>
      <c r="ABX334"/>
      <c r="ABY334"/>
      <c r="ABZ334"/>
      <c r="ACA334"/>
      <c r="ACB334"/>
      <c r="ACC334"/>
      <c r="ACD334"/>
      <c r="ACE334"/>
      <c r="ACF334"/>
      <c r="ACG334"/>
      <c r="ACH334"/>
      <c r="ACI334"/>
      <c r="ACJ334"/>
      <c r="ACK334"/>
      <c r="ACL334"/>
      <c r="ACM334"/>
      <c r="ACN334"/>
      <c r="ACO334"/>
      <c r="ACP334"/>
      <c r="ACQ334"/>
      <c r="ACR334"/>
      <c r="ACS334"/>
      <c r="ACT334"/>
      <c r="ACU334"/>
      <c r="ACV334"/>
      <c r="ACW334"/>
      <c r="ACX334"/>
      <c r="ACY334"/>
      <c r="ACZ334"/>
      <c r="ADA334"/>
      <c r="ADB334"/>
      <c r="ADC334"/>
      <c r="ADD334"/>
      <c r="ADE334"/>
      <c r="ADF334"/>
      <c r="ADG334"/>
      <c r="ADH334"/>
      <c r="ADI334"/>
      <c r="ADJ334"/>
      <c r="ADK334"/>
      <c r="ADL334"/>
      <c r="ADM334"/>
      <c r="ADN334"/>
      <c r="ADO334"/>
      <c r="ADP334"/>
      <c r="ADQ334"/>
      <c r="ADR334"/>
      <c r="ADS334"/>
      <c r="ADT334"/>
      <c r="ADU334"/>
      <c r="ADV334"/>
      <c r="ADW334"/>
      <c r="ADX334"/>
      <c r="ADY334"/>
      <c r="ADZ334"/>
      <c r="AEA334"/>
      <c r="AEB334"/>
      <c r="AEC334"/>
      <c r="AED334"/>
      <c r="AEE334"/>
      <c r="AEF334"/>
      <c r="AEG334"/>
      <c r="AEH334"/>
      <c r="AEI334"/>
      <c r="AEJ334"/>
      <c r="AEK334"/>
      <c r="AEL334"/>
      <c r="AEM334"/>
      <c r="AEN334"/>
      <c r="AEO334"/>
      <c r="AEP334"/>
      <c r="AEQ334"/>
      <c r="AER334"/>
      <c r="AES334"/>
      <c r="AET334"/>
      <c r="AEU334"/>
      <c r="AEV334"/>
      <c r="AEW334"/>
      <c r="AEX334"/>
      <c r="AEY334"/>
      <c r="AEZ334"/>
      <c r="AFA334"/>
      <c r="AFB334"/>
      <c r="AFC334"/>
      <c r="AFD334"/>
      <c r="AFE334"/>
      <c r="AFF334"/>
      <c r="AFG334"/>
      <c r="AFH334"/>
      <c r="AFI334"/>
      <c r="AFJ334"/>
      <c r="AFK334"/>
      <c r="AFL334"/>
      <c r="AFM334"/>
      <c r="AFN334"/>
      <c r="AFO334"/>
      <c r="AFP334"/>
      <c r="AFQ334"/>
      <c r="AFR334"/>
      <c r="AFS334"/>
      <c r="AFT334"/>
      <c r="AFU334"/>
      <c r="AFV334"/>
      <c r="AFW334"/>
      <c r="AFX334"/>
      <c r="AFY334"/>
      <c r="AFZ334"/>
      <c r="AGA334"/>
      <c r="AGB334"/>
      <c r="AGC334"/>
      <c r="AGD334"/>
      <c r="AGE334"/>
      <c r="AGF334"/>
      <c r="AGG334"/>
      <c r="AGH334"/>
      <c r="AGI334"/>
      <c r="AGJ334"/>
      <c r="AGK334"/>
      <c r="AGL334"/>
      <c r="AGM334"/>
      <c r="AGN334"/>
      <c r="AGO334"/>
      <c r="AGP334"/>
      <c r="AGQ334"/>
      <c r="AGR334"/>
      <c r="AGS334"/>
      <c r="AGT334"/>
      <c r="AGU334"/>
      <c r="AGV334"/>
      <c r="AGW334"/>
      <c r="AGX334"/>
      <c r="AGY334"/>
      <c r="AGZ334"/>
      <c r="AHA334"/>
      <c r="AHB334"/>
      <c r="AHC334"/>
      <c r="AHD334"/>
      <c r="AHE334"/>
      <c r="AHF334"/>
      <c r="AHG334"/>
      <c r="AHH334"/>
      <c r="AHI334"/>
      <c r="AHJ334"/>
      <c r="AHK334"/>
      <c r="AHL334"/>
      <c r="AHM334"/>
      <c r="AHN334"/>
      <c r="AHO334"/>
      <c r="AHP334"/>
      <c r="AHQ334"/>
      <c r="AHR334"/>
      <c r="AHS334"/>
      <c r="AHT334"/>
      <c r="AHU334"/>
      <c r="AHV334"/>
      <c r="AHW334"/>
      <c r="AHX334"/>
      <c r="AHY334"/>
      <c r="AHZ334"/>
      <c r="AIA334"/>
      <c r="AIB334"/>
      <c r="AIC334"/>
      <c r="AID334"/>
      <c r="AIE334"/>
      <c r="AIF334"/>
      <c r="AIG334"/>
      <c r="AIH334"/>
      <c r="AII334"/>
      <c r="AIJ334"/>
      <c r="AIK334"/>
      <c r="AIL334"/>
      <c r="AIM334"/>
      <c r="AIN334"/>
      <c r="AIO334"/>
      <c r="AIP334"/>
      <c r="AIQ334"/>
      <c r="AIR334"/>
      <c r="AIS334"/>
      <c r="AIT334"/>
      <c r="AIU334"/>
      <c r="AIV334"/>
      <c r="AIW334"/>
      <c r="AIX334"/>
      <c r="AIY334"/>
      <c r="AIZ334"/>
      <c r="AJA334"/>
      <c r="AJB334"/>
      <c r="AJC334"/>
      <c r="AJD334"/>
      <c r="AJE334"/>
      <c r="AJF334"/>
      <c r="AJG334"/>
      <c r="AJH334"/>
      <c r="AJI334"/>
      <c r="AJJ334"/>
      <c r="AJK334"/>
      <c r="AJL334"/>
      <c r="AJM334"/>
      <c r="AJN334"/>
      <c r="AJO334"/>
      <c r="AJP334"/>
      <c r="AJQ334"/>
      <c r="AJR334"/>
      <c r="AJS334"/>
      <c r="AJT334"/>
      <c r="AJU334"/>
      <c r="AJV334"/>
      <c r="AJW334"/>
      <c r="AJX334"/>
      <c r="AJY334"/>
      <c r="AJZ334"/>
      <c r="AKA334"/>
      <c r="AKB334"/>
      <c r="AKC334"/>
      <c r="AKD334"/>
      <c r="AKE334"/>
      <c r="AKF334"/>
      <c r="AKG334"/>
      <c r="AKH334"/>
      <c r="AKI334"/>
      <c r="AKJ334"/>
      <c r="AKK334"/>
      <c r="AKL334"/>
      <c r="AKM334"/>
      <c r="AKN334"/>
      <c r="AKO334"/>
      <c r="AKP334"/>
      <c r="AKQ334"/>
      <c r="AKR334"/>
      <c r="AKS334"/>
      <c r="AKT334"/>
      <c r="AKU334"/>
      <c r="AKV334"/>
      <c r="AKW334"/>
      <c r="AKX334"/>
      <c r="AKY334"/>
      <c r="AKZ334"/>
      <c r="ALA334"/>
      <c r="ALB334"/>
      <c r="ALC334"/>
      <c r="ALD334"/>
      <c r="ALE334"/>
      <c r="ALF334"/>
      <c r="ALG334"/>
      <c r="ALH334"/>
      <c r="ALI334"/>
      <c r="ALJ334"/>
      <c r="ALK334"/>
      <c r="ALL334"/>
      <c r="ALM334"/>
      <c r="ALN334"/>
      <c r="ALO334"/>
      <c r="ALP334"/>
      <c r="ALQ334"/>
      <c r="ALR334"/>
      <c r="ALS334"/>
      <c r="ALT334"/>
      <c r="ALU334"/>
      <c r="ALV334"/>
      <c r="ALW334"/>
      <c r="ALX334"/>
      <c r="ALY334"/>
      <c r="ALZ334"/>
      <c r="AMA334"/>
      <c r="AMB334"/>
      <c r="AMC334"/>
      <c r="AMD334"/>
      <c r="AME334"/>
      <c r="AMF334"/>
      <c r="AMG334"/>
      <c r="AMH334"/>
      <c r="AMI334"/>
      <c r="AMJ334"/>
    </row>
    <row r="335" spans="1:1024" ht="27.6">
      <c r="A335" s="8" t="s">
        <v>326</v>
      </c>
      <c r="B335" s="8">
        <v>372832</v>
      </c>
      <c r="D335" s="29"/>
      <c r="E335" s="1">
        <v>5.6666666666666696</v>
      </c>
      <c r="F335" s="8">
        <v>6</v>
      </c>
      <c r="G335" s="30">
        <f t="shared" si="18"/>
        <v>9.1666666666666696</v>
      </c>
      <c r="H335" s="8">
        <f t="shared" si="17"/>
        <v>-3.1666666666666696</v>
      </c>
      <c r="I335">
        <f t="shared" si="19"/>
        <v>2.5</v>
      </c>
      <c r="J335">
        <f>SUMIF(Oeffentlichkeitsarbeit!$D:$D,$B335,Oeffentlichkeitsarbeit!$F:$F)</f>
        <v>0</v>
      </c>
      <c r="K335">
        <f>COUNTIF(Fairteiler!$D:$D,$B335)*1/2</f>
        <v>1.5</v>
      </c>
      <c r="L335">
        <f>COUNTIF('NP-Betrieb'!D:D,$B335)*1/3</f>
        <v>1</v>
      </c>
      <c r="M335">
        <f>COUNTIF(Fairteilungen!$D:$D,$B335)*3/4</f>
        <v>0</v>
      </c>
      <c r="N335">
        <f>COUNTIF(Anlieferung!D:D,$B335)*1/2</f>
        <v>0</v>
      </c>
      <c r="O335">
        <f>COUNTIF(Probeabholungen!B:B,$B335)*1/3</f>
        <v>0</v>
      </c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  <c r="BA335" s="18"/>
      <c r="BB335" s="18"/>
      <c r="BC335" s="18"/>
      <c r="BD335" s="18"/>
      <c r="BE335" s="18"/>
      <c r="BF335" s="18"/>
      <c r="BG335" s="18"/>
      <c r="BH335" s="18"/>
      <c r="BI335" s="18"/>
      <c r="BJ335" s="18"/>
      <c r="BK335" s="18"/>
      <c r="BL335" s="18"/>
      <c r="BM335" s="18"/>
      <c r="BN335" s="18"/>
      <c r="BO335" s="18"/>
      <c r="BP335" s="18"/>
      <c r="BQ335" s="18"/>
      <c r="BR335" s="18"/>
      <c r="BS335" s="18"/>
      <c r="BT335" s="18"/>
      <c r="BU335" s="18"/>
      <c r="BV335" s="18"/>
      <c r="BW335" s="18"/>
      <c r="BX335" s="18"/>
      <c r="BY335" s="18"/>
      <c r="BZ335" s="18"/>
      <c r="CA335" s="18"/>
      <c r="CB335" s="18"/>
      <c r="CC335" s="18"/>
      <c r="CD335" s="18"/>
      <c r="CE335" s="18"/>
      <c r="CF335" s="18"/>
      <c r="CG335" s="18"/>
      <c r="CH335" s="18"/>
      <c r="CI335" s="18"/>
      <c r="CJ335" s="18"/>
      <c r="CK335" s="18"/>
      <c r="CL335" s="18"/>
      <c r="CM335" s="18"/>
      <c r="CN335" s="18"/>
      <c r="CO335" s="18"/>
      <c r="CP335" s="18"/>
      <c r="CQ335" s="18"/>
      <c r="CR335" s="18"/>
      <c r="CS335" s="18"/>
      <c r="CT335" s="18"/>
      <c r="CU335" s="18"/>
      <c r="CV335" s="18"/>
      <c r="CW335" s="18"/>
      <c r="CX335" s="18"/>
      <c r="CY335" s="18"/>
      <c r="CZ335" s="18"/>
      <c r="DA335" s="18"/>
      <c r="DB335" s="18"/>
      <c r="DC335" s="18"/>
      <c r="DD335" s="18"/>
      <c r="DE335" s="18"/>
      <c r="DF335" s="18"/>
      <c r="DG335" s="18"/>
      <c r="DH335" s="18"/>
      <c r="DI335" s="18"/>
      <c r="DJ335" s="18"/>
      <c r="DK335" s="18"/>
      <c r="DL335" s="18"/>
      <c r="DM335" s="18"/>
      <c r="DN335" s="18"/>
      <c r="DO335" s="18"/>
      <c r="DP335" s="18"/>
      <c r="DQ335" s="18"/>
      <c r="DR335" s="18"/>
      <c r="DS335" s="18"/>
      <c r="DT335" s="18"/>
      <c r="DU335" s="18"/>
      <c r="DV335" s="18"/>
      <c r="DW335" s="18"/>
      <c r="DX335" s="18"/>
      <c r="DY335" s="18"/>
      <c r="DZ335" s="18"/>
      <c r="EA335" s="18"/>
      <c r="EB335" s="18"/>
      <c r="EC335" s="18"/>
      <c r="ED335" s="18"/>
      <c r="EE335" s="18"/>
      <c r="EF335" s="18"/>
      <c r="EG335" s="18"/>
      <c r="EH335" s="18"/>
      <c r="EI335" s="18"/>
      <c r="EJ335" s="18"/>
      <c r="EK335" s="18"/>
      <c r="EL335" s="18"/>
      <c r="EM335" s="18"/>
      <c r="EN335" s="18"/>
      <c r="EO335" s="18"/>
      <c r="EP335" s="18"/>
      <c r="EQ335" s="18"/>
      <c r="ER335" s="18"/>
      <c r="ES335" s="18"/>
      <c r="ET335" s="18"/>
      <c r="EU335" s="18"/>
      <c r="EV335" s="18"/>
      <c r="EW335" s="18"/>
      <c r="EX335" s="18"/>
      <c r="EY335" s="18"/>
      <c r="EZ335" s="18"/>
      <c r="FA335" s="18"/>
      <c r="FB335" s="18"/>
      <c r="FC335" s="18"/>
      <c r="FD335" s="18"/>
      <c r="FE335" s="18"/>
      <c r="FF335" s="18"/>
      <c r="FG335" s="18"/>
      <c r="FH335" s="18"/>
      <c r="FI335" s="18"/>
      <c r="FJ335" s="18"/>
      <c r="FK335" s="18"/>
      <c r="FL335" s="18"/>
      <c r="FM335" s="18"/>
      <c r="FN335" s="18"/>
      <c r="FO335" s="18"/>
      <c r="FP335" s="18"/>
      <c r="FQ335" s="18"/>
      <c r="FR335" s="18"/>
      <c r="FS335" s="18"/>
      <c r="FT335" s="18"/>
      <c r="FU335" s="18"/>
      <c r="FV335" s="18"/>
      <c r="FW335" s="18"/>
      <c r="FX335" s="18"/>
      <c r="FY335" s="18"/>
      <c r="FZ335" s="18"/>
      <c r="GA335" s="18"/>
      <c r="GB335" s="18"/>
      <c r="GC335" s="18"/>
      <c r="GD335" s="18"/>
      <c r="GE335" s="18"/>
      <c r="GF335" s="18"/>
      <c r="GG335" s="18"/>
      <c r="GH335" s="18"/>
      <c r="GI335" s="18"/>
      <c r="GJ335" s="18"/>
      <c r="GK335" s="18"/>
      <c r="GL335" s="18"/>
      <c r="GM335" s="18"/>
      <c r="GN335" s="18"/>
      <c r="GO335" s="18"/>
      <c r="GP335" s="18"/>
      <c r="GQ335" s="18"/>
      <c r="GR335" s="18"/>
      <c r="GS335" s="18"/>
      <c r="GT335" s="18"/>
      <c r="GU335" s="18"/>
      <c r="GV335" s="18"/>
      <c r="GW335" s="18"/>
      <c r="GX335" s="18"/>
      <c r="GY335" s="18"/>
      <c r="GZ335" s="18"/>
      <c r="HA335" s="18"/>
      <c r="HB335" s="18"/>
      <c r="HC335" s="18"/>
      <c r="HD335" s="18"/>
      <c r="HE335" s="18"/>
      <c r="HF335" s="18"/>
      <c r="HG335" s="18"/>
      <c r="HH335" s="18"/>
      <c r="HI335" s="18"/>
      <c r="HJ335" s="18"/>
      <c r="HK335" s="18"/>
      <c r="HL335" s="18"/>
      <c r="HM335" s="18"/>
      <c r="HN335" s="18"/>
      <c r="HO335" s="18"/>
      <c r="HP335" s="18"/>
      <c r="HQ335" s="18"/>
      <c r="HR335" s="18"/>
      <c r="HS335" s="18"/>
      <c r="HT335" s="18"/>
      <c r="HU335" s="18"/>
      <c r="HV335" s="18"/>
      <c r="HW335" s="18"/>
      <c r="HX335" s="18"/>
      <c r="HY335" s="18"/>
      <c r="HZ335" s="18"/>
      <c r="IA335" s="18"/>
      <c r="IB335" s="18"/>
      <c r="IC335" s="18"/>
      <c r="ID335" s="18"/>
      <c r="IE335" s="18"/>
      <c r="IF335" s="18"/>
      <c r="IG335" s="18"/>
      <c r="IH335" s="18"/>
      <c r="II335" s="18"/>
      <c r="IJ335" s="18"/>
      <c r="IK335" s="18"/>
      <c r="IL335" s="18"/>
      <c r="IM335" s="18"/>
      <c r="IN335" s="18"/>
      <c r="IO335" s="18"/>
      <c r="IP335" s="18"/>
      <c r="IQ335" s="18"/>
      <c r="IR335" s="18"/>
      <c r="IS335" s="18"/>
      <c r="IT335" s="18"/>
      <c r="IU335" s="18"/>
      <c r="IV335" s="18"/>
      <c r="IW335" s="18"/>
      <c r="IX335" s="18"/>
      <c r="IY335" s="18"/>
      <c r="IZ335" s="18"/>
      <c r="JA335" s="18"/>
      <c r="JB335" s="18"/>
      <c r="JC335" s="18"/>
      <c r="JD335" s="18"/>
      <c r="JE335" s="18"/>
      <c r="JF335" s="18"/>
      <c r="JG335" s="18"/>
      <c r="JH335" s="18"/>
      <c r="JI335" s="18"/>
      <c r="JJ335" s="18"/>
      <c r="JK335" s="18"/>
      <c r="JL335" s="18"/>
      <c r="JM335" s="18"/>
      <c r="JN335" s="18"/>
      <c r="JO335" s="18"/>
      <c r="JP335" s="18"/>
      <c r="JQ335" s="18"/>
      <c r="JR335" s="18"/>
      <c r="JS335" s="18"/>
      <c r="JT335" s="18"/>
      <c r="JU335" s="18"/>
      <c r="JV335" s="18"/>
      <c r="JW335" s="18"/>
      <c r="JX335" s="18"/>
      <c r="JY335" s="18"/>
      <c r="JZ335" s="18"/>
      <c r="KA335" s="18"/>
      <c r="KB335" s="18"/>
      <c r="KC335" s="18"/>
      <c r="KD335" s="18"/>
      <c r="KE335" s="18"/>
      <c r="KF335" s="18"/>
      <c r="KG335" s="18"/>
      <c r="KH335" s="18"/>
      <c r="KI335" s="18"/>
      <c r="KJ335" s="18"/>
      <c r="KK335" s="18"/>
      <c r="KL335" s="18"/>
      <c r="KM335" s="18"/>
      <c r="KN335" s="18"/>
      <c r="KO335" s="18"/>
      <c r="KP335" s="18"/>
      <c r="KQ335" s="18"/>
      <c r="KR335" s="18"/>
      <c r="KS335" s="18"/>
      <c r="KT335" s="18"/>
      <c r="KU335" s="18"/>
      <c r="KV335" s="18"/>
      <c r="KW335" s="18"/>
      <c r="KX335" s="18"/>
      <c r="KY335" s="18"/>
      <c r="KZ335" s="18"/>
      <c r="LA335" s="18"/>
      <c r="LB335" s="18"/>
      <c r="LC335" s="18"/>
      <c r="LD335" s="18"/>
      <c r="LE335" s="18"/>
      <c r="LF335" s="18"/>
      <c r="LG335" s="18"/>
      <c r="LH335" s="18"/>
      <c r="LI335" s="18"/>
      <c r="LJ335" s="18"/>
      <c r="LK335" s="18"/>
      <c r="LL335" s="18"/>
      <c r="LM335" s="18"/>
      <c r="LN335" s="18"/>
      <c r="LO335" s="18"/>
      <c r="LP335" s="18"/>
      <c r="LQ335" s="18"/>
      <c r="LR335" s="18"/>
      <c r="LS335" s="18"/>
      <c r="LT335" s="18"/>
      <c r="LU335" s="18"/>
      <c r="LV335" s="18"/>
      <c r="LW335" s="18"/>
      <c r="LX335" s="18"/>
      <c r="LY335" s="18"/>
      <c r="LZ335" s="18"/>
      <c r="MA335" s="18"/>
      <c r="MB335" s="18"/>
      <c r="MC335" s="18"/>
      <c r="MD335" s="18"/>
      <c r="ME335" s="18"/>
      <c r="MF335" s="18"/>
      <c r="MG335" s="18"/>
      <c r="MH335" s="18"/>
      <c r="MI335" s="18"/>
      <c r="MJ335" s="18"/>
      <c r="MK335" s="18"/>
      <c r="ML335" s="18"/>
      <c r="MM335" s="18"/>
      <c r="MN335" s="18"/>
      <c r="MO335" s="18"/>
      <c r="MP335" s="18"/>
      <c r="MQ335" s="18"/>
      <c r="MR335" s="18"/>
      <c r="MS335" s="18"/>
      <c r="MT335" s="18"/>
      <c r="MU335" s="18"/>
      <c r="MV335" s="18"/>
      <c r="MW335" s="18"/>
      <c r="MX335" s="18"/>
      <c r="MY335" s="18"/>
      <c r="MZ335" s="18"/>
      <c r="NA335" s="18"/>
      <c r="NB335" s="18"/>
      <c r="NC335" s="18"/>
      <c r="ND335" s="18"/>
      <c r="NE335" s="18"/>
      <c r="NF335" s="18"/>
      <c r="NG335" s="18"/>
      <c r="NH335" s="18"/>
      <c r="NI335" s="18"/>
      <c r="NJ335" s="18"/>
      <c r="NK335" s="18"/>
      <c r="NL335" s="18"/>
      <c r="NM335" s="18"/>
      <c r="NN335" s="18"/>
      <c r="NO335" s="18"/>
      <c r="NP335" s="18"/>
      <c r="NQ335" s="18"/>
      <c r="NR335" s="18"/>
      <c r="NS335" s="18"/>
      <c r="NT335" s="18"/>
      <c r="NU335" s="18"/>
      <c r="NV335" s="18"/>
      <c r="NW335" s="18"/>
      <c r="NX335" s="18"/>
      <c r="NY335" s="18"/>
      <c r="NZ335" s="18"/>
      <c r="OA335" s="18"/>
      <c r="OB335" s="18"/>
      <c r="OC335" s="18"/>
      <c r="OD335" s="18"/>
      <c r="OE335" s="18"/>
      <c r="OF335" s="18"/>
      <c r="OG335" s="18"/>
      <c r="OH335" s="18"/>
      <c r="OI335" s="18"/>
      <c r="OJ335" s="18"/>
      <c r="OK335" s="18"/>
      <c r="OL335" s="18"/>
      <c r="OM335" s="18"/>
      <c r="ON335" s="18"/>
      <c r="OO335" s="18"/>
      <c r="OP335" s="18"/>
      <c r="OQ335" s="18"/>
      <c r="OR335" s="18"/>
      <c r="OS335" s="18"/>
      <c r="OT335" s="18"/>
      <c r="OU335" s="18"/>
      <c r="OV335" s="18"/>
      <c r="OW335" s="18"/>
      <c r="OX335" s="18"/>
      <c r="OY335" s="18"/>
      <c r="OZ335" s="18"/>
      <c r="PA335" s="18"/>
      <c r="PB335" s="18"/>
      <c r="PC335" s="18"/>
      <c r="PD335" s="18"/>
      <c r="PE335" s="18"/>
      <c r="PF335" s="18"/>
      <c r="PG335" s="18"/>
      <c r="PH335" s="18"/>
      <c r="PI335" s="18"/>
      <c r="PJ335" s="18"/>
      <c r="PK335" s="18"/>
      <c r="PL335" s="18"/>
      <c r="PM335" s="18"/>
      <c r="PN335" s="18"/>
      <c r="PO335" s="18"/>
      <c r="PP335" s="18"/>
      <c r="PQ335" s="18"/>
      <c r="PR335" s="18"/>
      <c r="PS335" s="18"/>
      <c r="PT335" s="18"/>
      <c r="PU335" s="18"/>
      <c r="PV335" s="18"/>
      <c r="PW335" s="18"/>
      <c r="PX335" s="18"/>
      <c r="PY335" s="18"/>
      <c r="PZ335" s="18"/>
      <c r="QA335" s="18"/>
      <c r="QB335" s="18"/>
      <c r="QC335" s="18"/>
      <c r="QD335" s="18"/>
      <c r="QE335" s="18"/>
      <c r="QF335" s="18"/>
      <c r="QG335" s="18"/>
      <c r="QH335" s="18"/>
      <c r="QI335" s="18"/>
      <c r="QJ335" s="18"/>
      <c r="QK335" s="18"/>
      <c r="QL335" s="18"/>
      <c r="QM335" s="18"/>
      <c r="QN335" s="18"/>
      <c r="QO335" s="18"/>
      <c r="QP335" s="18"/>
      <c r="QQ335" s="18"/>
      <c r="QR335" s="18"/>
      <c r="QS335" s="18"/>
      <c r="QT335" s="18"/>
      <c r="QU335" s="18"/>
      <c r="QV335" s="18"/>
      <c r="QW335" s="18"/>
      <c r="QX335" s="18"/>
      <c r="QY335" s="18"/>
      <c r="QZ335" s="18"/>
      <c r="RA335" s="18"/>
      <c r="RB335" s="18"/>
      <c r="RC335" s="18"/>
      <c r="RD335" s="18"/>
      <c r="RE335" s="18"/>
      <c r="RF335" s="18"/>
      <c r="RG335" s="18"/>
      <c r="RH335" s="18"/>
      <c r="RI335" s="18"/>
      <c r="RJ335" s="18"/>
      <c r="RK335" s="18"/>
      <c r="RL335" s="18"/>
      <c r="RM335" s="18"/>
      <c r="RN335" s="18"/>
      <c r="RO335" s="18"/>
      <c r="RP335" s="18"/>
      <c r="RQ335" s="18"/>
      <c r="RR335" s="18"/>
      <c r="RS335" s="18"/>
      <c r="RT335" s="18"/>
      <c r="RU335" s="18"/>
      <c r="RV335" s="18"/>
      <c r="RW335" s="18"/>
      <c r="RX335" s="18"/>
      <c r="RY335" s="18"/>
      <c r="RZ335" s="18"/>
      <c r="SA335" s="18"/>
      <c r="SB335" s="18"/>
      <c r="SC335" s="18"/>
      <c r="SD335" s="18"/>
      <c r="SE335" s="18"/>
      <c r="SF335" s="18"/>
      <c r="SG335" s="18"/>
      <c r="SH335" s="18"/>
      <c r="SI335" s="18"/>
      <c r="SJ335" s="18"/>
      <c r="SK335" s="18"/>
      <c r="SL335" s="18"/>
      <c r="SM335" s="18"/>
      <c r="SN335" s="18"/>
      <c r="SO335" s="18"/>
      <c r="SP335" s="18"/>
      <c r="SQ335" s="18"/>
      <c r="SR335" s="18"/>
      <c r="SS335" s="18"/>
      <c r="ST335" s="18"/>
      <c r="SU335" s="18"/>
      <c r="SV335" s="18"/>
      <c r="SW335" s="18"/>
      <c r="SX335" s="18"/>
      <c r="SY335" s="18"/>
      <c r="SZ335" s="18"/>
      <c r="TA335" s="18"/>
      <c r="TB335" s="18"/>
      <c r="TC335" s="18"/>
      <c r="TD335" s="18"/>
      <c r="TE335" s="18"/>
      <c r="TF335" s="18"/>
      <c r="TG335" s="18"/>
      <c r="TH335" s="18"/>
      <c r="TI335" s="18"/>
      <c r="TJ335" s="18"/>
      <c r="TK335" s="18"/>
      <c r="TL335" s="18"/>
      <c r="TM335" s="18"/>
      <c r="TN335" s="18"/>
      <c r="TO335" s="18"/>
      <c r="TP335" s="18"/>
      <c r="TQ335" s="18"/>
      <c r="TR335" s="18"/>
      <c r="TS335" s="18"/>
      <c r="TT335" s="18"/>
      <c r="TU335" s="18"/>
      <c r="TV335" s="18"/>
      <c r="TW335" s="18"/>
      <c r="TX335" s="18"/>
      <c r="TY335" s="18"/>
      <c r="TZ335" s="18"/>
      <c r="UA335" s="18"/>
      <c r="UB335" s="18"/>
      <c r="UC335" s="18"/>
      <c r="UD335" s="18"/>
      <c r="UE335" s="18"/>
      <c r="UF335" s="18"/>
      <c r="UG335" s="18"/>
      <c r="UH335" s="18"/>
      <c r="UI335" s="18"/>
      <c r="UJ335" s="18"/>
      <c r="UK335" s="18"/>
      <c r="UL335" s="18"/>
      <c r="UM335" s="18"/>
      <c r="UN335" s="18"/>
      <c r="UO335" s="18"/>
      <c r="UP335" s="18"/>
      <c r="UQ335" s="18"/>
      <c r="UR335" s="18"/>
      <c r="US335" s="18"/>
      <c r="UT335" s="18"/>
      <c r="UU335" s="18"/>
      <c r="UV335" s="18"/>
      <c r="UW335" s="18"/>
      <c r="UX335" s="18"/>
      <c r="UY335" s="18"/>
      <c r="UZ335" s="18"/>
      <c r="VA335" s="18"/>
      <c r="VB335" s="18"/>
      <c r="VC335" s="18"/>
      <c r="VD335" s="18"/>
      <c r="VE335" s="18"/>
      <c r="VF335" s="18"/>
      <c r="VG335" s="18"/>
      <c r="VH335" s="18"/>
      <c r="VI335" s="18"/>
      <c r="VJ335" s="18"/>
      <c r="VK335" s="18"/>
      <c r="VL335" s="18"/>
      <c r="VM335" s="18"/>
      <c r="VN335" s="18"/>
      <c r="VO335" s="18"/>
      <c r="VP335" s="18"/>
      <c r="VQ335" s="18"/>
      <c r="VR335" s="18"/>
      <c r="VS335" s="18"/>
      <c r="VT335" s="18"/>
      <c r="VU335" s="18"/>
      <c r="VV335" s="18"/>
      <c r="VW335" s="18"/>
      <c r="VX335" s="18"/>
      <c r="VY335" s="18"/>
      <c r="VZ335" s="18"/>
      <c r="WA335" s="18"/>
      <c r="WB335" s="18"/>
      <c r="WC335" s="18"/>
      <c r="WD335" s="18"/>
      <c r="WE335" s="18"/>
      <c r="WF335" s="18"/>
      <c r="WG335" s="18"/>
      <c r="WH335" s="18"/>
      <c r="WI335" s="18"/>
      <c r="WJ335" s="18"/>
      <c r="WK335" s="18"/>
      <c r="WL335" s="18"/>
      <c r="WM335" s="18"/>
      <c r="WN335" s="18"/>
      <c r="WO335" s="18"/>
      <c r="WP335" s="18"/>
      <c r="WQ335" s="18"/>
      <c r="WR335" s="18"/>
      <c r="WS335" s="18"/>
      <c r="WT335" s="18"/>
      <c r="WU335" s="18"/>
      <c r="WV335" s="18"/>
      <c r="WW335" s="18"/>
      <c r="WX335" s="18"/>
      <c r="WY335" s="18"/>
      <c r="WZ335" s="18"/>
      <c r="XA335" s="18"/>
      <c r="XB335" s="18"/>
      <c r="XC335" s="18"/>
      <c r="XD335" s="18"/>
      <c r="XE335" s="18"/>
      <c r="XF335" s="18"/>
      <c r="XG335" s="18"/>
      <c r="XH335" s="18"/>
      <c r="XI335" s="18"/>
      <c r="XJ335" s="18"/>
      <c r="XK335" s="18"/>
      <c r="XL335" s="18"/>
      <c r="XM335" s="18"/>
      <c r="XN335" s="18"/>
      <c r="XO335" s="18"/>
      <c r="XP335" s="18"/>
      <c r="XQ335" s="18"/>
      <c r="XR335" s="18"/>
      <c r="XS335" s="18"/>
      <c r="XT335" s="18"/>
      <c r="XU335" s="18"/>
      <c r="XV335" s="18"/>
      <c r="XW335" s="18"/>
      <c r="XX335" s="18"/>
      <c r="XY335" s="18"/>
      <c r="XZ335" s="18"/>
      <c r="YA335" s="18"/>
      <c r="YB335" s="18"/>
      <c r="YC335" s="18"/>
      <c r="YD335" s="18"/>
      <c r="YE335" s="18"/>
      <c r="YF335" s="18"/>
      <c r="YG335" s="18"/>
      <c r="YH335" s="18"/>
      <c r="YI335" s="18"/>
      <c r="YJ335" s="18"/>
      <c r="YK335" s="18"/>
      <c r="YL335" s="18"/>
      <c r="YM335" s="18"/>
      <c r="YN335" s="18"/>
      <c r="YO335" s="18"/>
      <c r="YP335" s="18"/>
      <c r="YQ335" s="18"/>
      <c r="YR335" s="18"/>
      <c r="YS335" s="18"/>
      <c r="YT335" s="18"/>
      <c r="YU335" s="18"/>
      <c r="YV335" s="18"/>
      <c r="YW335" s="18"/>
      <c r="YX335" s="18"/>
      <c r="YY335" s="18"/>
      <c r="YZ335" s="18"/>
      <c r="ZA335" s="18"/>
      <c r="ZB335" s="18"/>
      <c r="ZC335" s="18"/>
      <c r="ZD335" s="18"/>
      <c r="ZE335" s="18"/>
      <c r="ZF335" s="18"/>
      <c r="ZG335" s="18"/>
      <c r="ZH335" s="18"/>
      <c r="ZI335" s="18"/>
      <c r="ZJ335" s="18"/>
      <c r="ZK335" s="18"/>
      <c r="ZL335" s="18"/>
      <c r="ZM335" s="18"/>
      <c r="ZN335" s="18"/>
      <c r="ZO335" s="18"/>
      <c r="ZP335" s="18"/>
      <c r="ZQ335" s="18"/>
      <c r="ZR335" s="18"/>
      <c r="ZS335" s="18"/>
      <c r="ZT335" s="18"/>
      <c r="ZU335" s="18"/>
      <c r="ZV335" s="18"/>
      <c r="ZW335" s="18"/>
      <c r="ZX335" s="18"/>
      <c r="ZY335" s="18"/>
      <c r="ZZ335" s="18"/>
      <c r="AAA335" s="18"/>
      <c r="AAB335" s="18"/>
      <c r="AAC335" s="18"/>
      <c r="AAD335" s="18"/>
      <c r="AAE335" s="18"/>
      <c r="AAF335" s="18"/>
      <c r="AAG335" s="18"/>
      <c r="AAH335" s="18"/>
      <c r="AAI335" s="18"/>
      <c r="AAJ335" s="18"/>
      <c r="AAK335" s="18"/>
      <c r="AAL335" s="18"/>
      <c r="AAM335" s="18"/>
      <c r="AAN335" s="18"/>
      <c r="AAO335" s="18"/>
      <c r="AAP335" s="18"/>
      <c r="AAQ335" s="18"/>
      <c r="AAR335" s="18"/>
      <c r="AAS335" s="18"/>
      <c r="AAT335" s="18"/>
      <c r="AAU335" s="18"/>
      <c r="AAV335" s="18"/>
      <c r="AAW335" s="18"/>
      <c r="AAX335" s="18"/>
      <c r="AAY335" s="18"/>
      <c r="AAZ335" s="18"/>
      <c r="ABA335" s="18"/>
      <c r="ABB335" s="18"/>
      <c r="ABC335" s="18"/>
      <c r="ABD335" s="18"/>
      <c r="ABE335" s="18"/>
      <c r="ABF335" s="18"/>
      <c r="ABG335" s="18"/>
      <c r="ABH335" s="18"/>
      <c r="ABI335" s="18"/>
      <c r="ABJ335" s="18"/>
      <c r="ABK335" s="18"/>
      <c r="ABL335" s="18"/>
      <c r="ABM335" s="18"/>
      <c r="ABN335" s="18"/>
      <c r="ABO335" s="18"/>
      <c r="ABP335" s="18"/>
      <c r="ABQ335" s="18"/>
      <c r="ABR335" s="18"/>
      <c r="ABS335" s="18"/>
      <c r="ABT335" s="18"/>
      <c r="ABU335" s="18"/>
      <c r="ABV335" s="18"/>
      <c r="ABW335" s="18"/>
      <c r="ABX335" s="18"/>
      <c r="ABY335" s="18"/>
      <c r="ABZ335" s="18"/>
      <c r="ACA335" s="18"/>
      <c r="ACB335" s="18"/>
      <c r="ACC335" s="18"/>
      <c r="ACD335" s="18"/>
      <c r="ACE335" s="18"/>
      <c r="ACF335" s="18"/>
      <c r="ACG335" s="18"/>
      <c r="ACH335" s="18"/>
      <c r="ACI335" s="18"/>
      <c r="ACJ335" s="18"/>
      <c r="ACK335" s="18"/>
      <c r="ACL335" s="18"/>
      <c r="ACM335" s="18"/>
      <c r="ACN335" s="18"/>
      <c r="ACO335" s="18"/>
      <c r="ACP335" s="18"/>
      <c r="ACQ335" s="18"/>
      <c r="ACR335" s="18"/>
      <c r="ACS335" s="18"/>
      <c r="ACT335" s="18"/>
      <c r="ACU335" s="18"/>
      <c r="ACV335" s="18"/>
      <c r="ACW335" s="18"/>
      <c r="ACX335" s="18"/>
      <c r="ACY335" s="18"/>
      <c r="ACZ335" s="18"/>
      <c r="ADA335" s="18"/>
      <c r="ADB335" s="18"/>
      <c r="ADC335" s="18"/>
      <c r="ADD335" s="18"/>
      <c r="ADE335" s="18"/>
      <c r="ADF335" s="18"/>
      <c r="ADG335" s="18"/>
      <c r="ADH335" s="18"/>
      <c r="ADI335" s="18"/>
      <c r="ADJ335" s="18"/>
      <c r="ADK335" s="18"/>
      <c r="ADL335" s="18"/>
      <c r="ADM335" s="18"/>
      <c r="ADN335" s="18"/>
      <c r="ADO335" s="18"/>
      <c r="ADP335" s="18"/>
      <c r="ADQ335" s="18"/>
      <c r="ADR335" s="18"/>
      <c r="ADS335" s="18"/>
      <c r="ADT335" s="18"/>
      <c r="ADU335" s="18"/>
      <c r="ADV335" s="18"/>
      <c r="ADW335" s="18"/>
      <c r="ADX335" s="18"/>
      <c r="ADY335" s="18"/>
      <c r="ADZ335" s="18"/>
      <c r="AEA335" s="18"/>
      <c r="AEB335" s="18"/>
      <c r="AEC335" s="18"/>
      <c r="AED335" s="18"/>
      <c r="AEE335" s="18"/>
      <c r="AEF335" s="18"/>
      <c r="AEG335" s="18"/>
      <c r="AEH335" s="18"/>
      <c r="AEI335" s="18"/>
      <c r="AEJ335" s="18"/>
      <c r="AEK335" s="18"/>
      <c r="AEL335" s="18"/>
      <c r="AEM335" s="18"/>
      <c r="AEN335" s="18"/>
      <c r="AEO335" s="18"/>
      <c r="AEP335" s="18"/>
      <c r="AEQ335" s="18"/>
      <c r="AER335" s="18"/>
      <c r="AES335" s="18"/>
      <c r="AET335" s="18"/>
      <c r="AEU335" s="18"/>
      <c r="AEV335" s="18"/>
      <c r="AEW335" s="18"/>
      <c r="AEX335" s="18"/>
      <c r="AEY335" s="18"/>
      <c r="AEZ335" s="18"/>
      <c r="AFA335" s="18"/>
      <c r="AFB335" s="18"/>
      <c r="AFC335" s="18"/>
      <c r="AFD335" s="18"/>
      <c r="AFE335" s="18"/>
      <c r="AFF335" s="18"/>
      <c r="AFG335" s="18"/>
      <c r="AFH335" s="18"/>
      <c r="AFI335" s="18"/>
      <c r="AFJ335" s="18"/>
      <c r="AFK335" s="18"/>
      <c r="AFL335" s="18"/>
      <c r="AFM335" s="18"/>
      <c r="AFN335" s="18"/>
      <c r="AFO335" s="18"/>
      <c r="AFP335" s="18"/>
      <c r="AFQ335" s="18"/>
      <c r="AFR335" s="18"/>
      <c r="AFS335" s="18"/>
      <c r="AFT335" s="18"/>
      <c r="AFU335" s="18"/>
      <c r="AFV335" s="18"/>
      <c r="AFW335" s="18"/>
      <c r="AFX335" s="18"/>
      <c r="AFY335" s="18"/>
      <c r="AFZ335" s="18"/>
      <c r="AGA335" s="18"/>
      <c r="AGB335" s="18"/>
      <c r="AGC335" s="18"/>
      <c r="AGD335" s="18"/>
      <c r="AGE335" s="18"/>
      <c r="AGF335" s="18"/>
      <c r="AGG335" s="18"/>
      <c r="AGH335" s="18"/>
      <c r="AGI335" s="18"/>
      <c r="AGJ335" s="18"/>
      <c r="AGK335" s="18"/>
      <c r="AGL335" s="18"/>
      <c r="AGM335" s="18"/>
      <c r="AGN335" s="18"/>
      <c r="AGO335" s="18"/>
      <c r="AGP335" s="18"/>
      <c r="AGQ335" s="18"/>
      <c r="AGR335" s="18"/>
      <c r="AGS335" s="18"/>
      <c r="AGT335" s="18"/>
      <c r="AGU335" s="18"/>
      <c r="AGV335" s="18"/>
      <c r="AGW335" s="18"/>
      <c r="AGX335" s="18"/>
      <c r="AGY335" s="18"/>
      <c r="AGZ335" s="18"/>
      <c r="AHA335" s="18"/>
      <c r="AHB335" s="18"/>
      <c r="AHC335" s="18"/>
      <c r="AHD335" s="18"/>
      <c r="AHE335" s="18"/>
      <c r="AHF335" s="18"/>
      <c r="AHG335" s="18"/>
      <c r="AHH335" s="18"/>
      <c r="AHI335" s="18"/>
      <c r="AHJ335" s="18"/>
      <c r="AHK335" s="18"/>
      <c r="AHL335" s="18"/>
      <c r="AHM335" s="18"/>
      <c r="AHN335" s="18"/>
      <c r="AHO335" s="18"/>
      <c r="AHP335" s="18"/>
      <c r="AHQ335" s="18"/>
      <c r="AHR335" s="18"/>
      <c r="AHS335" s="18"/>
      <c r="AHT335" s="18"/>
      <c r="AHU335" s="18"/>
      <c r="AHV335" s="18"/>
      <c r="AHW335" s="18"/>
      <c r="AHX335" s="18"/>
      <c r="AHY335" s="18"/>
      <c r="AHZ335" s="18"/>
      <c r="AIA335" s="18"/>
      <c r="AIB335" s="18"/>
      <c r="AIC335" s="18"/>
      <c r="AID335" s="18"/>
      <c r="AIE335" s="18"/>
      <c r="AIF335" s="18"/>
      <c r="AIG335" s="18"/>
      <c r="AIH335" s="18"/>
      <c r="AII335" s="18"/>
      <c r="AIJ335" s="18"/>
      <c r="AIK335" s="18"/>
      <c r="AIL335" s="18"/>
      <c r="AIM335" s="18"/>
      <c r="AIN335" s="18"/>
      <c r="AIO335" s="18"/>
      <c r="AIP335" s="18"/>
      <c r="AIQ335" s="18"/>
      <c r="AIR335" s="18"/>
      <c r="AIS335" s="18"/>
      <c r="AIT335" s="18"/>
      <c r="AIU335" s="18"/>
      <c r="AIV335" s="18"/>
      <c r="AIW335" s="18"/>
      <c r="AIX335" s="18"/>
      <c r="AIY335" s="18"/>
      <c r="AIZ335" s="18"/>
      <c r="AJA335" s="18"/>
      <c r="AJB335" s="18"/>
      <c r="AJC335" s="18"/>
      <c r="AJD335" s="18"/>
      <c r="AJE335" s="18"/>
      <c r="AJF335" s="18"/>
      <c r="AJG335" s="18"/>
      <c r="AJH335" s="18"/>
      <c r="AJI335" s="18"/>
      <c r="AJJ335" s="18"/>
      <c r="AJK335" s="18"/>
      <c r="AJL335" s="18"/>
      <c r="AJM335" s="18"/>
      <c r="AJN335" s="18"/>
      <c r="AJO335" s="18"/>
      <c r="AJP335" s="18"/>
      <c r="AJQ335" s="18"/>
      <c r="AJR335" s="18"/>
      <c r="AJS335" s="18"/>
      <c r="AJT335" s="18"/>
      <c r="AJU335" s="18"/>
      <c r="AJV335" s="18"/>
      <c r="AJW335" s="18"/>
      <c r="AJX335" s="18"/>
      <c r="AJY335" s="18"/>
      <c r="AJZ335" s="18"/>
      <c r="AKA335" s="18"/>
      <c r="AKB335" s="18"/>
      <c r="AKC335" s="18"/>
      <c r="AKD335" s="18"/>
      <c r="AKE335" s="18"/>
      <c r="AKF335" s="18"/>
      <c r="AKG335" s="18"/>
      <c r="AKH335" s="18"/>
      <c r="AKI335" s="18"/>
      <c r="AKJ335" s="18"/>
      <c r="AKK335" s="18"/>
      <c r="AKL335" s="18"/>
      <c r="AKM335" s="18"/>
      <c r="AKN335" s="18"/>
      <c r="AKO335" s="18"/>
      <c r="AKP335" s="18"/>
      <c r="AKQ335" s="18"/>
      <c r="AKR335" s="18"/>
      <c r="AKS335" s="18"/>
      <c r="AKT335" s="18"/>
      <c r="AKU335" s="18"/>
      <c r="AKV335" s="18"/>
      <c r="AKW335" s="18"/>
      <c r="AKX335" s="18"/>
      <c r="AKY335" s="18"/>
      <c r="AKZ335" s="18"/>
      <c r="ALA335" s="18"/>
      <c r="ALB335" s="18"/>
      <c r="ALC335" s="18"/>
      <c r="ALD335" s="18"/>
      <c r="ALE335" s="18"/>
      <c r="ALF335" s="18"/>
      <c r="ALG335" s="18"/>
      <c r="ALH335" s="18"/>
      <c r="ALI335" s="18"/>
      <c r="ALJ335" s="18"/>
      <c r="ALK335" s="18"/>
      <c r="ALL335" s="18"/>
      <c r="ALM335" s="18"/>
      <c r="ALN335" s="18"/>
      <c r="ALO335" s="18"/>
      <c r="ALP335" s="18"/>
      <c r="ALQ335" s="18"/>
      <c r="ALR335" s="18"/>
      <c r="ALS335" s="18"/>
      <c r="ALT335" s="18"/>
      <c r="ALU335" s="18"/>
      <c r="ALV335" s="18"/>
      <c r="ALW335" s="18"/>
      <c r="ALX335" s="18"/>
      <c r="ALY335" s="18"/>
      <c r="ALZ335" s="18"/>
      <c r="AMA335" s="18"/>
      <c r="AMB335" s="18"/>
      <c r="AMC335" s="18"/>
      <c r="AMD335" s="18"/>
      <c r="AME335" s="18"/>
      <c r="AMF335" s="18"/>
      <c r="AMG335" s="18"/>
      <c r="AMH335" s="18"/>
      <c r="AMI335" s="18"/>
      <c r="AMJ335" s="18"/>
    </row>
    <row r="336" spans="1:1024" s="11" customFormat="1" ht="27.6">
      <c r="A336" s="8" t="s">
        <v>327</v>
      </c>
      <c r="B336" s="8">
        <v>789082</v>
      </c>
      <c r="C336"/>
      <c r="D336" s="29"/>
      <c r="E336" s="1">
        <v>0</v>
      </c>
      <c r="F336" s="8">
        <v>6</v>
      </c>
      <c r="G336" s="30">
        <f t="shared" si="18"/>
        <v>3.5</v>
      </c>
      <c r="H336" s="8">
        <f t="shared" si="17"/>
        <v>2.5</v>
      </c>
      <c r="I336">
        <f t="shared" si="19"/>
        <v>2.5</v>
      </c>
      <c r="J336">
        <f>SUMIF(Oeffentlichkeitsarbeit!$D:$D,$B336,Oeffentlichkeitsarbeit!$F:$F)</f>
        <v>0</v>
      </c>
      <c r="K336">
        <f>COUNTIF(Fairteiler!$D:$D,$B336)*1/2</f>
        <v>2.5</v>
      </c>
      <c r="L336">
        <f>COUNTIF('NP-Betrieb'!D:D,$B336)*1/3</f>
        <v>0</v>
      </c>
      <c r="M336">
        <f>COUNTIF(Fairteilungen!$D:$D,$B336)*3/4</f>
        <v>0</v>
      </c>
      <c r="N336">
        <f>COUNTIF(Anlieferung!D:D,$B336)*1/2</f>
        <v>0</v>
      </c>
      <c r="O336">
        <f>COUNTIF(Probeabholungen!B:B,$B336)*1/3</f>
        <v>0</v>
      </c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DV336"/>
      <c r="DW336"/>
      <c r="DX336"/>
      <c r="DY336"/>
      <c r="DZ336"/>
      <c r="EA336"/>
      <c r="EB336"/>
      <c r="EC336"/>
      <c r="ED336"/>
      <c r="EE336"/>
      <c r="EF336"/>
      <c r="EG336"/>
      <c r="EH336"/>
      <c r="EI336"/>
      <c r="EJ336"/>
      <c r="EK336"/>
      <c r="EL336"/>
      <c r="EM336"/>
      <c r="EN336"/>
      <c r="EO336"/>
      <c r="EP336"/>
      <c r="EQ336"/>
      <c r="ER336"/>
      <c r="ES336"/>
      <c r="ET336"/>
      <c r="EU336"/>
      <c r="EV336"/>
      <c r="EW336"/>
      <c r="EX336"/>
      <c r="EY336"/>
      <c r="EZ336"/>
      <c r="FA336"/>
      <c r="FB336"/>
      <c r="FC336"/>
      <c r="FD336"/>
      <c r="FE336"/>
      <c r="FF336"/>
      <c r="FG336"/>
      <c r="FH336"/>
      <c r="FI336"/>
      <c r="FJ336"/>
      <c r="FK336"/>
      <c r="FL336"/>
      <c r="FM336"/>
      <c r="FN336"/>
      <c r="FO336"/>
      <c r="FP336"/>
      <c r="FQ336"/>
      <c r="FR336"/>
      <c r="FS336"/>
      <c r="FT336"/>
      <c r="FU336"/>
      <c r="FV336"/>
      <c r="FW336"/>
      <c r="FX336"/>
      <c r="FY336"/>
      <c r="FZ336"/>
      <c r="GA336"/>
      <c r="GB336"/>
      <c r="GC336"/>
      <c r="GD336"/>
      <c r="GE336"/>
      <c r="GF336"/>
      <c r="GG336"/>
      <c r="GH336"/>
      <c r="GI336"/>
      <c r="GJ336"/>
      <c r="GK336"/>
      <c r="GL336"/>
      <c r="GM336"/>
      <c r="GN336"/>
      <c r="GO336"/>
      <c r="GP336"/>
      <c r="GQ336"/>
      <c r="GR336"/>
      <c r="GS336"/>
      <c r="GT336"/>
      <c r="GU336"/>
      <c r="GV336"/>
      <c r="GW336"/>
      <c r="GX336"/>
      <c r="GY336"/>
      <c r="GZ336"/>
      <c r="HA336"/>
      <c r="HB336"/>
      <c r="HC336"/>
      <c r="HD336"/>
      <c r="HE336"/>
      <c r="HF336"/>
      <c r="HG336"/>
      <c r="HH336"/>
      <c r="HI336"/>
      <c r="HJ336"/>
      <c r="HK336"/>
      <c r="HL336"/>
      <c r="HM336"/>
      <c r="HN336"/>
      <c r="HO336"/>
      <c r="HP336"/>
      <c r="HQ336"/>
      <c r="HR336"/>
      <c r="HS336"/>
      <c r="HT336"/>
      <c r="HU336"/>
      <c r="HV336"/>
      <c r="HW336"/>
      <c r="HX336"/>
      <c r="HY336"/>
      <c r="HZ336"/>
      <c r="IA336"/>
      <c r="IB336"/>
      <c r="IC336"/>
      <c r="ID336"/>
      <c r="IE336"/>
      <c r="IF336"/>
      <c r="IG336"/>
      <c r="IH336"/>
      <c r="II336"/>
      <c r="IJ336"/>
      <c r="IK336"/>
      <c r="IL336"/>
      <c r="IM336"/>
      <c r="IN336"/>
      <c r="IO336"/>
      <c r="IP336"/>
      <c r="IQ336"/>
      <c r="IR336"/>
      <c r="IS336"/>
      <c r="IT336"/>
      <c r="IU336"/>
      <c r="IV336"/>
      <c r="IW336"/>
      <c r="IX336"/>
      <c r="IY336"/>
      <c r="IZ336"/>
      <c r="JA336"/>
      <c r="JB336"/>
      <c r="JC336"/>
      <c r="JD336"/>
      <c r="JE336"/>
      <c r="JF336"/>
      <c r="JG336"/>
      <c r="JH336"/>
      <c r="JI336"/>
      <c r="JJ336"/>
      <c r="JK336"/>
      <c r="JL336"/>
      <c r="JM336"/>
      <c r="JN336"/>
      <c r="JO336"/>
      <c r="JP336"/>
      <c r="JQ336"/>
      <c r="JR336"/>
      <c r="JS336"/>
      <c r="JT336"/>
      <c r="JU336"/>
      <c r="JV336"/>
      <c r="JW336"/>
      <c r="JX336"/>
      <c r="JY336"/>
      <c r="JZ336"/>
      <c r="KA336"/>
      <c r="KB336"/>
      <c r="KC336"/>
      <c r="KD336"/>
      <c r="KE336"/>
      <c r="KF336"/>
      <c r="KG336"/>
      <c r="KH336"/>
      <c r="KI336"/>
      <c r="KJ336"/>
      <c r="KK336"/>
      <c r="KL336"/>
      <c r="KM336"/>
      <c r="KN336"/>
      <c r="KO336"/>
      <c r="KP336"/>
      <c r="KQ336"/>
      <c r="KR336"/>
      <c r="KS336"/>
      <c r="KT336"/>
      <c r="KU336"/>
      <c r="KV336"/>
      <c r="KW336"/>
      <c r="KX336"/>
      <c r="KY336"/>
      <c r="KZ336"/>
      <c r="LA336"/>
      <c r="LB336"/>
      <c r="LC336"/>
      <c r="LD336"/>
      <c r="LE336"/>
      <c r="LF336"/>
      <c r="LG336"/>
      <c r="LH336"/>
      <c r="LI336"/>
      <c r="LJ336"/>
      <c r="LK336"/>
      <c r="LL336"/>
      <c r="LM336"/>
      <c r="LN336"/>
      <c r="LO336"/>
      <c r="LP336"/>
      <c r="LQ336"/>
      <c r="LR336"/>
      <c r="LS336"/>
      <c r="LT336"/>
      <c r="LU336"/>
      <c r="LV336"/>
      <c r="LW336"/>
      <c r="LX336"/>
      <c r="LY336"/>
      <c r="LZ336"/>
      <c r="MA336"/>
      <c r="MB336"/>
      <c r="MC336"/>
      <c r="MD336"/>
      <c r="ME336"/>
      <c r="MF336"/>
      <c r="MG336"/>
      <c r="MH336"/>
      <c r="MI336"/>
      <c r="MJ336"/>
      <c r="MK336"/>
      <c r="ML336"/>
      <c r="MM336"/>
      <c r="MN336"/>
      <c r="MO336"/>
      <c r="MP336"/>
      <c r="MQ336"/>
      <c r="MR336"/>
      <c r="MS336"/>
      <c r="MT336"/>
      <c r="MU336"/>
      <c r="MV336"/>
      <c r="MW336"/>
      <c r="MX336"/>
      <c r="MY336"/>
      <c r="MZ336"/>
      <c r="NA336"/>
      <c r="NB336"/>
      <c r="NC336"/>
      <c r="ND336"/>
      <c r="NE336"/>
      <c r="NF336"/>
      <c r="NG336"/>
      <c r="NH336"/>
      <c r="NI336"/>
      <c r="NJ336"/>
      <c r="NK336"/>
      <c r="NL336"/>
      <c r="NM336"/>
      <c r="NN336"/>
      <c r="NO336"/>
      <c r="NP336"/>
      <c r="NQ336"/>
      <c r="NR336"/>
      <c r="NS336"/>
      <c r="NT336"/>
      <c r="NU336"/>
      <c r="NV336"/>
      <c r="NW336"/>
      <c r="NX336"/>
      <c r="NY336"/>
      <c r="NZ336"/>
      <c r="OA336"/>
      <c r="OB336"/>
      <c r="OC336"/>
      <c r="OD336"/>
      <c r="OE336"/>
      <c r="OF336"/>
      <c r="OG336"/>
      <c r="OH336"/>
      <c r="OI336"/>
      <c r="OJ336"/>
      <c r="OK336"/>
      <c r="OL336"/>
      <c r="OM336"/>
      <c r="ON336"/>
      <c r="OO336"/>
      <c r="OP336"/>
      <c r="OQ336"/>
      <c r="OR336"/>
      <c r="OS336"/>
      <c r="OT336"/>
      <c r="OU336"/>
      <c r="OV336"/>
      <c r="OW336"/>
      <c r="OX336"/>
      <c r="OY336"/>
      <c r="OZ336"/>
      <c r="PA336"/>
      <c r="PB336"/>
      <c r="PC336"/>
      <c r="PD336"/>
      <c r="PE336"/>
      <c r="PF336"/>
      <c r="PG336"/>
      <c r="PH336"/>
      <c r="PI336"/>
      <c r="PJ336"/>
      <c r="PK336"/>
      <c r="PL336"/>
      <c r="PM336"/>
      <c r="PN336"/>
      <c r="PO336"/>
      <c r="PP336"/>
      <c r="PQ336"/>
      <c r="PR336"/>
      <c r="PS336"/>
      <c r="PT336"/>
      <c r="PU336"/>
      <c r="PV336"/>
      <c r="PW336"/>
      <c r="PX336"/>
      <c r="PY336"/>
      <c r="PZ336"/>
      <c r="QA336"/>
      <c r="QB336"/>
      <c r="QC336"/>
      <c r="QD336"/>
      <c r="QE336"/>
      <c r="QF336"/>
      <c r="QG336"/>
      <c r="QH336"/>
      <c r="QI336"/>
      <c r="QJ336"/>
      <c r="QK336"/>
      <c r="QL336"/>
      <c r="QM336"/>
      <c r="QN336"/>
      <c r="QO336"/>
      <c r="QP336"/>
      <c r="QQ336"/>
      <c r="QR336"/>
      <c r="QS336"/>
      <c r="QT336"/>
      <c r="QU336"/>
      <c r="QV336"/>
      <c r="QW336"/>
      <c r="QX336"/>
      <c r="QY336"/>
      <c r="QZ336"/>
      <c r="RA336"/>
      <c r="RB336"/>
      <c r="RC336"/>
      <c r="RD336"/>
      <c r="RE336"/>
      <c r="RF336"/>
      <c r="RG336"/>
      <c r="RH336"/>
      <c r="RI336"/>
      <c r="RJ336"/>
      <c r="RK336"/>
      <c r="RL336"/>
      <c r="RM336"/>
      <c r="RN336"/>
      <c r="RO336"/>
      <c r="RP336"/>
      <c r="RQ336"/>
      <c r="RR336"/>
      <c r="RS336"/>
      <c r="RT336"/>
      <c r="RU336"/>
      <c r="RV336"/>
      <c r="RW336"/>
      <c r="RX336"/>
      <c r="RY336"/>
      <c r="RZ336"/>
      <c r="SA336"/>
      <c r="SB336"/>
      <c r="SC336"/>
      <c r="SD336"/>
      <c r="SE336"/>
      <c r="SF336"/>
      <c r="SG336"/>
      <c r="SH336"/>
      <c r="SI336"/>
      <c r="SJ336"/>
      <c r="SK336"/>
      <c r="SL336"/>
      <c r="SM336"/>
      <c r="SN336"/>
      <c r="SO336"/>
      <c r="SP336"/>
      <c r="SQ336"/>
      <c r="SR336"/>
      <c r="SS336"/>
      <c r="ST336"/>
      <c r="SU336"/>
      <c r="SV336"/>
      <c r="SW336"/>
      <c r="SX336"/>
      <c r="SY336"/>
      <c r="SZ336"/>
      <c r="TA336"/>
      <c r="TB336"/>
      <c r="TC336"/>
      <c r="TD336"/>
      <c r="TE336"/>
      <c r="TF336"/>
      <c r="TG336"/>
      <c r="TH336"/>
      <c r="TI336"/>
      <c r="TJ336"/>
      <c r="TK336"/>
      <c r="TL336"/>
      <c r="TM336"/>
      <c r="TN336"/>
      <c r="TO336"/>
      <c r="TP336"/>
      <c r="TQ336"/>
      <c r="TR336"/>
      <c r="TS336"/>
      <c r="TT336"/>
      <c r="TU336"/>
      <c r="TV336"/>
      <c r="TW336"/>
      <c r="TX336"/>
      <c r="TY336"/>
      <c r="TZ336"/>
      <c r="UA336"/>
      <c r="UB336"/>
      <c r="UC336"/>
      <c r="UD336"/>
      <c r="UE336"/>
      <c r="UF336"/>
      <c r="UG336"/>
      <c r="UH336"/>
      <c r="UI336"/>
      <c r="UJ336"/>
      <c r="UK336"/>
      <c r="UL336"/>
      <c r="UM336"/>
      <c r="UN336"/>
      <c r="UO336"/>
      <c r="UP336"/>
      <c r="UQ336"/>
      <c r="UR336"/>
      <c r="US336"/>
      <c r="UT336"/>
      <c r="UU336"/>
      <c r="UV336"/>
      <c r="UW336"/>
      <c r="UX336"/>
      <c r="UY336"/>
      <c r="UZ336"/>
      <c r="VA336"/>
      <c r="VB336"/>
      <c r="VC336"/>
      <c r="VD336"/>
      <c r="VE336"/>
      <c r="VF336"/>
      <c r="VG336"/>
      <c r="VH336"/>
      <c r="VI336"/>
      <c r="VJ336"/>
      <c r="VK336"/>
      <c r="VL336"/>
      <c r="VM336"/>
      <c r="VN336"/>
      <c r="VO336"/>
      <c r="VP336"/>
      <c r="VQ336"/>
      <c r="VR336"/>
      <c r="VS336"/>
      <c r="VT336"/>
      <c r="VU336"/>
      <c r="VV336"/>
      <c r="VW336"/>
      <c r="VX336"/>
      <c r="VY336"/>
      <c r="VZ336"/>
      <c r="WA336"/>
      <c r="WB336"/>
      <c r="WC336"/>
      <c r="WD336"/>
      <c r="WE336"/>
      <c r="WF336"/>
      <c r="WG336"/>
      <c r="WH336"/>
      <c r="WI336"/>
      <c r="WJ336"/>
      <c r="WK336"/>
      <c r="WL336"/>
      <c r="WM336"/>
      <c r="WN336"/>
      <c r="WO336"/>
      <c r="WP336"/>
      <c r="WQ336"/>
      <c r="WR336"/>
      <c r="WS336"/>
      <c r="WT336"/>
      <c r="WU336"/>
      <c r="WV336"/>
      <c r="WW336"/>
      <c r="WX336"/>
      <c r="WY336"/>
      <c r="WZ336"/>
      <c r="XA336"/>
      <c r="XB336"/>
      <c r="XC336"/>
      <c r="XD336"/>
      <c r="XE336"/>
      <c r="XF336"/>
      <c r="XG336"/>
      <c r="XH336"/>
      <c r="XI336"/>
      <c r="XJ336"/>
      <c r="XK336"/>
      <c r="XL336"/>
      <c r="XM336"/>
      <c r="XN336"/>
      <c r="XO336"/>
      <c r="XP336"/>
      <c r="XQ336"/>
      <c r="XR336"/>
      <c r="XS336"/>
      <c r="XT336"/>
      <c r="XU336"/>
      <c r="XV336"/>
      <c r="XW336"/>
      <c r="XX336"/>
      <c r="XY336"/>
      <c r="XZ336"/>
      <c r="YA336"/>
      <c r="YB336"/>
      <c r="YC336"/>
      <c r="YD336"/>
      <c r="YE336"/>
      <c r="YF336"/>
      <c r="YG336"/>
      <c r="YH336"/>
      <c r="YI336"/>
      <c r="YJ336"/>
      <c r="YK336"/>
      <c r="YL336"/>
      <c r="YM336"/>
      <c r="YN336"/>
      <c r="YO336"/>
      <c r="YP336"/>
      <c r="YQ336"/>
      <c r="YR336"/>
      <c r="YS336"/>
      <c r="YT336"/>
      <c r="YU336"/>
      <c r="YV336"/>
      <c r="YW336"/>
      <c r="YX336"/>
      <c r="YY336"/>
      <c r="YZ336"/>
      <c r="ZA336"/>
      <c r="ZB336"/>
      <c r="ZC336"/>
      <c r="ZD336"/>
      <c r="ZE336"/>
      <c r="ZF336"/>
      <c r="ZG336"/>
      <c r="ZH336"/>
      <c r="ZI336"/>
      <c r="ZJ336"/>
      <c r="ZK336"/>
      <c r="ZL336"/>
      <c r="ZM336"/>
      <c r="ZN336"/>
      <c r="ZO336"/>
      <c r="ZP336"/>
      <c r="ZQ336"/>
      <c r="ZR336"/>
      <c r="ZS336"/>
      <c r="ZT336"/>
      <c r="ZU336"/>
      <c r="ZV336"/>
      <c r="ZW336"/>
      <c r="ZX336"/>
      <c r="ZY336"/>
      <c r="ZZ336"/>
      <c r="AAA336"/>
      <c r="AAB336"/>
      <c r="AAC336"/>
      <c r="AAD336"/>
      <c r="AAE336"/>
      <c r="AAF336"/>
      <c r="AAG336"/>
      <c r="AAH336"/>
      <c r="AAI336"/>
      <c r="AAJ336"/>
      <c r="AAK336"/>
      <c r="AAL336"/>
      <c r="AAM336"/>
      <c r="AAN336"/>
      <c r="AAO336"/>
      <c r="AAP336"/>
      <c r="AAQ336"/>
      <c r="AAR336"/>
      <c r="AAS336"/>
      <c r="AAT336"/>
      <c r="AAU336"/>
      <c r="AAV336"/>
      <c r="AAW336"/>
      <c r="AAX336"/>
      <c r="AAY336"/>
      <c r="AAZ336"/>
      <c r="ABA336"/>
      <c r="ABB336"/>
      <c r="ABC336"/>
      <c r="ABD336"/>
      <c r="ABE336"/>
      <c r="ABF336"/>
      <c r="ABG336"/>
      <c r="ABH336"/>
      <c r="ABI336"/>
      <c r="ABJ336"/>
      <c r="ABK336"/>
      <c r="ABL336"/>
      <c r="ABM336"/>
      <c r="ABN336"/>
      <c r="ABO336"/>
      <c r="ABP336"/>
      <c r="ABQ336"/>
      <c r="ABR336"/>
      <c r="ABS336"/>
      <c r="ABT336"/>
      <c r="ABU336"/>
      <c r="ABV336"/>
      <c r="ABW336"/>
      <c r="ABX336"/>
      <c r="ABY336"/>
      <c r="ABZ336"/>
      <c r="ACA336"/>
      <c r="ACB336"/>
      <c r="ACC336"/>
      <c r="ACD336"/>
      <c r="ACE336"/>
      <c r="ACF336"/>
      <c r="ACG336"/>
      <c r="ACH336"/>
      <c r="ACI336"/>
      <c r="ACJ336"/>
      <c r="ACK336"/>
      <c r="ACL336"/>
      <c r="ACM336"/>
      <c r="ACN336"/>
      <c r="ACO336"/>
      <c r="ACP336"/>
      <c r="ACQ336"/>
      <c r="ACR336"/>
      <c r="ACS336"/>
      <c r="ACT336"/>
      <c r="ACU336"/>
      <c r="ACV336"/>
      <c r="ACW336"/>
      <c r="ACX336"/>
      <c r="ACY336"/>
      <c r="ACZ336"/>
      <c r="ADA336"/>
      <c r="ADB336"/>
      <c r="ADC336"/>
      <c r="ADD336"/>
      <c r="ADE336"/>
      <c r="ADF336"/>
      <c r="ADG336"/>
      <c r="ADH336"/>
      <c r="ADI336"/>
      <c r="ADJ336"/>
      <c r="ADK336"/>
      <c r="ADL336"/>
      <c r="ADM336"/>
      <c r="ADN336"/>
      <c r="ADO336"/>
      <c r="ADP336"/>
      <c r="ADQ336"/>
      <c r="ADR336"/>
      <c r="ADS336"/>
      <c r="ADT336"/>
      <c r="ADU336"/>
      <c r="ADV336"/>
      <c r="ADW336"/>
      <c r="ADX336"/>
      <c r="ADY336"/>
      <c r="ADZ336"/>
      <c r="AEA336"/>
      <c r="AEB336"/>
      <c r="AEC336"/>
      <c r="AED336"/>
      <c r="AEE336"/>
      <c r="AEF336"/>
      <c r="AEG336"/>
      <c r="AEH336"/>
      <c r="AEI336"/>
      <c r="AEJ336"/>
      <c r="AEK336"/>
      <c r="AEL336"/>
      <c r="AEM336"/>
      <c r="AEN336"/>
      <c r="AEO336"/>
      <c r="AEP336"/>
      <c r="AEQ336"/>
      <c r="AER336"/>
      <c r="AES336"/>
      <c r="AET336"/>
      <c r="AEU336"/>
      <c r="AEV336"/>
      <c r="AEW336"/>
      <c r="AEX336"/>
      <c r="AEY336"/>
      <c r="AEZ336"/>
      <c r="AFA336"/>
      <c r="AFB336"/>
      <c r="AFC336"/>
      <c r="AFD336"/>
      <c r="AFE336"/>
      <c r="AFF336"/>
      <c r="AFG336"/>
      <c r="AFH336"/>
      <c r="AFI336"/>
      <c r="AFJ336"/>
      <c r="AFK336"/>
      <c r="AFL336"/>
      <c r="AFM336"/>
      <c r="AFN336"/>
      <c r="AFO336"/>
      <c r="AFP336"/>
      <c r="AFQ336"/>
      <c r="AFR336"/>
      <c r="AFS336"/>
      <c r="AFT336"/>
      <c r="AFU336"/>
      <c r="AFV336"/>
      <c r="AFW336"/>
      <c r="AFX336"/>
      <c r="AFY336"/>
      <c r="AFZ336"/>
      <c r="AGA336"/>
      <c r="AGB336"/>
      <c r="AGC336"/>
      <c r="AGD336"/>
      <c r="AGE336"/>
      <c r="AGF336"/>
      <c r="AGG336"/>
      <c r="AGH336"/>
      <c r="AGI336"/>
      <c r="AGJ336"/>
      <c r="AGK336"/>
      <c r="AGL336"/>
      <c r="AGM336"/>
      <c r="AGN336"/>
      <c r="AGO336"/>
      <c r="AGP336"/>
      <c r="AGQ336"/>
      <c r="AGR336"/>
      <c r="AGS336"/>
      <c r="AGT336"/>
      <c r="AGU336"/>
      <c r="AGV336"/>
      <c r="AGW336"/>
      <c r="AGX336"/>
      <c r="AGY336"/>
      <c r="AGZ336"/>
      <c r="AHA336"/>
      <c r="AHB336"/>
      <c r="AHC336"/>
      <c r="AHD336"/>
      <c r="AHE336"/>
      <c r="AHF336"/>
      <c r="AHG336"/>
      <c r="AHH336"/>
      <c r="AHI336"/>
      <c r="AHJ336"/>
      <c r="AHK336"/>
      <c r="AHL336"/>
      <c r="AHM336"/>
      <c r="AHN336"/>
      <c r="AHO336"/>
      <c r="AHP336"/>
      <c r="AHQ336"/>
      <c r="AHR336"/>
      <c r="AHS336"/>
      <c r="AHT336"/>
      <c r="AHU336"/>
      <c r="AHV336"/>
      <c r="AHW336"/>
      <c r="AHX336"/>
      <c r="AHY336"/>
      <c r="AHZ336"/>
      <c r="AIA336"/>
      <c r="AIB336"/>
      <c r="AIC336"/>
      <c r="AID336"/>
      <c r="AIE336"/>
      <c r="AIF336"/>
      <c r="AIG336"/>
      <c r="AIH336"/>
      <c r="AII336"/>
      <c r="AIJ336"/>
      <c r="AIK336"/>
      <c r="AIL336"/>
      <c r="AIM336"/>
      <c r="AIN336"/>
      <c r="AIO336"/>
      <c r="AIP336"/>
      <c r="AIQ336"/>
      <c r="AIR336"/>
      <c r="AIS336"/>
      <c r="AIT336"/>
      <c r="AIU336"/>
      <c r="AIV336"/>
      <c r="AIW336"/>
      <c r="AIX336"/>
      <c r="AIY336"/>
      <c r="AIZ336"/>
      <c r="AJA336"/>
      <c r="AJB336"/>
      <c r="AJC336"/>
      <c r="AJD336"/>
      <c r="AJE336"/>
      <c r="AJF336"/>
      <c r="AJG336"/>
      <c r="AJH336"/>
      <c r="AJI336"/>
      <c r="AJJ336"/>
      <c r="AJK336"/>
      <c r="AJL336"/>
      <c r="AJM336"/>
      <c r="AJN336"/>
      <c r="AJO336"/>
      <c r="AJP336"/>
      <c r="AJQ336"/>
      <c r="AJR336"/>
      <c r="AJS336"/>
      <c r="AJT336"/>
      <c r="AJU336"/>
      <c r="AJV336"/>
      <c r="AJW336"/>
      <c r="AJX336"/>
      <c r="AJY336"/>
      <c r="AJZ336"/>
      <c r="AKA336"/>
      <c r="AKB336"/>
      <c r="AKC336"/>
      <c r="AKD336"/>
      <c r="AKE336"/>
      <c r="AKF336"/>
      <c r="AKG336"/>
      <c r="AKH336"/>
      <c r="AKI336"/>
      <c r="AKJ336"/>
      <c r="AKK336"/>
      <c r="AKL336"/>
      <c r="AKM336"/>
      <c r="AKN336"/>
      <c r="AKO336"/>
      <c r="AKP336"/>
      <c r="AKQ336"/>
      <c r="AKR336"/>
      <c r="AKS336"/>
      <c r="AKT336"/>
      <c r="AKU336"/>
      <c r="AKV336"/>
      <c r="AKW336"/>
      <c r="AKX336"/>
      <c r="AKY336"/>
      <c r="AKZ336"/>
      <c r="ALA336"/>
      <c r="ALB336"/>
      <c r="ALC336"/>
      <c r="ALD336"/>
      <c r="ALE336"/>
      <c r="ALF336"/>
      <c r="ALG336"/>
      <c r="ALH336"/>
      <c r="ALI336"/>
      <c r="ALJ336"/>
      <c r="ALK336"/>
      <c r="ALL336"/>
      <c r="ALM336"/>
      <c r="ALN336"/>
      <c r="ALO336"/>
      <c r="ALP336"/>
      <c r="ALQ336"/>
      <c r="ALR336"/>
      <c r="ALS336"/>
      <c r="ALT336"/>
      <c r="ALU336"/>
      <c r="ALV336"/>
      <c r="ALW336"/>
      <c r="ALX336"/>
      <c r="ALY336"/>
      <c r="ALZ336"/>
      <c r="AMA336"/>
      <c r="AMB336"/>
      <c r="AMC336"/>
      <c r="AMD336"/>
      <c r="AME336"/>
      <c r="AMF336"/>
      <c r="AMG336"/>
      <c r="AMH336"/>
      <c r="AMI336"/>
      <c r="AMJ336"/>
    </row>
    <row r="337" spans="1:1024" ht="27.6">
      <c r="A337" s="8" t="s">
        <v>328</v>
      </c>
      <c r="B337" s="8">
        <v>185445</v>
      </c>
      <c r="D337" s="29"/>
      <c r="E337" s="1">
        <v>11</v>
      </c>
      <c r="F337" s="8">
        <v>6</v>
      </c>
      <c r="G337" s="30">
        <f t="shared" si="18"/>
        <v>17</v>
      </c>
      <c r="H337" s="8">
        <f t="shared" si="17"/>
        <v>-11</v>
      </c>
      <c r="I337">
        <f t="shared" si="19"/>
        <v>0</v>
      </c>
      <c r="J337">
        <f>SUMIF(Oeffentlichkeitsarbeit!$D:$D,$B337,Oeffentlichkeitsarbeit!$F:$F)</f>
        <v>0</v>
      </c>
      <c r="K337">
        <f>COUNTIF(Fairteiler!$D:$D,$B337)*1/2</f>
        <v>0</v>
      </c>
      <c r="L337">
        <f>COUNTIF('NP-Betrieb'!D:D,$B337)*1/3</f>
        <v>0</v>
      </c>
      <c r="M337">
        <f>COUNTIF(Fairteilungen!$D:$D,$B337)*3/4</f>
        <v>0</v>
      </c>
      <c r="N337">
        <f>COUNTIF(Anlieferung!D:D,$B337)*1/2</f>
        <v>0</v>
      </c>
      <c r="O337">
        <f>COUNTIF(Probeabholungen!B:B,$B337)*1/3</f>
        <v>0</v>
      </c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  <c r="BM337" s="11"/>
      <c r="BN337" s="11"/>
      <c r="BO337" s="11"/>
      <c r="BP337" s="11"/>
      <c r="BQ337" s="11"/>
      <c r="BR337" s="11"/>
      <c r="BS337" s="11"/>
      <c r="BT337" s="11"/>
      <c r="BU337" s="11"/>
      <c r="BV337" s="11"/>
      <c r="BW337" s="11"/>
      <c r="BX337" s="11"/>
      <c r="BY337" s="11"/>
      <c r="BZ337" s="11"/>
      <c r="CA337" s="11"/>
      <c r="CB337" s="11"/>
      <c r="CC337" s="11"/>
      <c r="CD337" s="11"/>
      <c r="CE337" s="11"/>
      <c r="CF337" s="11"/>
      <c r="CG337" s="11"/>
      <c r="CH337" s="11"/>
      <c r="CI337" s="11"/>
      <c r="CJ337" s="11"/>
      <c r="CK337" s="11"/>
      <c r="CL337" s="11"/>
      <c r="CM337" s="11"/>
      <c r="CN337" s="11"/>
      <c r="CO337" s="11"/>
      <c r="CP337" s="11"/>
      <c r="CQ337" s="11"/>
      <c r="CR337" s="11"/>
      <c r="CS337" s="11"/>
      <c r="CT337" s="11"/>
      <c r="CU337" s="11"/>
      <c r="CV337" s="11"/>
      <c r="CW337" s="11"/>
      <c r="CX337" s="11"/>
      <c r="CY337" s="11"/>
      <c r="CZ337" s="11"/>
      <c r="DA337" s="11"/>
      <c r="DB337" s="11"/>
      <c r="DC337" s="11"/>
      <c r="DD337" s="11"/>
      <c r="DE337" s="11"/>
      <c r="DF337" s="11"/>
      <c r="DG337" s="11"/>
      <c r="DH337" s="11"/>
      <c r="DI337" s="11"/>
      <c r="DJ337" s="11"/>
      <c r="DK337" s="11"/>
      <c r="DL337" s="11"/>
      <c r="DM337" s="11"/>
      <c r="DN337" s="11"/>
      <c r="DO337" s="11"/>
      <c r="DP337" s="11"/>
      <c r="DQ337" s="11"/>
      <c r="DR337" s="11"/>
      <c r="DS337" s="11"/>
      <c r="DT337" s="11"/>
      <c r="DU337" s="11"/>
      <c r="DV337" s="11"/>
      <c r="DW337" s="11"/>
      <c r="DX337" s="11"/>
      <c r="DY337" s="11"/>
      <c r="DZ337" s="11"/>
      <c r="EA337" s="11"/>
      <c r="EB337" s="11"/>
      <c r="EC337" s="11"/>
      <c r="ED337" s="11"/>
      <c r="EE337" s="11"/>
      <c r="EF337" s="11"/>
      <c r="EG337" s="11"/>
      <c r="EH337" s="11"/>
      <c r="EI337" s="11"/>
      <c r="EJ337" s="11"/>
      <c r="EK337" s="11"/>
      <c r="EL337" s="11"/>
      <c r="EM337" s="11"/>
      <c r="EN337" s="11"/>
      <c r="EO337" s="11"/>
      <c r="EP337" s="11"/>
      <c r="EQ337" s="11"/>
      <c r="ER337" s="11"/>
      <c r="ES337" s="11"/>
      <c r="ET337" s="11"/>
      <c r="EU337" s="11"/>
      <c r="EV337" s="11"/>
      <c r="EW337" s="11"/>
      <c r="EX337" s="11"/>
      <c r="EY337" s="11"/>
      <c r="EZ337" s="11"/>
      <c r="FA337" s="11"/>
      <c r="FB337" s="11"/>
      <c r="FC337" s="11"/>
      <c r="FD337" s="11"/>
      <c r="FE337" s="11"/>
      <c r="FF337" s="11"/>
      <c r="FG337" s="11"/>
      <c r="FH337" s="11"/>
      <c r="FI337" s="11"/>
      <c r="FJ337" s="11"/>
      <c r="FK337" s="11"/>
      <c r="FL337" s="11"/>
      <c r="FM337" s="11"/>
      <c r="FN337" s="11"/>
      <c r="FO337" s="11"/>
      <c r="FP337" s="11"/>
      <c r="FQ337" s="11"/>
      <c r="FR337" s="11"/>
      <c r="FS337" s="11"/>
      <c r="FT337" s="11"/>
      <c r="FU337" s="11"/>
      <c r="FV337" s="11"/>
      <c r="FW337" s="11"/>
      <c r="FX337" s="11"/>
      <c r="FY337" s="11"/>
      <c r="FZ337" s="11"/>
      <c r="GA337" s="11"/>
      <c r="GB337" s="11"/>
      <c r="GC337" s="11"/>
      <c r="GD337" s="11"/>
      <c r="GE337" s="11"/>
      <c r="GF337" s="11"/>
      <c r="GG337" s="11"/>
      <c r="GH337" s="11"/>
      <c r="GI337" s="11"/>
      <c r="GJ337" s="11"/>
      <c r="GK337" s="11"/>
      <c r="GL337" s="11"/>
      <c r="GM337" s="11"/>
      <c r="GN337" s="11"/>
      <c r="GO337" s="11"/>
      <c r="GP337" s="11"/>
      <c r="GQ337" s="11"/>
      <c r="GR337" s="11"/>
      <c r="GS337" s="11"/>
      <c r="GT337" s="11"/>
      <c r="GU337" s="11"/>
      <c r="GV337" s="11"/>
      <c r="GW337" s="11"/>
      <c r="GX337" s="11"/>
      <c r="GY337" s="11"/>
      <c r="GZ337" s="11"/>
      <c r="HA337" s="11"/>
      <c r="HB337" s="11"/>
      <c r="HC337" s="11"/>
      <c r="HD337" s="11"/>
      <c r="HE337" s="11"/>
      <c r="HF337" s="11"/>
      <c r="HG337" s="11"/>
      <c r="HH337" s="11"/>
      <c r="HI337" s="11"/>
      <c r="HJ337" s="11"/>
      <c r="HK337" s="11"/>
      <c r="HL337" s="11"/>
      <c r="HM337" s="11"/>
      <c r="HN337" s="11"/>
      <c r="HO337" s="11"/>
      <c r="HP337" s="11"/>
      <c r="HQ337" s="11"/>
      <c r="HR337" s="11"/>
      <c r="HS337" s="11"/>
      <c r="HT337" s="11"/>
      <c r="HU337" s="11"/>
      <c r="HV337" s="11"/>
      <c r="HW337" s="11"/>
      <c r="HX337" s="11"/>
      <c r="HY337" s="11"/>
      <c r="HZ337" s="11"/>
      <c r="IA337" s="11"/>
      <c r="IB337" s="11"/>
      <c r="IC337" s="11"/>
      <c r="ID337" s="11"/>
      <c r="IE337" s="11"/>
      <c r="IF337" s="11"/>
      <c r="IG337" s="11"/>
      <c r="IH337" s="11"/>
      <c r="II337" s="11"/>
      <c r="IJ337" s="11"/>
      <c r="IK337" s="11"/>
      <c r="IL337" s="11"/>
      <c r="IM337" s="11"/>
      <c r="IN337" s="11"/>
      <c r="IO337" s="11"/>
      <c r="IP337" s="11"/>
      <c r="IQ337" s="11"/>
      <c r="IR337" s="11"/>
      <c r="IS337" s="11"/>
      <c r="IT337" s="11"/>
      <c r="IU337" s="11"/>
      <c r="IV337" s="11"/>
      <c r="IW337" s="11"/>
      <c r="IX337" s="11"/>
      <c r="IY337" s="11"/>
      <c r="IZ337" s="11"/>
      <c r="JA337" s="11"/>
      <c r="JB337" s="11"/>
      <c r="JC337" s="11"/>
      <c r="JD337" s="11"/>
      <c r="JE337" s="11"/>
      <c r="JF337" s="11"/>
      <c r="JG337" s="11"/>
      <c r="JH337" s="11"/>
      <c r="JI337" s="11"/>
      <c r="JJ337" s="11"/>
      <c r="JK337" s="11"/>
      <c r="JL337" s="11"/>
      <c r="JM337" s="11"/>
      <c r="JN337" s="11"/>
      <c r="JO337" s="11"/>
      <c r="JP337" s="11"/>
      <c r="JQ337" s="11"/>
      <c r="JR337" s="11"/>
      <c r="JS337" s="11"/>
      <c r="JT337" s="11"/>
      <c r="JU337" s="11"/>
      <c r="JV337" s="11"/>
      <c r="JW337" s="11"/>
      <c r="JX337" s="11"/>
      <c r="JY337" s="11"/>
      <c r="JZ337" s="11"/>
      <c r="KA337" s="11"/>
      <c r="KB337" s="11"/>
      <c r="KC337" s="11"/>
      <c r="KD337" s="11"/>
      <c r="KE337" s="11"/>
      <c r="KF337" s="11"/>
      <c r="KG337" s="11"/>
      <c r="KH337" s="11"/>
      <c r="KI337" s="11"/>
      <c r="KJ337" s="11"/>
      <c r="KK337" s="11"/>
      <c r="KL337" s="11"/>
      <c r="KM337" s="11"/>
      <c r="KN337" s="11"/>
      <c r="KO337" s="11"/>
      <c r="KP337" s="11"/>
      <c r="KQ337" s="11"/>
      <c r="KR337" s="11"/>
      <c r="KS337" s="11"/>
      <c r="KT337" s="11"/>
      <c r="KU337" s="11"/>
      <c r="KV337" s="11"/>
      <c r="KW337" s="11"/>
      <c r="KX337" s="11"/>
      <c r="KY337" s="11"/>
      <c r="KZ337" s="11"/>
      <c r="LA337" s="11"/>
      <c r="LB337" s="11"/>
      <c r="LC337" s="11"/>
      <c r="LD337" s="11"/>
      <c r="LE337" s="11"/>
      <c r="LF337" s="11"/>
      <c r="LG337" s="11"/>
      <c r="LH337" s="11"/>
      <c r="LI337" s="11"/>
      <c r="LJ337" s="11"/>
      <c r="LK337" s="11"/>
      <c r="LL337" s="11"/>
      <c r="LM337" s="11"/>
      <c r="LN337" s="11"/>
      <c r="LO337" s="11"/>
      <c r="LP337" s="11"/>
      <c r="LQ337" s="11"/>
      <c r="LR337" s="11"/>
      <c r="LS337" s="11"/>
      <c r="LT337" s="11"/>
      <c r="LU337" s="11"/>
      <c r="LV337" s="11"/>
      <c r="LW337" s="11"/>
      <c r="LX337" s="11"/>
      <c r="LY337" s="11"/>
      <c r="LZ337" s="11"/>
      <c r="MA337" s="11"/>
      <c r="MB337" s="11"/>
      <c r="MC337" s="11"/>
      <c r="MD337" s="11"/>
      <c r="ME337" s="11"/>
      <c r="MF337" s="11"/>
      <c r="MG337" s="11"/>
      <c r="MH337" s="11"/>
      <c r="MI337" s="11"/>
      <c r="MJ337" s="11"/>
      <c r="MK337" s="11"/>
      <c r="ML337" s="11"/>
      <c r="MM337" s="11"/>
      <c r="MN337" s="11"/>
      <c r="MO337" s="11"/>
      <c r="MP337" s="11"/>
      <c r="MQ337" s="11"/>
      <c r="MR337" s="11"/>
      <c r="MS337" s="11"/>
      <c r="MT337" s="11"/>
      <c r="MU337" s="11"/>
      <c r="MV337" s="11"/>
      <c r="MW337" s="11"/>
      <c r="MX337" s="11"/>
      <c r="MY337" s="11"/>
      <c r="MZ337" s="11"/>
      <c r="NA337" s="11"/>
      <c r="NB337" s="11"/>
      <c r="NC337" s="11"/>
      <c r="ND337" s="11"/>
      <c r="NE337" s="11"/>
      <c r="NF337" s="11"/>
      <c r="NG337" s="11"/>
      <c r="NH337" s="11"/>
      <c r="NI337" s="11"/>
      <c r="NJ337" s="11"/>
      <c r="NK337" s="11"/>
      <c r="NL337" s="11"/>
      <c r="NM337" s="11"/>
      <c r="NN337" s="11"/>
      <c r="NO337" s="11"/>
      <c r="NP337" s="11"/>
      <c r="NQ337" s="11"/>
      <c r="NR337" s="11"/>
      <c r="NS337" s="11"/>
      <c r="NT337" s="11"/>
      <c r="NU337" s="11"/>
      <c r="NV337" s="11"/>
      <c r="NW337" s="11"/>
      <c r="NX337" s="11"/>
      <c r="NY337" s="11"/>
      <c r="NZ337" s="11"/>
      <c r="OA337" s="11"/>
      <c r="OB337" s="11"/>
      <c r="OC337" s="11"/>
      <c r="OD337" s="11"/>
      <c r="OE337" s="11"/>
      <c r="OF337" s="11"/>
      <c r="OG337" s="11"/>
      <c r="OH337" s="11"/>
      <c r="OI337" s="11"/>
      <c r="OJ337" s="11"/>
      <c r="OK337" s="11"/>
      <c r="OL337" s="11"/>
      <c r="OM337" s="11"/>
      <c r="ON337" s="11"/>
      <c r="OO337" s="11"/>
      <c r="OP337" s="11"/>
      <c r="OQ337" s="11"/>
      <c r="OR337" s="11"/>
      <c r="OS337" s="11"/>
      <c r="OT337" s="11"/>
      <c r="OU337" s="11"/>
      <c r="OV337" s="11"/>
      <c r="OW337" s="11"/>
      <c r="OX337" s="11"/>
      <c r="OY337" s="11"/>
      <c r="OZ337" s="11"/>
      <c r="PA337" s="11"/>
      <c r="PB337" s="11"/>
      <c r="PC337" s="11"/>
      <c r="PD337" s="11"/>
      <c r="PE337" s="11"/>
      <c r="PF337" s="11"/>
      <c r="PG337" s="11"/>
      <c r="PH337" s="11"/>
      <c r="PI337" s="11"/>
      <c r="PJ337" s="11"/>
      <c r="PK337" s="11"/>
      <c r="PL337" s="11"/>
      <c r="PM337" s="11"/>
      <c r="PN337" s="11"/>
      <c r="PO337" s="11"/>
      <c r="PP337" s="11"/>
      <c r="PQ337" s="11"/>
      <c r="PR337" s="11"/>
      <c r="PS337" s="11"/>
      <c r="PT337" s="11"/>
      <c r="PU337" s="11"/>
      <c r="PV337" s="11"/>
      <c r="PW337" s="11"/>
      <c r="PX337" s="11"/>
      <c r="PY337" s="11"/>
      <c r="PZ337" s="11"/>
      <c r="QA337" s="11"/>
      <c r="QB337" s="11"/>
      <c r="QC337" s="11"/>
      <c r="QD337" s="11"/>
      <c r="QE337" s="11"/>
      <c r="QF337" s="11"/>
      <c r="QG337" s="11"/>
      <c r="QH337" s="11"/>
      <c r="QI337" s="11"/>
      <c r="QJ337" s="11"/>
      <c r="QK337" s="11"/>
      <c r="QL337" s="11"/>
      <c r="QM337" s="11"/>
      <c r="QN337" s="11"/>
      <c r="QO337" s="11"/>
      <c r="QP337" s="11"/>
      <c r="QQ337" s="11"/>
      <c r="QR337" s="11"/>
      <c r="QS337" s="11"/>
      <c r="QT337" s="11"/>
      <c r="QU337" s="11"/>
      <c r="QV337" s="11"/>
      <c r="QW337" s="11"/>
      <c r="QX337" s="11"/>
      <c r="QY337" s="11"/>
      <c r="QZ337" s="11"/>
      <c r="RA337" s="11"/>
      <c r="RB337" s="11"/>
      <c r="RC337" s="11"/>
      <c r="RD337" s="11"/>
      <c r="RE337" s="11"/>
      <c r="RF337" s="11"/>
      <c r="RG337" s="11"/>
      <c r="RH337" s="11"/>
      <c r="RI337" s="11"/>
      <c r="RJ337" s="11"/>
      <c r="RK337" s="11"/>
      <c r="RL337" s="11"/>
      <c r="RM337" s="11"/>
      <c r="RN337" s="11"/>
      <c r="RO337" s="11"/>
      <c r="RP337" s="11"/>
      <c r="RQ337" s="11"/>
      <c r="RR337" s="11"/>
      <c r="RS337" s="11"/>
      <c r="RT337" s="11"/>
      <c r="RU337" s="11"/>
      <c r="RV337" s="11"/>
      <c r="RW337" s="11"/>
      <c r="RX337" s="11"/>
      <c r="RY337" s="11"/>
      <c r="RZ337" s="11"/>
      <c r="SA337" s="11"/>
      <c r="SB337" s="11"/>
      <c r="SC337" s="11"/>
      <c r="SD337" s="11"/>
      <c r="SE337" s="11"/>
      <c r="SF337" s="11"/>
      <c r="SG337" s="11"/>
      <c r="SH337" s="11"/>
      <c r="SI337" s="11"/>
      <c r="SJ337" s="11"/>
      <c r="SK337" s="11"/>
      <c r="SL337" s="11"/>
      <c r="SM337" s="11"/>
      <c r="SN337" s="11"/>
      <c r="SO337" s="11"/>
      <c r="SP337" s="11"/>
      <c r="SQ337" s="11"/>
      <c r="SR337" s="11"/>
      <c r="SS337" s="11"/>
      <c r="ST337" s="11"/>
      <c r="SU337" s="11"/>
      <c r="SV337" s="11"/>
      <c r="SW337" s="11"/>
      <c r="SX337" s="11"/>
      <c r="SY337" s="11"/>
      <c r="SZ337" s="11"/>
      <c r="TA337" s="11"/>
      <c r="TB337" s="11"/>
      <c r="TC337" s="11"/>
      <c r="TD337" s="11"/>
      <c r="TE337" s="11"/>
      <c r="TF337" s="11"/>
      <c r="TG337" s="11"/>
      <c r="TH337" s="11"/>
      <c r="TI337" s="11"/>
      <c r="TJ337" s="11"/>
      <c r="TK337" s="11"/>
      <c r="TL337" s="11"/>
      <c r="TM337" s="11"/>
      <c r="TN337" s="11"/>
      <c r="TO337" s="11"/>
      <c r="TP337" s="11"/>
      <c r="TQ337" s="11"/>
      <c r="TR337" s="11"/>
      <c r="TS337" s="11"/>
      <c r="TT337" s="11"/>
      <c r="TU337" s="11"/>
      <c r="TV337" s="11"/>
      <c r="TW337" s="11"/>
      <c r="TX337" s="11"/>
      <c r="TY337" s="11"/>
      <c r="TZ337" s="11"/>
      <c r="UA337" s="11"/>
      <c r="UB337" s="11"/>
      <c r="UC337" s="11"/>
      <c r="UD337" s="11"/>
      <c r="UE337" s="11"/>
      <c r="UF337" s="11"/>
      <c r="UG337" s="11"/>
      <c r="UH337" s="11"/>
      <c r="UI337" s="11"/>
      <c r="UJ337" s="11"/>
      <c r="UK337" s="11"/>
      <c r="UL337" s="11"/>
      <c r="UM337" s="11"/>
      <c r="UN337" s="11"/>
      <c r="UO337" s="11"/>
      <c r="UP337" s="11"/>
      <c r="UQ337" s="11"/>
      <c r="UR337" s="11"/>
      <c r="US337" s="11"/>
      <c r="UT337" s="11"/>
      <c r="UU337" s="11"/>
      <c r="UV337" s="11"/>
      <c r="UW337" s="11"/>
      <c r="UX337" s="11"/>
      <c r="UY337" s="11"/>
      <c r="UZ337" s="11"/>
      <c r="VA337" s="11"/>
      <c r="VB337" s="11"/>
      <c r="VC337" s="11"/>
      <c r="VD337" s="11"/>
      <c r="VE337" s="11"/>
      <c r="VF337" s="11"/>
      <c r="VG337" s="11"/>
      <c r="VH337" s="11"/>
      <c r="VI337" s="11"/>
      <c r="VJ337" s="11"/>
      <c r="VK337" s="11"/>
      <c r="VL337" s="11"/>
      <c r="VM337" s="11"/>
      <c r="VN337" s="11"/>
      <c r="VO337" s="11"/>
      <c r="VP337" s="11"/>
      <c r="VQ337" s="11"/>
      <c r="VR337" s="11"/>
      <c r="VS337" s="11"/>
      <c r="VT337" s="11"/>
      <c r="VU337" s="11"/>
      <c r="VV337" s="11"/>
      <c r="VW337" s="11"/>
      <c r="VX337" s="11"/>
      <c r="VY337" s="11"/>
      <c r="VZ337" s="11"/>
      <c r="WA337" s="11"/>
      <c r="WB337" s="11"/>
      <c r="WC337" s="11"/>
      <c r="WD337" s="11"/>
      <c r="WE337" s="11"/>
      <c r="WF337" s="11"/>
      <c r="WG337" s="11"/>
      <c r="WH337" s="11"/>
      <c r="WI337" s="11"/>
      <c r="WJ337" s="11"/>
      <c r="WK337" s="11"/>
      <c r="WL337" s="11"/>
      <c r="WM337" s="11"/>
      <c r="WN337" s="11"/>
      <c r="WO337" s="11"/>
      <c r="WP337" s="11"/>
      <c r="WQ337" s="11"/>
      <c r="WR337" s="11"/>
      <c r="WS337" s="11"/>
      <c r="WT337" s="11"/>
      <c r="WU337" s="11"/>
      <c r="WV337" s="11"/>
      <c r="WW337" s="11"/>
      <c r="WX337" s="11"/>
      <c r="WY337" s="11"/>
      <c r="WZ337" s="11"/>
      <c r="XA337" s="11"/>
      <c r="XB337" s="11"/>
      <c r="XC337" s="11"/>
      <c r="XD337" s="11"/>
      <c r="XE337" s="11"/>
      <c r="XF337" s="11"/>
      <c r="XG337" s="11"/>
      <c r="XH337" s="11"/>
      <c r="XI337" s="11"/>
      <c r="XJ337" s="11"/>
      <c r="XK337" s="11"/>
      <c r="XL337" s="11"/>
      <c r="XM337" s="11"/>
      <c r="XN337" s="11"/>
      <c r="XO337" s="11"/>
      <c r="XP337" s="11"/>
      <c r="XQ337" s="11"/>
      <c r="XR337" s="11"/>
      <c r="XS337" s="11"/>
      <c r="XT337" s="11"/>
      <c r="XU337" s="11"/>
      <c r="XV337" s="11"/>
      <c r="XW337" s="11"/>
      <c r="XX337" s="11"/>
      <c r="XY337" s="11"/>
      <c r="XZ337" s="11"/>
      <c r="YA337" s="11"/>
      <c r="YB337" s="11"/>
      <c r="YC337" s="11"/>
      <c r="YD337" s="11"/>
      <c r="YE337" s="11"/>
      <c r="YF337" s="11"/>
      <c r="YG337" s="11"/>
      <c r="YH337" s="11"/>
      <c r="YI337" s="11"/>
      <c r="YJ337" s="11"/>
      <c r="YK337" s="11"/>
      <c r="YL337" s="11"/>
      <c r="YM337" s="11"/>
      <c r="YN337" s="11"/>
      <c r="YO337" s="11"/>
      <c r="YP337" s="11"/>
      <c r="YQ337" s="11"/>
      <c r="YR337" s="11"/>
      <c r="YS337" s="11"/>
      <c r="YT337" s="11"/>
      <c r="YU337" s="11"/>
      <c r="YV337" s="11"/>
      <c r="YW337" s="11"/>
      <c r="YX337" s="11"/>
      <c r="YY337" s="11"/>
      <c r="YZ337" s="11"/>
      <c r="ZA337" s="11"/>
      <c r="ZB337" s="11"/>
      <c r="ZC337" s="11"/>
      <c r="ZD337" s="11"/>
      <c r="ZE337" s="11"/>
      <c r="ZF337" s="11"/>
      <c r="ZG337" s="11"/>
      <c r="ZH337" s="11"/>
      <c r="ZI337" s="11"/>
      <c r="ZJ337" s="11"/>
      <c r="ZK337" s="11"/>
      <c r="ZL337" s="11"/>
      <c r="ZM337" s="11"/>
      <c r="ZN337" s="11"/>
      <c r="ZO337" s="11"/>
      <c r="ZP337" s="11"/>
      <c r="ZQ337" s="11"/>
      <c r="ZR337" s="11"/>
      <c r="ZS337" s="11"/>
      <c r="ZT337" s="11"/>
      <c r="ZU337" s="11"/>
      <c r="ZV337" s="11"/>
      <c r="ZW337" s="11"/>
      <c r="ZX337" s="11"/>
      <c r="ZY337" s="11"/>
      <c r="ZZ337" s="11"/>
      <c r="AAA337" s="11"/>
      <c r="AAB337" s="11"/>
      <c r="AAC337" s="11"/>
      <c r="AAD337" s="11"/>
      <c r="AAE337" s="11"/>
      <c r="AAF337" s="11"/>
      <c r="AAG337" s="11"/>
      <c r="AAH337" s="11"/>
      <c r="AAI337" s="11"/>
      <c r="AAJ337" s="11"/>
      <c r="AAK337" s="11"/>
      <c r="AAL337" s="11"/>
      <c r="AAM337" s="11"/>
      <c r="AAN337" s="11"/>
      <c r="AAO337" s="11"/>
      <c r="AAP337" s="11"/>
      <c r="AAQ337" s="11"/>
      <c r="AAR337" s="11"/>
      <c r="AAS337" s="11"/>
      <c r="AAT337" s="11"/>
      <c r="AAU337" s="11"/>
      <c r="AAV337" s="11"/>
      <c r="AAW337" s="11"/>
      <c r="AAX337" s="11"/>
      <c r="AAY337" s="11"/>
      <c r="AAZ337" s="11"/>
      <c r="ABA337" s="11"/>
      <c r="ABB337" s="11"/>
      <c r="ABC337" s="11"/>
      <c r="ABD337" s="11"/>
      <c r="ABE337" s="11"/>
      <c r="ABF337" s="11"/>
      <c r="ABG337" s="11"/>
      <c r="ABH337" s="11"/>
      <c r="ABI337" s="11"/>
      <c r="ABJ337" s="11"/>
      <c r="ABK337" s="11"/>
      <c r="ABL337" s="11"/>
      <c r="ABM337" s="11"/>
      <c r="ABN337" s="11"/>
      <c r="ABO337" s="11"/>
      <c r="ABP337" s="11"/>
      <c r="ABQ337" s="11"/>
      <c r="ABR337" s="11"/>
      <c r="ABS337" s="11"/>
      <c r="ABT337" s="11"/>
      <c r="ABU337" s="11"/>
      <c r="ABV337" s="11"/>
      <c r="ABW337" s="11"/>
      <c r="ABX337" s="11"/>
      <c r="ABY337" s="11"/>
      <c r="ABZ337" s="11"/>
      <c r="ACA337" s="11"/>
      <c r="ACB337" s="11"/>
      <c r="ACC337" s="11"/>
      <c r="ACD337" s="11"/>
      <c r="ACE337" s="11"/>
      <c r="ACF337" s="11"/>
      <c r="ACG337" s="11"/>
      <c r="ACH337" s="11"/>
      <c r="ACI337" s="11"/>
      <c r="ACJ337" s="11"/>
      <c r="ACK337" s="11"/>
      <c r="ACL337" s="11"/>
      <c r="ACM337" s="11"/>
      <c r="ACN337" s="11"/>
      <c r="ACO337" s="11"/>
      <c r="ACP337" s="11"/>
      <c r="ACQ337" s="11"/>
      <c r="ACR337" s="11"/>
      <c r="ACS337" s="11"/>
      <c r="ACT337" s="11"/>
      <c r="ACU337" s="11"/>
      <c r="ACV337" s="11"/>
      <c r="ACW337" s="11"/>
      <c r="ACX337" s="11"/>
      <c r="ACY337" s="11"/>
      <c r="ACZ337" s="11"/>
      <c r="ADA337" s="11"/>
      <c r="ADB337" s="11"/>
      <c r="ADC337" s="11"/>
      <c r="ADD337" s="11"/>
      <c r="ADE337" s="11"/>
      <c r="ADF337" s="11"/>
      <c r="ADG337" s="11"/>
      <c r="ADH337" s="11"/>
      <c r="ADI337" s="11"/>
      <c r="ADJ337" s="11"/>
      <c r="ADK337" s="11"/>
      <c r="ADL337" s="11"/>
      <c r="ADM337" s="11"/>
      <c r="ADN337" s="11"/>
      <c r="ADO337" s="11"/>
      <c r="ADP337" s="11"/>
      <c r="ADQ337" s="11"/>
      <c r="ADR337" s="11"/>
      <c r="ADS337" s="11"/>
      <c r="ADT337" s="11"/>
      <c r="ADU337" s="11"/>
      <c r="ADV337" s="11"/>
      <c r="ADW337" s="11"/>
      <c r="ADX337" s="11"/>
      <c r="ADY337" s="11"/>
      <c r="ADZ337" s="11"/>
      <c r="AEA337" s="11"/>
      <c r="AEB337" s="11"/>
      <c r="AEC337" s="11"/>
      <c r="AED337" s="11"/>
      <c r="AEE337" s="11"/>
      <c r="AEF337" s="11"/>
      <c r="AEG337" s="11"/>
      <c r="AEH337" s="11"/>
      <c r="AEI337" s="11"/>
      <c r="AEJ337" s="11"/>
      <c r="AEK337" s="11"/>
      <c r="AEL337" s="11"/>
      <c r="AEM337" s="11"/>
      <c r="AEN337" s="11"/>
      <c r="AEO337" s="11"/>
      <c r="AEP337" s="11"/>
      <c r="AEQ337" s="11"/>
      <c r="AER337" s="11"/>
      <c r="AES337" s="11"/>
      <c r="AET337" s="11"/>
      <c r="AEU337" s="11"/>
      <c r="AEV337" s="11"/>
      <c r="AEW337" s="11"/>
      <c r="AEX337" s="11"/>
      <c r="AEY337" s="11"/>
      <c r="AEZ337" s="11"/>
      <c r="AFA337" s="11"/>
      <c r="AFB337" s="11"/>
      <c r="AFC337" s="11"/>
      <c r="AFD337" s="11"/>
      <c r="AFE337" s="11"/>
      <c r="AFF337" s="11"/>
      <c r="AFG337" s="11"/>
      <c r="AFH337" s="11"/>
      <c r="AFI337" s="11"/>
      <c r="AFJ337" s="11"/>
      <c r="AFK337" s="11"/>
      <c r="AFL337" s="11"/>
      <c r="AFM337" s="11"/>
      <c r="AFN337" s="11"/>
      <c r="AFO337" s="11"/>
      <c r="AFP337" s="11"/>
      <c r="AFQ337" s="11"/>
      <c r="AFR337" s="11"/>
      <c r="AFS337" s="11"/>
      <c r="AFT337" s="11"/>
      <c r="AFU337" s="11"/>
      <c r="AFV337" s="11"/>
      <c r="AFW337" s="11"/>
      <c r="AFX337" s="11"/>
      <c r="AFY337" s="11"/>
      <c r="AFZ337" s="11"/>
      <c r="AGA337" s="11"/>
      <c r="AGB337" s="11"/>
      <c r="AGC337" s="11"/>
      <c r="AGD337" s="11"/>
      <c r="AGE337" s="11"/>
      <c r="AGF337" s="11"/>
      <c r="AGG337" s="11"/>
      <c r="AGH337" s="11"/>
      <c r="AGI337" s="11"/>
      <c r="AGJ337" s="11"/>
      <c r="AGK337" s="11"/>
      <c r="AGL337" s="11"/>
      <c r="AGM337" s="11"/>
      <c r="AGN337" s="11"/>
      <c r="AGO337" s="11"/>
      <c r="AGP337" s="11"/>
      <c r="AGQ337" s="11"/>
      <c r="AGR337" s="11"/>
      <c r="AGS337" s="11"/>
      <c r="AGT337" s="11"/>
      <c r="AGU337" s="11"/>
      <c r="AGV337" s="11"/>
      <c r="AGW337" s="11"/>
      <c r="AGX337" s="11"/>
      <c r="AGY337" s="11"/>
      <c r="AGZ337" s="11"/>
      <c r="AHA337" s="11"/>
      <c r="AHB337" s="11"/>
      <c r="AHC337" s="11"/>
      <c r="AHD337" s="11"/>
      <c r="AHE337" s="11"/>
      <c r="AHF337" s="11"/>
      <c r="AHG337" s="11"/>
      <c r="AHH337" s="11"/>
      <c r="AHI337" s="11"/>
      <c r="AHJ337" s="11"/>
      <c r="AHK337" s="11"/>
      <c r="AHL337" s="11"/>
      <c r="AHM337" s="11"/>
      <c r="AHN337" s="11"/>
      <c r="AHO337" s="11"/>
      <c r="AHP337" s="11"/>
      <c r="AHQ337" s="11"/>
      <c r="AHR337" s="11"/>
      <c r="AHS337" s="11"/>
      <c r="AHT337" s="11"/>
      <c r="AHU337" s="11"/>
      <c r="AHV337" s="11"/>
      <c r="AHW337" s="11"/>
      <c r="AHX337" s="11"/>
      <c r="AHY337" s="11"/>
      <c r="AHZ337" s="11"/>
      <c r="AIA337" s="11"/>
      <c r="AIB337" s="11"/>
      <c r="AIC337" s="11"/>
      <c r="AID337" s="11"/>
      <c r="AIE337" s="11"/>
      <c r="AIF337" s="11"/>
      <c r="AIG337" s="11"/>
      <c r="AIH337" s="11"/>
      <c r="AII337" s="11"/>
      <c r="AIJ337" s="11"/>
      <c r="AIK337" s="11"/>
      <c r="AIL337" s="11"/>
      <c r="AIM337" s="11"/>
      <c r="AIN337" s="11"/>
      <c r="AIO337" s="11"/>
      <c r="AIP337" s="11"/>
      <c r="AIQ337" s="11"/>
      <c r="AIR337" s="11"/>
      <c r="AIS337" s="11"/>
      <c r="AIT337" s="11"/>
      <c r="AIU337" s="11"/>
      <c r="AIV337" s="11"/>
      <c r="AIW337" s="11"/>
      <c r="AIX337" s="11"/>
      <c r="AIY337" s="11"/>
      <c r="AIZ337" s="11"/>
      <c r="AJA337" s="11"/>
      <c r="AJB337" s="11"/>
      <c r="AJC337" s="11"/>
      <c r="AJD337" s="11"/>
      <c r="AJE337" s="11"/>
      <c r="AJF337" s="11"/>
      <c r="AJG337" s="11"/>
      <c r="AJH337" s="11"/>
      <c r="AJI337" s="11"/>
      <c r="AJJ337" s="11"/>
      <c r="AJK337" s="11"/>
      <c r="AJL337" s="11"/>
      <c r="AJM337" s="11"/>
      <c r="AJN337" s="11"/>
      <c r="AJO337" s="11"/>
      <c r="AJP337" s="11"/>
      <c r="AJQ337" s="11"/>
      <c r="AJR337" s="11"/>
      <c r="AJS337" s="11"/>
      <c r="AJT337" s="11"/>
      <c r="AJU337" s="11"/>
      <c r="AJV337" s="11"/>
      <c r="AJW337" s="11"/>
      <c r="AJX337" s="11"/>
      <c r="AJY337" s="11"/>
      <c r="AJZ337" s="11"/>
      <c r="AKA337" s="11"/>
      <c r="AKB337" s="11"/>
      <c r="AKC337" s="11"/>
      <c r="AKD337" s="11"/>
      <c r="AKE337" s="11"/>
      <c r="AKF337" s="11"/>
      <c r="AKG337" s="11"/>
      <c r="AKH337" s="11"/>
      <c r="AKI337" s="11"/>
      <c r="AKJ337" s="11"/>
      <c r="AKK337" s="11"/>
      <c r="AKL337" s="11"/>
      <c r="AKM337" s="11"/>
      <c r="AKN337" s="11"/>
      <c r="AKO337" s="11"/>
      <c r="AKP337" s="11"/>
      <c r="AKQ337" s="11"/>
      <c r="AKR337" s="11"/>
      <c r="AKS337" s="11"/>
      <c r="AKT337" s="11"/>
      <c r="AKU337" s="11"/>
      <c r="AKV337" s="11"/>
      <c r="AKW337" s="11"/>
      <c r="AKX337" s="11"/>
      <c r="AKY337" s="11"/>
      <c r="AKZ337" s="11"/>
      <c r="ALA337" s="11"/>
      <c r="ALB337" s="11"/>
      <c r="ALC337" s="11"/>
      <c r="ALD337" s="11"/>
      <c r="ALE337" s="11"/>
      <c r="ALF337" s="11"/>
      <c r="ALG337" s="11"/>
      <c r="ALH337" s="11"/>
      <c r="ALI337" s="11"/>
      <c r="ALJ337" s="11"/>
      <c r="ALK337" s="11"/>
      <c r="ALL337" s="11"/>
      <c r="ALM337" s="11"/>
      <c r="ALN337" s="11"/>
      <c r="ALO337" s="11"/>
      <c r="ALP337" s="11"/>
      <c r="ALQ337" s="11"/>
      <c r="ALR337" s="11"/>
      <c r="ALS337" s="11"/>
      <c r="ALT337" s="11"/>
      <c r="ALU337" s="11"/>
      <c r="ALV337" s="11"/>
      <c r="ALW337" s="11"/>
      <c r="ALX337" s="11"/>
      <c r="ALY337" s="11"/>
      <c r="ALZ337" s="11"/>
      <c r="AMA337" s="11"/>
      <c r="AMB337" s="11"/>
      <c r="AMC337" s="11"/>
      <c r="AMD337" s="11"/>
      <c r="AME337" s="11"/>
      <c r="AMF337" s="11"/>
      <c r="AMG337" s="11"/>
      <c r="AMH337" s="11"/>
      <c r="AMI337" s="11"/>
      <c r="AMJ337" s="11"/>
    </row>
    <row r="338" spans="1:1024" ht="27.6">
      <c r="A338" s="8" t="s">
        <v>329</v>
      </c>
      <c r="B338" s="8">
        <v>204751</v>
      </c>
      <c r="D338" s="29"/>
      <c r="E338" s="1">
        <v>15</v>
      </c>
      <c r="F338" s="8">
        <v>6</v>
      </c>
      <c r="G338" s="30">
        <f t="shared" si="18"/>
        <v>21</v>
      </c>
      <c r="H338" s="8">
        <f t="shared" si="17"/>
        <v>-15</v>
      </c>
      <c r="I338">
        <f t="shared" si="19"/>
        <v>0</v>
      </c>
      <c r="J338">
        <f>SUMIF(Oeffentlichkeitsarbeit!$D:$D,$B338,Oeffentlichkeitsarbeit!$F:$F)</f>
        <v>0</v>
      </c>
      <c r="K338">
        <f>COUNTIF(Fairteiler!$D:$D,$B338)*1/2</f>
        <v>0</v>
      </c>
      <c r="L338">
        <f>COUNTIF('NP-Betrieb'!D:D,$B338)*1/3</f>
        <v>0</v>
      </c>
      <c r="M338">
        <f>COUNTIF(Fairteilungen!$D:$D,$B338)*3/4</f>
        <v>0</v>
      </c>
      <c r="N338">
        <f>COUNTIF(Anlieferung!D:D,$B338)*1/2</f>
        <v>0</v>
      </c>
      <c r="O338">
        <f>COUNTIF(Probeabholungen!B:B,$B338)*1/3</f>
        <v>0</v>
      </c>
    </row>
    <row r="339" spans="1:1024" ht="27.6">
      <c r="A339" s="14" t="s">
        <v>330</v>
      </c>
      <c r="B339" s="14">
        <v>568837</v>
      </c>
      <c r="C339" s="14" t="s">
        <v>839</v>
      </c>
      <c r="D339" s="29"/>
      <c r="E339" s="1">
        <v>0</v>
      </c>
      <c r="F339" s="14">
        <v>0</v>
      </c>
      <c r="G339" s="30">
        <f t="shared" si="18"/>
        <v>0</v>
      </c>
      <c r="H339" s="14">
        <f t="shared" si="17"/>
        <v>0</v>
      </c>
      <c r="I339" s="11">
        <f t="shared" si="19"/>
        <v>0</v>
      </c>
      <c r="J339" s="11">
        <f>SUMIF(Oeffentlichkeitsarbeit!$D:$D,$B339,Oeffentlichkeitsarbeit!$F:$F)</f>
        <v>0</v>
      </c>
      <c r="K339" s="11">
        <f>COUNTIF(Fairteiler!$D:$D,$B339)*1/2</f>
        <v>0</v>
      </c>
      <c r="L339" s="11">
        <f>COUNTIF('NP-Betrieb'!D:D,$B339)*1/3</f>
        <v>0</v>
      </c>
      <c r="M339" s="11">
        <f>COUNTIF(Fairteilungen!$D:$D,$B339)*3/4</f>
        <v>0</v>
      </c>
      <c r="N339" s="11">
        <f>COUNTIF(Anlieferung!D:D,$B339)*1/2</f>
        <v>0</v>
      </c>
      <c r="O339" s="11">
        <f>COUNTIF(Probeabholungen!B:B,$B339)*1/3</f>
        <v>0</v>
      </c>
    </row>
    <row r="340" spans="1:1024" ht="27.6">
      <c r="A340" s="8" t="s">
        <v>331</v>
      </c>
      <c r="B340" s="8">
        <v>606598</v>
      </c>
      <c r="D340" s="29"/>
      <c r="E340" s="1">
        <v>0</v>
      </c>
      <c r="F340" s="8">
        <v>6</v>
      </c>
      <c r="G340" s="30">
        <f t="shared" si="18"/>
        <v>4.666666666666667</v>
      </c>
      <c r="H340" s="8">
        <f t="shared" si="17"/>
        <v>1.3333333333333333</v>
      </c>
      <c r="I340">
        <f t="shared" si="19"/>
        <v>1.3333333333333333</v>
      </c>
      <c r="J340">
        <f>SUMIF(Oeffentlichkeitsarbeit!$D:$D,$B340,Oeffentlichkeitsarbeit!$F:$F)</f>
        <v>0</v>
      </c>
      <c r="K340">
        <f>COUNTIF(Fairteiler!$D:$D,$B340)*1/2</f>
        <v>0</v>
      </c>
      <c r="L340">
        <f>COUNTIF('NP-Betrieb'!D:D,$B340)*1/3</f>
        <v>1.3333333333333333</v>
      </c>
      <c r="M340">
        <f>COUNTIF(Fairteilungen!$D:$D,$B340)*3/4</f>
        <v>0</v>
      </c>
      <c r="N340">
        <f>COUNTIF(Anlieferung!D:D,$B340)*1/2</f>
        <v>0</v>
      </c>
      <c r="O340">
        <f>COUNTIF(Probeabholungen!B:B,$B340)*1/3</f>
        <v>0</v>
      </c>
    </row>
    <row r="341" spans="1:1024" ht="41.4">
      <c r="A341" s="8" t="s">
        <v>332</v>
      </c>
      <c r="B341" s="8">
        <v>337958</v>
      </c>
      <c r="C341" s="11"/>
      <c r="D341" s="29"/>
      <c r="E341" s="1">
        <v>6.0066666666666704</v>
      </c>
      <c r="F341" s="8">
        <v>6</v>
      </c>
      <c r="G341" s="30">
        <f t="shared" si="18"/>
        <v>12.006666666666671</v>
      </c>
      <c r="H341" s="8">
        <f t="shared" si="17"/>
        <v>-6.0066666666666704</v>
      </c>
      <c r="I341" s="11">
        <f t="shared" si="19"/>
        <v>0</v>
      </c>
      <c r="J341" s="11">
        <f>SUMIF(Oeffentlichkeitsarbeit!$D:$D,$B341,Oeffentlichkeitsarbeit!$F:$F)</f>
        <v>0</v>
      </c>
      <c r="K341" s="11">
        <f>COUNTIF(Fairteiler!$D:$D,$B341)*1/2</f>
        <v>0</v>
      </c>
      <c r="L341" s="11">
        <f>COUNTIF('NP-Betrieb'!D:D,$B341)*1/3</f>
        <v>0</v>
      </c>
      <c r="M341" s="11">
        <f>COUNTIF(Fairteilungen!$D:$D,$B341)*3/4</f>
        <v>0</v>
      </c>
      <c r="N341" s="11">
        <f>COUNTIF(Anlieferung!D:D,$B341)*1/2</f>
        <v>0</v>
      </c>
      <c r="O341" s="11">
        <f>COUNTIF(Probeabholungen!B:B,$B341)*1/3</f>
        <v>0</v>
      </c>
    </row>
    <row r="342" spans="1:1024" s="11" customFormat="1" ht="27.6">
      <c r="A342" s="8" t="s">
        <v>333</v>
      </c>
      <c r="B342" s="8">
        <v>183805</v>
      </c>
      <c r="C342"/>
      <c r="D342" s="29"/>
      <c r="E342" s="1">
        <v>8</v>
      </c>
      <c r="F342" s="8">
        <v>6</v>
      </c>
      <c r="G342" s="30">
        <f t="shared" si="18"/>
        <v>14</v>
      </c>
      <c r="H342" s="8">
        <f t="shared" si="17"/>
        <v>-8</v>
      </c>
      <c r="I342">
        <f t="shared" si="19"/>
        <v>0</v>
      </c>
      <c r="J342">
        <f>SUMIF(Oeffentlichkeitsarbeit!$D:$D,$B342,Oeffentlichkeitsarbeit!$F:$F)</f>
        <v>0</v>
      </c>
      <c r="K342">
        <f>COUNTIF(Fairteiler!$D:$D,$B342)*1/2</f>
        <v>0</v>
      </c>
      <c r="L342">
        <f>COUNTIF('NP-Betrieb'!D:D,$B342)*1/3</f>
        <v>0</v>
      </c>
      <c r="M342">
        <f>COUNTIF(Fairteilungen!$D:$D,$B342)*3/4</f>
        <v>0</v>
      </c>
      <c r="N342">
        <f>COUNTIF(Anlieferung!D:D,$B342)*1/2</f>
        <v>0</v>
      </c>
      <c r="O342">
        <f>COUNTIF(Probeabholungen!B:B,$B342)*1/3</f>
        <v>0</v>
      </c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DV342"/>
      <c r="DW342"/>
      <c r="DX342"/>
      <c r="DY342"/>
      <c r="DZ342"/>
      <c r="EA342"/>
      <c r="EB342"/>
      <c r="EC342"/>
      <c r="ED342"/>
      <c r="EE342"/>
      <c r="EF342"/>
      <c r="EG342"/>
      <c r="EH342"/>
      <c r="EI342"/>
      <c r="EJ342"/>
      <c r="EK342"/>
      <c r="EL342"/>
      <c r="EM342"/>
      <c r="EN342"/>
      <c r="EO342"/>
      <c r="EP342"/>
      <c r="EQ342"/>
      <c r="ER342"/>
      <c r="ES342"/>
      <c r="ET342"/>
      <c r="EU342"/>
      <c r="EV342"/>
      <c r="EW342"/>
      <c r="EX342"/>
      <c r="EY342"/>
      <c r="EZ342"/>
      <c r="FA342"/>
      <c r="FB342"/>
      <c r="FC342"/>
      <c r="FD342"/>
      <c r="FE342"/>
      <c r="FF342"/>
      <c r="FG342"/>
      <c r="FH342"/>
      <c r="FI342"/>
      <c r="FJ342"/>
      <c r="FK342"/>
      <c r="FL342"/>
      <c r="FM342"/>
      <c r="FN342"/>
      <c r="FO342"/>
      <c r="FP342"/>
      <c r="FQ342"/>
      <c r="FR342"/>
      <c r="FS342"/>
      <c r="FT342"/>
      <c r="FU342"/>
      <c r="FV342"/>
      <c r="FW342"/>
      <c r="FX342"/>
      <c r="FY342"/>
      <c r="FZ342"/>
      <c r="GA342"/>
      <c r="GB342"/>
      <c r="GC342"/>
      <c r="GD342"/>
      <c r="GE342"/>
      <c r="GF342"/>
      <c r="GG342"/>
      <c r="GH342"/>
      <c r="GI342"/>
      <c r="GJ342"/>
      <c r="GK342"/>
      <c r="GL342"/>
      <c r="GM342"/>
      <c r="GN342"/>
      <c r="GO342"/>
      <c r="GP342"/>
      <c r="GQ342"/>
      <c r="GR342"/>
      <c r="GS342"/>
      <c r="GT342"/>
      <c r="GU342"/>
      <c r="GV342"/>
      <c r="GW342"/>
      <c r="GX342"/>
      <c r="GY342"/>
      <c r="GZ342"/>
      <c r="HA342"/>
      <c r="HB342"/>
      <c r="HC342"/>
      <c r="HD342"/>
      <c r="HE342"/>
      <c r="HF342"/>
      <c r="HG342"/>
      <c r="HH342"/>
      <c r="HI342"/>
      <c r="HJ342"/>
      <c r="HK342"/>
      <c r="HL342"/>
      <c r="HM342"/>
      <c r="HN342"/>
      <c r="HO342"/>
      <c r="HP342"/>
      <c r="HQ342"/>
      <c r="HR342"/>
      <c r="HS342"/>
      <c r="HT342"/>
      <c r="HU342"/>
      <c r="HV342"/>
      <c r="HW342"/>
      <c r="HX342"/>
      <c r="HY342"/>
      <c r="HZ342"/>
      <c r="IA342"/>
      <c r="IB342"/>
      <c r="IC342"/>
      <c r="ID342"/>
      <c r="IE342"/>
      <c r="IF342"/>
      <c r="IG342"/>
      <c r="IH342"/>
      <c r="II342"/>
      <c r="IJ342"/>
      <c r="IK342"/>
      <c r="IL342"/>
      <c r="IM342"/>
      <c r="IN342"/>
      <c r="IO342"/>
      <c r="IP342"/>
      <c r="IQ342"/>
      <c r="IR342"/>
      <c r="IS342"/>
      <c r="IT342"/>
      <c r="IU342"/>
      <c r="IV342"/>
      <c r="IW342"/>
      <c r="IX342"/>
      <c r="IY342"/>
      <c r="IZ342"/>
      <c r="JA342"/>
      <c r="JB342"/>
      <c r="JC342"/>
      <c r="JD342"/>
      <c r="JE342"/>
      <c r="JF342"/>
      <c r="JG342"/>
      <c r="JH342"/>
      <c r="JI342"/>
      <c r="JJ342"/>
      <c r="JK342"/>
      <c r="JL342"/>
      <c r="JM342"/>
      <c r="JN342"/>
      <c r="JO342"/>
      <c r="JP342"/>
      <c r="JQ342"/>
      <c r="JR342"/>
      <c r="JS342"/>
      <c r="JT342"/>
      <c r="JU342"/>
      <c r="JV342"/>
      <c r="JW342"/>
      <c r="JX342"/>
      <c r="JY342"/>
      <c r="JZ342"/>
      <c r="KA342"/>
      <c r="KB342"/>
      <c r="KC342"/>
      <c r="KD342"/>
      <c r="KE342"/>
      <c r="KF342"/>
      <c r="KG342"/>
      <c r="KH342"/>
      <c r="KI342"/>
      <c r="KJ342"/>
      <c r="KK342"/>
      <c r="KL342"/>
      <c r="KM342"/>
      <c r="KN342"/>
      <c r="KO342"/>
      <c r="KP342"/>
      <c r="KQ342"/>
      <c r="KR342"/>
      <c r="KS342"/>
      <c r="KT342"/>
      <c r="KU342"/>
      <c r="KV342"/>
      <c r="KW342"/>
      <c r="KX342"/>
      <c r="KY342"/>
      <c r="KZ342"/>
      <c r="LA342"/>
      <c r="LB342"/>
      <c r="LC342"/>
      <c r="LD342"/>
      <c r="LE342"/>
      <c r="LF342"/>
      <c r="LG342"/>
      <c r="LH342"/>
      <c r="LI342"/>
      <c r="LJ342"/>
      <c r="LK342"/>
      <c r="LL342"/>
      <c r="LM342"/>
      <c r="LN342"/>
      <c r="LO342"/>
      <c r="LP342"/>
      <c r="LQ342"/>
      <c r="LR342"/>
      <c r="LS342"/>
      <c r="LT342"/>
      <c r="LU342"/>
      <c r="LV342"/>
      <c r="LW342"/>
      <c r="LX342"/>
      <c r="LY342"/>
      <c r="LZ342"/>
      <c r="MA342"/>
      <c r="MB342"/>
      <c r="MC342"/>
      <c r="MD342"/>
      <c r="ME342"/>
      <c r="MF342"/>
      <c r="MG342"/>
      <c r="MH342"/>
      <c r="MI342"/>
      <c r="MJ342"/>
      <c r="MK342"/>
      <c r="ML342"/>
      <c r="MM342"/>
      <c r="MN342"/>
      <c r="MO342"/>
      <c r="MP342"/>
      <c r="MQ342"/>
      <c r="MR342"/>
      <c r="MS342"/>
      <c r="MT342"/>
      <c r="MU342"/>
      <c r="MV342"/>
      <c r="MW342"/>
      <c r="MX342"/>
      <c r="MY342"/>
      <c r="MZ342"/>
      <c r="NA342"/>
      <c r="NB342"/>
      <c r="NC342"/>
      <c r="ND342"/>
      <c r="NE342"/>
      <c r="NF342"/>
      <c r="NG342"/>
      <c r="NH342"/>
      <c r="NI342"/>
      <c r="NJ342"/>
      <c r="NK342"/>
      <c r="NL342"/>
      <c r="NM342"/>
      <c r="NN342"/>
      <c r="NO342"/>
      <c r="NP342"/>
      <c r="NQ342"/>
      <c r="NR342"/>
      <c r="NS342"/>
      <c r="NT342"/>
      <c r="NU342"/>
      <c r="NV342"/>
      <c r="NW342"/>
      <c r="NX342"/>
      <c r="NY342"/>
      <c r="NZ342"/>
      <c r="OA342"/>
      <c r="OB342"/>
      <c r="OC342"/>
      <c r="OD342"/>
      <c r="OE342"/>
      <c r="OF342"/>
      <c r="OG342"/>
      <c r="OH342"/>
      <c r="OI342"/>
      <c r="OJ342"/>
      <c r="OK342"/>
      <c r="OL342"/>
      <c r="OM342"/>
      <c r="ON342"/>
      <c r="OO342"/>
      <c r="OP342"/>
      <c r="OQ342"/>
      <c r="OR342"/>
      <c r="OS342"/>
      <c r="OT342"/>
      <c r="OU342"/>
      <c r="OV342"/>
      <c r="OW342"/>
      <c r="OX342"/>
      <c r="OY342"/>
      <c r="OZ342"/>
      <c r="PA342"/>
      <c r="PB342"/>
      <c r="PC342"/>
      <c r="PD342"/>
      <c r="PE342"/>
      <c r="PF342"/>
      <c r="PG342"/>
      <c r="PH342"/>
      <c r="PI342"/>
      <c r="PJ342"/>
      <c r="PK342"/>
      <c r="PL342"/>
      <c r="PM342"/>
      <c r="PN342"/>
      <c r="PO342"/>
      <c r="PP342"/>
      <c r="PQ342"/>
      <c r="PR342"/>
      <c r="PS342"/>
      <c r="PT342"/>
      <c r="PU342"/>
      <c r="PV342"/>
      <c r="PW342"/>
      <c r="PX342"/>
      <c r="PY342"/>
      <c r="PZ342"/>
      <c r="QA342"/>
      <c r="QB342"/>
      <c r="QC342"/>
      <c r="QD342"/>
      <c r="QE342"/>
      <c r="QF342"/>
      <c r="QG342"/>
      <c r="QH342"/>
      <c r="QI342"/>
      <c r="QJ342"/>
      <c r="QK342"/>
      <c r="QL342"/>
      <c r="QM342"/>
      <c r="QN342"/>
      <c r="QO342"/>
      <c r="QP342"/>
      <c r="QQ342"/>
      <c r="QR342"/>
      <c r="QS342"/>
      <c r="QT342"/>
      <c r="QU342"/>
      <c r="QV342"/>
      <c r="QW342"/>
      <c r="QX342"/>
      <c r="QY342"/>
      <c r="QZ342"/>
      <c r="RA342"/>
      <c r="RB342"/>
      <c r="RC342"/>
      <c r="RD342"/>
      <c r="RE342"/>
      <c r="RF342"/>
      <c r="RG342"/>
      <c r="RH342"/>
      <c r="RI342"/>
      <c r="RJ342"/>
      <c r="RK342"/>
      <c r="RL342"/>
      <c r="RM342"/>
      <c r="RN342"/>
      <c r="RO342"/>
      <c r="RP342"/>
      <c r="RQ342"/>
      <c r="RR342"/>
      <c r="RS342"/>
      <c r="RT342"/>
      <c r="RU342"/>
      <c r="RV342"/>
      <c r="RW342"/>
      <c r="RX342"/>
      <c r="RY342"/>
      <c r="RZ342"/>
      <c r="SA342"/>
      <c r="SB342"/>
      <c r="SC342"/>
      <c r="SD342"/>
      <c r="SE342"/>
      <c r="SF342"/>
      <c r="SG342"/>
      <c r="SH342"/>
      <c r="SI342"/>
      <c r="SJ342"/>
      <c r="SK342"/>
      <c r="SL342"/>
      <c r="SM342"/>
      <c r="SN342"/>
      <c r="SO342"/>
      <c r="SP342"/>
      <c r="SQ342"/>
      <c r="SR342"/>
      <c r="SS342"/>
      <c r="ST342"/>
      <c r="SU342"/>
      <c r="SV342"/>
      <c r="SW342"/>
      <c r="SX342"/>
      <c r="SY342"/>
      <c r="SZ342"/>
      <c r="TA342"/>
      <c r="TB342"/>
      <c r="TC342"/>
      <c r="TD342"/>
      <c r="TE342"/>
      <c r="TF342"/>
      <c r="TG342"/>
      <c r="TH342"/>
      <c r="TI342"/>
      <c r="TJ342"/>
      <c r="TK342"/>
      <c r="TL342"/>
      <c r="TM342"/>
      <c r="TN342"/>
      <c r="TO342"/>
      <c r="TP342"/>
      <c r="TQ342"/>
      <c r="TR342"/>
      <c r="TS342"/>
      <c r="TT342"/>
      <c r="TU342"/>
      <c r="TV342"/>
      <c r="TW342"/>
      <c r="TX342"/>
      <c r="TY342"/>
      <c r="TZ342"/>
      <c r="UA342"/>
      <c r="UB342"/>
      <c r="UC342"/>
      <c r="UD342"/>
      <c r="UE342"/>
      <c r="UF342"/>
      <c r="UG342"/>
      <c r="UH342"/>
      <c r="UI342"/>
      <c r="UJ342"/>
      <c r="UK342"/>
      <c r="UL342"/>
      <c r="UM342"/>
      <c r="UN342"/>
      <c r="UO342"/>
      <c r="UP342"/>
      <c r="UQ342"/>
      <c r="UR342"/>
      <c r="US342"/>
      <c r="UT342"/>
      <c r="UU342"/>
      <c r="UV342"/>
      <c r="UW342"/>
      <c r="UX342"/>
      <c r="UY342"/>
      <c r="UZ342"/>
      <c r="VA342"/>
      <c r="VB342"/>
      <c r="VC342"/>
      <c r="VD342"/>
      <c r="VE342"/>
      <c r="VF342"/>
      <c r="VG342"/>
      <c r="VH342"/>
      <c r="VI342"/>
      <c r="VJ342"/>
      <c r="VK342"/>
      <c r="VL342"/>
      <c r="VM342"/>
      <c r="VN342"/>
      <c r="VO342"/>
      <c r="VP342"/>
      <c r="VQ342"/>
      <c r="VR342"/>
      <c r="VS342"/>
      <c r="VT342"/>
      <c r="VU342"/>
      <c r="VV342"/>
      <c r="VW342"/>
      <c r="VX342"/>
      <c r="VY342"/>
      <c r="VZ342"/>
      <c r="WA342"/>
      <c r="WB342"/>
      <c r="WC342"/>
      <c r="WD342"/>
      <c r="WE342"/>
      <c r="WF342"/>
      <c r="WG342"/>
      <c r="WH342"/>
      <c r="WI342"/>
      <c r="WJ342"/>
      <c r="WK342"/>
      <c r="WL342"/>
      <c r="WM342"/>
      <c r="WN342"/>
      <c r="WO342"/>
      <c r="WP342"/>
      <c r="WQ342"/>
      <c r="WR342"/>
      <c r="WS342"/>
      <c r="WT342"/>
      <c r="WU342"/>
      <c r="WV342"/>
      <c r="WW342"/>
      <c r="WX342"/>
      <c r="WY342"/>
      <c r="WZ342"/>
      <c r="XA342"/>
      <c r="XB342"/>
      <c r="XC342"/>
      <c r="XD342"/>
      <c r="XE342"/>
      <c r="XF342"/>
      <c r="XG342"/>
      <c r="XH342"/>
      <c r="XI342"/>
      <c r="XJ342"/>
      <c r="XK342"/>
      <c r="XL342"/>
      <c r="XM342"/>
      <c r="XN342"/>
      <c r="XO342"/>
      <c r="XP342"/>
      <c r="XQ342"/>
      <c r="XR342"/>
      <c r="XS342"/>
      <c r="XT342"/>
      <c r="XU342"/>
      <c r="XV342"/>
      <c r="XW342"/>
      <c r="XX342"/>
      <c r="XY342"/>
      <c r="XZ342"/>
      <c r="YA342"/>
      <c r="YB342"/>
      <c r="YC342"/>
      <c r="YD342"/>
      <c r="YE342"/>
      <c r="YF342"/>
      <c r="YG342"/>
      <c r="YH342"/>
      <c r="YI342"/>
      <c r="YJ342"/>
      <c r="YK342"/>
      <c r="YL342"/>
      <c r="YM342"/>
      <c r="YN342"/>
      <c r="YO342"/>
      <c r="YP342"/>
      <c r="YQ342"/>
      <c r="YR342"/>
      <c r="YS342"/>
      <c r="YT342"/>
      <c r="YU342"/>
      <c r="YV342"/>
      <c r="YW342"/>
      <c r="YX342"/>
      <c r="YY342"/>
      <c r="YZ342"/>
      <c r="ZA342"/>
      <c r="ZB342"/>
      <c r="ZC342"/>
      <c r="ZD342"/>
      <c r="ZE342"/>
      <c r="ZF342"/>
      <c r="ZG342"/>
      <c r="ZH342"/>
      <c r="ZI342"/>
      <c r="ZJ342"/>
      <c r="ZK342"/>
      <c r="ZL342"/>
      <c r="ZM342"/>
      <c r="ZN342"/>
      <c r="ZO342"/>
      <c r="ZP342"/>
      <c r="ZQ342"/>
      <c r="ZR342"/>
      <c r="ZS342"/>
      <c r="ZT342"/>
      <c r="ZU342"/>
      <c r="ZV342"/>
      <c r="ZW342"/>
      <c r="ZX342"/>
      <c r="ZY342"/>
      <c r="ZZ342"/>
      <c r="AAA342"/>
      <c r="AAB342"/>
      <c r="AAC342"/>
      <c r="AAD342"/>
      <c r="AAE342"/>
      <c r="AAF342"/>
      <c r="AAG342"/>
      <c r="AAH342"/>
      <c r="AAI342"/>
      <c r="AAJ342"/>
      <c r="AAK342"/>
      <c r="AAL342"/>
      <c r="AAM342"/>
      <c r="AAN342"/>
      <c r="AAO342"/>
      <c r="AAP342"/>
      <c r="AAQ342"/>
      <c r="AAR342"/>
      <c r="AAS342"/>
      <c r="AAT342"/>
      <c r="AAU342"/>
      <c r="AAV342"/>
      <c r="AAW342"/>
      <c r="AAX342"/>
      <c r="AAY342"/>
      <c r="AAZ342"/>
      <c r="ABA342"/>
      <c r="ABB342"/>
      <c r="ABC342"/>
      <c r="ABD342"/>
      <c r="ABE342"/>
      <c r="ABF342"/>
      <c r="ABG342"/>
      <c r="ABH342"/>
      <c r="ABI342"/>
      <c r="ABJ342"/>
      <c r="ABK342"/>
      <c r="ABL342"/>
      <c r="ABM342"/>
      <c r="ABN342"/>
      <c r="ABO342"/>
      <c r="ABP342"/>
      <c r="ABQ342"/>
      <c r="ABR342"/>
      <c r="ABS342"/>
      <c r="ABT342"/>
      <c r="ABU342"/>
      <c r="ABV342"/>
      <c r="ABW342"/>
      <c r="ABX342"/>
      <c r="ABY342"/>
      <c r="ABZ342"/>
      <c r="ACA342"/>
      <c r="ACB342"/>
      <c r="ACC342"/>
      <c r="ACD342"/>
      <c r="ACE342"/>
      <c r="ACF342"/>
      <c r="ACG342"/>
      <c r="ACH342"/>
      <c r="ACI342"/>
      <c r="ACJ342"/>
      <c r="ACK342"/>
      <c r="ACL342"/>
      <c r="ACM342"/>
      <c r="ACN342"/>
      <c r="ACO342"/>
      <c r="ACP342"/>
      <c r="ACQ342"/>
      <c r="ACR342"/>
      <c r="ACS342"/>
      <c r="ACT342"/>
      <c r="ACU342"/>
      <c r="ACV342"/>
      <c r="ACW342"/>
      <c r="ACX342"/>
      <c r="ACY342"/>
      <c r="ACZ342"/>
      <c r="ADA342"/>
      <c r="ADB342"/>
      <c r="ADC342"/>
      <c r="ADD342"/>
      <c r="ADE342"/>
      <c r="ADF342"/>
      <c r="ADG342"/>
      <c r="ADH342"/>
      <c r="ADI342"/>
      <c r="ADJ342"/>
      <c r="ADK342"/>
      <c r="ADL342"/>
      <c r="ADM342"/>
      <c r="ADN342"/>
      <c r="ADO342"/>
      <c r="ADP342"/>
      <c r="ADQ342"/>
      <c r="ADR342"/>
      <c r="ADS342"/>
      <c r="ADT342"/>
      <c r="ADU342"/>
      <c r="ADV342"/>
      <c r="ADW342"/>
      <c r="ADX342"/>
      <c r="ADY342"/>
      <c r="ADZ342"/>
      <c r="AEA342"/>
      <c r="AEB342"/>
      <c r="AEC342"/>
      <c r="AED342"/>
      <c r="AEE342"/>
      <c r="AEF342"/>
      <c r="AEG342"/>
      <c r="AEH342"/>
      <c r="AEI342"/>
      <c r="AEJ342"/>
      <c r="AEK342"/>
      <c r="AEL342"/>
      <c r="AEM342"/>
      <c r="AEN342"/>
      <c r="AEO342"/>
      <c r="AEP342"/>
      <c r="AEQ342"/>
      <c r="AER342"/>
      <c r="AES342"/>
      <c r="AET342"/>
      <c r="AEU342"/>
      <c r="AEV342"/>
      <c r="AEW342"/>
      <c r="AEX342"/>
      <c r="AEY342"/>
      <c r="AEZ342"/>
      <c r="AFA342"/>
      <c r="AFB342"/>
      <c r="AFC342"/>
      <c r="AFD342"/>
      <c r="AFE342"/>
      <c r="AFF342"/>
      <c r="AFG342"/>
      <c r="AFH342"/>
      <c r="AFI342"/>
      <c r="AFJ342"/>
      <c r="AFK342"/>
      <c r="AFL342"/>
      <c r="AFM342"/>
      <c r="AFN342"/>
      <c r="AFO342"/>
      <c r="AFP342"/>
      <c r="AFQ342"/>
      <c r="AFR342"/>
      <c r="AFS342"/>
      <c r="AFT342"/>
      <c r="AFU342"/>
      <c r="AFV342"/>
      <c r="AFW342"/>
      <c r="AFX342"/>
      <c r="AFY342"/>
      <c r="AFZ342"/>
      <c r="AGA342"/>
      <c r="AGB342"/>
      <c r="AGC342"/>
      <c r="AGD342"/>
      <c r="AGE342"/>
      <c r="AGF342"/>
      <c r="AGG342"/>
      <c r="AGH342"/>
      <c r="AGI342"/>
      <c r="AGJ342"/>
      <c r="AGK342"/>
      <c r="AGL342"/>
      <c r="AGM342"/>
      <c r="AGN342"/>
      <c r="AGO342"/>
      <c r="AGP342"/>
      <c r="AGQ342"/>
      <c r="AGR342"/>
      <c r="AGS342"/>
      <c r="AGT342"/>
      <c r="AGU342"/>
      <c r="AGV342"/>
      <c r="AGW342"/>
      <c r="AGX342"/>
      <c r="AGY342"/>
      <c r="AGZ342"/>
      <c r="AHA342"/>
      <c r="AHB342"/>
      <c r="AHC342"/>
      <c r="AHD342"/>
      <c r="AHE342"/>
      <c r="AHF342"/>
      <c r="AHG342"/>
      <c r="AHH342"/>
      <c r="AHI342"/>
      <c r="AHJ342"/>
      <c r="AHK342"/>
      <c r="AHL342"/>
      <c r="AHM342"/>
      <c r="AHN342"/>
      <c r="AHO342"/>
      <c r="AHP342"/>
      <c r="AHQ342"/>
      <c r="AHR342"/>
      <c r="AHS342"/>
      <c r="AHT342"/>
      <c r="AHU342"/>
      <c r="AHV342"/>
      <c r="AHW342"/>
      <c r="AHX342"/>
      <c r="AHY342"/>
      <c r="AHZ342"/>
      <c r="AIA342"/>
      <c r="AIB342"/>
      <c r="AIC342"/>
      <c r="AID342"/>
      <c r="AIE342"/>
      <c r="AIF342"/>
      <c r="AIG342"/>
      <c r="AIH342"/>
      <c r="AII342"/>
      <c r="AIJ342"/>
      <c r="AIK342"/>
      <c r="AIL342"/>
      <c r="AIM342"/>
      <c r="AIN342"/>
      <c r="AIO342"/>
      <c r="AIP342"/>
      <c r="AIQ342"/>
      <c r="AIR342"/>
      <c r="AIS342"/>
      <c r="AIT342"/>
      <c r="AIU342"/>
      <c r="AIV342"/>
      <c r="AIW342"/>
      <c r="AIX342"/>
      <c r="AIY342"/>
      <c r="AIZ342"/>
      <c r="AJA342"/>
      <c r="AJB342"/>
      <c r="AJC342"/>
      <c r="AJD342"/>
      <c r="AJE342"/>
      <c r="AJF342"/>
      <c r="AJG342"/>
      <c r="AJH342"/>
      <c r="AJI342"/>
      <c r="AJJ342"/>
      <c r="AJK342"/>
      <c r="AJL342"/>
      <c r="AJM342"/>
      <c r="AJN342"/>
      <c r="AJO342"/>
      <c r="AJP342"/>
      <c r="AJQ342"/>
      <c r="AJR342"/>
      <c r="AJS342"/>
      <c r="AJT342"/>
      <c r="AJU342"/>
      <c r="AJV342"/>
      <c r="AJW342"/>
      <c r="AJX342"/>
      <c r="AJY342"/>
      <c r="AJZ342"/>
      <c r="AKA342"/>
      <c r="AKB342"/>
      <c r="AKC342"/>
      <c r="AKD342"/>
      <c r="AKE342"/>
      <c r="AKF342"/>
      <c r="AKG342"/>
      <c r="AKH342"/>
      <c r="AKI342"/>
      <c r="AKJ342"/>
      <c r="AKK342"/>
      <c r="AKL342"/>
      <c r="AKM342"/>
      <c r="AKN342"/>
      <c r="AKO342"/>
      <c r="AKP342"/>
      <c r="AKQ342"/>
      <c r="AKR342"/>
      <c r="AKS342"/>
      <c r="AKT342"/>
      <c r="AKU342"/>
      <c r="AKV342"/>
      <c r="AKW342"/>
      <c r="AKX342"/>
      <c r="AKY342"/>
      <c r="AKZ342"/>
      <c r="ALA342"/>
      <c r="ALB342"/>
      <c r="ALC342"/>
      <c r="ALD342"/>
      <c r="ALE342"/>
      <c r="ALF342"/>
      <c r="ALG342"/>
      <c r="ALH342"/>
      <c r="ALI342"/>
      <c r="ALJ342"/>
      <c r="ALK342"/>
      <c r="ALL342"/>
      <c r="ALM342"/>
      <c r="ALN342"/>
      <c r="ALO342"/>
      <c r="ALP342"/>
      <c r="ALQ342"/>
      <c r="ALR342"/>
      <c r="ALS342"/>
      <c r="ALT342"/>
      <c r="ALU342"/>
      <c r="ALV342"/>
      <c r="ALW342"/>
      <c r="ALX342"/>
      <c r="ALY342"/>
      <c r="ALZ342"/>
      <c r="AMA342"/>
      <c r="AMB342"/>
      <c r="AMC342"/>
      <c r="AMD342"/>
      <c r="AME342"/>
      <c r="AMF342"/>
      <c r="AMG342"/>
      <c r="AMH342"/>
      <c r="AMI342"/>
      <c r="AMJ342"/>
    </row>
    <row r="343" spans="1:1024" ht="27.6">
      <c r="A343" s="8" t="s">
        <v>854</v>
      </c>
      <c r="B343" s="8">
        <v>924181</v>
      </c>
      <c r="D343" s="24">
        <v>46077</v>
      </c>
      <c r="E343">
        <v>0</v>
      </c>
      <c r="F343">
        <v>5</v>
      </c>
      <c r="G343" s="30">
        <f t="shared" si="18"/>
        <v>5</v>
      </c>
      <c r="H343" s="8">
        <f t="shared" si="17"/>
        <v>0</v>
      </c>
      <c r="I343">
        <f t="shared" si="19"/>
        <v>0</v>
      </c>
      <c r="J343">
        <f>SUMIF(Oeffentlichkeitsarbeit!$D:$D,$B343,Oeffentlichkeitsarbeit!$F:$F)</f>
        <v>0</v>
      </c>
      <c r="K343">
        <f>COUNTIF(Fairteiler!$D:$D,$B343)*1/2</f>
        <v>0</v>
      </c>
      <c r="L343">
        <f>COUNTIF('NP-Betrieb'!D:D,$B343)*1/3</f>
        <v>0</v>
      </c>
      <c r="M343">
        <f>COUNTIF(Fairteilungen!$D:$D,$B343)*3/4</f>
        <v>0</v>
      </c>
      <c r="N343">
        <f>COUNTIF(Anlieferung!D:D,$B343)*1/2</f>
        <v>0</v>
      </c>
      <c r="O343">
        <f>COUNTIF(Probeabholungen!B:B,$B343)*1/3</f>
        <v>0</v>
      </c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  <c r="BM343" s="11"/>
      <c r="BN343" s="11"/>
      <c r="BO343" s="11"/>
      <c r="BP343" s="11"/>
      <c r="BQ343" s="11"/>
      <c r="BR343" s="11"/>
      <c r="BS343" s="11"/>
      <c r="BT343" s="11"/>
      <c r="BU343" s="11"/>
      <c r="BV343" s="11"/>
      <c r="BW343" s="11"/>
      <c r="BX343" s="11"/>
      <c r="BY343" s="11"/>
      <c r="BZ343" s="11"/>
      <c r="CA343" s="11"/>
      <c r="CB343" s="11"/>
      <c r="CC343" s="11"/>
      <c r="CD343" s="11"/>
      <c r="CE343" s="11"/>
      <c r="CF343" s="11"/>
      <c r="CG343" s="11"/>
      <c r="CH343" s="11"/>
      <c r="CI343" s="11"/>
      <c r="CJ343" s="11"/>
      <c r="CK343" s="11"/>
      <c r="CL343" s="11"/>
      <c r="CM343" s="11"/>
      <c r="CN343" s="11"/>
      <c r="CO343" s="11"/>
      <c r="CP343" s="11"/>
      <c r="CQ343" s="11"/>
      <c r="CR343" s="11"/>
      <c r="CS343" s="11"/>
      <c r="CT343" s="11"/>
      <c r="CU343" s="11"/>
      <c r="CV343" s="11"/>
      <c r="CW343" s="11"/>
      <c r="CX343" s="11"/>
      <c r="CY343" s="11"/>
      <c r="CZ343" s="11"/>
      <c r="DA343" s="11"/>
      <c r="DB343" s="11"/>
      <c r="DC343" s="11"/>
      <c r="DD343" s="11"/>
      <c r="DE343" s="11"/>
      <c r="DF343" s="11"/>
      <c r="DG343" s="11"/>
      <c r="DH343" s="11"/>
      <c r="DI343" s="11"/>
      <c r="DJ343" s="11"/>
      <c r="DK343" s="11"/>
      <c r="DL343" s="11"/>
      <c r="DM343" s="11"/>
      <c r="DN343" s="11"/>
      <c r="DO343" s="11"/>
      <c r="DP343" s="11"/>
      <c r="DQ343" s="11"/>
      <c r="DR343" s="11"/>
      <c r="DS343" s="11"/>
      <c r="DT343" s="11"/>
      <c r="DU343" s="11"/>
      <c r="DV343" s="11"/>
      <c r="DW343" s="11"/>
      <c r="DX343" s="11"/>
      <c r="DY343" s="11"/>
      <c r="DZ343" s="11"/>
      <c r="EA343" s="11"/>
      <c r="EB343" s="11"/>
      <c r="EC343" s="11"/>
      <c r="ED343" s="11"/>
      <c r="EE343" s="11"/>
      <c r="EF343" s="11"/>
      <c r="EG343" s="11"/>
      <c r="EH343" s="11"/>
      <c r="EI343" s="11"/>
      <c r="EJ343" s="11"/>
      <c r="EK343" s="11"/>
      <c r="EL343" s="11"/>
      <c r="EM343" s="11"/>
      <c r="EN343" s="11"/>
      <c r="EO343" s="11"/>
      <c r="EP343" s="11"/>
      <c r="EQ343" s="11"/>
      <c r="ER343" s="11"/>
      <c r="ES343" s="11"/>
      <c r="ET343" s="11"/>
      <c r="EU343" s="11"/>
      <c r="EV343" s="11"/>
      <c r="EW343" s="11"/>
      <c r="EX343" s="11"/>
      <c r="EY343" s="11"/>
      <c r="EZ343" s="11"/>
      <c r="FA343" s="11"/>
      <c r="FB343" s="11"/>
      <c r="FC343" s="11"/>
      <c r="FD343" s="11"/>
      <c r="FE343" s="11"/>
      <c r="FF343" s="11"/>
      <c r="FG343" s="11"/>
      <c r="FH343" s="11"/>
      <c r="FI343" s="11"/>
      <c r="FJ343" s="11"/>
      <c r="FK343" s="11"/>
      <c r="FL343" s="11"/>
      <c r="FM343" s="11"/>
      <c r="FN343" s="11"/>
      <c r="FO343" s="11"/>
      <c r="FP343" s="11"/>
      <c r="FQ343" s="11"/>
      <c r="FR343" s="11"/>
      <c r="FS343" s="11"/>
      <c r="FT343" s="11"/>
      <c r="FU343" s="11"/>
      <c r="FV343" s="11"/>
      <c r="FW343" s="11"/>
      <c r="FX343" s="11"/>
      <c r="FY343" s="11"/>
      <c r="FZ343" s="11"/>
      <c r="GA343" s="11"/>
      <c r="GB343" s="11"/>
      <c r="GC343" s="11"/>
      <c r="GD343" s="11"/>
      <c r="GE343" s="11"/>
      <c r="GF343" s="11"/>
      <c r="GG343" s="11"/>
      <c r="GH343" s="11"/>
      <c r="GI343" s="11"/>
      <c r="GJ343" s="11"/>
      <c r="GK343" s="11"/>
      <c r="GL343" s="11"/>
      <c r="GM343" s="11"/>
      <c r="GN343" s="11"/>
      <c r="GO343" s="11"/>
      <c r="GP343" s="11"/>
      <c r="GQ343" s="11"/>
      <c r="GR343" s="11"/>
      <c r="GS343" s="11"/>
      <c r="GT343" s="11"/>
      <c r="GU343" s="11"/>
      <c r="GV343" s="11"/>
      <c r="GW343" s="11"/>
      <c r="GX343" s="11"/>
      <c r="GY343" s="11"/>
      <c r="GZ343" s="11"/>
      <c r="HA343" s="11"/>
      <c r="HB343" s="11"/>
      <c r="HC343" s="11"/>
      <c r="HD343" s="11"/>
      <c r="HE343" s="11"/>
      <c r="HF343" s="11"/>
      <c r="HG343" s="11"/>
      <c r="HH343" s="11"/>
      <c r="HI343" s="11"/>
      <c r="HJ343" s="11"/>
      <c r="HK343" s="11"/>
      <c r="HL343" s="11"/>
      <c r="HM343" s="11"/>
      <c r="HN343" s="11"/>
      <c r="HO343" s="11"/>
      <c r="HP343" s="11"/>
      <c r="HQ343" s="11"/>
      <c r="HR343" s="11"/>
      <c r="HS343" s="11"/>
      <c r="HT343" s="11"/>
      <c r="HU343" s="11"/>
      <c r="HV343" s="11"/>
      <c r="HW343" s="11"/>
      <c r="HX343" s="11"/>
      <c r="HY343" s="11"/>
      <c r="HZ343" s="11"/>
      <c r="IA343" s="11"/>
      <c r="IB343" s="11"/>
      <c r="IC343" s="11"/>
      <c r="ID343" s="11"/>
      <c r="IE343" s="11"/>
      <c r="IF343" s="11"/>
      <c r="IG343" s="11"/>
      <c r="IH343" s="11"/>
      <c r="II343" s="11"/>
      <c r="IJ343" s="11"/>
      <c r="IK343" s="11"/>
      <c r="IL343" s="11"/>
      <c r="IM343" s="11"/>
      <c r="IN343" s="11"/>
      <c r="IO343" s="11"/>
      <c r="IP343" s="11"/>
      <c r="IQ343" s="11"/>
      <c r="IR343" s="11"/>
      <c r="IS343" s="11"/>
      <c r="IT343" s="11"/>
      <c r="IU343" s="11"/>
      <c r="IV343" s="11"/>
      <c r="IW343" s="11"/>
      <c r="IX343" s="11"/>
      <c r="IY343" s="11"/>
      <c r="IZ343" s="11"/>
      <c r="JA343" s="11"/>
      <c r="JB343" s="11"/>
      <c r="JC343" s="11"/>
      <c r="JD343" s="11"/>
      <c r="JE343" s="11"/>
      <c r="JF343" s="11"/>
      <c r="JG343" s="11"/>
      <c r="JH343" s="11"/>
      <c r="JI343" s="11"/>
      <c r="JJ343" s="11"/>
      <c r="JK343" s="11"/>
      <c r="JL343" s="11"/>
      <c r="JM343" s="11"/>
      <c r="JN343" s="11"/>
      <c r="JO343" s="11"/>
      <c r="JP343" s="11"/>
      <c r="JQ343" s="11"/>
      <c r="JR343" s="11"/>
      <c r="JS343" s="11"/>
      <c r="JT343" s="11"/>
      <c r="JU343" s="11"/>
      <c r="JV343" s="11"/>
      <c r="JW343" s="11"/>
      <c r="JX343" s="11"/>
      <c r="JY343" s="11"/>
      <c r="JZ343" s="11"/>
      <c r="KA343" s="11"/>
      <c r="KB343" s="11"/>
      <c r="KC343" s="11"/>
      <c r="KD343" s="11"/>
      <c r="KE343" s="11"/>
      <c r="KF343" s="11"/>
      <c r="KG343" s="11"/>
      <c r="KH343" s="11"/>
      <c r="KI343" s="11"/>
      <c r="KJ343" s="11"/>
      <c r="KK343" s="11"/>
      <c r="KL343" s="11"/>
      <c r="KM343" s="11"/>
      <c r="KN343" s="11"/>
      <c r="KO343" s="11"/>
      <c r="KP343" s="11"/>
      <c r="KQ343" s="11"/>
      <c r="KR343" s="11"/>
      <c r="KS343" s="11"/>
      <c r="KT343" s="11"/>
      <c r="KU343" s="11"/>
      <c r="KV343" s="11"/>
      <c r="KW343" s="11"/>
      <c r="KX343" s="11"/>
      <c r="KY343" s="11"/>
      <c r="KZ343" s="11"/>
      <c r="LA343" s="11"/>
      <c r="LB343" s="11"/>
      <c r="LC343" s="11"/>
      <c r="LD343" s="11"/>
      <c r="LE343" s="11"/>
      <c r="LF343" s="11"/>
      <c r="LG343" s="11"/>
      <c r="LH343" s="11"/>
      <c r="LI343" s="11"/>
      <c r="LJ343" s="11"/>
      <c r="LK343" s="11"/>
      <c r="LL343" s="11"/>
      <c r="LM343" s="11"/>
      <c r="LN343" s="11"/>
      <c r="LO343" s="11"/>
      <c r="LP343" s="11"/>
      <c r="LQ343" s="11"/>
      <c r="LR343" s="11"/>
      <c r="LS343" s="11"/>
      <c r="LT343" s="11"/>
      <c r="LU343" s="11"/>
      <c r="LV343" s="11"/>
      <c r="LW343" s="11"/>
      <c r="LX343" s="11"/>
      <c r="LY343" s="11"/>
      <c r="LZ343" s="11"/>
      <c r="MA343" s="11"/>
      <c r="MB343" s="11"/>
      <c r="MC343" s="11"/>
      <c r="MD343" s="11"/>
      <c r="ME343" s="11"/>
      <c r="MF343" s="11"/>
      <c r="MG343" s="11"/>
      <c r="MH343" s="11"/>
      <c r="MI343" s="11"/>
      <c r="MJ343" s="11"/>
      <c r="MK343" s="11"/>
      <c r="ML343" s="11"/>
      <c r="MM343" s="11"/>
      <c r="MN343" s="11"/>
      <c r="MO343" s="11"/>
      <c r="MP343" s="11"/>
      <c r="MQ343" s="11"/>
      <c r="MR343" s="11"/>
      <c r="MS343" s="11"/>
      <c r="MT343" s="11"/>
      <c r="MU343" s="11"/>
      <c r="MV343" s="11"/>
      <c r="MW343" s="11"/>
      <c r="MX343" s="11"/>
      <c r="MY343" s="11"/>
      <c r="MZ343" s="11"/>
      <c r="NA343" s="11"/>
      <c r="NB343" s="11"/>
      <c r="NC343" s="11"/>
      <c r="ND343" s="11"/>
      <c r="NE343" s="11"/>
      <c r="NF343" s="11"/>
      <c r="NG343" s="11"/>
      <c r="NH343" s="11"/>
      <c r="NI343" s="11"/>
      <c r="NJ343" s="11"/>
      <c r="NK343" s="11"/>
      <c r="NL343" s="11"/>
      <c r="NM343" s="11"/>
      <c r="NN343" s="11"/>
      <c r="NO343" s="11"/>
      <c r="NP343" s="11"/>
      <c r="NQ343" s="11"/>
      <c r="NR343" s="11"/>
      <c r="NS343" s="11"/>
      <c r="NT343" s="11"/>
      <c r="NU343" s="11"/>
      <c r="NV343" s="11"/>
      <c r="NW343" s="11"/>
      <c r="NX343" s="11"/>
      <c r="NY343" s="11"/>
      <c r="NZ343" s="11"/>
      <c r="OA343" s="11"/>
      <c r="OB343" s="11"/>
      <c r="OC343" s="11"/>
      <c r="OD343" s="11"/>
      <c r="OE343" s="11"/>
      <c r="OF343" s="11"/>
      <c r="OG343" s="11"/>
      <c r="OH343" s="11"/>
      <c r="OI343" s="11"/>
      <c r="OJ343" s="11"/>
      <c r="OK343" s="11"/>
      <c r="OL343" s="11"/>
      <c r="OM343" s="11"/>
      <c r="ON343" s="11"/>
      <c r="OO343" s="11"/>
      <c r="OP343" s="11"/>
      <c r="OQ343" s="11"/>
      <c r="OR343" s="11"/>
      <c r="OS343" s="11"/>
      <c r="OT343" s="11"/>
      <c r="OU343" s="11"/>
      <c r="OV343" s="11"/>
      <c r="OW343" s="11"/>
      <c r="OX343" s="11"/>
      <c r="OY343" s="11"/>
      <c r="OZ343" s="11"/>
      <c r="PA343" s="11"/>
      <c r="PB343" s="11"/>
      <c r="PC343" s="11"/>
      <c r="PD343" s="11"/>
      <c r="PE343" s="11"/>
      <c r="PF343" s="11"/>
      <c r="PG343" s="11"/>
      <c r="PH343" s="11"/>
      <c r="PI343" s="11"/>
      <c r="PJ343" s="11"/>
      <c r="PK343" s="11"/>
      <c r="PL343" s="11"/>
      <c r="PM343" s="11"/>
      <c r="PN343" s="11"/>
      <c r="PO343" s="11"/>
      <c r="PP343" s="11"/>
      <c r="PQ343" s="11"/>
      <c r="PR343" s="11"/>
      <c r="PS343" s="11"/>
      <c r="PT343" s="11"/>
      <c r="PU343" s="11"/>
      <c r="PV343" s="11"/>
      <c r="PW343" s="11"/>
      <c r="PX343" s="11"/>
      <c r="PY343" s="11"/>
      <c r="PZ343" s="11"/>
      <c r="QA343" s="11"/>
      <c r="QB343" s="11"/>
      <c r="QC343" s="11"/>
      <c r="QD343" s="11"/>
      <c r="QE343" s="11"/>
      <c r="QF343" s="11"/>
      <c r="QG343" s="11"/>
      <c r="QH343" s="11"/>
      <c r="QI343" s="11"/>
      <c r="QJ343" s="11"/>
      <c r="QK343" s="11"/>
      <c r="QL343" s="11"/>
      <c r="QM343" s="11"/>
      <c r="QN343" s="11"/>
      <c r="QO343" s="11"/>
      <c r="QP343" s="11"/>
      <c r="QQ343" s="11"/>
      <c r="QR343" s="11"/>
      <c r="QS343" s="11"/>
      <c r="QT343" s="11"/>
      <c r="QU343" s="11"/>
      <c r="QV343" s="11"/>
      <c r="QW343" s="11"/>
      <c r="QX343" s="11"/>
      <c r="QY343" s="11"/>
      <c r="QZ343" s="11"/>
      <c r="RA343" s="11"/>
      <c r="RB343" s="11"/>
      <c r="RC343" s="11"/>
      <c r="RD343" s="11"/>
      <c r="RE343" s="11"/>
      <c r="RF343" s="11"/>
      <c r="RG343" s="11"/>
      <c r="RH343" s="11"/>
      <c r="RI343" s="11"/>
      <c r="RJ343" s="11"/>
      <c r="RK343" s="11"/>
      <c r="RL343" s="11"/>
      <c r="RM343" s="11"/>
      <c r="RN343" s="11"/>
      <c r="RO343" s="11"/>
      <c r="RP343" s="11"/>
      <c r="RQ343" s="11"/>
      <c r="RR343" s="11"/>
      <c r="RS343" s="11"/>
      <c r="RT343" s="11"/>
      <c r="RU343" s="11"/>
      <c r="RV343" s="11"/>
      <c r="RW343" s="11"/>
      <c r="RX343" s="11"/>
      <c r="RY343" s="11"/>
      <c r="RZ343" s="11"/>
      <c r="SA343" s="11"/>
      <c r="SB343" s="11"/>
      <c r="SC343" s="11"/>
      <c r="SD343" s="11"/>
      <c r="SE343" s="11"/>
      <c r="SF343" s="11"/>
      <c r="SG343" s="11"/>
      <c r="SH343" s="11"/>
      <c r="SI343" s="11"/>
      <c r="SJ343" s="11"/>
      <c r="SK343" s="11"/>
      <c r="SL343" s="11"/>
      <c r="SM343" s="11"/>
      <c r="SN343" s="11"/>
      <c r="SO343" s="11"/>
      <c r="SP343" s="11"/>
      <c r="SQ343" s="11"/>
      <c r="SR343" s="11"/>
      <c r="SS343" s="11"/>
      <c r="ST343" s="11"/>
      <c r="SU343" s="11"/>
      <c r="SV343" s="11"/>
      <c r="SW343" s="11"/>
      <c r="SX343" s="11"/>
      <c r="SY343" s="11"/>
      <c r="SZ343" s="11"/>
      <c r="TA343" s="11"/>
      <c r="TB343" s="11"/>
      <c r="TC343" s="11"/>
      <c r="TD343" s="11"/>
      <c r="TE343" s="11"/>
      <c r="TF343" s="11"/>
      <c r="TG343" s="11"/>
      <c r="TH343" s="11"/>
      <c r="TI343" s="11"/>
      <c r="TJ343" s="11"/>
      <c r="TK343" s="11"/>
      <c r="TL343" s="11"/>
      <c r="TM343" s="11"/>
      <c r="TN343" s="11"/>
      <c r="TO343" s="11"/>
      <c r="TP343" s="11"/>
      <c r="TQ343" s="11"/>
      <c r="TR343" s="11"/>
      <c r="TS343" s="11"/>
      <c r="TT343" s="11"/>
      <c r="TU343" s="11"/>
      <c r="TV343" s="11"/>
      <c r="TW343" s="11"/>
      <c r="TX343" s="11"/>
      <c r="TY343" s="11"/>
      <c r="TZ343" s="11"/>
      <c r="UA343" s="11"/>
      <c r="UB343" s="11"/>
      <c r="UC343" s="11"/>
      <c r="UD343" s="11"/>
      <c r="UE343" s="11"/>
      <c r="UF343" s="11"/>
      <c r="UG343" s="11"/>
      <c r="UH343" s="11"/>
      <c r="UI343" s="11"/>
      <c r="UJ343" s="11"/>
      <c r="UK343" s="11"/>
      <c r="UL343" s="11"/>
      <c r="UM343" s="11"/>
      <c r="UN343" s="11"/>
      <c r="UO343" s="11"/>
      <c r="UP343" s="11"/>
      <c r="UQ343" s="11"/>
      <c r="UR343" s="11"/>
      <c r="US343" s="11"/>
      <c r="UT343" s="11"/>
      <c r="UU343" s="11"/>
      <c r="UV343" s="11"/>
      <c r="UW343" s="11"/>
      <c r="UX343" s="11"/>
      <c r="UY343" s="11"/>
      <c r="UZ343" s="11"/>
      <c r="VA343" s="11"/>
      <c r="VB343" s="11"/>
      <c r="VC343" s="11"/>
      <c r="VD343" s="11"/>
      <c r="VE343" s="11"/>
      <c r="VF343" s="11"/>
      <c r="VG343" s="11"/>
      <c r="VH343" s="11"/>
      <c r="VI343" s="11"/>
      <c r="VJ343" s="11"/>
      <c r="VK343" s="11"/>
      <c r="VL343" s="11"/>
      <c r="VM343" s="11"/>
      <c r="VN343" s="11"/>
      <c r="VO343" s="11"/>
      <c r="VP343" s="11"/>
      <c r="VQ343" s="11"/>
      <c r="VR343" s="11"/>
      <c r="VS343" s="11"/>
      <c r="VT343" s="11"/>
      <c r="VU343" s="11"/>
      <c r="VV343" s="11"/>
      <c r="VW343" s="11"/>
      <c r="VX343" s="11"/>
      <c r="VY343" s="11"/>
      <c r="VZ343" s="11"/>
      <c r="WA343" s="11"/>
      <c r="WB343" s="11"/>
      <c r="WC343" s="11"/>
      <c r="WD343" s="11"/>
      <c r="WE343" s="11"/>
      <c r="WF343" s="11"/>
      <c r="WG343" s="11"/>
      <c r="WH343" s="11"/>
      <c r="WI343" s="11"/>
      <c r="WJ343" s="11"/>
      <c r="WK343" s="11"/>
      <c r="WL343" s="11"/>
      <c r="WM343" s="11"/>
      <c r="WN343" s="11"/>
      <c r="WO343" s="11"/>
      <c r="WP343" s="11"/>
      <c r="WQ343" s="11"/>
      <c r="WR343" s="11"/>
      <c r="WS343" s="11"/>
      <c r="WT343" s="11"/>
      <c r="WU343" s="11"/>
      <c r="WV343" s="11"/>
      <c r="WW343" s="11"/>
      <c r="WX343" s="11"/>
      <c r="WY343" s="11"/>
      <c r="WZ343" s="11"/>
      <c r="XA343" s="11"/>
      <c r="XB343" s="11"/>
      <c r="XC343" s="11"/>
      <c r="XD343" s="11"/>
      <c r="XE343" s="11"/>
      <c r="XF343" s="11"/>
      <c r="XG343" s="11"/>
      <c r="XH343" s="11"/>
      <c r="XI343" s="11"/>
      <c r="XJ343" s="11"/>
      <c r="XK343" s="11"/>
      <c r="XL343" s="11"/>
      <c r="XM343" s="11"/>
      <c r="XN343" s="11"/>
      <c r="XO343" s="11"/>
      <c r="XP343" s="11"/>
      <c r="XQ343" s="11"/>
      <c r="XR343" s="11"/>
      <c r="XS343" s="11"/>
      <c r="XT343" s="11"/>
      <c r="XU343" s="11"/>
      <c r="XV343" s="11"/>
      <c r="XW343" s="11"/>
      <c r="XX343" s="11"/>
      <c r="XY343" s="11"/>
      <c r="XZ343" s="11"/>
      <c r="YA343" s="11"/>
      <c r="YB343" s="11"/>
      <c r="YC343" s="11"/>
      <c r="YD343" s="11"/>
      <c r="YE343" s="11"/>
      <c r="YF343" s="11"/>
      <c r="YG343" s="11"/>
      <c r="YH343" s="11"/>
      <c r="YI343" s="11"/>
      <c r="YJ343" s="11"/>
      <c r="YK343" s="11"/>
      <c r="YL343" s="11"/>
      <c r="YM343" s="11"/>
      <c r="YN343" s="11"/>
      <c r="YO343" s="11"/>
      <c r="YP343" s="11"/>
      <c r="YQ343" s="11"/>
      <c r="YR343" s="11"/>
      <c r="YS343" s="11"/>
      <c r="YT343" s="11"/>
      <c r="YU343" s="11"/>
      <c r="YV343" s="11"/>
      <c r="YW343" s="11"/>
      <c r="YX343" s="11"/>
      <c r="YY343" s="11"/>
      <c r="YZ343" s="11"/>
      <c r="ZA343" s="11"/>
      <c r="ZB343" s="11"/>
      <c r="ZC343" s="11"/>
      <c r="ZD343" s="11"/>
      <c r="ZE343" s="11"/>
      <c r="ZF343" s="11"/>
      <c r="ZG343" s="11"/>
      <c r="ZH343" s="11"/>
      <c r="ZI343" s="11"/>
      <c r="ZJ343" s="11"/>
      <c r="ZK343" s="11"/>
      <c r="ZL343" s="11"/>
      <c r="ZM343" s="11"/>
      <c r="ZN343" s="11"/>
      <c r="ZO343" s="11"/>
      <c r="ZP343" s="11"/>
      <c r="ZQ343" s="11"/>
      <c r="ZR343" s="11"/>
      <c r="ZS343" s="11"/>
      <c r="ZT343" s="11"/>
      <c r="ZU343" s="11"/>
      <c r="ZV343" s="11"/>
      <c r="ZW343" s="11"/>
      <c r="ZX343" s="11"/>
      <c r="ZY343" s="11"/>
      <c r="ZZ343" s="11"/>
      <c r="AAA343" s="11"/>
      <c r="AAB343" s="11"/>
      <c r="AAC343" s="11"/>
      <c r="AAD343" s="11"/>
      <c r="AAE343" s="11"/>
      <c r="AAF343" s="11"/>
      <c r="AAG343" s="11"/>
      <c r="AAH343" s="11"/>
      <c r="AAI343" s="11"/>
      <c r="AAJ343" s="11"/>
      <c r="AAK343" s="11"/>
      <c r="AAL343" s="11"/>
      <c r="AAM343" s="11"/>
      <c r="AAN343" s="11"/>
      <c r="AAO343" s="11"/>
      <c r="AAP343" s="11"/>
      <c r="AAQ343" s="11"/>
      <c r="AAR343" s="11"/>
      <c r="AAS343" s="11"/>
      <c r="AAT343" s="11"/>
      <c r="AAU343" s="11"/>
      <c r="AAV343" s="11"/>
      <c r="AAW343" s="11"/>
      <c r="AAX343" s="11"/>
      <c r="AAY343" s="11"/>
      <c r="AAZ343" s="11"/>
      <c r="ABA343" s="11"/>
      <c r="ABB343" s="11"/>
      <c r="ABC343" s="11"/>
      <c r="ABD343" s="11"/>
      <c r="ABE343" s="11"/>
      <c r="ABF343" s="11"/>
      <c r="ABG343" s="11"/>
      <c r="ABH343" s="11"/>
      <c r="ABI343" s="11"/>
      <c r="ABJ343" s="11"/>
      <c r="ABK343" s="11"/>
      <c r="ABL343" s="11"/>
      <c r="ABM343" s="11"/>
      <c r="ABN343" s="11"/>
      <c r="ABO343" s="11"/>
      <c r="ABP343" s="11"/>
      <c r="ABQ343" s="11"/>
      <c r="ABR343" s="11"/>
      <c r="ABS343" s="11"/>
      <c r="ABT343" s="11"/>
      <c r="ABU343" s="11"/>
      <c r="ABV343" s="11"/>
      <c r="ABW343" s="11"/>
      <c r="ABX343" s="11"/>
      <c r="ABY343" s="11"/>
      <c r="ABZ343" s="11"/>
      <c r="ACA343" s="11"/>
      <c r="ACB343" s="11"/>
      <c r="ACC343" s="11"/>
      <c r="ACD343" s="11"/>
      <c r="ACE343" s="11"/>
      <c r="ACF343" s="11"/>
      <c r="ACG343" s="11"/>
      <c r="ACH343" s="11"/>
      <c r="ACI343" s="11"/>
      <c r="ACJ343" s="11"/>
      <c r="ACK343" s="11"/>
      <c r="ACL343" s="11"/>
      <c r="ACM343" s="11"/>
      <c r="ACN343" s="11"/>
      <c r="ACO343" s="11"/>
      <c r="ACP343" s="11"/>
      <c r="ACQ343" s="11"/>
      <c r="ACR343" s="11"/>
      <c r="ACS343" s="11"/>
      <c r="ACT343" s="11"/>
      <c r="ACU343" s="11"/>
      <c r="ACV343" s="11"/>
      <c r="ACW343" s="11"/>
      <c r="ACX343" s="11"/>
      <c r="ACY343" s="11"/>
      <c r="ACZ343" s="11"/>
      <c r="ADA343" s="11"/>
      <c r="ADB343" s="11"/>
      <c r="ADC343" s="11"/>
      <c r="ADD343" s="11"/>
      <c r="ADE343" s="11"/>
      <c r="ADF343" s="11"/>
      <c r="ADG343" s="11"/>
      <c r="ADH343" s="11"/>
      <c r="ADI343" s="11"/>
      <c r="ADJ343" s="11"/>
      <c r="ADK343" s="11"/>
      <c r="ADL343" s="11"/>
      <c r="ADM343" s="11"/>
      <c r="ADN343" s="11"/>
      <c r="ADO343" s="11"/>
      <c r="ADP343" s="11"/>
      <c r="ADQ343" s="11"/>
      <c r="ADR343" s="11"/>
      <c r="ADS343" s="11"/>
      <c r="ADT343" s="11"/>
      <c r="ADU343" s="11"/>
      <c r="ADV343" s="11"/>
      <c r="ADW343" s="11"/>
      <c r="ADX343" s="11"/>
      <c r="ADY343" s="11"/>
      <c r="ADZ343" s="11"/>
      <c r="AEA343" s="11"/>
      <c r="AEB343" s="11"/>
      <c r="AEC343" s="11"/>
      <c r="AED343" s="11"/>
      <c r="AEE343" s="11"/>
      <c r="AEF343" s="11"/>
      <c r="AEG343" s="11"/>
      <c r="AEH343" s="11"/>
      <c r="AEI343" s="11"/>
      <c r="AEJ343" s="11"/>
      <c r="AEK343" s="11"/>
      <c r="AEL343" s="11"/>
      <c r="AEM343" s="11"/>
      <c r="AEN343" s="11"/>
      <c r="AEO343" s="11"/>
      <c r="AEP343" s="11"/>
      <c r="AEQ343" s="11"/>
      <c r="AER343" s="11"/>
      <c r="AES343" s="11"/>
      <c r="AET343" s="11"/>
      <c r="AEU343" s="11"/>
      <c r="AEV343" s="11"/>
      <c r="AEW343" s="11"/>
      <c r="AEX343" s="11"/>
      <c r="AEY343" s="11"/>
      <c r="AEZ343" s="11"/>
      <c r="AFA343" s="11"/>
      <c r="AFB343" s="11"/>
      <c r="AFC343" s="11"/>
      <c r="AFD343" s="11"/>
      <c r="AFE343" s="11"/>
      <c r="AFF343" s="11"/>
      <c r="AFG343" s="11"/>
      <c r="AFH343" s="11"/>
      <c r="AFI343" s="11"/>
      <c r="AFJ343" s="11"/>
      <c r="AFK343" s="11"/>
      <c r="AFL343" s="11"/>
      <c r="AFM343" s="11"/>
      <c r="AFN343" s="11"/>
      <c r="AFO343" s="11"/>
      <c r="AFP343" s="11"/>
      <c r="AFQ343" s="11"/>
      <c r="AFR343" s="11"/>
      <c r="AFS343" s="11"/>
      <c r="AFT343" s="11"/>
      <c r="AFU343" s="11"/>
      <c r="AFV343" s="11"/>
      <c r="AFW343" s="11"/>
      <c r="AFX343" s="11"/>
      <c r="AFY343" s="11"/>
      <c r="AFZ343" s="11"/>
      <c r="AGA343" s="11"/>
      <c r="AGB343" s="11"/>
      <c r="AGC343" s="11"/>
      <c r="AGD343" s="11"/>
      <c r="AGE343" s="11"/>
      <c r="AGF343" s="11"/>
      <c r="AGG343" s="11"/>
      <c r="AGH343" s="11"/>
      <c r="AGI343" s="11"/>
      <c r="AGJ343" s="11"/>
      <c r="AGK343" s="11"/>
      <c r="AGL343" s="11"/>
      <c r="AGM343" s="11"/>
      <c r="AGN343" s="11"/>
      <c r="AGO343" s="11"/>
      <c r="AGP343" s="11"/>
      <c r="AGQ343" s="11"/>
      <c r="AGR343" s="11"/>
      <c r="AGS343" s="11"/>
      <c r="AGT343" s="11"/>
      <c r="AGU343" s="11"/>
      <c r="AGV343" s="11"/>
      <c r="AGW343" s="11"/>
      <c r="AGX343" s="11"/>
      <c r="AGY343" s="11"/>
      <c r="AGZ343" s="11"/>
      <c r="AHA343" s="11"/>
      <c r="AHB343" s="11"/>
      <c r="AHC343" s="11"/>
      <c r="AHD343" s="11"/>
      <c r="AHE343" s="11"/>
      <c r="AHF343" s="11"/>
      <c r="AHG343" s="11"/>
      <c r="AHH343" s="11"/>
      <c r="AHI343" s="11"/>
      <c r="AHJ343" s="11"/>
      <c r="AHK343" s="11"/>
      <c r="AHL343" s="11"/>
      <c r="AHM343" s="11"/>
      <c r="AHN343" s="11"/>
      <c r="AHO343" s="11"/>
      <c r="AHP343" s="11"/>
      <c r="AHQ343" s="11"/>
      <c r="AHR343" s="11"/>
      <c r="AHS343" s="11"/>
      <c r="AHT343" s="11"/>
      <c r="AHU343" s="11"/>
      <c r="AHV343" s="11"/>
      <c r="AHW343" s="11"/>
      <c r="AHX343" s="11"/>
      <c r="AHY343" s="11"/>
      <c r="AHZ343" s="11"/>
      <c r="AIA343" s="11"/>
      <c r="AIB343" s="11"/>
      <c r="AIC343" s="11"/>
      <c r="AID343" s="11"/>
      <c r="AIE343" s="11"/>
      <c r="AIF343" s="11"/>
      <c r="AIG343" s="11"/>
      <c r="AIH343" s="11"/>
      <c r="AII343" s="11"/>
      <c r="AIJ343" s="11"/>
      <c r="AIK343" s="11"/>
      <c r="AIL343" s="11"/>
      <c r="AIM343" s="11"/>
      <c r="AIN343" s="11"/>
      <c r="AIO343" s="11"/>
      <c r="AIP343" s="11"/>
      <c r="AIQ343" s="11"/>
      <c r="AIR343" s="11"/>
      <c r="AIS343" s="11"/>
      <c r="AIT343" s="11"/>
      <c r="AIU343" s="11"/>
      <c r="AIV343" s="11"/>
      <c r="AIW343" s="11"/>
      <c r="AIX343" s="11"/>
      <c r="AIY343" s="11"/>
      <c r="AIZ343" s="11"/>
      <c r="AJA343" s="11"/>
      <c r="AJB343" s="11"/>
      <c r="AJC343" s="11"/>
      <c r="AJD343" s="11"/>
      <c r="AJE343" s="11"/>
      <c r="AJF343" s="11"/>
      <c r="AJG343" s="11"/>
      <c r="AJH343" s="11"/>
      <c r="AJI343" s="11"/>
      <c r="AJJ343" s="11"/>
      <c r="AJK343" s="11"/>
      <c r="AJL343" s="11"/>
      <c r="AJM343" s="11"/>
      <c r="AJN343" s="11"/>
      <c r="AJO343" s="11"/>
      <c r="AJP343" s="11"/>
      <c r="AJQ343" s="11"/>
      <c r="AJR343" s="11"/>
      <c r="AJS343" s="11"/>
      <c r="AJT343" s="11"/>
      <c r="AJU343" s="11"/>
      <c r="AJV343" s="11"/>
      <c r="AJW343" s="11"/>
      <c r="AJX343" s="11"/>
      <c r="AJY343" s="11"/>
      <c r="AJZ343" s="11"/>
      <c r="AKA343" s="11"/>
      <c r="AKB343" s="11"/>
      <c r="AKC343" s="11"/>
      <c r="AKD343" s="11"/>
      <c r="AKE343" s="11"/>
      <c r="AKF343" s="11"/>
      <c r="AKG343" s="11"/>
      <c r="AKH343" s="11"/>
      <c r="AKI343" s="11"/>
      <c r="AKJ343" s="11"/>
      <c r="AKK343" s="11"/>
      <c r="AKL343" s="11"/>
      <c r="AKM343" s="11"/>
      <c r="AKN343" s="11"/>
      <c r="AKO343" s="11"/>
      <c r="AKP343" s="11"/>
      <c r="AKQ343" s="11"/>
      <c r="AKR343" s="11"/>
      <c r="AKS343" s="11"/>
      <c r="AKT343" s="11"/>
      <c r="AKU343" s="11"/>
      <c r="AKV343" s="11"/>
      <c r="AKW343" s="11"/>
      <c r="AKX343" s="11"/>
      <c r="AKY343" s="11"/>
      <c r="AKZ343" s="11"/>
      <c r="ALA343" s="11"/>
      <c r="ALB343" s="11"/>
      <c r="ALC343" s="11"/>
      <c r="ALD343" s="11"/>
      <c r="ALE343" s="11"/>
      <c r="ALF343" s="11"/>
      <c r="ALG343" s="11"/>
      <c r="ALH343" s="11"/>
      <c r="ALI343" s="11"/>
      <c r="ALJ343" s="11"/>
      <c r="ALK343" s="11"/>
      <c r="ALL343" s="11"/>
      <c r="ALM343" s="11"/>
      <c r="ALN343" s="11"/>
      <c r="ALO343" s="11"/>
      <c r="ALP343" s="11"/>
      <c r="ALQ343" s="11"/>
      <c r="ALR343" s="11"/>
      <c r="ALS343" s="11"/>
      <c r="ALT343" s="11"/>
      <c r="ALU343" s="11"/>
      <c r="ALV343" s="11"/>
      <c r="ALW343" s="11"/>
      <c r="ALX343" s="11"/>
      <c r="ALY343" s="11"/>
      <c r="ALZ343" s="11"/>
      <c r="AMA343" s="11"/>
      <c r="AMB343" s="11"/>
      <c r="AMC343" s="11"/>
      <c r="AMD343" s="11"/>
      <c r="AME343" s="11"/>
      <c r="AMF343" s="11"/>
      <c r="AMG343" s="11"/>
      <c r="AMH343" s="11"/>
      <c r="AMI343" s="11"/>
      <c r="AMJ343" s="11"/>
    </row>
    <row r="344" spans="1:1024" ht="27.6">
      <c r="A344" s="8" t="s">
        <v>334</v>
      </c>
      <c r="B344" s="8">
        <v>445879</v>
      </c>
      <c r="C344" s="8"/>
      <c r="D344" s="29">
        <v>45142</v>
      </c>
      <c r="E344" s="1">
        <v>14.5</v>
      </c>
      <c r="F344" s="8">
        <v>6</v>
      </c>
      <c r="G344" s="30">
        <f t="shared" si="18"/>
        <v>20.5</v>
      </c>
      <c r="H344" s="8">
        <f t="shared" si="17"/>
        <v>-14.5</v>
      </c>
      <c r="I344">
        <f t="shared" si="19"/>
        <v>0</v>
      </c>
      <c r="J344">
        <f>SUMIF(Oeffentlichkeitsarbeit!$D:$D,$B344,Oeffentlichkeitsarbeit!$F:$F)</f>
        <v>0</v>
      </c>
      <c r="K344">
        <f>COUNTIF(Fairteiler!$D:$D,$B344)*1/2</f>
        <v>0</v>
      </c>
      <c r="L344">
        <f>COUNTIF('NP-Betrieb'!D:D,$B344)*1/3</f>
        <v>0</v>
      </c>
      <c r="M344">
        <f>COUNTIF(Fairteilungen!$D:$D,$B344)*3/4</f>
        <v>0</v>
      </c>
      <c r="N344">
        <f>COUNTIF(Anlieferung!D:D,$B344)*1/2</f>
        <v>0</v>
      </c>
      <c r="O344">
        <f>COUNTIF(Probeabholungen!B:B,$B344)*1/3</f>
        <v>0</v>
      </c>
    </row>
    <row r="345" spans="1:1024" ht="27.6">
      <c r="A345" s="8" t="s">
        <v>335</v>
      </c>
      <c r="B345" s="8">
        <v>932894</v>
      </c>
      <c r="D345" s="24">
        <v>45845</v>
      </c>
      <c r="E345" s="1">
        <v>0</v>
      </c>
      <c r="F345">
        <v>6</v>
      </c>
      <c r="G345" s="30">
        <f t="shared" si="18"/>
        <v>2.6666666666666665</v>
      </c>
      <c r="H345" s="8">
        <f t="shared" si="17"/>
        <v>3.3333333333333335</v>
      </c>
      <c r="I345">
        <f t="shared" si="19"/>
        <v>3.3333333333333335</v>
      </c>
      <c r="J345">
        <f>SUMIF(Oeffentlichkeitsarbeit!$D:$D,$B345,Oeffentlichkeitsarbeit!$F:$F)</f>
        <v>0</v>
      </c>
      <c r="K345">
        <f>COUNTIF(Fairteiler!$D:$D,$B345)*1/2</f>
        <v>3</v>
      </c>
      <c r="L345">
        <f>COUNTIF('NP-Betrieb'!D:D,$B345)*1/3</f>
        <v>0.33333333333333331</v>
      </c>
      <c r="M345">
        <f>COUNTIF(Fairteilungen!$D:$D,$B345)*3/4</f>
        <v>0</v>
      </c>
      <c r="N345">
        <f>COUNTIF(Anlieferung!D:D,$B345)*1/2</f>
        <v>0</v>
      </c>
      <c r="O345">
        <f>COUNTIF(Probeabholungen!B:B,$B345)*1/3</f>
        <v>0</v>
      </c>
    </row>
    <row r="346" spans="1:1024" ht="27.6">
      <c r="A346" s="8" t="s">
        <v>336</v>
      </c>
      <c r="B346" s="8">
        <v>239819</v>
      </c>
      <c r="D346" s="29"/>
      <c r="E346" s="1">
        <v>0</v>
      </c>
      <c r="F346" s="8">
        <v>6</v>
      </c>
      <c r="G346" s="30">
        <f t="shared" si="18"/>
        <v>3.6666666666666665</v>
      </c>
      <c r="H346" s="8">
        <f t="shared" si="17"/>
        <v>2.3333333333333335</v>
      </c>
      <c r="I346">
        <f t="shared" si="19"/>
        <v>2.3333333333333335</v>
      </c>
      <c r="J346">
        <f>SUMIF(Oeffentlichkeitsarbeit!$D:$D,$B346,Oeffentlichkeitsarbeit!$F:$F)</f>
        <v>0</v>
      </c>
      <c r="K346">
        <f>COUNTIF(Fairteiler!$D:$D,$B346)*1/2</f>
        <v>0</v>
      </c>
      <c r="L346">
        <f>COUNTIF('NP-Betrieb'!D:D,$B346)*1/3</f>
        <v>2.3333333333333335</v>
      </c>
      <c r="M346">
        <f>COUNTIF(Fairteilungen!$D:$D,$B346)*3/4</f>
        <v>0</v>
      </c>
      <c r="N346">
        <f>COUNTIF(Anlieferung!D:D,$B346)*1/2</f>
        <v>0</v>
      </c>
      <c r="O346">
        <f>COUNTIF(Probeabholungen!B:B,$B346)*1/3</f>
        <v>0</v>
      </c>
    </row>
    <row r="347" spans="1:1024" ht="27.6">
      <c r="A347" s="8" t="s">
        <v>337</v>
      </c>
      <c r="B347" s="8">
        <v>797989</v>
      </c>
      <c r="C347" s="18"/>
      <c r="D347" s="29">
        <v>45253</v>
      </c>
      <c r="E347" s="1">
        <v>0</v>
      </c>
      <c r="F347" s="8">
        <v>6</v>
      </c>
      <c r="G347" s="30">
        <f t="shared" si="18"/>
        <v>4.5</v>
      </c>
      <c r="H347" s="8">
        <f t="shared" si="17"/>
        <v>1.5</v>
      </c>
      <c r="I347" s="18">
        <f t="shared" si="19"/>
        <v>1.5</v>
      </c>
      <c r="J347" s="18">
        <f>SUMIF(Oeffentlichkeitsarbeit!$D:$D,$B347,Oeffentlichkeitsarbeit!$F:$F)</f>
        <v>0</v>
      </c>
      <c r="K347" s="18">
        <f>COUNTIF(Fairteiler!$D:$D,$B347)*1/2</f>
        <v>0</v>
      </c>
      <c r="L347" s="18">
        <f>COUNTIF('NP-Betrieb'!D:D,$B347)*1/3</f>
        <v>1</v>
      </c>
      <c r="M347" s="18">
        <f>COUNTIF(Fairteilungen!$D:$D,$B347)*3/4</f>
        <v>0</v>
      </c>
      <c r="N347" s="18">
        <f>COUNTIF(Anlieferung!D:D,$B347)*1/2</f>
        <v>0.5</v>
      </c>
      <c r="O347" s="18">
        <f>COUNTIF(Probeabholungen!B:B,$B347)*1/3</f>
        <v>0</v>
      </c>
    </row>
    <row r="348" spans="1:1024" ht="27.6">
      <c r="A348" s="8" t="s">
        <v>338</v>
      </c>
      <c r="B348" s="8">
        <v>470409</v>
      </c>
      <c r="D348" s="29"/>
      <c r="E348" s="1">
        <v>0</v>
      </c>
      <c r="F348" s="8">
        <v>6</v>
      </c>
      <c r="G348" s="30">
        <f t="shared" si="18"/>
        <v>3</v>
      </c>
      <c r="H348" s="8">
        <f t="shared" ref="H348:H411" si="20">I348-E348</f>
        <v>3</v>
      </c>
      <c r="I348">
        <f t="shared" si="19"/>
        <v>3</v>
      </c>
      <c r="J348">
        <f>SUMIF(Oeffentlichkeitsarbeit!$D:$D,$B348,Oeffentlichkeitsarbeit!$F:$F)</f>
        <v>3</v>
      </c>
      <c r="K348">
        <f>COUNTIF(Fairteiler!$D:$D,$B348)*1/2</f>
        <v>0</v>
      </c>
      <c r="L348">
        <f>COUNTIF('NP-Betrieb'!D:D,$B348)*1/3</f>
        <v>0</v>
      </c>
      <c r="M348">
        <f>COUNTIF(Fairteilungen!$D:$D,$B348)*3/4</f>
        <v>0</v>
      </c>
      <c r="N348">
        <f>COUNTIF(Anlieferung!D:D,$B348)*1/2</f>
        <v>0</v>
      </c>
      <c r="O348">
        <f>COUNTIF(Probeabholungen!B:B,$B348)*1/3</f>
        <v>0</v>
      </c>
    </row>
    <row r="349" spans="1:1024" ht="55.2">
      <c r="A349" s="16" t="s">
        <v>339</v>
      </c>
      <c r="B349" s="16">
        <v>333377</v>
      </c>
      <c r="C349" s="16" t="s">
        <v>831</v>
      </c>
      <c r="D349" s="29"/>
      <c r="E349" s="1">
        <v>0</v>
      </c>
      <c r="F349" s="16">
        <v>0</v>
      </c>
      <c r="G349" s="30">
        <f t="shared" si="18"/>
        <v>-0.66666666666666663</v>
      </c>
      <c r="H349" s="16">
        <f t="shared" si="20"/>
        <v>0.66666666666666663</v>
      </c>
      <c r="I349" s="11">
        <f t="shared" si="19"/>
        <v>0.66666666666666663</v>
      </c>
      <c r="J349" s="11">
        <f>SUMIF(Oeffentlichkeitsarbeit!$D:$D,$B349,Oeffentlichkeitsarbeit!$F:$F)</f>
        <v>0</v>
      </c>
      <c r="K349" s="11">
        <f>COUNTIF(Fairteiler!$D:$D,$B349)*1/2</f>
        <v>0</v>
      </c>
      <c r="L349" s="11">
        <f>COUNTIF('NP-Betrieb'!D:D,$B349)*1/3</f>
        <v>0.66666666666666663</v>
      </c>
      <c r="M349" s="11">
        <f>COUNTIF(Fairteilungen!$D:$D,$B349)*3/4</f>
        <v>0</v>
      </c>
      <c r="N349" s="11">
        <f>COUNTIF(Anlieferung!D:D,$B349)*1/2</f>
        <v>0</v>
      </c>
      <c r="O349" s="11">
        <f>COUNTIF(Probeabholungen!B:B,$B349)*1/3</f>
        <v>0</v>
      </c>
    </row>
    <row r="350" spans="1:1024" ht="27.6">
      <c r="A350" s="8" t="s">
        <v>340</v>
      </c>
      <c r="B350" s="8">
        <v>614883</v>
      </c>
      <c r="D350" s="29"/>
      <c r="E350" s="1">
        <v>0</v>
      </c>
      <c r="F350" s="8">
        <v>6</v>
      </c>
      <c r="G350" s="30">
        <f t="shared" si="18"/>
        <v>3</v>
      </c>
      <c r="H350" s="8">
        <f t="shared" si="20"/>
        <v>3</v>
      </c>
      <c r="I350">
        <f t="shared" si="19"/>
        <v>3</v>
      </c>
      <c r="J350">
        <f>SUMIF(Oeffentlichkeitsarbeit!$D:$D,$B350,Oeffentlichkeitsarbeit!$F:$F)</f>
        <v>0</v>
      </c>
      <c r="K350">
        <f>COUNTIF(Fairteiler!$D:$D,$B350)*1/2</f>
        <v>0</v>
      </c>
      <c r="L350">
        <f>COUNTIF('NP-Betrieb'!D:D,$B350)*1/3</f>
        <v>3</v>
      </c>
      <c r="M350">
        <f>COUNTIF(Fairteilungen!$D:$D,$B350)*3/4</f>
        <v>0</v>
      </c>
      <c r="N350">
        <f>COUNTIF(Anlieferung!D:D,$B350)*1/2</f>
        <v>0</v>
      </c>
      <c r="O350">
        <f>COUNTIF(Probeabholungen!B:B,$B350)*1/3</f>
        <v>0</v>
      </c>
    </row>
    <row r="351" spans="1:1024">
      <c r="A351" s="16" t="s">
        <v>341</v>
      </c>
      <c r="B351" s="16">
        <v>386173</v>
      </c>
      <c r="C351" s="31" t="s">
        <v>850</v>
      </c>
      <c r="D351" s="32"/>
      <c r="E351" s="1">
        <v>0</v>
      </c>
      <c r="F351" s="16">
        <v>0</v>
      </c>
      <c r="G351" s="33">
        <f t="shared" si="18"/>
        <v>-0.83333333333333326</v>
      </c>
      <c r="H351" s="16">
        <f t="shared" si="20"/>
        <v>0.83333333333333326</v>
      </c>
      <c r="I351" s="31">
        <f t="shared" si="19"/>
        <v>0.83333333333333326</v>
      </c>
      <c r="J351" s="31">
        <f>SUMIF(Oeffentlichkeitsarbeit!$D:$D,$B351,Oeffentlichkeitsarbeit!$F:$F)</f>
        <v>0</v>
      </c>
      <c r="K351" s="31">
        <f>COUNTIF(Fairteiler!$D:$D,$B351)*1/2</f>
        <v>0.5</v>
      </c>
      <c r="L351" s="31">
        <f>COUNTIF('NP-Betrieb'!D:D,$B351)*1/3</f>
        <v>0.33333333333333331</v>
      </c>
      <c r="M351" s="31">
        <f>COUNTIF(Fairteilungen!$D:$D,$B351)*3/4</f>
        <v>0</v>
      </c>
      <c r="N351" s="31">
        <f>COUNTIF(Anlieferung!D:D,$B351)*1/2</f>
        <v>0</v>
      </c>
      <c r="O351" s="31">
        <f>COUNTIF(Probeabholungen!B:B,$B351)*1/3</f>
        <v>0</v>
      </c>
    </row>
    <row r="352" spans="1:1024" s="31" customFormat="1" ht="41.4">
      <c r="A352" s="8" t="s">
        <v>342</v>
      </c>
      <c r="B352" s="8">
        <v>558558</v>
      </c>
      <c r="C352"/>
      <c r="D352" s="29"/>
      <c r="E352" s="1">
        <v>0</v>
      </c>
      <c r="F352" s="8">
        <v>6</v>
      </c>
      <c r="G352" s="30">
        <f t="shared" si="18"/>
        <v>6</v>
      </c>
      <c r="H352" s="8">
        <f t="shared" si="20"/>
        <v>0</v>
      </c>
      <c r="I352">
        <f t="shared" si="19"/>
        <v>0</v>
      </c>
      <c r="J352">
        <f>SUMIF(Oeffentlichkeitsarbeit!$D:$D,$B352,Oeffentlichkeitsarbeit!$F:$F)</f>
        <v>0</v>
      </c>
      <c r="K352">
        <f>COUNTIF(Fairteiler!$D:$D,$B352)*1/2</f>
        <v>0</v>
      </c>
      <c r="L352">
        <f>COUNTIF('NP-Betrieb'!D:D,$B352)*1/3</f>
        <v>0</v>
      </c>
      <c r="M352">
        <f>COUNTIF(Fairteilungen!$D:$D,$B352)*3/4</f>
        <v>0</v>
      </c>
      <c r="N352">
        <f>COUNTIF(Anlieferung!D:D,$B352)*1/2</f>
        <v>0</v>
      </c>
      <c r="O352">
        <f>COUNTIF(Probeabholungen!B:B,$B352)*1/3</f>
        <v>0</v>
      </c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DV352"/>
      <c r="DW352"/>
      <c r="DX352"/>
      <c r="DY352"/>
      <c r="DZ352"/>
      <c r="EA352"/>
      <c r="EB352"/>
      <c r="EC352"/>
      <c r="ED352"/>
      <c r="EE352"/>
      <c r="EF352"/>
      <c r="EG352"/>
      <c r="EH352"/>
      <c r="EI352"/>
      <c r="EJ352"/>
      <c r="EK352"/>
      <c r="EL352"/>
      <c r="EM352"/>
      <c r="EN352"/>
      <c r="EO352"/>
      <c r="EP352"/>
      <c r="EQ352"/>
      <c r="ER352"/>
      <c r="ES352"/>
      <c r="ET352"/>
      <c r="EU352"/>
      <c r="EV352"/>
      <c r="EW352"/>
      <c r="EX352"/>
      <c r="EY352"/>
      <c r="EZ352"/>
      <c r="FA352"/>
      <c r="FB352"/>
      <c r="FC352"/>
      <c r="FD352"/>
      <c r="FE352"/>
      <c r="FF352"/>
      <c r="FG352"/>
      <c r="FH352"/>
      <c r="FI352"/>
      <c r="FJ352"/>
      <c r="FK352"/>
      <c r="FL352"/>
      <c r="FM352"/>
      <c r="FN352"/>
      <c r="FO352"/>
      <c r="FP352"/>
      <c r="FQ352"/>
      <c r="FR352"/>
      <c r="FS352"/>
      <c r="FT352"/>
      <c r="FU352"/>
      <c r="FV352"/>
      <c r="FW352"/>
      <c r="FX352"/>
      <c r="FY352"/>
      <c r="FZ352"/>
      <c r="GA352"/>
      <c r="GB352"/>
      <c r="GC352"/>
      <c r="GD352"/>
      <c r="GE352"/>
      <c r="GF352"/>
      <c r="GG352"/>
      <c r="GH352"/>
      <c r="GI352"/>
      <c r="GJ352"/>
      <c r="GK352"/>
      <c r="GL352"/>
      <c r="GM352"/>
      <c r="GN352"/>
      <c r="GO352"/>
      <c r="GP352"/>
      <c r="GQ352"/>
      <c r="GR352"/>
      <c r="GS352"/>
      <c r="GT352"/>
      <c r="GU352"/>
      <c r="GV352"/>
      <c r="GW352"/>
      <c r="GX352"/>
      <c r="GY352"/>
      <c r="GZ352"/>
      <c r="HA352"/>
      <c r="HB352"/>
      <c r="HC352"/>
      <c r="HD352"/>
      <c r="HE352"/>
      <c r="HF352"/>
      <c r="HG352"/>
      <c r="HH352"/>
      <c r="HI352"/>
      <c r="HJ352"/>
      <c r="HK352"/>
      <c r="HL352"/>
      <c r="HM352"/>
      <c r="HN352"/>
      <c r="HO352"/>
      <c r="HP352"/>
      <c r="HQ352"/>
      <c r="HR352"/>
      <c r="HS352"/>
      <c r="HT352"/>
      <c r="HU352"/>
      <c r="HV352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  <c r="IW352"/>
      <c r="IX352"/>
      <c r="IY352"/>
      <c r="IZ352"/>
      <c r="JA352"/>
      <c r="JB352"/>
      <c r="JC352"/>
      <c r="JD352"/>
      <c r="JE352"/>
      <c r="JF352"/>
      <c r="JG352"/>
      <c r="JH352"/>
      <c r="JI352"/>
      <c r="JJ352"/>
      <c r="JK352"/>
      <c r="JL352"/>
      <c r="JM352"/>
      <c r="JN352"/>
      <c r="JO352"/>
      <c r="JP352"/>
      <c r="JQ352"/>
      <c r="JR352"/>
      <c r="JS352"/>
      <c r="JT352"/>
      <c r="JU352"/>
      <c r="JV352"/>
      <c r="JW352"/>
      <c r="JX352"/>
      <c r="JY352"/>
      <c r="JZ352"/>
      <c r="KA352"/>
      <c r="KB352"/>
      <c r="KC352"/>
      <c r="KD352"/>
      <c r="KE352"/>
      <c r="KF352"/>
      <c r="KG352"/>
      <c r="KH352"/>
      <c r="KI352"/>
      <c r="KJ352"/>
      <c r="KK352"/>
      <c r="KL352"/>
      <c r="KM352"/>
      <c r="KN352"/>
      <c r="KO352"/>
      <c r="KP352"/>
      <c r="KQ352"/>
      <c r="KR352"/>
      <c r="KS352"/>
      <c r="KT352"/>
      <c r="KU352"/>
      <c r="KV352"/>
      <c r="KW352"/>
      <c r="KX352"/>
      <c r="KY352"/>
      <c r="KZ352"/>
      <c r="LA352"/>
      <c r="LB352"/>
      <c r="LC352"/>
      <c r="LD352"/>
      <c r="LE352"/>
      <c r="LF352"/>
      <c r="LG352"/>
      <c r="LH352"/>
      <c r="LI352"/>
      <c r="LJ352"/>
      <c r="LK352"/>
      <c r="LL352"/>
      <c r="LM352"/>
      <c r="LN352"/>
      <c r="LO352"/>
      <c r="LP352"/>
      <c r="LQ352"/>
      <c r="LR352"/>
      <c r="LS352"/>
      <c r="LT352"/>
      <c r="LU352"/>
      <c r="LV352"/>
      <c r="LW352"/>
      <c r="LX352"/>
      <c r="LY352"/>
      <c r="LZ352"/>
      <c r="MA352"/>
      <c r="MB352"/>
      <c r="MC352"/>
      <c r="MD352"/>
      <c r="ME352"/>
      <c r="MF352"/>
      <c r="MG352"/>
      <c r="MH352"/>
      <c r="MI352"/>
      <c r="MJ352"/>
      <c r="MK352"/>
      <c r="ML352"/>
      <c r="MM352"/>
      <c r="MN352"/>
      <c r="MO352"/>
      <c r="MP352"/>
      <c r="MQ352"/>
      <c r="MR352"/>
      <c r="MS352"/>
      <c r="MT352"/>
      <c r="MU352"/>
      <c r="MV352"/>
      <c r="MW352"/>
      <c r="MX352"/>
      <c r="MY352"/>
      <c r="MZ352"/>
      <c r="NA352"/>
      <c r="NB352"/>
      <c r="NC352"/>
      <c r="ND352"/>
      <c r="NE352"/>
      <c r="NF352"/>
      <c r="NG352"/>
      <c r="NH352"/>
      <c r="NI352"/>
      <c r="NJ352"/>
      <c r="NK352"/>
      <c r="NL352"/>
      <c r="NM352"/>
      <c r="NN352"/>
      <c r="NO352"/>
      <c r="NP352"/>
      <c r="NQ352"/>
      <c r="NR352"/>
      <c r="NS352"/>
      <c r="NT352"/>
      <c r="NU352"/>
      <c r="NV352"/>
      <c r="NW352"/>
      <c r="NX352"/>
      <c r="NY352"/>
      <c r="NZ352"/>
      <c r="OA352"/>
      <c r="OB352"/>
      <c r="OC352"/>
      <c r="OD352"/>
      <c r="OE352"/>
      <c r="OF352"/>
      <c r="OG352"/>
      <c r="OH352"/>
      <c r="OI352"/>
      <c r="OJ352"/>
      <c r="OK352"/>
      <c r="OL352"/>
      <c r="OM352"/>
      <c r="ON352"/>
      <c r="OO352"/>
      <c r="OP352"/>
      <c r="OQ352"/>
      <c r="OR352"/>
      <c r="OS352"/>
      <c r="OT352"/>
      <c r="OU352"/>
      <c r="OV352"/>
      <c r="OW352"/>
      <c r="OX352"/>
      <c r="OY352"/>
      <c r="OZ352"/>
      <c r="PA352"/>
      <c r="PB352"/>
      <c r="PC352"/>
      <c r="PD352"/>
      <c r="PE352"/>
      <c r="PF352"/>
      <c r="PG352"/>
      <c r="PH352"/>
      <c r="PI352"/>
      <c r="PJ352"/>
      <c r="PK352"/>
      <c r="PL352"/>
      <c r="PM352"/>
      <c r="PN352"/>
      <c r="PO352"/>
      <c r="PP352"/>
      <c r="PQ352"/>
      <c r="PR352"/>
      <c r="PS352"/>
      <c r="PT352"/>
      <c r="PU352"/>
      <c r="PV352"/>
      <c r="PW352"/>
      <c r="PX352"/>
      <c r="PY352"/>
      <c r="PZ352"/>
      <c r="QA352"/>
      <c r="QB352"/>
      <c r="QC352"/>
      <c r="QD352"/>
      <c r="QE352"/>
      <c r="QF352"/>
      <c r="QG352"/>
      <c r="QH352"/>
      <c r="QI352"/>
      <c r="QJ352"/>
      <c r="QK352"/>
      <c r="QL352"/>
      <c r="QM352"/>
      <c r="QN352"/>
      <c r="QO352"/>
      <c r="QP352"/>
      <c r="QQ352"/>
      <c r="QR352"/>
      <c r="QS352"/>
      <c r="QT352"/>
      <c r="QU352"/>
      <c r="QV352"/>
      <c r="QW352"/>
      <c r="QX352"/>
      <c r="QY352"/>
      <c r="QZ352"/>
      <c r="RA352"/>
      <c r="RB352"/>
      <c r="RC352"/>
      <c r="RD352"/>
      <c r="RE352"/>
      <c r="RF352"/>
      <c r="RG352"/>
      <c r="RH352"/>
      <c r="RI352"/>
      <c r="RJ352"/>
      <c r="RK352"/>
      <c r="RL352"/>
      <c r="RM352"/>
      <c r="RN352"/>
      <c r="RO352"/>
      <c r="RP352"/>
      <c r="RQ352"/>
      <c r="RR352"/>
      <c r="RS352"/>
      <c r="RT352"/>
      <c r="RU352"/>
      <c r="RV352"/>
      <c r="RW352"/>
      <c r="RX352"/>
      <c r="RY352"/>
      <c r="RZ352"/>
      <c r="SA352"/>
      <c r="SB352"/>
      <c r="SC352"/>
      <c r="SD352"/>
      <c r="SE352"/>
      <c r="SF352"/>
      <c r="SG352"/>
      <c r="SH352"/>
      <c r="SI352"/>
      <c r="SJ352"/>
      <c r="SK352"/>
      <c r="SL352"/>
      <c r="SM352"/>
      <c r="SN352"/>
      <c r="SO352"/>
      <c r="SP352"/>
      <c r="SQ352"/>
      <c r="SR352"/>
      <c r="SS352"/>
      <c r="ST352"/>
      <c r="SU352"/>
      <c r="SV352"/>
      <c r="SW352"/>
      <c r="SX352"/>
      <c r="SY352"/>
      <c r="SZ352"/>
      <c r="TA352"/>
      <c r="TB352"/>
      <c r="TC352"/>
      <c r="TD352"/>
      <c r="TE352"/>
      <c r="TF352"/>
      <c r="TG352"/>
      <c r="TH352"/>
      <c r="TI352"/>
      <c r="TJ352"/>
      <c r="TK352"/>
      <c r="TL352"/>
      <c r="TM352"/>
      <c r="TN352"/>
      <c r="TO352"/>
      <c r="TP352"/>
      <c r="TQ352"/>
      <c r="TR352"/>
      <c r="TS352"/>
      <c r="TT352"/>
      <c r="TU352"/>
      <c r="TV352"/>
      <c r="TW352"/>
      <c r="TX352"/>
      <c r="TY352"/>
      <c r="TZ352"/>
      <c r="UA352"/>
      <c r="UB352"/>
      <c r="UC352"/>
      <c r="UD352"/>
      <c r="UE352"/>
      <c r="UF352"/>
      <c r="UG352"/>
      <c r="UH352"/>
      <c r="UI352"/>
      <c r="UJ352"/>
      <c r="UK352"/>
      <c r="UL352"/>
      <c r="UM352"/>
      <c r="UN352"/>
      <c r="UO352"/>
      <c r="UP352"/>
      <c r="UQ352"/>
      <c r="UR352"/>
      <c r="US352"/>
      <c r="UT352"/>
      <c r="UU352"/>
      <c r="UV352"/>
      <c r="UW352"/>
      <c r="UX352"/>
      <c r="UY352"/>
      <c r="UZ352"/>
      <c r="VA352"/>
      <c r="VB352"/>
      <c r="VC352"/>
      <c r="VD352"/>
      <c r="VE352"/>
      <c r="VF352"/>
      <c r="VG352"/>
      <c r="VH352"/>
      <c r="VI352"/>
      <c r="VJ352"/>
      <c r="VK352"/>
      <c r="VL352"/>
      <c r="VM352"/>
      <c r="VN352"/>
      <c r="VO352"/>
      <c r="VP352"/>
      <c r="VQ352"/>
      <c r="VR352"/>
      <c r="VS352"/>
      <c r="VT352"/>
      <c r="VU352"/>
      <c r="VV352"/>
      <c r="VW352"/>
      <c r="VX352"/>
      <c r="VY352"/>
      <c r="VZ352"/>
      <c r="WA352"/>
      <c r="WB352"/>
      <c r="WC352"/>
      <c r="WD352"/>
      <c r="WE352"/>
      <c r="WF352"/>
      <c r="WG352"/>
      <c r="WH352"/>
      <c r="WI352"/>
      <c r="WJ352"/>
      <c r="WK352"/>
      <c r="WL352"/>
      <c r="WM352"/>
      <c r="WN352"/>
      <c r="WO352"/>
      <c r="WP352"/>
      <c r="WQ352"/>
      <c r="WR352"/>
      <c r="WS352"/>
      <c r="WT352"/>
      <c r="WU352"/>
      <c r="WV352"/>
      <c r="WW352"/>
      <c r="WX352"/>
      <c r="WY352"/>
      <c r="WZ352"/>
      <c r="XA352"/>
      <c r="XB352"/>
      <c r="XC352"/>
      <c r="XD352"/>
      <c r="XE352"/>
      <c r="XF352"/>
      <c r="XG352"/>
      <c r="XH352"/>
      <c r="XI352"/>
      <c r="XJ352"/>
      <c r="XK352"/>
      <c r="XL352"/>
      <c r="XM352"/>
      <c r="XN352"/>
      <c r="XO352"/>
      <c r="XP352"/>
      <c r="XQ352"/>
      <c r="XR352"/>
      <c r="XS352"/>
      <c r="XT352"/>
      <c r="XU352"/>
      <c r="XV352"/>
      <c r="XW352"/>
      <c r="XX352"/>
      <c r="XY352"/>
      <c r="XZ352"/>
      <c r="YA352"/>
      <c r="YB352"/>
      <c r="YC352"/>
      <c r="YD352"/>
      <c r="YE352"/>
      <c r="YF352"/>
      <c r="YG352"/>
      <c r="YH352"/>
      <c r="YI352"/>
      <c r="YJ352"/>
      <c r="YK352"/>
      <c r="YL352"/>
      <c r="YM352"/>
      <c r="YN352"/>
      <c r="YO352"/>
      <c r="YP352"/>
      <c r="YQ352"/>
      <c r="YR352"/>
      <c r="YS352"/>
      <c r="YT352"/>
      <c r="YU352"/>
      <c r="YV352"/>
      <c r="YW352"/>
      <c r="YX352"/>
      <c r="YY352"/>
      <c r="YZ352"/>
      <c r="ZA352"/>
      <c r="ZB352"/>
      <c r="ZC352"/>
      <c r="ZD352"/>
      <c r="ZE352"/>
      <c r="ZF352"/>
      <c r="ZG352"/>
      <c r="ZH352"/>
      <c r="ZI352"/>
      <c r="ZJ352"/>
      <c r="ZK352"/>
      <c r="ZL352"/>
      <c r="ZM352"/>
      <c r="ZN352"/>
      <c r="ZO352"/>
      <c r="ZP352"/>
      <c r="ZQ352"/>
      <c r="ZR352"/>
      <c r="ZS352"/>
      <c r="ZT352"/>
      <c r="ZU352"/>
      <c r="ZV352"/>
      <c r="ZW352"/>
      <c r="ZX352"/>
      <c r="ZY352"/>
      <c r="ZZ352"/>
      <c r="AAA352"/>
      <c r="AAB352"/>
      <c r="AAC352"/>
      <c r="AAD352"/>
      <c r="AAE352"/>
      <c r="AAF352"/>
      <c r="AAG352"/>
      <c r="AAH352"/>
      <c r="AAI352"/>
      <c r="AAJ352"/>
      <c r="AAK352"/>
      <c r="AAL352"/>
      <c r="AAM352"/>
      <c r="AAN352"/>
      <c r="AAO352"/>
      <c r="AAP352"/>
      <c r="AAQ352"/>
      <c r="AAR352"/>
      <c r="AAS352"/>
      <c r="AAT352"/>
      <c r="AAU352"/>
      <c r="AAV352"/>
      <c r="AAW352"/>
      <c r="AAX352"/>
      <c r="AAY352"/>
      <c r="AAZ352"/>
      <c r="ABA352"/>
      <c r="ABB352"/>
      <c r="ABC352"/>
      <c r="ABD352"/>
      <c r="ABE352"/>
      <c r="ABF352"/>
      <c r="ABG352"/>
      <c r="ABH352"/>
      <c r="ABI352"/>
      <c r="ABJ352"/>
      <c r="ABK352"/>
      <c r="ABL352"/>
      <c r="ABM352"/>
      <c r="ABN352"/>
      <c r="ABO352"/>
      <c r="ABP352"/>
      <c r="ABQ352"/>
      <c r="ABR352"/>
      <c r="ABS352"/>
      <c r="ABT352"/>
      <c r="ABU352"/>
      <c r="ABV352"/>
      <c r="ABW352"/>
      <c r="ABX352"/>
      <c r="ABY352"/>
      <c r="ABZ352"/>
      <c r="ACA352"/>
      <c r="ACB352"/>
      <c r="ACC352"/>
      <c r="ACD352"/>
      <c r="ACE352"/>
      <c r="ACF352"/>
      <c r="ACG352"/>
      <c r="ACH352"/>
      <c r="ACI352"/>
      <c r="ACJ352"/>
      <c r="ACK352"/>
      <c r="ACL352"/>
      <c r="ACM352"/>
      <c r="ACN352"/>
      <c r="ACO352"/>
      <c r="ACP352"/>
      <c r="ACQ352"/>
      <c r="ACR352"/>
      <c r="ACS352"/>
      <c r="ACT352"/>
      <c r="ACU352"/>
      <c r="ACV352"/>
      <c r="ACW352"/>
      <c r="ACX352"/>
      <c r="ACY352"/>
      <c r="ACZ352"/>
      <c r="ADA352"/>
      <c r="ADB352"/>
      <c r="ADC352"/>
      <c r="ADD352"/>
      <c r="ADE352"/>
      <c r="ADF352"/>
      <c r="ADG352"/>
      <c r="ADH352"/>
      <c r="ADI352"/>
      <c r="ADJ352"/>
      <c r="ADK352"/>
      <c r="ADL352"/>
      <c r="ADM352"/>
      <c r="ADN352"/>
      <c r="ADO352"/>
      <c r="ADP352"/>
      <c r="ADQ352"/>
      <c r="ADR352"/>
      <c r="ADS352"/>
      <c r="ADT352"/>
      <c r="ADU352"/>
      <c r="ADV352"/>
      <c r="ADW352"/>
      <c r="ADX352"/>
      <c r="ADY352"/>
      <c r="ADZ352"/>
      <c r="AEA352"/>
      <c r="AEB352"/>
      <c r="AEC352"/>
      <c r="AED352"/>
      <c r="AEE352"/>
      <c r="AEF352"/>
      <c r="AEG352"/>
      <c r="AEH352"/>
      <c r="AEI352"/>
      <c r="AEJ352"/>
      <c r="AEK352"/>
      <c r="AEL352"/>
      <c r="AEM352"/>
      <c r="AEN352"/>
      <c r="AEO352"/>
      <c r="AEP352"/>
      <c r="AEQ352"/>
      <c r="AER352"/>
      <c r="AES352"/>
      <c r="AET352"/>
      <c r="AEU352"/>
      <c r="AEV352"/>
      <c r="AEW352"/>
      <c r="AEX352"/>
      <c r="AEY352"/>
      <c r="AEZ352"/>
      <c r="AFA352"/>
      <c r="AFB352"/>
      <c r="AFC352"/>
      <c r="AFD352"/>
      <c r="AFE352"/>
      <c r="AFF352"/>
      <c r="AFG352"/>
      <c r="AFH352"/>
      <c r="AFI352"/>
      <c r="AFJ352"/>
      <c r="AFK352"/>
      <c r="AFL352"/>
      <c r="AFM352"/>
      <c r="AFN352"/>
      <c r="AFO352"/>
      <c r="AFP352"/>
      <c r="AFQ352"/>
      <c r="AFR352"/>
      <c r="AFS352"/>
      <c r="AFT352"/>
      <c r="AFU352"/>
      <c r="AFV352"/>
      <c r="AFW352"/>
      <c r="AFX352"/>
      <c r="AFY352"/>
      <c r="AFZ352"/>
      <c r="AGA352"/>
      <c r="AGB352"/>
      <c r="AGC352"/>
      <c r="AGD352"/>
      <c r="AGE352"/>
      <c r="AGF352"/>
      <c r="AGG352"/>
      <c r="AGH352"/>
      <c r="AGI352"/>
      <c r="AGJ352"/>
      <c r="AGK352"/>
      <c r="AGL352"/>
      <c r="AGM352"/>
      <c r="AGN352"/>
      <c r="AGO352"/>
      <c r="AGP352"/>
      <c r="AGQ352"/>
      <c r="AGR352"/>
      <c r="AGS352"/>
      <c r="AGT352"/>
      <c r="AGU352"/>
      <c r="AGV352"/>
      <c r="AGW352"/>
      <c r="AGX352"/>
      <c r="AGY352"/>
      <c r="AGZ352"/>
      <c r="AHA352"/>
      <c r="AHB352"/>
      <c r="AHC352"/>
      <c r="AHD352"/>
      <c r="AHE352"/>
      <c r="AHF352"/>
      <c r="AHG352"/>
      <c r="AHH352"/>
      <c r="AHI352"/>
      <c r="AHJ352"/>
      <c r="AHK352"/>
      <c r="AHL352"/>
      <c r="AHM352"/>
      <c r="AHN352"/>
      <c r="AHO352"/>
      <c r="AHP352"/>
      <c r="AHQ352"/>
      <c r="AHR352"/>
      <c r="AHS352"/>
      <c r="AHT352"/>
      <c r="AHU352"/>
      <c r="AHV352"/>
      <c r="AHW352"/>
      <c r="AHX352"/>
      <c r="AHY352"/>
      <c r="AHZ352"/>
      <c r="AIA352"/>
      <c r="AIB352"/>
      <c r="AIC352"/>
      <c r="AID352"/>
      <c r="AIE352"/>
      <c r="AIF352"/>
      <c r="AIG352"/>
      <c r="AIH352"/>
      <c r="AII352"/>
      <c r="AIJ352"/>
      <c r="AIK352"/>
      <c r="AIL352"/>
      <c r="AIM352"/>
      <c r="AIN352"/>
      <c r="AIO352"/>
      <c r="AIP352"/>
      <c r="AIQ352"/>
      <c r="AIR352"/>
      <c r="AIS352"/>
      <c r="AIT352"/>
      <c r="AIU352"/>
      <c r="AIV352"/>
      <c r="AIW352"/>
      <c r="AIX352"/>
      <c r="AIY352"/>
      <c r="AIZ352"/>
      <c r="AJA352"/>
      <c r="AJB352"/>
      <c r="AJC352"/>
      <c r="AJD352"/>
      <c r="AJE352"/>
      <c r="AJF352"/>
      <c r="AJG352"/>
      <c r="AJH352"/>
      <c r="AJI352"/>
      <c r="AJJ352"/>
      <c r="AJK352"/>
      <c r="AJL352"/>
      <c r="AJM352"/>
      <c r="AJN352"/>
      <c r="AJO352"/>
      <c r="AJP352"/>
      <c r="AJQ352"/>
      <c r="AJR352"/>
      <c r="AJS352"/>
      <c r="AJT352"/>
      <c r="AJU352"/>
      <c r="AJV352"/>
      <c r="AJW352"/>
      <c r="AJX352"/>
      <c r="AJY352"/>
      <c r="AJZ352"/>
      <c r="AKA352"/>
      <c r="AKB352"/>
      <c r="AKC352"/>
      <c r="AKD352"/>
      <c r="AKE352"/>
      <c r="AKF352"/>
      <c r="AKG352"/>
      <c r="AKH352"/>
      <c r="AKI352"/>
      <c r="AKJ352"/>
      <c r="AKK352"/>
      <c r="AKL352"/>
      <c r="AKM352"/>
      <c r="AKN352"/>
      <c r="AKO352"/>
      <c r="AKP352"/>
      <c r="AKQ352"/>
      <c r="AKR352"/>
      <c r="AKS352"/>
      <c r="AKT352"/>
      <c r="AKU352"/>
      <c r="AKV352"/>
      <c r="AKW352"/>
      <c r="AKX352"/>
      <c r="AKY352"/>
      <c r="AKZ352"/>
      <c r="ALA352"/>
      <c r="ALB352"/>
      <c r="ALC352"/>
      <c r="ALD352"/>
      <c r="ALE352"/>
      <c r="ALF352"/>
      <c r="ALG352"/>
      <c r="ALH352"/>
      <c r="ALI352"/>
      <c r="ALJ352"/>
      <c r="ALK352"/>
      <c r="ALL352"/>
      <c r="ALM352"/>
      <c r="ALN352"/>
      <c r="ALO352"/>
      <c r="ALP352"/>
      <c r="ALQ352"/>
      <c r="ALR352"/>
      <c r="ALS352"/>
      <c r="ALT352"/>
      <c r="ALU352"/>
      <c r="ALV352"/>
      <c r="ALW352"/>
      <c r="ALX352"/>
      <c r="ALY352"/>
      <c r="ALZ352"/>
      <c r="AMA352"/>
      <c r="AMB352"/>
      <c r="AMC352"/>
      <c r="AMD352"/>
      <c r="AME352"/>
      <c r="AMF352"/>
      <c r="AMG352"/>
      <c r="AMH352"/>
      <c r="AMI352"/>
      <c r="AMJ352"/>
    </row>
    <row r="353" spans="1:1024">
      <c r="A353" t="s">
        <v>343</v>
      </c>
      <c r="B353" s="8">
        <v>847686</v>
      </c>
      <c r="D353" s="24">
        <v>45495</v>
      </c>
      <c r="E353" s="1">
        <v>0</v>
      </c>
      <c r="F353" s="8">
        <v>6</v>
      </c>
      <c r="G353" s="30">
        <f t="shared" si="18"/>
        <v>3</v>
      </c>
      <c r="H353" s="8">
        <f t="shared" si="20"/>
        <v>3</v>
      </c>
      <c r="I353">
        <f t="shared" si="19"/>
        <v>3</v>
      </c>
      <c r="J353">
        <f>SUMIF(Oeffentlichkeitsarbeit!$D:$D,$B353,Oeffentlichkeitsarbeit!$F:$F)</f>
        <v>0</v>
      </c>
      <c r="K353">
        <f>COUNTIF(Fairteiler!$D:$D,$B353)*1/2</f>
        <v>0</v>
      </c>
      <c r="L353">
        <f>COUNTIF('NP-Betrieb'!D:D,$B353)*1/3</f>
        <v>3</v>
      </c>
      <c r="M353">
        <f>COUNTIF(Fairteilungen!$D:$D,$B353)*3/4</f>
        <v>0</v>
      </c>
      <c r="N353">
        <f>COUNTIF(Anlieferung!D:D,$B353)*1/2</f>
        <v>0</v>
      </c>
      <c r="O353">
        <f>COUNTIF(Probeabholungen!B:B,$B353)*1/3</f>
        <v>0</v>
      </c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  <c r="BS353" s="31"/>
      <c r="BT353" s="31"/>
      <c r="BU353" s="31"/>
      <c r="BV353" s="31"/>
      <c r="BW353" s="31"/>
      <c r="BX353" s="31"/>
      <c r="BY353" s="31"/>
      <c r="BZ353" s="31"/>
      <c r="CA353" s="31"/>
      <c r="CB353" s="31"/>
      <c r="CC353" s="31"/>
      <c r="CD353" s="31"/>
      <c r="CE353" s="31"/>
      <c r="CF353" s="31"/>
      <c r="CG353" s="31"/>
      <c r="CH353" s="31"/>
      <c r="CI353" s="31"/>
      <c r="CJ353" s="31"/>
      <c r="CK353" s="31"/>
      <c r="CL353" s="31"/>
      <c r="CM353" s="31"/>
      <c r="CN353" s="31"/>
      <c r="CO353" s="31"/>
      <c r="CP353" s="31"/>
      <c r="CQ353" s="31"/>
      <c r="CR353" s="31"/>
      <c r="CS353" s="31"/>
      <c r="CT353" s="31"/>
      <c r="CU353" s="31"/>
      <c r="CV353" s="31"/>
      <c r="CW353" s="31"/>
      <c r="CX353" s="31"/>
      <c r="CY353" s="31"/>
      <c r="CZ353" s="31"/>
      <c r="DA353" s="31"/>
      <c r="DB353" s="31"/>
      <c r="DC353" s="31"/>
      <c r="DD353" s="31"/>
      <c r="DE353" s="31"/>
      <c r="DF353" s="31"/>
      <c r="DG353" s="31"/>
      <c r="DH353" s="31"/>
      <c r="DI353" s="31"/>
      <c r="DJ353" s="31"/>
      <c r="DK353" s="31"/>
      <c r="DL353" s="31"/>
      <c r="DM353" s="31"/>
      <c r="DN353" s="31"/>
      <c r="DO353" s="31"/>
      <c r="DP353" s="31"/>
      <c r="DQ353" s="31"/>
      <c r="DR353" s="31"/>
      <c r="DS353" s="31"/>
      <c r="DT353" s="31"/>
      <c r="DU353" s="31"/>
      <c r="DV353" s="31"/>
      <c r="DW353" s="31"/>
      <c r="DX353" s="31"/>
      <c r="DY353" s="31"/>
      <c r="DZ353" s="31"/>
      <c r="EA353" s="31"/>
      <c r="EB353" s="31"/>
      <c r="EC353" s="31"/>
      <c r="ED353" s="31"/>
      <c r="EE353" s="31"/>
      <c r="EF353" s="31"/>
      <c r="EG353" s="31"/>
      <c r="EH353" s="31"/>
      <c r="EI353" s="31"/>
      <c r="EJ353" s="31"/>
      <c r="EK353" s="31"/>
      <c r="EL353" s="31"/>
      <c r="EM353" s="31"/>
      <c r="EN353" s="31"/>
      <c r="EO353" s="31"/>
      <c r="EP353" s="31"/>
      <c r="EQ353" s="31"/>
      <c r="ER353" s="31"/>
      <c r="ES353" s="31"/>
      <c r="ET353" s="31"/>
      <c r="EU353" s="31"/>
      <c r="EV353" s="31"/>
      <c r="EW353" s="31"/>
      <c r="EX353" s="31"/>
      <c r="EY353" s="31"/>
      <c r="EZ353" s="31"/>
      <c r="FA353" s="31"/>
      <c r="FB353" s="31"/>
      <c r="FC353" s="31"/>
      <c r="FD353" s="31"/>
      <c r="FE353" s="31"/>
      <c r="FF353" s="31"/>
      <c r="FG353" s="31"/>
      <c r="FH353" s="31"/>
      <c r="FI353" s="31"/>
      <c r="FJ353" s="31"/>
      <c r="FK353" s="31"/>
      <c r="FL353" s="31"/>
      <c r="FM353" s="31"/>
      <c r="FN353" s="31"/>
      <c r="FO353" s="31"/>
      <c r="FP353" s="31"/>
      <c r="FQ353" s="31"/>
      <c r="FR353" s="31"/>
      <c r="FS353" s="31"/>
      <c r="FT353" s="31"/>
      <c r="FU353" s="31"/>
      <c r="FV353" s="31"/>
      <c r="FW353" s="31"/>
      <c r="FX353" s="31"/>
      <c r="FY353" s="31"/>
      <c r="FZ353" s="31"/>
      <c r="GA353" s="31"/>
      <c r="GB353" s="31"/>
      <c r="GC353" s="31"/>
      <c r="GD353" s="31"/>
      <c r="GE353" s="31"/>
      <c r="GF353" s="31"/>
      <c r="GG353" s="31"/>
      <c r="GH353" s="31"/>
      <c r="GI353" s="31"/>
      <c r="GJ353" s="31"/>
      <c r="GK353" s="31"/>
      <c r="GL353" s="31"/>
      <c r="GM353" s="31"/>
      <c r="GN353" s="31"/>
      <c r="GO353" s="31"/>
      <c r="GP353" s="31"/>
      <c r="GQ353" s="31"/>
      <c r="GR353" s="31"/>
      <c r="GS353" s="31"/>
      <c r="GT353" s="31"/>
      <c r="GU353" s="31"/>
      <c r="GV353" s="31"/>
      <c r="GW353" s="31"/>
      <c r="GX353" s="31"/>
      <c r="GY353" s="31"/>
      <c r="GZ353" s="31"/>
      <c r="HA353" s="31"/>
      <c r="HB353" s="31"/>
      <c r="HC353" s="31"/>
      <c r="HD353" s="31"/>
      <c r="HE353" s="31"/>
      <c r="HF353" s="31"/>
      <c r="HG353" s="31"/>
      <c r="HH353" s="31"/>
      <c r="HI353" s="31"/>
      <c r="HJ353" s="31"/>
      <c r="HK353" s="31"/>
      <c r="HL353" s="31"/>
      <c r="HM353" s="31"/>
      <c r="HN353" s="31"/>
      <c r="HO353" s="31"/>
      <c r="HP353" s="31"/>
      <c r="HQ353" s="31"/>
      <c r="HR353" s="31"/>
      <c r="HS353" s="31"/>
      <c r="HT353" s="31"/>
      <c r="HU353" s="31"/>
      <c r="HV353" s="31"/>
      <c r="HW353" s="31"/>
      <c r="HX353" s="31"/>
      <c r="HY353" s="31"/>
      <c r="HZ353" s="31"/>
      <c r="IA353" s="31"/>
      <c r="IB353" s="31"/>
      <c r="IC353" s="31"/>
      <c r="ID353" s="31"/>
      <c r="IE353" s="31"/>
      <c r="IF353" s="31"/>
      <c r="IG353" s="31"/>
      <c r="IH353" s="31"/>
      <c r="II353" s="31"/>
      <c r="IJ353" s="31"/>
      <c r="IK353" s="31"/>
      <c r="IL353" s="31"/>
      <c r="IM353" s="31"/>
      <c r="IN353" s="31"/>
      <c r="IO353" s="31"/>
      <c r="IP353" s="31"/>
      <c r="IQ353" s="31"/>
      <c r="IR353" s="31"/>
      <c r="IS353" s="31"/>
      <c r="IT353" s="31"/>
      <c r="IU353" s="31"/>
      <c r="IV353" s="31"/>
      <c r="IW353" s="31"/>
      <c r="IX353" s="31"/>
      <c r="IY353" s="31"/>
      <c r="IZ353" s="31"/>
      <c r="JA353" s="31"/>
      <c r="JB353" s="31"/>
      <c r="JC353" s="31"/>
      <c r="JD353" s="31"/>
      <c r="JE353" s="31"/>
      <c r="JF353" s="31"/>
      <c r="JG353" s="31"/>
      <c r="JH353" s="31"/>
      <c r="JI353" s="31"/>
      <c r="JJ353" s="31"/>
      <c r="JK353" s="31"/>
      <c r="JL353" s="31"/>
      <c r="JM353" s="31"/>
      <c r="JN353" s="31"/>
      <c r="JO353" s="31"/>
      <c r="JP353" s="31"/>
      <c r="JQ353" s="31"/>
      <c r="JR353" s="31"/>
      <c r="JS353" s="31"/>
      <c r="JT353" s="31"/>
      <c r="JU353" s="31"/>
      <c r="JV353" s="31"/>
      <c r="JW353" s="31"/>
      <c r="JX353" s="31"/>
      <c r="JY353" s="31"/>
      <c r="JZ353" s="31"/>
      <c r="KA353" s="31"/>
      <c r="KB353" s="31"/>
      <c r="KC353" s="31"/>
      <c r="KD353" s="31"/>
      <c r="KE353" s="31"/>
      <c r="KF353" s="31"/>
      <c r="KG353" s="31"/>
      <c r="KH353" s="31"/>
      <c r="KI353" s="31"/>
      <c r="KJ353" s="31"/>
      <c r="KK353" s="31"/>
      <c r="KL353" s="31"/>
      <c r="KM353" s="31"/>
      <c r="KN353" s="31"/>
      <c r="KO353" s="31"/>
      <c r="KP353" s="31"/>
      <c r="KQ353" s="31"/>
      <c r="KR353" s="31"/>
      <c r="KS353" s="31"/>
      <c r="KT353" s="31"/>
      <c r="KU353" s="31"/>
      <c r="KV353" s="31"/>
      <c r="KW353" s="31"/>
      <c r="KX353" s="31"/>
      <c r="KY353" s="31"/>
      <c r="KZ353" s="31"/>
      <c r="LA353" s="31"/>
      <c r="LB353" s="31"/>
      <c r="LC353" s="31"/>
      <c r="LD353" s="31"/>
      <c r="LE353" s="31"/>
      <c r="LF353" s="31"/>
      <c r="LG353" s="31"/>
      <c r="LH353" s="31"/>
      <c r="LI353" s="31"/>
      <c r="LJ353" s="31"/>
      <c r="LK353" s="31"/>
      <c r="LL353" s="31"/>
      <c r="LM353" s="31"/>
      <c r="LN353" s="31"/>
      <c r="LO353" s="31"/>
      <c r="LP353" s="31"/>
      <c r="LQ353" s="31"/>
      <c r="LR353" s="31"/>
      <c r="LS353" s="31"/>
      <c r="LT353" s="31"/>
      <c r="LU353" s="31"/>
      <c r="LV353" s="31"/>
      <c r="LW353" s="31"/>
      <c r="LX353" s="31"/>
      <c r="LY353" s="31"/>
      <c r="LZ353" s="31"/>
      <c r="MA353" s="31"/>
      <c r="MB353" s="31"/>
      <c r="MC353" s="31"/>
      <c r="MD353" s="31"/>
      <c r="ME353" s="31"/>
      <c r="MF353" s="31"/>
      <c r="MG353" s="31"/>
      <c r="MH353" s="31"/>
      <c r="MI353" s="31"/>
      <c r="MJ353" s="31"/>
      <c r="MK353" s="31"/>
      <c r="ML353" s="31"/>
      <c r="MM353" s="31"/>
      <c r="MN353" s="31"/>
      <c r="MO353" s="31"/>
      <c r="MP353" s="31"/>
      <c r="MQ353" s="31"/>
      <c r="MR353" s="31"/>
      <c r="MS353" s="31"/>
      <c r="MT353" s="31"/>
      <c r="MU353" s="31"/>
      <c r="MV353" s="31"/>
      <c r="MW353" s="31"/>
      <c r="MX353" s="31"/>
      <c r="MY353" s="31"/>
      <c r="MZ353" s="31"/>
      <c r="NA353" s="31"/>
      <c r="NB353" s="31"/>
      <c r="NC353" s="31"/>
      <c r="ND353" s="31"/>
      <c r="NE353" s="31"/>
      <c r="NF353" s="31"/>
      <c r="NG353" s="31"/>
      <c r="NH353" s="31"/>
      <c r="NI353" s="31"/>
      <c r="NJ353" s="31"/>
      <c r="NK353" s="31"/>
      <c r="NL353" s="31"/>
      <c r="NM353" s="31"/>
      <c r="NN353" s="31"/>
      <c r="NO353" s="31"/>
      <c r="NP353" s="31"/>
      <c r="NQ353" s="31"/>
      <c r="NR353" s="31"/>
      <c r="NS353" s="31"/>
      <c r="NT353" s="31"/>
      <c r="NU353" s="31"/>
      <c r="NV353" s="31"/>
      <c r="NW353" s="31"/>
      <c r="NX353" s="31"/>
      <c r="NY353" s="31"/>
      <c r="NZ353" s="31"/>
      <c r="OA353" s="31"/>
      <c r="OB353" s="31"/>
      <c r="OC353" s="31"/>
      <c r="OD353" s="31"/>
      <c r="OE353" s="31"/>
      <c r="OF353" s="31"/>
      <c r="OG353" s="31"/>
      <c r="OH353" s="31"/>
      <c r="OI353" s="31"/>
      <c r="OJ353" s="31"/>
      <c r="OK353" s="31"/>
      <c r="OL353" s="31"/>
      <c r="OM353" s="31"/>
      <c r="ON353" s="31"/>
      <c r="OO353" s="31"/>
      <c r="OP353" s="31"/>
      <c r="OQ353" s="31"/>
      <c r="OR353" s="31"/>
      <c r="OS353" s="31"/>
      <c r="OT353" s="31"/>
      <c r="OU353" s="31"/>
      <c r="OV353" s="31"/>
      <c r="OW353" s="31"/>
      <c r="OX353" s="31"/>
      <c r="OY353" s="31"/>
      <c r="OZ353" s="31"/>
      <c r="PA353" s="31"/>
      <c r="PB353" s="31"/>
      <c r="PC353" s="31"/>
      <c r="PD353" s="31"/>
      <c r="PE353" s="31"/>
      <c r="PF353" s="31"/>
      <c r="PG353" s="31"/>
      <c r="PH353" s="31"/>
      <c r="PI353" s="31"/>
      <c r="PJ353" s="31"/>
      <c r="PK353" s="31"/>
      <c r="PL353" s="31"/>
      <c r="PM353" s="31"/>
      <c r="PN353" s="31"/>
      <c r="PO353" s="31"/>
      <c r="PP353" s="31"/>
      <c r="PQ353" s="31"/>
      <c r="PR353" s="31"/>
      <c r="PS353" s="31"/>
      <c r="PT353" s="31"/>
      <c r="PU353" s="31"/>
      <c r="PV353" s="31"/>
      <c r="PW353" s="31"/>
      <c r="PX353" s="31"/>
      <c r="PY353" s="31"/>
      <c r="PZ353" s="31"/>
      <c r="QA353" s="31"/>
      <c r="QB353" s="31"/>
      <c r="QC353" s="31"/>
      <c r="QD353" s="31"/>
      <c r="QE353" s="31"/>
      <c r="QF353" s="31"/>
      <c r="QG353" s="31"/>
      <c r="QH353" s="31"/>
      <c r="QI353" s="31"/>
      <c r="QJ353" s="31"/>
      <c r="QK353" s="31"/>
      <c r="QL353" s="31"/>
      <c r="QM353" s="31"/>
      <c r="QN353" s="31"/>
      <c r="QO353" s="31"/>
      <c r="QP353" s="31"/>
      <c r="QQ353" s="31"/>
      <c r="QR353" s="31"/>
      <c r="QS353" s="31"/>
      <c r="QT353" s="31"/>
      <c r="QU353" s="31"/>
      <c r="QV353" s="31"/>
      <c r="QW353" s="31"/>
      <c r="QX353" s="31"/>
      <c r="QY353" s="31"/>
      <c r="QZ353" s="31"/>
      <c r="RA353" s="31"/>
      <c r="RB353" s="31"/>
      <c r="RC353" s="31"/>
      <c r="RD353" s="31"/>
      <c r="RE353" s="31"/>
      <c r="RF353" s="31"/>
      <c r="RG353" s="31"/>
      <c r="RH353" s="31"/>
      <c r="RI353" s="31"/>
      <c r="RJ353" s="31"/>
      <c r="RK353" s="31"/>
      <c r="RL353" s="31"/>
      <c r="RM353" s="31"/>
      <c r="RN353" s="31"/>
      <c r="RO353" s="31"/>
      <c r="RP353" s="31"/>
      <c r="RQ353" s="31"/>
      <c r="RR353" s="31"/>
      <c r="RS353" s="31"/>
      <c r="RT353" s="31"/>
      <c r="RU353" s="31"/>
      <c r="RV353" s="31"/>
      <c r="RW353" s="31"/>
      <c r="RX353" s="31"/>
      <c r="RY353" s="31"/>
      <c r="RZ353" s="31"/>
      <c r="SA353" s="31"/>
      <c r="SB353" s="31"/>
      <c r="SC353" s="31"/>
      <c r="SD353" s="31"/>
      <c r="SE353" s="31"/>
      <c r="SF353" s="31"/>
      <c r="SG353" s="31"/>
      <c r="SH353" s="31"/>
      <c r="SI353" s="31"/>
      <c r="SJ353" s="31"/>
      <c r="SK353" s="31"/>
      <c r="SL353" s="31"/>
      <c r="SM353" s="31"/>
      <c r="SN353" s="31"/>
      <c r="SO353" s="31"/>
      <c r="SP353" s="31"/>
      <c r="SQ353" s="31"/>
      <c r="SR353" s="31"/>
      <c r="SS353" s="31"/>
      <c r="ST353" s="31"/>
      <c r="SU353" s="31"/>
      <c r="SV353" s="31"/>
      <c r="SW353" s="31"/>
      <c r="SX353" s="31"/>
      <c r="SY353" s="31"/>
      <c r="SZ353" s="31"/>
      <c r="TA353" s="31"/>
      <c r="TB353" s="31"/>
      <c r="TC353" s="31"/>
      <c r="TD353" s="31"/>
      <c r="TE353" s="31"/>
      <c r="TF353" s="31"/>
      <c r="TG353" s="31"/>
      <c r="TH353" s="31"/>
      <c r="TI353" s="31"/>
      <c r="TJ353" s="31"/>
      <c r="TK353" s="31"/>
      <c r="TL353" s="31"/>
      <c r="TM353" s="31"/>
      <c r="TN353" s="31"/>
      <c r="TO353" s="31"/>
      <c r="TP353" s="31"/>
      <c r="TQ353" s="31"/>
      <c r="TR353" s="31"/>
      <c r="TS353" s="31"/>
      <c r="TT353" s="31"/>
      <c r="TU353" s="31"/>
      <c r="TV353" s="31"/>
      <c r="TW353" s="31"/>
      <c r="TX353" s="31"/>
      <c r="TY353" s="31"/>
      <c r="TZ353" s="31"/>
      <c r="UA353" s="31"/>
      <c r="UB353" s="31"/>
      <c r="UC353" s="31"/>
      <c r="UD353" s="31"/>
      <c r="UE353" s="31"/>
      <c r="UF353" s="31"/>
      <c r="UG353" s="31"/>
      <c r="UH353" s="31"/>
      <c r="UI353" s="31"/>
      <c r="UJ353" s="31"/>
      <c r="UK353" s="31"/>
      <c r="UL353" s="31"/>
      <c r="UM353" s="31"/>
      <c r="UN353" s="31"/>
      <c r="UO353" s="31"/>
      <c r="UP353" s="31"/>
      <c r="UQ353" s="31"/>
      <c r="UR353" s="31"/>
      <c r="US353" s="31"/>
      <c r="UT353" s="31"/>
      <c r="UU353" s="31"/>
      <c r="UV353" s="31"/>
      <c r="UW353" s="31"/>
      <c r="UX353" s="31"/>
      <c r="UY353" s="31"/>
      <c r="UZ353" s="31"/>
      <c r="VA353" s="31"/>
      <c r="VB353" s="31"/>
      <c r="VC353" s="31"/>
      <c r="VD353" s="31"/>
      <c r="VE353" s="31"/>
      <c r="VF353" s="31"/>
      <c r="VG353" s="31"/>
      <c r="VH353" s="31"/>
      <c r="VI353" s="31"/>
      <c r="VJ353" s="31"/>
      <c r="VK353" s="31"/>
      <c r="VL353" s="31"/>
      <c r="VM353" s="31"/>
      <c r="VN353" s="31"/>
      <c r="VO353" s="31"/>
      <c r="VP353" s="31"/>
      <c r="VQ353" s="31"/>
      <c r="VR353" s="31"/>
      <c r="VS353" s="31"/>
      <c r="VT353" s="31"/>
      <c r="VU353" s="31"/>
      <c r="VV353" s="31"/>
      <c r="VW353" s="31"/>
      <c r="VX353" s="31"/>
      <c r="VY353" s="31"/>
      <c r="VZ353" s="31"/>
      <c r="WA353" s="31"/>
      <c r="WB353" s="31"/>
      <c r="WC353" s="31"/>
      <c r="WD353" s="31"/>
      <c r="WE353" s="31"/>
      <c r="WF353" s="31"/>
      <c r="WG353" s="31"/>
      <c r="WH353" s="31"/>
      <c r="WI353" s="31"/>
      <c r="WJ353" s="31"/>
      <c r="WK353" s="31"/>
      <c r="WL353" s="31"/>
      <c r="WM353" s="31"/>
      <c r="WN353" s="31"/>
      <c r="WO353" s="31"/>
      <c r="WP353" s="31"/>
      <c r="WQ353" s="31"/>
      <c r="WR353" s="31"/>
      <c r="WS353" s="31"/>
      <c r="WT353" s="31"/>
      <c r="WU353" s="31"/>
      <c r="WV353" s="31"/>
      <c r="WW353" s="31"/>
      <c r="WX353" s="31"/>
      <c r="WY353" s="31"/>
      <c r="WZ353" s="31"/>
      <c r="XA353" s="31"/>
      <c r="XB353" s="31"/>
      <c r="XC353" s="31"/>
      <c r="XD353" s="31"/>
      <c r="XE353" s="31"/>
      <c r="XF353" s="31"/>
      <c r="XG353" s="31"/>
      <c r="XH353" s="31"/>
      <c r="XI353" s="31"/>
      <c r="XJ353" s="31"/>
      <c r="XK353" s="31"/>
      <c r="XL353" s="31"/>
      <c r="XM353" s="31"/>
      <c r="XN353" s="31"/>
      <c r="XO353" s="31"/>
      <c r="XP353" s="31"/>
      <c r="XQ353" s="31"/>
      <c r="XR353" s="31"/>
      <c r="XS353" s="31"/>
      <c r="XT353" s="31"/>
      <c r="XU353" s="31"/>
      <c r="XV353" s="31"/>
      <c r="XW353" s="31"/>
      <c r="XX353" s="31"/>
      <c r="XY353" s="31"/>
      <c r="XZ353" s="31"/>
      <c r="YA353" s="31"/>
      <c r="YB353" s="31"/>
      <c r="YC353" s="31"/>
      <c r="YD353" s="31"/>
      <c r="YE353" s="31"/>
      <c r="YF353" s="31"/>
      <c r="YG353" s="31"/>
      <c r="YH353" s="31"/>
      <c r="YI353" s="31"/>
      <c r="YJ353" s="31"/>
      <c r="YK353" s="31"/>
      <c r="YL353" s="31"/>
      <c r="YM353" s="31"/>
      <c r="YN353" s="31"/>
      <c r="YO353" s="31"/>
      <c r="YP353" s="31"/>
      <c r="YQ353" s="31"/>
      <c r="YR353" s="31"/>
      <c r="YS353" s="31"/>
      <c r="YT353" s="31"/>
      <c r="YU353" s="31"/>
      <c r="YV353" s="31"/>
      <c r="YW353" s="31"/>
      <c r="YX353" s="31"/>
      <c r="YY353" s="31"/>
      <c r="YZ353" s="31"/>
      <c r="ZA353" s="31"/>
      <c r="ZB353" s="31"/>
      <c r="ZC353" s="31"/>
      <c r="ZD353" s="31"/>
      <c r="ZE353" s="31"/>
      <c r="ZF353" s="31"/>
      <c r="ZG353" s="31"/>
      <c r="ZH353" s="31"/>
      <c r="ZI353" s="31"/>
      <c r="ZJ353" s="31"/>
      <c r="ZK353" s="31"/>
      <c r="ZL353" s="31"/>
      <c r="ZM353" s="31"/>
      <c r="ZN353" s="31"/>
      <c r="ZO353" s="31"/>
      <c r="ZP353" s="31"/>
      <c r="ZQ353" s="31"/>
      <c r="ZR353" s="31"/>
      <c r="ZS353" s="31"/>
      <c r="ZT353" s="31"/>
      <c r="ZU353" s="31"/>
      <c r="ZV353" s="31"/>
      <c r="ZW353" s="31"/>
      <c r="ZX353" s="31"/>
      <c r="ZY353" s="31"/>
      <c r="ZZ353" s="31"/>
      <c r="AAA353" s="31"/>
      <c r="AAB353" s="31"/>
      <c r="AAC353" s="31"/>
      <c r="AAD353" s="31"/>
      <c r="AAE353" s="31"/>
      <c r="AAF353" s="31"/>
      <c r="AAG353" s="31"/>
      <c r="AAH353" s="31"/>
      <c r="AAI353" s="31"/>
      <c r="AAJ353" s="31"/>
      <c r="AAK353" s="31"/>
      <c r="AAL353" s="31"/>
      <c r="AAM353" s="31"/>
      <c r="AAN353" s="31"/>
      <c r="AAO353" s="31"/>
      <c r="AAP353" s="31"/>
      <c r="AAQ353" s="31"/>
      <c r="AAR353" s="31"/>
      <c r="AAS353" s="31"/>
      <c r="AAT353" s="31"/>
      <c r="AAU353" s="31"/>
      <c r="AAV353" s="31"/>
      <c r="AAW353" s="31"/>
      <c r="AAX353" s="31"/>
      <c r="AAY353" s="31"/>
      <c r="AAZ353" s="31"/>
      <c r="ABA353" s="31"/>
      <c r="ABB353" s="31"/>
      <c r="ABC353" s="31"/>
      <c r="ABD353" s="31"/>
      <c r="ABE353" s="31"/>
      <c r="ABF353" s="31"/>
      <c r="ABG353" s="31"/>
      <c r="ABH353" s="31"/>
      <c r="ABI353" s="31"/>
      <c r="ABJ353" s="31"/>
      <c r="ABK353" s="31"/>
      <c r="ABL353" s="31"/>
      <c r="ABM353" s="31"/>
      <c r="ABN353" s="31"/>
      <c r="ABO353" s="31"/>
      <c r="ABP353" s="31"/>
      <c r="ABQ353" s="31"/>
      <c r="ABR353" s="31"/>
      <c r="ABS353" s="31"/>
      <c r="ABT353" s="31"/>
      <c r="ABU353" s="31"/>
      <c r="ABV353" s="31"/>
      <c r="ABW353" s="31"/>
      <c r="ABX353" s="31"/>
      <c r="ABY353" s="31"/>
      <c r="ABZ353" s="31"/>
      <c r="ACA353" s="31"/>
      <c r="ACB353" s="31"/>
      <c r="ACC353" s="31"/>
      <c r="ACD353" s="31"/>
      <c r="ACE353" s="31"/>
      <c r="ACF353" s="31"/>
      <c r="ACG353" s="31"/>
      <c r="ACH353" s="31"/>
      <c r="ACI353" s="31"/>
      <c r="ACJ353" s="31"/>
      <c r="ACK353" s="31"/>
      <c r="ACL353" s="31"/>
      <c r="ACM353" s="31"/>
      <c r="ACN353" s="31"/>
      <c r="ACO353" s="31"/>
      <c r="ACP353" s="31"/>
      <c r="ACQ353" s="31"/>
      <c r="ACR353" s="31"/>
      <c r="ACS353" s="31"/>
      <c r="ACT353" s="31"/>
      <c r="ACU353" s="31"/>
      <c r="ACV353" s="31"/>
      <c r="ACW353" s="31"/>
      <c r="ACX353" s="31"/>
      <c r="ACY353" s="31"/>
      <c r="ACZ353" s="31"/>
      <c r="ADA353" s="31"/>
      <c r="ADB353" s="31"/>
      <c r="ADC353" s="31"/>
      <c r="ADD353" s="31"/>
      <c r="ADE353" s="31"/>
      <c r="ADF353" s="31"/>
      <c r="ADG353" s="31"/>
      <c r="ADH353" s="31"/>
      <c r="ADI353" s="31"/>
      <c r="ADJ353" s="31"/>
      <c r="ADK353" s="31"/>
      <c r="ADL353" s="31"/>
      <c r="ADM353" s="31"/>
      <c r="ADN353" s="31"/>
      <c r="ADO353" s="31"/>
      <c r="ADP353" s="31"/>
      <c r="ADQ353" s="31"/>
      <c r="ADR353" s="31"/>
      <c r="ADS353" s="31"/>
      <c r="ADT353" s="31"/>
      <c r="ADU353" s="31"/>
      <c r="ADV353" s="31"/>
      <c r="ADW353" s="31"/>
      <c r="ADX353" s="31"/>
      <c r="ADY353" s="31"/>
      <c r="ADZ353" s="31"/>
      <c r="AEA353" s="31"/>
      <c r="AEB353" s="31"/>
      <c r="AEC353" s="31"/>
      <c r="AED353" s="31"/>
      <c r="AEE353" s="31"/>
      <c r="AEF353" s="31"/>
      <c r="AEG353" s="31"/>
      <c r="AEH353" s="31"/>
      <c r="AEI353" s="31"/>
      <c r="AEJ353" s="31"/>
      <c r="AEK353" s="31"/>
      <c r="AEL353" s="31"/>
      <c r="AEM353" s="31"/>
      <c r="AEN353" s="31"/>
      <c r="AEO353" s="31"/>
      <c r="AEP353" s="31"/>
      <c r="AEQ353" s="31"/>
      <c r="AER353" s="31"/>
      <c r="AES353" s="31"/>
      <c r="AET353" s="31"/>
      <c r="AEU353" s="31"/>
      <c r="AEV353" s="31"/>
      <c r="AEW353" s="31"/>
      <c r="AEX353" s="31"/>
      <c r="AEY353" s="31"/>
      <c r="AEZ353" s="31"/>
      <c r="AFA353" s="31"/>
      <c r="AFB353" s="31"/>
      <c r="AFC353" s="31"/>
      <c r="AFD353" s="31"/>
      <c r="AFE353" s="31"/>
      <c r="AFF353" s="31"/>
      <c r="AFG353" s="31"/>
      <c r="AFH353" s="31"/>
      <c r="AFI353" s="31"/>
      <c r="AFJ353" s="31"/>
      <c r="AFK353" s="31"/>
      <c r="AFL353" s="31"/>
      <c r="AFM353" s="31"/>
      <c r="AFN353" s="31"/>
      <c r="AFO353" s="31"/>
      <c r="AFP353" s="31"/>
      <c r="AFQ353" s="31"/>
      <c r="AFR353" s="31"/>
      <c r="AFS353" s="31"/>
      <c r="AFT353" s="31"/>
      <c r="AFU353" s="31"/>
      <c r="AFV353" s="31"/>
      <c r="AFW353" s="31"/>
      <c r="AFX353" s="31"/>
      <c r="AFY353" s="31"/>
      <c r="AFZ353" s="31"/>
      <c r="AGA353" s="31"/>
      <c r="AGB353" s="31"/>
      <c r="AGC353" s="31"/>
      <c r="AGD353" s="31"/>
      <c r="AGE353" s="31"/>
      <c r="AGF353" s="31"/>
      <c r="AGG353" s="31"/>
      <c r="AGH353" s="31"/>
      <c r="AGI353" s="31"/>
      <c r="AGJ353" s="31"/>
      <c r="AGK353" s="31"/>
      <c r="AGL353" s="31"/>
      <c r="AGM353" s="31"/>
      <c r="AGN353" s="31"/>
      <c r="AGO353" s="31"/>
      <c r="AGP353" s="31"/>
      <c r="AGQ353" s="31"/>
      <c r="AGR353" s="31"/>
      <c r="AGS353" s="31"/>
      <c r="AGT353" s="31"/>
      <c r="AGU353" s="31"/>
      <c r="AGV353" s="31"/>
      <c r="AGW353" s="31"/>
      <c r="AGX353" s="31"/>
      <c r="AGY353" s="31"/>
      <c r="AGZ353" s="31"/>
      <c r="AHA353" s="31"/>
      <c r="AHB353" s="31"/>
      <c r="AHC353" s="31"/>
      <c r="AHD353" s="31"/>
      <c r="AHE353" s="31"/>
      <c r="AHF353" s="31"/>
      <c r="AHG353" s="31"/>
      <c r="AHH353" s="31"/>
      <c r="AHI353" s="31"/>
      <c r="AHJ353" s="31"/>
      <c r="AHK353" s="31"/>
      <c r="AHL353" s="31"/>
      <c r="AHM353" s="31"/>
      <c r="AHN353" s="31"/>
      <c r="AHO353" s="31"/>
      <c r="AHP353" s="31"/>
      <c r="AHQ353" s="31"/>
      <c r="AHR353" s="31"/>
      <c r="AHS353" s="31"/>
      <c r="AHT353" s="31"/>
      <c r="AHU353" s="31"/>
      <c r="AHV353" s="31"/>
      <c r="AHW353" s="31"/>
      <c r="AHX353" s="31"/>
      <c r="AHY353" s="31"/>
      <c r="AHZ353" s="31"/>
      <c r="AIA353" s="31"/>
      <c r="AIB353" s="31"/>
      <c r="AIC353" s="31"/>
      <c r="AID353" s="31"/>
      <c r="AIE353" s="31"/>
      <c r="AIF353" s="31"/>
      <c r="AIG353" s="31"/>
      <c r="AIH353" s="31"/>
      <c r="AII353" s="31"/>
      <c r="AIJ353" s="31"/>
      <c r="AIK353" s="31"/>
      <c r="AIL353" s="31"/>
      <c r="AIM353" s="31"/>
      <c r="AIN353" s="31"/>
      <c r="AIO353" s="31"/>
      <c r="AIP353" s="31"/>
      <c r="AIQ353" s="31"/>
      <c r="AIR353" s="31"/>
      <c r="AIS353" s="31"/>
      <c r="AIT353" s="31"/>
      <c r="AIU353" s="31"/>
      <c r="AIV353" s="31"/>
      <c r="AIW353" s="31"/>
      <c r="AIX353" s="31"/>
      <c r="AIY353" s="31"/>
      <c r="AIZ353" s="31"/>
      <c r="AJA353" s="31"/>
      <c r="AJB353" s="31"/>
      <c r="AJC353" s="31"/>
      <c r="AJD353" s="31"/>
      <c r="AJE353" s="31"/>
      <c r="AJF353" s="31"/>
      <c r="AJG353" s="31"/>
      <c r="AJH353" s="31"/>
      <c r="AJI353" s="31"/>
      <c r="AJJ353" s="31"/>
      <c r="AJK353" s="31"/>
      <c r="AJL353" s="31"/>
      <c r="AJM353" s="31"/>
      <c r="AJN353" s="31"/>
      <c r="AJO353" s="31"/>
      <c r="AJP353" s="31"/>
      <c r="AJQ353" s="31"/>
      <c r="AJR353" s="31"/>
      <c r="AJS353" s="31"/>
      <c r="AJT353" s="31"/>
      <c r="AJU353" s="31"/>
      <c r="AJV353" s="31"/>
      <c r="AJW353" s="31"/>
      <c r="AJX353" s="31"/>
      <c r="AJY353" s="31"/>
      <c r="AJZ353" s="31"/>
      <c r="AKA353" s="31"/>
      <c r="AKB353" s="31"/>
      <c r="AKC353" s="31"/>
      <c r="AKD353" s="31"/>
      <c r="AKE353" s="31"/>
      <c r="AKF353" s="31"/>
      <c r="AKG353" s="31"/>
      <c r="AKH353" s="31"/>
      <c r="AKI353" s="31"/>
      <c r="AKJ353" s="31"/>
      <c r="AKK353" s="31"/>
      <c r="AKL353" s="31"/>
      <c r="AKM353" s="31"/>
      <c r="AKN353" s="31"/>
      <c r="AKO353" s="31"/>
      <c r="AKP353" s="31"/>
      <c r="AKQ353" s="31"/>
      <c r="AKR353" s="31"/>
      <c r="AKS353" s="31"/>
      <c r="AKT353" s="31"/>
      <c r="AKU353" s="31"/>
      <c r="AKV353" s="31"/>
      <c r="AKW353" s="31"/>
      <c r="AKX353" s="31"/>
      <c r="AKY353" s="31"/>
      <c r="AKZ353" s="31"/>
      <c r="ALA353" s="31"/>
      <c r="ALB353" s="31"/>
      <c r="ALC353" s="31"/>
      <c r="ALD353" s="31"/>
      <c r="ALE353" s="31"/>
      <c r="ALF353" s="31"/>
      <c r="ALG353" s="31"/>
      <c r="ALH353" s="31"/>
      <c r="ALI353" s="31"/>
      <c r="ALJ353" s="31"/>
      <c r="ALK353" s="31"/>
      <c r="ALL353" s="31"/>
      <c r="ALM353" s="31"/>
      <c r="ALN353" s="31"/>
      <c r="ALO353" s="31"/>
      <c r="ALP353" s="31"/>
      <c r="ALQ353" s="31"/>
      <c r="ALR353" s="31"/>
      <c r="ALS353" s="31"/>
      <c r="ALT353" s="31"/>
      <c r="ALU353" s="31"/>
      <c r="ALV353" s="31"/>
      <c r="ALW353" s="31"/>
      <c r="ALX353" s="31"/>
      <c r="ALY353" s="31"/>
      <c r="ALZ353" s="31"/>
      <c r="AMA353" s="31"/>
      <c r="AMB353" s="31"/>
      <c r="AMC353" s="31"/>
      <c r="AMD353" s="31"/>
      <c r="AME353" s="31"/>
      <c r="AMF353" s="31"/>
      <c r="AMG353" s="31"/>
      <c r="AMH353" s="31"/>
      <c r="AMI353" s="31"/>
      <c r="AMJ353" s="31"/>
    </row>
    <row r="354" spans="1:1024">
      <c r="A354" s="8" t="s">
        <v>344</v>
      </c>
      <c r="B354" s="8">
        <v>374452</v>
      </c>
      <c r="C354" s="8"/>
      <c r="D354" s="29"/>
      <c r="E354" s="1">
        <v>15.3333333333333</v>
      </c>
      <c r="F354" s="8">
        <v>6</v>
      </c>
      <c r="G354" s="30">
        <f t="shared" si="18"/>
        <v>21.3333333333333</v>
      </c>
      <c r="H354" s="8">
        <f t="shared" si="20"/>
        <v>-15.3333333333333</v>
      </c>
      <c r="I354">
        <f t="shared" si="19"/>
        <v>0</v>
      </c>
      <c r="J354">
        <f>SUMIF(Oeffentlichkeitsarbeit!$D:$D,$B354,Oeffentlichkeitsarbeit!$F:$F)</f>
        <v>0</v>
      </c>
      <c r="K354">
        <f>COUNTIF(Fairteiler!$D:$D,$B354)*1/2</f>
        <v>0</v>
      </c>
      <c r="L354">
        <f>COUNTIF('NP-Betrieb'!D:D,$B354)*1/3</f>
        <v>0</v>
      </c>
      <c r="M354">
        <f>COUNTIF(Fairteilungen!$D:$D,$B354)*3/4</f>
        <v>0</v>
      </c>
      <c r="N354">
        <f>COUNTIF(Anlieferung!D:D,$B354)*1/2</f>
        <v>0</v>
      </c>
      <c r="O354">
        <f>COUNTIF(Probeabholungen!B:B,$B354)*1/3</f>
        <v>0</v>
      </c>
    </row>
    <row r="355" spans="1:1024" ht="27.6">
      <c r="A355" s="8" t="s">
        <v>345</v>
      </c>
      <c r="B355" s="8">
        <v>778500</v>
      </c>
      <c r="C355" s="11"/>
      <c r="D355" s="29">
        <v>45264</v>
      </c>
      <c r="E355" s="1">
        <v>2</v>
      </c>
      <c r="F355" s="8">
        <v>6</v>
      </c>
      <c r="G355" s="30">
        <f t="shared" si="18"/>
        <v>4.3333333333333339</v>
      </c>
      <c r="H355" s="8">
        <f t="shared" si="20"/>
        <v>1.6666666666666665</v>
      </c>
      <c r="I355" s="11">
        <f t="shared" si="19"/>
        <v>3.6666666666666665</v>
      </c>
      <c r="J355" s="11">
        <f>SUMIF(Oeffentlichkeitsarbeit!$D:$D,$B355,Oeffentlichkeitsarbeit!$F:$F)</f>
        <v>0</v>
      </c>
      <c r="K355" s="11">
        <f>COUNTIF(Fairteiler!$D:$D,$B355)*1/2</f>
        <v>0</v>
      </c>
      <c r="L355" s="11">
        <f>COUNTIF('NP-Betrieb'!D:D,$B355)*1/3</f>
        <v>3.6666666666666665</v>
      </c>
      <c r="M355" s="11">
        <f>COUNTIF(Fairteilungen!$D:$D,$B355)*3/4</f>
        <v>0</v>
      </c>
      <c r="N355" s="11">
        <f>COUNTIF(Anlieferung!D:D,$B355)*1/2</f>
        <v>0</v>
      </c>
      <c r="O355" s="11">
        <f>COUNTIF(Probeabholungen!B:B,$B355)*1/3</f>
        <v>0</v>
      </c>
    </row>
    <row r="356" spans="1:1024" ht="41.4">
      <c r="A356" s="8" t="s">
        <v>346</v>
      </c>
      <c r="B356" s="8">
        <v>661474</v>
      </c>
      <c r="D356" s="29">
        <v>45078</v>
      </c>
      <c r="E356" s="1">
        <v>14.17</v>
      </c>
      <c r="F356" s="8">
        <v>6</v>
      </c>
      <c r="G356" s="30">
        <f t="shared" si="18"/>
        <v>20.170000000000002</v>
      </c>
      <c r="H356" s="8">
        <f t="shared" si="20"/>
        <v>-14.17</v>
      </c>
      <c r="I356">
        <f t="shared" si="19"/>
        <v>0</v>
      </c>
      <c r="J356">
        <f>SUMIF(Oeffentlichkeitsarbeit!$D:$D,$B356,Oeffentlichkeitsarbeit!$F:$F)</f>
        <v>0</v>
      </c>
      <c r="K356">
        <f>COUNTIF(Fairteiler!$D:$D,$B356)*1/2</f>
        <v>0</v>
      </c>
      <c r="L356">
        <f>COUNTIF('NP-Betrieb'!D:D,$B356)*1/3</f>
        <v>0</v>
      </c>
      <c r="M356">
        <f>COUNTIF(Fairteilungen!$D:$D,$B356)*3/4</f>
        <v>0</v>
      </c>
      <c r="N356">
        <f>COUNTIF(Anlieferung!D:D,$B356)*1/2</f>
        <v>0</v>
      </c>
      <c r="O356">
        <f>COUNTIF(Probeabholungen!B:B,$B356)*1/3</f>
        <v>0</v>
      </c>
    </row>
    <row r="357" spans="1:1024" ht="27.6">
      <c r="A357" s="14" t="s">
        <v>347</v>
      </c>
      <c r="B357" s="14">
        <v>353903</v>
      </c>
      <c r="C357" s="14" t="s">
        <v>839</v>
      </c>
      <c r="D357" s="29"/>
      <c r="E357" s="1">
        <v>0</v>
      </c>
      <c r="F357" s="14">
        <v>0</v>
      </c>
      <c r="G357" s="30">
        <f t="shared" si="18"/>
        <v>0</v>
      </c>
      <c r="H357" s="14">
        <f t="shared" si="20"/>
        <v>0</v>
      </c>
      <c r="I357" s="11">
        <f t="shared" si="19"/>
        <v>0</v>
      </c>
      <c r="J357" s="11">
        <f>SUMIF(Oeffentlichkeitsarbeit!$D:$D,$B357,Oeffentlichkeitsarbeit!$F:$F)</f>
        <v>0</v>
      </c>
      <c r="K357" s="11">
        <f>COUNTIF(Fairteiler!$D:$D,$B357)*1/2</f>
        <v>0</v>
      </c>
      <c r="L357" s="11">
        <f>COUNTIF('NP-Betrieb'!D:D,$B357)*1/3</f>
        <v>0</v>
      </c>
      <c r="M357" s="11">
        <f>COUNTIF(Fairteilungen!$D:$D,$B357)*3/4</f>
        <v>0</v>
      </c>
      <c r="N357" s="11">
        <f>COUNTIF(Anlieferung!D:D,$B357)*1/2</f>
        <v>0</v>
      </c>
      <c r="O357" s="11">
        <f>COUNTIF(Probeabholungen!B:B,$B357)*1/3</f>
        <v>0</v>
      </c>
    </row>
    <row r="358" spans="1:1024" ht="27.6">
      <c r="A358" s="8" t="s">
        <v>348</v>
      </c>
      <c r="B358" s="8">
        <v>652343</v>
      </c>
      <c r="D358" s="29"/>
      <c r="E358" s="1">
        <v>0</v>
      </c>
      <c r="F358" s="8">
        <v>6</v>
      </c>
      <c r="G358" s="30">
        <f t="shared" si="18"/>
        <v>3.5</v>
      </c>
      <c r="H358" s="8">
        <f t="shared" si="20"/>
        <v>2.5</v>
      </c>
      <c r="I358">
        <f t="shared" si="19"/>
        <v>2.5</v>
      </c>
      <c r="J358">
        <f>SUMIF(Oeffentlichkeitsarbeit!$D:$D,$B358,Oeffentlichkeitsarbeit!$F:$F)</f>
        <v>0</v>
      </c>
      <c r="K358">
        <f>COUNTIF(Fairteiler!$D:$D,$B358)*1/2</f>
        <v>2.5</v>
      </c>
      <c r="L358">
        <f>COUNTIF('NP-Betrieb'!D:D,$B358)*1/3</f>
        <v>0</v>
      </c>
      <c r="M358">
        <f>COUNTIF(Fairteilungen!$D:$D,$B358)*3/4</f>
        <v>0</v>
      </c>
      <c r="N358">
        <f>COUNTIF(Anlieferung!D:D,$B358)*1/2</f>
        <v>0</v>
      </c>
      <c r="O358">
        <f>COUNTIF(Probeabholungen!B:B,$B358)*1/3</f>
        <v>0</v>
      </c>
    </row>
    <row r="359" spans="1:1024">
      <c r="A359" t="s">
        <v>349</v>
      </c>
      <c r="B359">
        <v>890105</v>
      </c>
      <c r="C359" t="s">
        <v>855</v>
      </c>
      <c r="D359" s="24">
        <v>45720</v>
      </c>
      <c r="E359" s="1">
        <v>0</v>
      </c>
      <c r="F359">
        <v>6</v>
      </c>
      <c r="G359" s="30">
        <f t="shared" si="18"/>
        <v>5</v>
      </c>
      <c r="H359" s="8">
        <f t="shared" si="20"/>
        <v>1</v>
      </c>
      <c r="I359">
        <f t="shared" si="19"/>
        <v>1</v>
      </c>
      <c r="J359">
        <f>SUMIF(Oeffentlichkeitsarbeit!$D:$D,$B359,Oeffentlichkeitsarbeit!$F:$F)</f>
        <v>0</v>
      </c>
      <c r="K359">
        <f>COUNTIF(Fairteiler!$D:$D,$B359)*1/2</f>
        <v>0</v>
      </c>
      <c r="L359">
        <f>COUNTIF('NP-Betrieb'!D:D,$B359)*1/3</f>
        <v>1</v>
      </c>
      <c r="M359">
        <f>COUNTIF(Fairteilungen!$D:$D,$B359)*3/4</f>
        <v>0</v>
      </c>
      <c r="N359">
        <f>COUNTIF(Anlieferung!D:D,$B359)*1/2</f>
        <v>0</v>
      </c>
      <c r="O359">
        <f>COUNTIF(Probeabholungen!B:B,$B359)*1/3</f>
        <v>0</v>
      </c>
    </row>
    <row r="360" spans="1:1024" ht="27.6">
      <c r="A360" s="8" t="s">
        <v>350</v>
      </c>
      <c r="B360" s="8">
        <v>273277</v>
      </c>
      <c r="D360" s="29">
        <v>45190</v>
      </c>
      <c r="E360" s="1">
        <v>0</v>
      </c>
      <c r="F360" s="8">
        <v>6</v>
      </c>
      <c r="G360" s="30">
        <f t="shared" si="18"/>
        <v>0</v>
      </c>
      <c r="H360" s="8">
        <f t="shared" si="20"/>
        <v>6</v>
      </c>
      <c r="I360">
        <f t="shared" si="19"/>
        <v>6</v>
      </c>
      <c r="J360">
        <f>SUMIF(Oeffentlichkeitsarbeit!$D:$D,$B360,Oeffentlichkeitsarbeit!$F:$F)</f>
        <v>6</v>
      </c>
      <c r="K360">
        <f>COUNTIF(Fairteiler!$D:$D,$B360)*1/2</f>
        <v>0</v>
      </c>
      <c r="L360">
        <f>COUNTIF('NP-Betrieb'!D:D,$B360)*1/3</f>
        <v>0</v>
      </c>
      <c r="M360">
        <f>COUNTIF(Fairteilungen!$D:$D,$B360)*3/4</f>
        <v>0</v>
      </c>
      <c r="N360">
        <f>COUNTIF(Anlieferung!D:D,$B360)*1/2</f>
        <v>0</v>
      </c>
      <c r="O360">
        <f>COUNTIF(Probeabholungen!B:B,$B360)*1/3</f>
        <v>0</v>
      </c>
    </row>
    <row r="361" spans="1:1024" ht="27.6">
      <c r="A361" s="8" t="s">
        <v>351</v>
      </c>
      <c r="B361" s="8">
        <v>720428</v>
      </c>
      <c r="D361" s="29">
        <v>45061</v>
      </c>
      <c r="E361" s="1">
        <v>9.8366666666666696</v>
      </c>
      <c r="F361" s="8">
        <v>6</v>
      </c>
      <c r="G361" s="30">
        <f t="shared" si="18"/>
        <v>15.83666666666667</v>
      </c>
      <c r="H361" s="8">
        <f t="shared" si="20"/>
        <v>-9.8366666666666696</v>
      </c>
      <c r="I361">
        <f t="shared" si="19"/>
        <v>0</v>
      </c>
      <c r="J361">
        <f>SUMIF(Oeffentlichkeitsarbeit!$D:$D,$B361,Oeffentlichkeitsarbeit!$F:$F)</f>
        <v>0</v>
      </c>
      <c r="K361">
        <f>COUNTIF(Fairteiler!$D:$D,$B361)*1/2</f>
        <v>0</v>
      </c>
      <c r="L361">
        <f>COUNTIF('NP-Betrieb'!D:D,$B361)*1/3</f>
        <v>0</v>
      </c>
      <c r="M361">
        <f>COUNTIF(Fairteilungen!$D:$D,$B361)*3/4</f>
        <v>0</v>
      </c>
      <c r="N361">
        <f>COUNTIF(Anlieferung!D:D,$B361)*1/2</f>
        <v>0</v>
      </c>
      <c r="O361">
        <f>COUNTIF(Probeabholungen!B:B,$B361)*1/3</f>
        <v>0</v>
      </c>
    </row>
    <row r="362" spans="1:1024" s="31" customFormat="1" ht="27.6">
      <c r="A362" s="8" t="s">
        <v>352</v>
      </c>
      <c r="B362" s="8">
        <v>873907</v>
      </c>
      <c r="C362"/>
      <c r="D362" s="24">
        <v>45631</v>
      </c>
      <c r="E362" s="1">
        <v>0</v>
      </c>
      <c r="F362" s="8">
        <v>6</v>
      </c>
      <c r="G362" s="30">
        <f t="shared" si="18"/>
        <v>3</v>
      </c>
      <c r="H362" s="8">
        <f t="shared" si="20"/>
        <v>3</v>
      </c>
      <c r="I362">
        <f t="shared" si="19"/>
        <v>3</v>
      </c>
      <c r="J362">
        <f>SUMIF(Oeffentlichkeitsarbeit!$D:$D,$B362,Oeffentlichkeitsarbeit!$F:$F)</f>
        <v>0</v>
      </c>
      <c r="K362">
        <f>COUNTIF(Fairteiler!$D:$D,$B362)*1/2</f>
        <v>0</v>
      </c>
      <c r="L362">
        <f>COUNTIF('NP-Betrieb'!D:D,$B362)*1/3</f>
        <v>3</v>
      </c>
      <c r="M362">
        <f>COUNTIF(Fairteilungen!$D:$D,$B362)*3/4</f>
        <v>0</v>
      </c>
      <c r="N362">
        <f>COUNTIF(Anlieferung!D:D,$B362)*1/2</f>
        <v>0</v>
      </c>
      <c r="O362">
        <f>COUNTIF(Probeabholungen!B:B,$B362)*1/3</f>
        <v>0</v>
      </c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  <c r="CO362"/>
      <c r="CP362"/>
      <c r="CQ362"/>
      <c r="CR362"/>
      <c r="CS362"/>
      <c r="CT362"/>
      <c r="CU362"/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DV362"/>
      <c r="DW362"/>
      <c r="DX362"/>
      <c r="DY362"/>
      <c r="DZ362"/>
      <c r="EA362"/>
      <c r="EB362"/>
      <c r="EC362"/>
      <c r="ED362"/>
      <c r="EE362"/>
      <c r="EF362"/>
      <c r="EG362"/>
      <c r="EH362"/>
      <c r="EI362"/>
      <c r="EJ362"/>
      <c r="EK362"/>
      <c r="EL362"/>
      <c r="EM362"/>
      <c r="EN362"/>
      <c r="EO362"/>
      <c r="EP362"/>
      <c r="EQ362"/>
      <c r="ER362"/>
      <c r="ES362"/>
      <c r="ET362"/>
      <c r="EU362"/>
      <c r="EV362"/>
      <c r="EW362"/>
      <c r="EX362"/>
      <c r="EY362"/>
      <c r="EZ362"/>
      <c r="FA362"/>
      <c r="FB362"/>
      <c r="FC362"/>
      <c r="FD362"/>
      <c r="FE362"/>
      <c r="FF362"/>
      <c r="FG362"/>
      <c r="FH362"/>
      <c r="FI362"/>
      <c r="FJ362"/>
      <c r="FK362"/>
      <c r="FL362"/>
      <c r="FM362"/>
      <c r="FN362"/>
      <c r="FO362"/>
      <c r="FP362"/>
      <c r="FQ362"/>
      <c r="FR362"/>
      <c r="FS362"/>
      <c r="FT362"/>
      <c r="FU362"/>
      <c r="FV362"/>
      <c r="FW362"/>
      <c r="FX362"/>
      <c r="FY362"/>
      <c r="FZ362"/>
      <c r="GA362"/>
      <c r="GB362"/>
      <c r="GC362"/>
      <c r="GD362"/>
      <c r="GE362"/>
      <c r="GF362"/>
      <c r="GG362"/>
      <c r="GH362"/>
      <c r="GI362"/>
      <c r="GJ362"/>
      <c r="GK362"/>
      <c r="GL362"/>
      <c r="GM362"/>
      <c r="GN362"/>
      <c r="GO362"/>
      <c r="GP362"/>
      <c r="GQ362"/>
      <c r="GR362"/>
      <c r="GS362"/>
      <c r="GT362"/>
      <c r="GU362"/>
      <c r="GV362"/>
      <c r="GW362"/>
      <c r="GX362"/>
      <c r="GY362"/>
      <c r="GZ362"/>
      <c r="HA362"/>
      <c r="HB362"/>
      <c r="HC362"/>
      <c r="HD362"/>
      <c r="HE362"/>
      <c r="HF362"/>
      <c r="HG362"/>
      <c r="HH362"/>
      <c r="HI362"/>
      <c r="HJ362"/>
      <c r="HK362"/>
      <c r="HL362"/>
      <c r="HM362"/>
      <c r="HN362"/>
      <c r="HO362"/>
      <c r="HP362"/>
      <c r="HQ362"/>
      <c r="HR362"/>
      <c r="HS362"/>
      <c r="HT362"/>
      <c r="HU362"/>
      <c r="HV362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  <c r="IW362"/>
      <c r="IX362"/>
      <c r="IY362"/>
      <c r="IZ362"/>
      <c r="JA362"/>
      <c r="JB362"/>
      <c r="JC362"/>
      <c r="JD362"/>
      <c r="JE362"/>
      <c r="JF362"/>
      <c r="JG362"/>
      <c r="JH362"/>
      <c r="JI362"/>
      <c r="JJ362"/>
      <c r="JK362"/>
      <c r="JL362"/>
      <c r="JM362"/>
      <c r="JN362"/>
      <c r="JO362"/>
      <c r="JP362"/>
      <c r="JQ362"/>
      <c r="JR362"/>
      <c r="JS362"/>
      <c r="JT362"/>
      <c r="JU362"/>
      <c r="JV362"/>
      <c r="JW362"/>
      <c r="JX362"/>
      <c r="JY362"/>
      <c r="JZ362"/>
      <c r="KA362"/>
      <c r="KB362"/>
      <c r="KC362"/>
      <c r="KD362"/>
      <c r="KE362"/>
      <c r="KF362"/>
      <c r="KG362"/>
      <c r="KH362"/>
      <c r="KI362"/>
      <c r="KJ362"/>
      <c r="KK362"/>
      <c r="KL362"/>
      <c r="KM362"/>
      <c r="KN362"/>
      <c r="KO362"/>
      <c r="KP362"/>
      <c r="KQ362"/>
      <c r="KR362"/>
      <c r="KS362"/>
      <c r="KT362"/>
      <c r="KU362"/>
      <c r="KV362"/>
      <c r="KW362"/>
      <c r="KX362"/>
      <c r="KY362"/>
      <c r="KZ362"/>
      <c r="LA362"/>
      <c r="LB362"/>
      <c r="LC362"/>
      <c r="LD362"/>
      <c r="LE362"/>
      <c r="LF362"/>
      <c r="LG362"/>
      <c r="LH362"/>
      <c r="LI362"/>
      <c r="LJ362"/>
      <c r="LK362"/>
      <c r="LL362"/>
      <c r="LM362"/>
      <c r="LN362"/>
      <c r="LO362"/>
      <c r="LP362"/>
      <c r="LQ362"/>
      <c r="LR362"/>
      <c r="LS362"/>
      <c r="LT362"/>
      <c r="LU362"/>
      <c r="LV362"/>
      <c r="LW362"/>
      <c r="LX362"/>
      <c r="LY362"/>
      <c r="LZ362"/>
      <c r="MA362"/>
      <c r="MB362"/>
      <c r="MC362"/>
      <c r="MD362"/>
      <c r="ME362"/>
      <c r="MF362"/>
      <c r="MG362"/>
      <c r="MH362"/>
      <c r="MI362"/>
      <c r="MJ362"/>
      <c r="MK362"/>
      <c r="ML362"/>
      <c r="MM362"/>
      <c r="MN362"/>
      <c r="MO362"/>
      <c r="MP362"/>
      <c r="MQ362"/>
      <c r="MR362"/>
      <c r="MS362"/>
      <c r="MT362"/>
      <c r="MU362"/>
      <c r="MV362"/>
      <c r="MW362"/>
      <c r="MX362"/>
      <c r="MY362"/>
      <c r="MZ362"/>
      <c r="NA362"/>
      <c r="NB362"/>
      <c r="NC362"/>
      <c r="ND362"/>
      <c r="NE362"/>
      <c r="NF362"/>
      <c r="NG362"/>
      <c r="NH362"/>
      <c r="NI362"/>
      <c r="NJ362"/>
      <c r="NK362"/>
      <c r="NL362"/>
      <c r="NM362"/>
      <c r="NN362"/>
      <c r="NO362"/>
      <c r="NP362"/>
      <c r="NQ362"/>
      <c r="NR362"/>
      <c r="NS362"/>
      <c r="NT362"/>
      <c r="NU362"/>
      <c r="NV362"/>
      <c r="NW362"/>
      <c r="NX362"/>
      <c r="NY362"/>
      <c r="NZ362"/>
      <c r="OA362"/>
      <c r="OB362"/>
      <c r="OC362"/>
      <c r="OD362"/>
      <c r="OE362"/>
      <c r="OF362"/>
      <c r="OG362"/>
      <c r="OH362"/>
      <c r="OI362"/>
      <c r="OJ362"/>
      <c r="OK362"/>
      <c r="OL362"/>
      <c r="OM362"/>
      <c r="ON362"/>
      <c r="OO362"/>
      <c r="OP362"/>
      <c r="OQ362"/>
      <c r="OR362"/>
      <c r="OS362"/>
      <c r="OT362"/>
      <c r="OU362"/>
      <c r="OV362"/>
      <c r="OW362"/>
      <c r="OX362"/>
      <c r="OY362"/>
      <c r="OZ362"/>
      <c r="PA362"/>
      <c r="PB362"/>
      <c r="PC362"/>
      <c r="PD362"/>
      <c r="PE362"/>
      <c r="PF362"/>
      <c r="PG362"/>
      <c r="PH362"/>
      <c r="PI362"/>
      <c r="PJ362"/>
      <c r="PK362"/>
      <c r="PL362"/>
      <c r="PM362"/>
      <c r="PN362"/>
      <c r="PO362"/>
      <c r="PP362"/>
      <c r="PQ362"/>
      <c r="PR362"/>
      <c r="PS362"/>
      <c r="PT362"/>
      <c r="PU362"/>
      <c r="PV362"/>
      <c r="PW362"/>
      <c r="PX362"/>
      <c r="PY362"/>
      <c r="PZ362"/>
      <c r="QA362"/>
      <c r="QB362"/>
      <c r="QC362"/>
      <c r="QD362"/>
      <c r="QE362"/>
      <c r="QF362"/>
      <c r="QG362"/>
      <c r="QH362"/>
      <c r="QI362"/>
      <c r="QJ362"/>
      <c r="QK362"/>
      <c r="QL362"/>
      <c r="QM362"/>
      <c r="QN362"/>
      <c r="QO362"/>
      <c r="QP362"/>
      <c r="QQ362"/>
      <c r="QR362"/>
      <c r="QS362"/>
      <c r="QT362"/>
      <c r="QU362"/>
      <c r="QV362"/>
      <c r="QW362"/>
      <c r="QX362"/>
      <c r="QY362"/>
      <c r="QZ362"/>
      <c r="RA362"/>
      <c r="RB362"/>
      <c r="RC362"/>
      <c r="RD362"/>
      <c r="RE362"/>
      <c r="RF362"/>
      <c r="RG362"/>
      <c r="RH362"/>
      <c r="RI362"/>
      <c r="RJ362"/>
      <c r="RK362"/>
      <c r="RL362"/>
      <c r="RM362"/>
      <c r="RN362"/>
      <c r="RO362"/>
      <c r="RP362"/>
      <c r="RQ362"/>
      <c r="RR362"/>
      <c r="RS362"/>
      <c r="RT362"/>
      <c r="RU362"/>
      <c r="RV362"/>
      <c r="RW362"/>
      <c r="RX362"/>
      <c r="RY362"/>
      <c r="RZ362"/>
      <c r="SA362"/>
      <c r="SB362"/>
      <c r="SC362"/>
      <c r="SD362"/>
      <c r="SE362"/>
      <c r="SF362"/>
      <c r="SG362"/>
      <c r="SH362"/>
      <c r="SI362"/>
      <c r="SJ362"/>
      <c r="SK362"/>
      <c r="SL362"/>
      <c r="SM362"/>
      <c r="SN362"/>
      <c r="SO362"/>
      <c r="SP362"/>
      <c r="SQ362"/>
      <c r="SR362"/>
      <c r="SS362"/>
      <c r="ST362"/>
      <c r="SU362"/>
      <c r="SV362"/>
      <c r="SW362"/>
      <c r="SX362"/>
      <c r="SY362"/>
      <c r="SZ362"/>
      <c r="TA362"/>
      <c r="TB362"/>
      <c r="TC362"/>
      <c r="TD362"/>
      <c r="TE362"/>
      <c r="TF362"/>
      <c r="TG362"/>
      <c r="TH362"/>
      <c r="TI362"/>
      <c r="TJ362"/>
      <c r="TK362"/>
      <c r="TL362"/>
      <c r="TM362"/>
      <c r="TN362"/>
      <c r="TO362"/>
      <c r="TP362"/>
      <c r="TQ362"/>
      <c r="TR362"/>
      <c r="TS362"/>
      <c r="TT362"/>
      <c r="TU362"/>
      <c r="TV362"/>
      <c r="TW362"/>
      <c r="TX362"/>
      <c r="TY362"/>
      <c r="TZ362"/>
      <c r="UA362"/>
      <c r="UB362"/>
      <c r="UC362"/>
      <c r="UD362"/>
      <c r="UE362"/>
      <c r="UF362"/>
      <c r="UG362"/>
      <c r="UH362"/>
      <c r="UI362"/>
      <c r="UJ362"/>
      <c r="UK362"/>
      <c r="UL362"/>
      <c r="UM362"/>
      <c r="UN362"/>
      <c r="UO362"/>
      <c r="UP362"/>
      <c r="UQ362"/>
      <c r="UR362"/>
      <c r="US362"/>
      <c r="UT362"/>
      <c r="UU362"/>
      <c r="UV362"/>
      <c r="UW362"/>
      <c r="UX362"/>
      <c r="UY362"/>
      <c r="UZ362"/>
      <c r="VA362"/>
      <c r="VB362"/>
      <c r="VC362"/>
      <c r="VD362"/>
      <c r="VE362"/>
      <c r="VF362"/>
      <c r="VG362"/>
      <c r="VH362"/>
      <c r="VI362"/>
      <c r="VJ362"/>
      <c r="VK362"/>
      <c r="VL362"/>
      <c r="VM362"/>
      <c r="VN362"/>
      <c r="VO362"/>
      <c r="VP362"/>
      <c r="VQ362"/>
      <c r="VR362"/>
      <c r="VS362"/>
      <c r="VT362"/>
      <c r="VU362"/>
      <c r="VV362"/>
      <c r="VW362"/>
      <c r="VX362"/>
      <c r="VY362"/>
      <c r="VZ362"/>
      <c r="WA362"/>
      <c r="WB362"/>
      <c r="WC362"/>
      <c r="WD362"/>
      <c r="WE362"/>
      <c r="WF362"/>
      <c r="WG362"/>
      <c r="WH362"/>
      <c r="WI362"/>
      <c r="WJ362"/>
      <c r="WK362"/>
      <c r="WL362"/>
      <c r="WM362"/>
      <c r="WN362"/>
      <c r="WO362"/>
      <c r="WP362"/>
      <c r="WQ362"/>
      <c r="WR362"/>
      <c r="WS362"/>
      <c r="WT362"/>
      <c r="WU362"/>
      <c r="WV362"/>
      <c r="WW362"/>
      <c r="WX362"/>
      <c r="WY362"/>
      <c r="WZ362"/>
      <c r="XA362"/>
      <c r="XB362"/>
      <c r="XC362"/>
      <c r="XD362"/>
      <c r="XE362"/>
      <c r="XF362"/>
      <c r="XG362"/>
      <c r="XH362"/>
      <c r="XI362"/>
      <c r="XJ362"/>
      <c r="XK362"/>
      <c r="XL362"/>
      <c r="XM362"/>
      <c r="XN362"/>
      <c r="XO362"/>
      <c r="XP362"/>
      <c r="XQ362"/>
      <c r="XR362"/>
      <c r="XS362"/>
      <c r="XT362"/>
      <c r="XU362"/>
      <c r="XV362"/>
      <c r="XW362"/>
      <c r="XX362"/>
      <c r="XY362"/>
      <c r="XZ362"/>
      <c r="YA362"/>
      <c r="YB362"/>
      <c r="YC362"/>
      <c r="YD362"/>
      <c r="YE362"/>
      <c r="YF362"/>
      <c r="YG362"/>
      <c r="YH362"/>
      <c r="YI362"/>
      <c r="YJ362"/>
      <c r="YK362"/>
      <c r="YL362"/>
      <c r="YM362"/>
      <c r="YN362"/>
      <c r="YO362"/>
      <c r="YP362"/>
      <c r="YQ362"/>
      <c r="YR362"/>
      <c r="YS362"/>
      <c r="YT362"/>
      <c r="YU362"/>
      <c r="YV362"/>
      <c r="YW362"/>
      <c r="YX362"/>
      <c r="YY362"/>
      <c r="YZ362"/>
      <c r="ZA362"/>
      <c r="ZB362"/>
      <c r="ZC362"/>
      <c r="ZD362"/>
      <c r="ZE362"/>
      <c r="ZF362"/>
      <c r="ZG362"/>
      <c r="ZH362"/>
      <c r="ZI362"/>
      <c r="ZJ362"/>
      <c r="ZK362"/>
      <c r="ZL362"/>
      <c r="ZM362"/>
      <c r="ZN362"/>
      <c r="ZO362"/>
      <c r="ZP362"/>
      <c r="ZQ362"/>
      <c r="ZR362"/>
      <c r="ZS362"/>
      <c r="ZT362"/>
      <c r="ZU362"/>
      <c r="ZV362"/>
      <c r="ZW362"/>
      <c r="ZX362"/>
      <c r="ZY362"/>
      <c r="ZZ362"/>
      <c r="AAA362"/>
      <c r="AAB362"/>
      <c r="AAC362"/>
      <c r="AAD362"/>
      <c r="AAE362"/>
      <c r="AAF362"/>
      <c r="AAG362"/>
      <c r="AAH362"/>
      <c r="AAI362"/>
      <c r="AAJ362"/>
      <c r="AAK362"/>
      <c r="AAL362"/>
      <c r="AAM362"/>
      <c r="AAN362"/>
      <c r="AAO362"/>
      <c r="AAP362"/>
      <c r="AAQ362"/>
      <c r="AAR362"/>
      <c r="AAS362"/>
      <c r="AAT362"/>
      <c r="AAU362"/>
      <c r="AAV362"/>
      <c r="AAW362"/>
      <c r="AAX362"/>
      <c r="AAY362"/>
      <c r="AAZ362"/>
      <c r="ABA362"/>
      <c r="ABB362"/>
      <c r="ABC362"/>
      <c r="ABD362"/>
      <c r="ABE362"/>
      <c r="ABF362"/>
      <c r="ABG362"/>
      <c r="ABH362"/>
      <c r="ABI362"/>
      <c r="ABJ362"/>
      <c r="ABK362"/>
      <c r="ABL362"/>
      <c r="ABM362"/>
      <c r="ABN362"/>
      <c r="ABO362"/>
      <c r="ABP362"/>
      <c r="ABQ362"/>
      <c r="ABR362"/>
      <c r="ABS362"/>
      <c r="ABT362"/>
      <c r="ABU362"/>
      <c r="ABV362"/>
      <c r="ABW362"/>
      <c r="ABX362"/>
      <c r="ABY362"/>
      <c r="ABZ362"/>
      <c r="ACA362"/>
      <c r="ACB362"/>
      <c r="ACC362"/>
      <c r="ACD362"/>
      <c r="ACE362"/>
      <c r="ACF362"/>
      <c r="ACG362"/>
      <c r="ACH362"/>
      <c r="ACI362"/>
      <c r="ACJ362"/>
      <c r="ACK362"/>
      <c r="ACL362"/>
      <c r="ACM362"/>
      <c r="ACN362"/>
      <c r="ACO362"/>
      <c r="ACP362"/>
      <c r="ACQ362"/>
      <c r="ACR362"/>
      <c r="ACS362"/>
      <c r="ACT362"/>
      <c r="ACU362"/>
      <c r="ACV362"/>
      <c r="ACW362"/>
      <c r="ACX362"/>
      <c r="ACY362"/>
      <c r="ACZ362"/>
      <c r="ADA362"/>
      <c r="ADB362"/>
      <c r="ADC362"/>
      <c r="ADD362"/>
      <c r="ADE362"/>
      <c r="ADF362"/>
      <c r="ADG362"/>
      <c r="ADH362"/>
      <c r="ADI362"/>
      <c r="ADJ362"/>
      <c r="ADK362"/>
      <c r="ADL362"/>
      <c r="ADM362"/>
      <c r="ADN362"/>
      <c r="ADO362"/>
      <c r="ADP362"/>
      <c r="ADQ362"/>
      <c r="ADR362"/>
      <c r="ADS362"/>
      <c r="ADT362"/>
      <c r="ADU362"/>
      <c r="ADV362"/>
      <c r="ADW362"/>
      <c r="ADX362"/>
      <c r="ADY362"/>
      <c r="ADZ362"/>
      <c r="AEA362"/>
      <c r="AEB362"/>
      <c r="AEC362"/>
      <c r="AED362"/>
      <c r="AEE362"/>
      <c r="AEF362"/>
      <c r="AEG362"/>
      <c r="AEH362"/>
      <c r="AEI362"/>
      <c r="AEJ362"/>
      <c r="AEK362"/>
      <c r="AEL362"/>
      <c r="AEM362"/>
      <c r="AEN362"/>
      <c r="AEO362"/>
      <c r="AEP362"/>
      <c r="AEQ362"/>
      <c r="AER362"/>
      <c r="AES362"/>
      <c r="AET362"/>
      <c r="AEU362"/>
      <c r="AEV362"/>
      <c r="AEW362"/>
      <c r="AEX362"/>
      <c r="AEY362"/>
      <c r="AEZ362"/>
      <c r="AFA362"/>
      <c r="AFB362"/>
      <c r="AFC362"/>
      <c r="AFD362"/>
      <c r="AFE362"/>
      <c r="AFF362"/>
      <c r="AFG362"/>
      <c r="AFH362"/>
      <c r="AFI362"/>
      <c r="AFJ362"/>
      <c r="AFK362"/>
      <c r="AFL362"/>
      <c r="AFM362"/>
      <c r="AFN362"/>
      <c r="AFO362"/>
      <c r="AFP362"/>
      <c r="AFQ362"/>
      <c r="AFR362"/>
      <c r="AFS362"/>
      <c r="AFT362"/>
      <c r="AFU362"/>
      <c r="AFV362"/>
      <c r="AFW362"/>
      <c r="AFX362"/>
      <c r="AFY362"/>
      <c r="AFZ362"/>
      <c r="AGA362"/>
      <c r="AGB362"/>
      <c r="AGC362"/>
      <c r="AGD362"/>
      <c r="AGE362"/>
      <c r="AGF362"/>
      <c r="AGG362"/>
      <c r="AGH362"/>
      <c r="AGI362"/>
      <c r="AGJ362"/>
      <c r="AGK362"/>
      <c r="AGL362"/>
      <c r="AGM362"/>
      <c r="AGN362"/>
      <c r="AGO362"/>
      <c r="AGP362"/>
      <c r="AGQ362"/>
      <c r="AGR362"/>
      <c r="AGS362"/>
      <c r="AGT362"/>
      <c r="AGU362"/>
      <c r="AGV362"/>
      <c r="AGW362"/>
      <c r="AGX362"/>
      <c r="AGY362"/>
      <c r="AGZ362"/>
      <c r="AHA362"/>
      <c r="AHB362"/>
      <c r="AHC362"/>
      <c r="AHD362"/>
      <c r="AHE362"/>
      <c r="AHF362"/>
      <c r="AHG362"/>
      <c r="AHH362"/>
      <c r="AHI362"/>
      <c r="AHJ362"/>
      <c r="AHK362"/>
      <c r="AHL362"/>
      <c r="AHM362"/>
      <c r="AHN362"/>
      <c r="AHO362"/>
      <c r="AHP362"/>
      <c r="AHQ362"/>
      <c r="AHR362"/>
      <c r="AHS362"/>
      <c r="AHT362"/>
      <c r="AHU362"/>
      <c r="AHV362"/>
      <c r="AHW362"/>
      <c r="AHX362"/>
      <c r="AHY362"/>
      <c r="AHZ362"/>
      <c r="AIA362"/>
      <c r="AIB362"/>
      <c r="AIC362"/>
      <c r="AID362"/>
      <c r="AIE362"/>
      <c r="AIF362"/>
      <c r="AIG362"/>
      <c r="AIH362"/>
      <c r="AII362"/>
      <c r="AIJ362"/>
      <c r="AIK362"/>
      <c r="AIL362"/>
      <c r="AIM362"/>
      <c r="AIN362"/>
      <c r="AIO362"/>
      <c r="AIP362"/>
      <c r="AIQ362"/>
      <c r="AIR362"/>
      <c r="AIS362"/>
      <c r="AIT362"/>
      <c r="AIU362"/>
      <c r="AIV362"/>
      <c r="AIW362"/>
      <c r="AIX362"/>
      <c r="AIY362"/>
      <c r="AIZ362"/>
      <c r="AJA362"/>
      <c r="AJB362"/>
      <c r="AJC362"/>
      <c r="AJD362"/>
      <c r="AJE362"/>
      <c r="AJF362"/>
      <c r="AJG362"/>
      <c r="AJH362"/>
      <c r="AJI362"/>
      <c r="AJJ362"/>
      <c r="AJK362"/>
      <c r="AJL362"/>
      <c r="AJM362"/>
      <c r="AJN362"/>
      <c r="AJO362"/>
      <c r="AJP362"/>
      <c r="AJQ362"/>
      <c r="AJR362"/>
      <c r="AJS362"/>
      <c r="AJT362"/>
      <c r="AJU362"/>
      <c r="AJV362"/>
      <c r="AJW362"/>
      <c r="AJX362"/>
      <c r="AJY362"/>
      <c r="AJZ362"/>
      <c r="AKA362"/>
      <c r="AKB362"/>
      <c r="AKC362"/>
      <c r="AKD362"/>
      <c r="AKE362"/>
      <c r="AKF362"/>
      <c r="AKG362"/>
      <c r="AKH362"/>
      <c r="AKI362"/>
      <c r="AKJ362"/>
      <c r="AKK362"/>
      <c r="AKL362"/>
      <c r="AKM362"/>
      <c r="AKN362"/>
      <c r="AKO362"/>
      <c r="AKP362"/>
      <c r="AKQ362"/>
      <c r="AKR362"/>
      <c r="AKS362"/>
      <c r="AKT362"/>
      <c r="AKU362"/>
      <c r="AKV362"/>
      <c r="AKW362"/>
      <c r="AKX362"/>
      <c r="AKY362"/>
      <c r="AKZ362"/>
      <c r="ALA362"/>
      <c r="ALB362"/>
      <c r="ALC362"/>
      <c r="ALD362"/>
      <c r="ALE362"/>
      <c r="ALF362"/>
      <c r="ALG362"/>
      <c r="ALH362"/>
      <c r="ALI362"/>
      <c r="ALJ362"/>
      <c r="ALK362"/>
      <c r="ALL362"/>
      <c r="ALM362"/>
      <c r="ALN362"/>
      <c r="ALO362"/>
      <c r="ALP362"/>
      <c r="ALQ362"/>
      <c r="ALR362"/>
      <c r="ALS362"/>
      <c r="ALT362"/>
      <c r="ALU362"/>
      <c r="ALV362"/>
      <c r="ALW362"/>
      <c r="ALX362"/>
      <c r="ALY362"/>
      <c r="ALZ362"/>
      <c r="AMA362"/>
      <c r="AMB362"/>
      <c r="AMC362"/>
      <c r="AMD362"/>
      <c r="AME362"/>
      <c r="AMF362"/>
      <c r="AMG362"/>
      <c r="AMH362"/>
      <c r="AMI362"/>
      <c r="AMJ362"/>
    </row>
    <row r="363" spans="1:1024">
      <c r="A363" s="8" t="s">
        <v>353</v>
      </c>
      <c r="B363" s="8">
        <v>397580</v>
      </c>
      <c r="D363" s="29">
        <v>45404</v>
      </c>
      <c r="E363" s="1">
        <v>4.3333333333333304</v>
      </c>
      <c r="F363" s="8">
        <v>6</v>
      </c>
      <c r="G363" s="30">
        <f t="shared" si="18"/>
        <v>10.33333333333333</v>
      </c>
      <c r="H363" s="8">
        <f t="shared" si="20"/>
        <v>-4.3333333333333304</v>
      </c>
      <c r="I363">
        <f t="shared" si="19"/>
        <v>0</v>
      </c>
      <c r="J363">
        <f>SUMIF(Oeffentlichkeitsarbeit!$D:$D,$B363,Oeffentlichkeitsarbeit!$F:$F)</f>
        <v>0</v>
      </c>
      <c r="K363">
        <f>COUNTIF(Fairteiler!$D:$D,$B363)*1/2</f>
        <v>0</v>
      </c>
      <c r="L363">
        <f>COUNTIF('NP-Betrieb'!D:D,$B363)*1/3</f>
        <v>0</v>
      </c>
      <c r="M363">
        <f>COUNTIF(Fairteilungen!$D:$D,$B363)*3/4</f>
        <v>0</v>
      </c>
      <c r="N363">
        <f>COUNTIF(Anlieferung!D:D,$B363)*1/2</f>
        <v>0</v>
      </c>
      <c r="O363">
        <f>COUNTIF(Probeabholungen!B:B,$B363)*1/3</f>
        <v>0</v>
      </c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  <c r="BS363" s="31"/>
      <c r="BT363" s="31"/>
      <c r="BU363" s="31"/>
      <c r="BV363" s="31"/>
      <c r="BW363" s="31"/>
      <c r="BX363" s="31"/>
      <c r="BY363" s="31"/>
      <c r="BZ363" s="31"/>
      <c r="CA363" s="31"/>
      <c r="CB363" s="31"/>
      <c r="CC363" s="31"/>
      <c r="CD363" s="31"/>
      <c r="CE363" s="31"/>
      <c r="CF363" s="31"/>
      <c r="CG363" s="31"/>
      <c r="CH363" s="31"/>
      <c r="CI363" s="31"/>
      <c r="CJ363" s="31"/>
      <c r="CK363" s="31"/>
      <c r="CL363" s="31"/>
      <c r="CM363" s="31"/>
      <c r="CN363" s="31"/>
      <c r="CO363" s="31"/>
      <c r="CP363" s="31"/>
      <c r="CQ363" s="31"/>
      <c r="CR363" s="31"/>
      <c r="CS363" s="31"/>
      <c r="CT363" s="31"/>
      <c r="CU363" s="31"/>
      <c r="CV363" s="31"/>
      <c r="CW363" s="31"/>
      <c r="CX363" s="31"/>
      <c r="CY363" s="31"/>
      <c r="CZ363" s="31"/>
      <c r="DA363" s="31"/>
      <c r="DB363" s="31"/>
      <c r="DC363" s="31"/>
      <c r="DD363" s="31"/>
      <c r="DE363" s="31"/>
      <c r="DF363" s="31"/>
      <c r="DG363" s="31"/>
      <c r="DH363" s="31"/>
      <c r="DI363" s="31"/>
      <c r="DJ363" s="31"/>
      <c r="DK363" s="31"/>
      <c r="DL363" s="31"/>
      <c r="DM363" s="31"/>
      <c r="DN363" s="31"/>
      <c r="DO363" s="31"/>
      <c r="DP363" s="31"/>
      <c r="DQ363" s="31"/>
      <c r="DR363" s="31"/>
      <c r="DS363" s="31"/>
      <c r="DT363" s="31"/>
      <c r="DU363" s="31"/>
      <c r="DV363" s="31"/>
      <c r="DW363" s="31"/>
      <c r="DX363" s="31"/>
      <c r="DY363" s="31"/>
      <c r="DZ363" s="31"/>
      <c r="EA363" s="31"/>
      <c r="EB363" s="31"/>
      <c r="EC363" s="31"/>
      <c r="ED363" s="31"/>
      <c r="EE363" s="31"/>
      <c r="EF363" s="31"/>
      <c r="EG363" s="31"/>
      <c r="EH363" s="31"/>
      <c r="EI363" s="31"/>
      <c r="EJ363" s="31"/>
      <c r="EK363" s="31"/>
      <c r="EL363" s="31"/>
      <c r="EM363" s="31"/>
      <c r="EN363" s="31"/>
      <c r="EO363" s="31"/>
      <c r="EP363" s="31"/>
      <c r="EQ363" s="31"/>
      <c r="ER363" s="31"/>
      <c r="ES363" s="31"/>
      <c r="ET363" s="31"/>
      <c r="EU363" s="31"/>
      <c r="EV363" s="31"/>
      <c r="EW363" s="31"/>
      <c r="EX363" s="31"/>
      <c r="EY363" s="31"/>
      <c r="EZ363" s="31"/>
      <c r="FA363" s="31"/>
      <c r="FB363" s="31"/>
      <c r="FC363" s="31"/>
      <c r="FD363" s="31"/>
      <c r="FE363" s="31"/>
      <c r="FF363" s="31"/>
      <c r="FG363" s="31"/>
      <c r="FH363" s="31"/>
      <c r="FI363" s="31"/>
      <c r="FJ363" s="31"/>
      <c r="FK363" s="31"/>
      <c r="FL363" s="31"/>
      <c r="FM363" s="31"/>
      <c r="FN363" s="31"/>
      <c r="FO363" s="31"/>
      <c r="FP363" s="31"/>
      <c r="FQ363" s="31"/>
      <c r="FR363" s="31"/>
      <c r="FS363" s="31"/>
      <c r="FT363" s="31"/>
      <c r="FU363" s="31"/>
      <c r="FV363" s="31"/>
      <c r="FW363" s="31"/>
      <c r="FX363" s="31"/>
      <c r="FY363" s="31"/>
      <c r="FZ363" s="31"/>
      <c r="GA363" s="31"/>
      <c r="GB363" s="31"/>
      <c r="GC363" s="31"/>
      <c r="GD363" s="31"/>
      <c r="GE363" s="31"/>
      <c r="GF363" s="31"/>
      <c r="GG363" s="31"/>
      <c r="GH363" s="31"/>
      <c r="GI363" s="31"/>
      <c r="GJ363" s="31"/>
      <c r="GK363" s="31"/>
      <c r="GL363" s="31"/>
      <c r="GM363" s="31"/>
      <c r="GN363" s="31"/>
      <c r="GO363" s="31"/>
      <c r="GP363" s="31"/>
      <c r="GQ363" s="31"/>
      <c r="GR363" s="31"/>
      <c r="GS363" s="31"/>
      <c r="GT363" s="31"/>
      <c r="GU363" s="31"/>
      <c r="GV363" s="31"/>
      <c r="GW363" s="31"/>
      <c r="GX363" s="31"/>
      <c r="GY363" s="31"/>
      <c r="GZ363" s="31"/>
      <c r="HA363" s="31"/>
      <c r="HB363" s="31"/>
      <c r="HC363" s="31"/>
      <c r="HD363" s="31"/>
      <c r="HE363" s="31"/>
      <c r="HF363" s="31"/>
      <c r="HG363" s="31"/>
      <c r="HH363" s="31"/>
      <c r="HI363" s="31"/>
      <c r="HJ363" s="31"/>
      <c r="HK363" s="31"/>
      <c r="HL363" s="31"/>
      <c r="HM363" s="31"/>
      <c r="HN363" s="31"/>
      <c r="HO363" s="31"/>
      <c r="HP363" s="31"/>
      <c r="HQ363" s="31"/>
      <c r="HR363" s="31"/>
      <c r="HS363" s="31"/>
      <c r="HT363" s="31"/>
      <c r="HU363" s="31"/>
      <c r="HV363" s="31"/>
      <c r="HW363" s="31"/>
      <c r="HX363" s="31"/>
      <c r="HY363" s="31"/>
      <c r="HZ363" s="31"/>
      <c r="IA363" s="31"/>
      <c r="IB363" s="31"/>
      <c r="IC363" s="31"/>
      <c r="ID363" s="31"/>
      <c r="IE363" s="31"/>
      <c r="IF363" s="31"/>
      <c r="IG363" s="31"/>
      <c r="IH363" s="31"/>
      <c r="II363" s="31"/>
      <c r="IJ363" s="31"/>
      <c r="IK363" s="31"/>
      <c r="IL363" s="31"/>
      <c r="IM363" s="31"/>
      <c r="IN363" s="31"/>
      <c r="IO363" s="31"/>
      <c r="IP363" s="31"/>
      <c r="IQ363" s="31"/>
      <c r="IR363" s="31"/>
      <c r="IS363" s="31"/>
      <c r="IT363" s="31"/>
      <c r="IU363" s="31"/>
      <c r="IV363" s="31"/>
      <c r="IW363" s="31"/>
      <c r="IX363" s="31"/>
      <c r="IY363" s="31"/>
      <c r="IZ363" s="31"/>
      <c r="JA363" s="31"/>
      <c r="JB363" s="31"/>
      <c r="JC363" s="31"/>
      <c r="JD363" s="31"/>
      <c r="JE363" s="31"/>
      <c r="JF363" s="31"/>
      <c r="JG363" s="31"/>
      <c r="JH363" s="31"/>
      <c r="JI363" s="31"/>
      <c r="JJ363" s="31"/>
      <c r="JK363" s="31"/>
      <c r="JL363" s="31"/>
      <c r="JM363" s="31"/>
      <c r="JN363" s="31"/>
      <c r="JO363" s="31"/>
      <c r="JP363" s="31"/>
      <c r="JQ363" s="31"/>
      <c r="JR363" s="31"/>
      <c r="JS363" s="31"/>
      <c r="JT363" s="31"/>
      <c r="JU363" s="31"/>
      <c r="JV363" s="31"/>
      <c r="JW363" s="31"/>
      <c r="JX363" s="31"/>
      <c r="JY363" s="31"/>
      <c r="JZ363" s="31"/>
      <c r="KA363" s="31"/>
      <c r="KB363" s="31"/>
      <c r="KC363" s="31"/>
      <c r="KD363" s="31"/>
      <c r="KE363" s="31"/>
      <c r="KF363" s="31"/>
      <c r="KG363" s="31"/>
      <c r="KH363" s="31"/>
      <c r="KI363" s="31"/>
      <c r="KJ363" s="31"/>
      <c r="KK363" s="31"/>
      <c r="KL363" s="31"/>
      <c r="KM363" s="31"/>
      <c r="KN363" s="31"/>
      <c r="KO363" s="31"/>
      <c r="KP363" s="31"/>
      <c r="KQ363" s="31"/>
      <c r="KR363" s="31"/>
      <c r="KS363" s="31"/>
      <c r="KT363" s="31"/>
      <c r="KU363" s="31"/>
      <c r="KV363" s="31"/>
      <c r="KW363" s="31"/>
      <c r="KX363" s="31"/>
      <c r="KY363" s="31"/>
      <c r="KZ363" s="31"/>
      <c r="LA363" s="31"/>
      <c r="LB363" s="31"/>
      <c r="LC363" s="31"/>
      <c r="LD363" s="31"/>
      <c r="LE363" s="31"/>
      <c r="LF363" s="31"/>
      <c r="LG363" s="31"/>
      <c r="LH363" s="31"/>
      <c r="LI363" s="31"/>
      <c r="LJ363" s="31"/>
      <c r="LK363" s="31"/>
      <c r="LL363" s="31"/>
      <c r="LM363" s="31"/>
      <c r="LN363" s="31"/>
      <c r="LO363" s="31"/>
      <c r="LP363" s="31"/>
      <c r="LQ363" s="31"/>
      <c r="LR363" s="31"/>
      <c r="LS363" s="31"/>
      <c r="LT363" s="31"/>
      <c r="LU363" s="31"/>
      <c r="LV363" s="31"/>
      <c r="LW363" s="31"/>
      <c r="LX363" s="31"/>
      <c r="LY363" s="31"/>
      <c r="LZ363" s="31"/>
      <c r="MA363" s="31"/>
      <c r="MB363" s="31"/>
      <c r="MC363" s="31"/>
      <c r="MD363" s="31"/>
      <c r="ME363" s="31"/>
      <c r="MF363" s="31"/>
      <c r="MG363" s="31"/>
      <c r="MH363" s="31"/>
      <c r="MI363" s="31"/>
      <c r="MJ363" s="31"/>
      <c r="MK363" s="31"/>
      <c r="ML363" s="31"/>
      <c r="MM363" s="31"/>
      <c r="MN363" s="31"/>
      <c r="MO363" s="31"/>
      <c r="MP363" s="31"/>
      <c r="MQ363" s="31"/>
      <c r="MR363" s="31"/>
      <c r="MS363" s="31"/>
      <c r="MT363" s="31"/>
      <c r="MU363" s="31"/>
      <c r="MV363" s="31"/>
      <c r="MW363" s="31"/>
      <c r="MX363" s="31"/>
      <c r="MY363" s="31"/>
      <c r="MZ363" s="31"/>
      <c r="NA363" s="31"/>
      <c r="NB363" s="31"/>
      <c r="NC363" s="31"/>
      <c r="ND363" s="31"/>
      <c r="NE363" s="31"/>
      <c r="NF363" s="31"/>
      <c r="NG363" s="31"/>
      <c r="NH363" s="31"/>
      <c r="NI363" s="31"/>
      <c r="NJ363" s="31"/>
      <c r="NK363" s="31"/>
      <c r="NL363" s="31"/>
      <c r="NM363" s="31"/>
      <c r="NN363" s="31"/>
      <c r="NO363" s="31"/>
      <c r="NP363" s="31"/>
      <c r="NQ363" s="31"/>
      <c r="NR363" s="31"/>
      <c r="NS363" s="31"/>
      <c r="NT363" s="31"/>
      <c r="NU363" s="31"/>
      <c r="NV363" s="31"/>
      <c r="NW363" s="31"/>
      <c r="NX363" s="31"/>
      <c r="NY363" s="31"/>
      <c r="NZ363" s="31"/>
      <c r="OA363" s="31"/>
      <c r="OB363" s="31"/>
      <c r="OC363" s="31"/>
      <c r="OD363" s="31"/>
      <c r="OE363" s="31"/>
      <c r="OF363" s="31"/>
      <c r="OG363" s="31"/>
      <c r="OH363" s="31"/>
      <c r="OI363" s="31"/>
      <c r="OJ363" s="31"/>
      <c r="OK363" s="31"/>
      <c r="OL363" s="31"/>
      <c r="OM363" s="31"/>
      <c r="ON363" s="31"/>
      <c r="OO363" s="31"/>
      <c r="OP363" s="31"/>
      <c r="OQ363" s="31"/>
      <c r="OR363" s="31"/>
      <c r="OS363" s="31"/>
      <c r="OT363" s="31"/>
      <c r="OU363" s="31"/>
      <c r="OV363" s="31"/>
      <c r="OW363" s="31"/>
      <c r="OX363" s="31"/>
      <c r="OY363" s="31"/>
      <c r="OZ363" s="31"/>
      <c r="PA363" s="31"/>
      <c r="PB363" s="31"/>
      <c r="PC363" s="31"/>
      <c r="PD363" s="31"/>
      <c r="PE363" s="31"/>
      <c r="PF363" s="31"/>
      <c r="PG363" s="31"/>
      <c r="PH363" s="31"/>
      <c r="PI363" s="31"/>
      <c r="PJ363" s="31"/>
      <c r="PK363" s="31"/>
      <c r="PL363" s="31"/>
      <c r="PM363" s="31"/>
      <c r="PN363" s="31"/>
      <c r="PO363" s="31"/>
      <c r="PP363" s="31"/>
      <c r="PQ363" s="31"/>
      <c r="PR363" s="31"/>
      <c r="PS363" s="31"/>
      <c r="PT363" s="31"/>
      <c r="PU363" s="31"/>
      <c r="PV363" s="31"/>
      <c r="PW363" s="31"/>
      <c r="PX363" s="31"/>
      <c r="PY363" s="31"/>
      <c r="PZ363" s="31"/>
      <c r="QA363" s="31"/>
      <c r="QB363" s="31"/>
      <c r="QC363" s="31"/>
      <c r="QD363" s="31"/>
      <c r="QE363" s="31"/>
      <c r="QF363" s="31"/>
      <c r="QG363" s="31"/>
      <c r="QH363" s="31"/>
      <c r="QI363" s="31"/>
      <c r="QJ363" s="31"/>
      <c r="QK363" s="31"/>
      <c r="QL363" s="31"/>
      <c r="QM363" s="31"/>
      <c r="QN363" s="31"/>
      <c r="QO363" s="31"/>
      <c r="QP363" s="31"/>
      <c r="QQ363" s="31"/>
      <c r="QR363" s="31"/>
      <c r="QS363" s="31"/>
      <c r="QT363" s="31"/>
      <c r="QU363" s="31"/>
      <c r="QV363" s="31"/>
      <c r="QW363" s="31"/>
      <c r="QX363" s="31"/>
      <c r="QY363" s="31"/>
      <c r="QZ363" s="31"/>
      <c r="RA363" s="31"/>
      <c r="RB363" s="31"/>
      <c r="RC363" s="31"/>
      <c r="RD363" s="31"/>
      <c r="RE363" s="31"/>
      <c r="RF363" s="31"/>
      <c r="RG363" s="31"/>
      <c r="RH363" s="31"/>
      <c r="RI363" s="31"/>
      <c r="RJ363" s="31"/>
      <c r="RK363" s="31"/>
      <c r="RL363" s="31"/>
      <c r="RM363" s="31"/>
      <c r="RN363" s="31"/>
      <c r="RO363" s="31"/>
      <c r="RP363" s="31"/>
      <c r="RQ363" s="31"/>
      <c r="RR363" s="31"/>
      <c r="RS363" s="31"/>
      <c r="RT363" s="31"/>
      <c r="RU363" s="31"/>
      <c r="RV363" s="31"/>
      <c r="RW363" s="31"/>
      <c r="RX363" s="31"/>
      <c r="RY363" s="31"/>
      <c r="RZ363" s="31"/>
      <c r="SA363" s="31"/>
      <c r="SB363" s="31"/>
      <c r="SC363" s="31"/>
      <c r="SD363" s="31"/>
      <c r="SE363" s="31"/>
      <c r="SF363" s="31"/>
      <c r="SG363" s="31"/>
      <c r="SH363" s="31"/>
      <c r="SI363" s="31"/>
      <c r="SJ363" s="31"/>
      <c r="SK363" s="31"/>
      <c r="SL363" s="31"/>
      <c r="SM363" s="31"/>
      <c r="SN363" s="31"/>
      <c r="SO363" s="31"/>
      <c r="SP363" s="31"/>
      <c r="SQ363" s="31"/>
      <c r="SR363" s="31"/>
      <c r="SS363" s="31"/>
      <c r="ST363" s="31"/>
      <c r="SU363" s="31"/>
      <c r="SV363" s="31"/>
      <c r="SW363" s="31"/>
      <c r="SX363" s="31"/>
      <c r="SY363" s="31"/>
      <c r="SZ363" s="31"/>
      <c r="TA363" s="31"/>
      <c r="TB363" s="31"/>
      <c r="TC363" s="31"/>
      <c r="TD363" s="31"/>
      <c r="TE363" s="31"/>
      <c r="TF363" s="31"/>
      <c r="TG363" s="31"/>
      <c r="TH363" s="31"/>
      <c r="TI363" s="31"/>
      <c r="TJ363" s="31"/>
      <c r="TK363" s="31"/>
      <c r="TL363" s="31"/>
      <c r="TM363" s="31"/>
      <c r="TN363" s="31"/>
      <c r="TO363" s="31"/>
      <c r="TP363" s="31"/>
      <c r="TQ363" s="31"/>
      <c r="TR363" s="31"/>
      <c r="TS363" s="31"/>
      <c r="TT363" s="31"/>
      <c r="TU363" s="31"/>
      <c r="TV363" s="31"/>
      <c r="TW363" s="31"/>
      <c r="TX363" s="31"/>
      <c r="TY363" s="31"/>
      <c r="TZ363" s="31"/>
      <c r="UA363" s="31"/>
      <c r="UB363" s="31"/>
      <c r="UC363" s="31"/>
      <c r="UD363" s="31"/>
      <c r="UE363" s="31"/>
      <c r="UF363" s="31"/>
      <c r="UG363" s="31"/>
      <c r="UH363" s="31"/>
      <c r="UI363" s="31"/>
      <c r="UJ363" s="31"/>
      <c r="UK363" s="31"/>
      <c r="UL363" s="31"/>
      <c r="UM363" s="31"/>
      <c r="UN363" s="31"/>
      <c r="UO363" s="31"/>
      <c r="UP363" s="31"/>
      <c r="UQ363" s="31"/>
      <c r="UR363" s="31"/>
      <c r="US363" s="31"/>
      <c r="UT363" s="31"/>
      <c r="UU363" s="31"/>
      <c r="UV363" s="31"/>
      <c r="UW363" s="31"/>
      <c r="UX363" s="31"/>
      <c r="UY363" s="31"/>
      <c r="UZ363" s="31"/>
      <c r="VA363" s="31"/>
      <c r="VB363" s="31"/>
      <c r="VC363" s="31"/>
      <c r="VD363" s="31"/>
      <c r="VE363" s="31"/>
      <c r="VF363" s="31"/>
      <c r="VG363" s="31"/>
      <c r="VH363" s="31"/>
      <c r="VI363" s="31"/>
      <c r="VJ363" s="31"/>
      <c r="VK363" s="31"/>
      <c r="VL363" s="31"/>
      <c r="VM363" s="31"/>
      <c r="VN363" s="31"/>
      <c r="VO363" s="31"/>
      <c r="VP363" s="31"/>
      <c r="VQ363" s="31"/>
      <c r="VR363" s="31"/>
      <c r="VS363" s="31"/>
      <c r="VT363" s="31"/>
      <c r="VU363" s="31"/>
      <c r="VV363" s="31"/>
      <c r="VW363" s="31"/>
      <c r="VX363" s="31"/>
      <c r="VY363" s="31"/>
      <c r="VZ363" s="31"/>
      <c r="WA363" s="31"/>
      <c r="WB363" s="31"/>
      <c r="WC363" s="31"/>
      <c r="WD363" s="31"/>
      <c r="WE363" s="31"/>
      <c r="WF363" s="31"/>
      <c r="WG363" s="31"/>
      <c r="WH363" s="31"/>
      <c r="WI363" s="31"/>
      <c r="WJ363" s="31"/>
      <c r="WK363" s="31"/>
      <c r="WL363" s="31"/>
      <c r="WM363" s="31"/>
      <c r="WN363" s="31"/>
      <c r="WO363" s="31"/>
      <c r="WP363" s="31"/>
      <c r="WQ363" s="31"/>
      <c r="WR363" s="31"/>
      <c r="WS363" s="31"/>
      <c r="WT363" s="31"/>
      <c r="WU363" s="31"/>
      <c r="WV363" s="31"/>
      <c r="WW363" s="31"/>
      <c r="WX363" s="31"/>
      <c r="WY363" s="31"/>
      <c r="WZ363" s="31"/>
      <c r="XA363" s="31"/>
      <c r="XB363" s="31"/>
      <c r="XC363" s="31"/>
      <c r="XD363" s="31"/>
      <c r="XE363" s="31"/>
      <c r="XF363" s="31"/>
      <c r="XG363" s="31"/>
      <c r="XH363" s="31"/>
      <c r="XI363" s="31"/>
      <c r="XJ363" s="31"/>
      <c r="XK363" s="31"/>
      <c r="XL363" s="31"/>
      <c r="XM363" s="31"/>
      <c r="XN363" s="31"/>
      <c r="XO363" s="31"/>
      <c r="XP363" s="31"/>
      <c r="XQ363" s="31"/>
      <c r="XR363" s="31"/>
      <c r="XS363" s="31"/>
      <c r="XT363" s="31"/>
      <c r="XU363" s="31"/>
      <c r="XV363" s="31"/>
      <c r="XW363" s="31"/>
      <c r="XX363" s="31"/>
      <c r="XY363" s="31"/>
      <c r="XZ363" s="31"/>
      <c r="YA363" s="31"/>
      <c r="YB363" s="31"/>
      <c r="YC363" s="31"/>
      <c r="YD363" s="31"/>
      <c r="YE363" s="31"/>
      <c r="YF363" s="31"/>
      <c r="YG363" s="31"/>
      <c r="YH363" s="31"/>
      <c r="YI363" s="31"/>
      <c r="YJ363" s="31"/>
      <c r="YK363" s="31"/>
      <c r="YL363" s="31"/>
      <c r="YM363" s="31"/>
      <c r="YN363" s="31"/>
      <c r="YO363" s="31"/>
      <c r="YP363" s="31"/>
      <c r="YQ363" s="31"/>
      <c r="YR363" s="31"/>
      <c r="YS363" s="31"/>
      <c r="YT363" s="31"/>
      <c r="YU363" s="31"/>
      <c r="YV363" s="31"/>
      <c r="YW363" s="31"/>
      <c r="YX363" s="31"/>
      <c r="YY363" s="31"/>
      <c r="YZ363" s="31"/>
      <c r="ZA363" s="31"/>
      <c r="ZB363" s="31"/>
      <c r="ZC363" s="31"/>
      <c r="ZD363" s="31"/>
      <c r="ZE363" s="31"/>
      <c r="ZF363" s="31"/>
      <c r="ZG363" s="31"/>
      <c r="ZH363" s="31"/>
      <c r="ZI363" s="31"/>
      <c r="ZJ363" s="31"/>
      <c r="ZK363" s="31"/>
      <c r="ZL363" s="31"/>
      <c r="ZM363" s="31"/>
      <c r="ZN363" s="31"/>
      <c r="ZO363" s="31"/>
      <c r="ZP363" s="31"/>
      <c r="ZQ363" s="31"/>
      <c r="ZR363" s="31"/>
      <c r="ZS363" s="31"/>
      <c r="ZT363" s="31"/>
      <c r="ZU363" s="31"/>
      <c r="ZV363" s="31"/>
      <c r="ZW363" s="31"/>
      <c r="ZX363" s="31"/>
      <c r="ZY363" s="31"/>
      <c r="ZZ363" s="31"/>
      <c r="AAA363" s="31"/>
      <c r="AAB363" s="31"/>
      <c r="AAC363" s="31"/>
      <c r="AAD363" s="31"/>
      <c r="AAE363" s="31"/>
      <c r="AAF363" s="31"/>
      <c r="AAG363" s="31"/>
      <c r="AAH363" s="31"/>
      <c r="AAI363" s="31"/>
      <c r="AAJ363" s="31"/>
      <c r="AAK363" s="31"/>
      <c r="AAL363" s="31"/>
      <c r="AAM363" s="31"/>
      <c r="AAN363" s="31"/>
      <c r="AAO363" s="31"/>
      <c r="AAP363" s="31"/>
      <c r="AAQ363" s="31"/>
      <c r="AAR363" s="31"/>
      <c r="AAS363" s="31"/>
      <c r="AAT363" s="31"/>
      <c r="AAU363" s="31"/>
      <c r="AAV363" s="31"/>
      <c r="AAW363" s="31"/>
      <c r="AAX363" s="31"/>
      <c r="AAY363" s="31"/>
      <c r="AAZ363" s="31"/>
      <c r="ABA363" s="31"/>
      <c r="ABB363" s="31"/>
      <c r="ABC363" s="31"/>
      <c r="ABD363" s="31"/>
      <c r="ABE363" s="31"/>
      <c r="ABF363" s="31"/>
      <c r="ABG363" s="31"/>
      <c r="ABH363" s="31"/>
      <c r="ABI363" s="31"/>
      <c r="ABJ363" s="31"/>
      <c r="ABK363" s="31"/>
      <c r="ABL363" s="31"/>
      <c r="ABM363" s="31"/>
      <c r="ABN363" s="31"/>
      <c r="ABO363" s="31"/>
      <c r="ABP363" s="31"/>
      <c r="ABQ363" s="31"/>
      <c r="ABR363" s="31"/>
      <c r="ABS363" s="31"/>
      <c r="ABT363" s="31"/>
      <c r="ABU363" s="31"/>
      <c r="ABV363" s="31"/>
      <c r="ABW363" s="31"/>
      <c r="ABX363" s="31"/>
      <c r="ABY363" s="31"/>
      <c r="ABZ363" s="31"/>
      <c r="ACA363" s="31"/>
      <c r="ACB363" s="31"/>
      <c r="ACC363" s="31"/>
      <c r="ACD363" s="31"/>
      <c r="ACE363" s="31"/>
      <c r="ACF363" s="31"/>
      <c r="ACG363" s="31"/>
      <c r="ACH363" s="31"/>
      <c r="ACI363" s="31"/>
      <c r="ACJ363" s="31"/>
      <c r="ACK363" s="31"/>
      <c r="ACL363" s="31"/>
      <c r="ACM363" s="31"/>
      <c r="ACN363" s="31"/>
      <c r="ACO363" s="31"/>
      <c r="ACP363" s="31"/>
      <c r="ACQ363" s="31"/>
      <c r="ACR363" s="31"/>
      <c r="ACS363" s="31"/>
      <c r="ACT363" s="31"/>
      <c r="ACU363" s="31"/>
      <c r="ACV363" s="31"/>
      <c r="ACW363" s="31"/>
      <c r="ACX363" s="31"/>
      <c r="ACY363" s="31"/>
      <c r="ACZ363" s="31"/>
      <c r="ADA363" s="31"/>
      <c r="ADB363" s="31"/>
      <c r="ADC363" s="31"/>
      <c r="ADD363" s="31"/>
      <c r="ADE363" s="31"/>
      <c r="ADF363" s="31"/>
      <c r="ADG363" s="31"/>
      <c r="ADH363" s="31"/>
      <c r="ADI363" s="31"/>
      <c r="ADJ363" s="31"/>
      <c r="ADK363" s="31"/>
      <c r="ADL363" s="31"/>
      <c r="ADM363" s="31"/>
      <c r="ADN363" s="31"/>
      <c r="ADO363" s="31"/>
      <c r="ADP363" s="31"/>
      <c r="ADQ363" s="31"/>
      <c r="ADR363" s="31"/>
      <c r="ADS363" s="31"/>
      <c r="ADT363" s="31"/>
      <c r="ADU363" s="31"/>
      <c r="ADV363" s="31"/>
      <c r="ADW363" s="31"/>
      <c r="ADX363" s="31"/>
      <c r="ADY363" s="31"/>
      <c r="ADZ363" s="31"/>
      <c r="AEA363" s="31"/>
      <c r="AEB363" s="31"/>
      <c r="AEC363" s="31"/>
      <c r="AED363" s="31"/>
      <c r="AEE363" s="31"/>
      <c r="AEF363" s="31"/>
      <c r="AEG363" s="31"/>
      <c r="AEH363" s="31"/>
      <c r="AEI363" s="31"/>
      <c r="AEJ363" s="31"/>
      <c r="AEK363" s="31"/>
      <c r="AEL363" s="31"/>
      <c r="AEM363" s="31"/>
      <c r="AEN363" s="31"/>
      <c r="AEO363" s="31"/>
      <c r="AEP363" s="31"/>
      <c r="AEQ363" s="31"/>
      <c r="AER363" s="31"/>
      <c r="AES363" s="31"/>
      <c r="AET363" s="31"/>
      <c r="AEU363" s="31"/>
      <c r="AEV363" s="31"/>
      <c r="AEW363" s="31"/>
      <c r="AEX363" s="31"/>
      <c r="AEY363" s="31"/>
      <c r="AEZ363" s="31"/>
      <c r="AFA363" s="31"/>
      <c r="AFB363" s="31"/>
      <c r="AFC363" s="31"/>
      <c r="AFD363" s="31"/>
      <c r="AFE363" s="31"/>
      <c r="AFF363" s="31"/>
      <c r="AFG363" s="31"/>
      <c r="AFH363" s="31"/>
      <c r="AFI363" s="31"/>
      <c r="AFJ363" s="31"/>
      <c r="AFK363" s="31"/>
      <c r="AFL363" s="31"/>
      <c r="AFM363" s="31"/>
      <c r="AFN363" s="31"/>
      <c r="AFO363" s="31"/>
      <c r="AFP363" s="31"/>
      <c r="AFQ363" s="31"/>
      <c r="AFR363" s="31"/>
      <c r="AFS363" s="31"/>
      <c r="AFT363" s="31"/>
      <c r="AFU363" s="31"/>
      <c r="AFV363" s="31"/>
      <c r="AFW363" s="31"/>
      <c r="AFX363" s="31"/>
      <c r="AFY363" s="31"/>
      <c r="AFZ363" s="31"/>
      <c r="AGA363" s="31"/>
      <c r="AGB363" s="31"/>
      <c r="AGC363" s="31"/>
      <c r="AGD363" s="31"/>
      <c r="AGE363" s="31"/>
      <c r="AGF363" s="31"/>
      <c r="AGG363" s="31"/>
      <c r="AGH363" s="31"/>
      <c r="AGI363" s="31"/>
      <c r="AGJ363" s="31"/>
      <c r="AGK363" s="31"/>
      <c r="AGL363" s="31"/>
      <c r="AGM363" s="31"/>
      <c r="AGN363" s="31"/>
      <c r="AGO363" s="31"/>
      <c r="AGP363" s="31"/>
      <c r="AGQ363" s="31"/>
      <c r="AGR363" s="31"/>
      <c r="AGS363" s="31"/>
      <c r="AGT363" s="31"/>
      <c r="AGU363" s="31"/>
      <c r="AGV363" s="31"/>
      <c r="AGW363" s="31"/>
      <c r="AGX363" s="31"/>
      <c r="AGY363" s="31"/>
      <c r="AGZ363" s="31"/>
      <c r="AHA363" s="31"/>
      <c r="AHB363" s="31"/>
      <c r="AHC363" s="31"/>
      <c r="AHD363" s="31"/>
      <c r="AHE363" s="31"/>
      <c r="AHF363" s="31"/>
      <c r="AHG363" s="31"/>
      <c r="AHH363" s="31"/>
      <c r="AHI363" s="31"/>
      <c r="AHJ363" s="31"/>
      <c r="AHK363" s="31"/>
      <c r="AHL363" s="31"/>
      <c r="AHM363" s="31"/>
      <c r="AHN363" s="31"/>
      <c r="AHO363" s="31"/>
      <c r="AHP363" s="31"/>
      <c r="AHQ363" s="31"/>
      <c r="AHR363" s="31"/>
      <c r="AHS363" s="31"/>
      <c r="AHT363" s="31"/>
      <c r="AHU363" s="31"/>
      <c r="AHV363" s="31"/>
      <c r="AHW363" s="31"/>
      <c r="AHX363" s="31"/>
      <c r="AHY363" s="31"/>
      <c r="AHZ363" s="31"/>
      <c r="AIA363" s="31"/>
      <c r="AIB363" s="31"/>
      <c r="AIC363" s="31"/>
      <c r="AID363" s="31"/>
      <c r="AIE363" s="31"/>
      <c r="AIF363" s="31"/>
      <c r="AIG363" s="31"/>
      <c r="AIH363" s="31"/>
      <c r="AII363" s="31"/>
      <c r="AIJ363" s="31"/>
      <c r="AIK363" s="31"/>
      <c r="AIL363" s="31"/>
      <c r="AIM363" s="31"/>
      <c r="AIN363" s="31"/>
      <c r="AIO363" s="31"/>
      <c r="AIP363" s="31"/>
      <c r="AIQ363" s="31"/>
      <c r="AIR363" s="31"/>
      <c r="AIS363" s="31"/>
      <c r="AIT363" s="31"/>
      <c r="AIU363" s="31"/>
      <c r="AIV363" s="31"/>
      <c r="AIW363" s="31"/>
      <c r="AIX363" s="31"/>
      <c r="AIY363" s="31"/>
      <c r="AIZ363" s="31"/>
      <c r="AJA363" s="31"/>
      <c r="AJB363" s="31"/>
      <c r="AJC363" s="31"/>
      <c r="AJD363" s="31"/>
      <c r="AJE363" s="31"/>
      <c r="AJF363" s="31"/>
      <c r="AJG363" s="31"/>
      <c r="AJH363" s="31"/>
      <c r="AJI363" s="31"/>
      <c r="AJJ363" s="31"/>
      <c r="AJK363" s="31"/>
      <c r="AJL363" s="31"/>
      <c r="AJM363" s="31"/>
      <c r="AJN363" s="31"/>
      <c r="AJO363" s="31"/>
      <c r="AJP363" s="31"/>
      <c r="AJQ363" s="31"/>
      <c r="AJR363" s="31"/>
      <c r="AJS363" s="31"/>
      <c r="AJT363" s="31"/>
      <c r="AJU363" s="31"/>
      <c r="AJV363" s="31"/>
      <c r="AJW363" s="31"/>
      <c r="AJX363" s="31"/>
      <c r="AJY363" s="31"/>
      <c r="AJZ363" s="31"/>
      <c r="AKA363" s="31"/>
      <c r="AKB363" s="31"/>
      <c r="AKC363" s="31"/>
      <c r="AKD363" s="31"/>
      <c r="AKE363" s="31"/>
      <c r="AKF363" s="31"/>
      <c r="AKG363" s="31"/>
      <c r="AKH363" s="31"/>
      <c r="AKI363" s="31"/>
      <c r="AKJ363" s="31"/>
      <c r="AKK363" s="31"/>
      <c r="AKL363" s="31"/>
      <c r="AKM363" s="31"/>
      <c r="AKN363" s="31"/>
      <c r="AKO363" s="31"/>
      <c r="AKP363" s="31"/>
      <c r="AKQ363" s="31"/>
      <c r="AKR363" s="31"/>
      <c r="AKS363" s="31"/>
      <c r="AKT363" s="31"/>
      <c r="AKU363" s="31"/>
      <c r="AKV363" s="31"/>
      <c r="AKW363" s="31"/>
      <c r="AKX363" s="31"/>
      <c r="AKY363" s="31"/>
      <c r="AKZ363" s="31"/>
      <c r="ALA363" s="31"/>
      <c r="ALB363" s="31"/>
      <c r="ALC363" s="31"/>
      <c r="ALD363" s="31"/>
      <c r="ALE363" s="31"/>
      <c r="ALF363" s="31"/>
      <c r="ALG363" s="31"/>
      <c r="ALH363" s="31"/>
      <c r="ALI363" s="31"/>
      <c r="ALJ363" s="31"/>
      <c r="ALK363" s="31"/>
      <c r="ALL363" s="31"/>
      <c r="ALM363" s="31"/>
      <c r="ALN363" s="31"/>
      <c r="ALO363" s="31"/>
      <c r="ALP363" s="31"/>
      <c r="ALQ363" s="31"/>
      <c r="ALR363" s="31"/>
      <c r="ALS363" s="31"/>
      <c r="ALT363" s="31"/>
      <c r="ALU363" s="31"/>
      <c r="ALV363" s="31"/>
      <c r="ALW363" s="31"/>
      <c r="ALX363" s="31"/>
      <c r="ALY363" s="31"/>
      <c r="ALZ363" s="31"/>
      <c r="AMA363" s="31"/>
      <c r="AMB363" s="31"/>
      <c r="AMC363" s="31"/>
      <c r="AMD363" s="31"/>
      <c r="AME363" s="31"/>
      <c r="AMF363" s="31"/>
      <c r="AMG363" s="31"/>
      <c r="AMH363" s="31"/>
      <c r="AMI363" s="31"/>
      <c r="AMJ363" s="31"/>
    </row>
    <row r="364" spans="1:1024" ht="27.6">
      <c r="A364" s="8" t="s">
        <v>354</v>
      </c>
      <c r="B364" s="8">
        <v>621484</v>
      </c>
      <c r="D364" s="29"/>
      <c r="E364" s="1">
        <v>0</v>
      </c>
      <c r="F364" s="8">
        <v>6</v>
      </c>
      <c r="G364" s="30">
        <f t="shared" si="18"/>
        <v>1</v>
      </c>
      <c r="H364" s="8">
        <f t="shared" si="20"/>
        <v>5</v>
      </c>
      <c r="I364">
        <f t="shared" si="19"/>
        <v>5</v>
      </c>
      <c r="J364">
        <f>SUMIF(Oeffentlichkeitsarbeit!$D:$D,$B364,Oeffentlichkeitsarbeit!$F:$F)</f>
        <v>4</v>
      </c>
      <c r="K364">
        <f>COUNTIF(Fairteiler!$D:$D,$B364)*1/2</f>
        <v>0</v>
      </c>
      <c r="L364">
        <f>COUNTIF('NP-Betrieb'!D:D,$B364)*1/3</f>
        <v>1</v>
      </c>
      <c r="M364">
        <f>COUNTIF(Fairteilungen!$D:$D,$B364)*3/4</f>
        <v>0</v>
      </c>
      <c r="N364">
        <f>COUNTIF(Anlieferung!D:D,$B364)*1/2</f>
        <v>0</v>
      </c>
      <c r="O364">
        <f>COUNTIF(Probeabholungen!B:B,$B364)*1/3</f>
        <v>0</v>
      </c>
    </row>
    <row r="365" spans="1:1024" ht="27.6">
      <c r="A365" s="8" t="s">
        <v>355</v>
      </c>
      <c r="B365" s="8">
        <v>286123</v>
      </c>
      <c r="C365" s="31"/>
      <c r="D365" s="29"/>
      <c r="E365" s="1">
        <v>0.5</v>
      </c>
      <c r="F365" s="8">
        <v>6</v>
      </c>
      <c r="G365" s="30">
        <f t="shared" si="18"/>
        <v>5</v>
      </c>
      <c r="H365" s="8">
        <f t="shared" si="20"/>
        <v>1</v>
      </c>
      <c r="I365" s="31">
        <f t="shared" si="19"/>
        <v>1.5</v>
      </c>
      <c r="J365" s="31">
        <f>SUMIF(Oeffentlichkeitsarbeit!$D:$D,$B365,Oeffentlichkeitsarbeit!$F:$F)</f>
        <v>0</v>
      </c>
      <c r="K365" s="31">
        <f>COUNTIF(Fairteiler!$D:$D,$B365)*1/2</f>
        <v>1.5</v>
      </c>
      <c r="L365" s="31">
        <f>COUNTIF('NP-Betrieb'!D:D,$B365)*1/3</f>
        <v>0</v>
      </c>
      <c r="M365" s="31">
        <f>COUNTIF(Fairteilungen!$D:$D,$B365)*3/4</f>
        <v>0</v>
      </c>
      <c r="N365" s="31">
        <f>COUNTIF(Anlieferung!D:D,$B365)*1/2</f>
        <v>0</v>
      </c>
      <c r="O365" s="31">
        <f>COUNTIF(Probeabholungen!B:B,$B365)*1/3</f>
        <v>0</v>
      </c>
    </row>
    <row r="366" spans="1:1024" ht="27.6">
      <c r="A366" s="8" t="s">
        <v>356</v>
      </c>
      <c r="B366" s="8">
        <v>921659</v>
      </c>
      <c r="D366" s="24">
        <v>45749</v>
      </c>
      <c r="E366" s="1">
        <v>0</v>
      </c>
      <c r="F366">
        <v>6</v>
      </c>
      <c r="G366" s="30">
        <f t="shared" si="18"/>
        <v>3</v>
      </c>
      <c r="H366" s="8">
        <f t="shared" si="20"/>
        <v>3</v>
      </c>
      <c r="I366">
        <f t="shared" si="19"/>
        <v>3</v>
      </c>
      <c r="J366">
        <f>SUMIF(Oeffentlichkeitsarbeit!$D:$D,$B366,Oeffentlichkeitsarbeit!$F:$F)</f>
        <v>0</v>
      </c>
      <c r="K366">
        <f>COUNTIF(Fairteiler!$D:$D,$B366)*1/2</f>
        <v>0</v>
      </c>
      <c r="L366">
        <f>COUNTIF('NP-Betrieb'!D:D,$B366)*1/3</f>
        <v>3</v>
      </c>
      <c r="M366">
        <f>COUNTIF(Fairteilungen!$D:$D,$B366)*3/4</f>
        <v>0</v>
      </c>
      <c r="N366">
        <f>COUNTIF(Anlieferung!D:D,$B366)*1/2</f>
        <v>0</v>
      </c>
      <c r="O366">
        <f>COUNTIF(Probeabholungen!B:B,$B366)*1/3</f>
        <v>0</v>
      </c>
    </row>
    <row r="367" spans="1:1024" ht="27.6">
      <c r="A367" s="16" t="s">
        <v>357</v>
      </c>
      <c r="B367" s="16">
        <v>261486</v>
      </c>
      <c r="C367" s="16" t="s">
        <v>831</v>
      </c>
      <c r="D367" s="32"/>
      <c r="E367" s="1">
        <v>0</v>
      </c>
      <c r="F367" s="16">
        <v>0</v>
      </c>
      <c r="G367" s="33">
        <f t="shared" si="18"/>
        <v>-2.6666666666666665</v>
      </c>
      <c r="H367" s="16">
        <f t="shared" si="20"/>
        <v>2.6666666666666665</v>
      </c>
      <c r="I367" s="31">
        <f t="shared" si="19"/>
        <v>2.6666666666666665</v>
      </c>
      <c r="J367" s="31">
        <f>SUMIF(Oeffentlichkeitsarbeit!$D:$D,$B367,Oeffentlichkeitsarbeit!$F:$F)</f>
        <v>0</v>
      </c>
      <c r="K367" s="31">
        <f>COUNTIF(Fairteiler!$D:$D,$B367)*1/2</f>
        <v>0</v>
      </c>
      <c r="L367" s="31">
        <f>COUNTIF('NP-Betrieb'!D:D,$B367)*1/3</f>
        <v>2.6666666666666665</v>
      </c>
      <c r="M367" s="31">
        <f>COUNTIF(Fairteilungen!$D:$D,$B367)*3/4</f>
        <v>0</v>
      </c>
      <c r="N367" s="31">
        <f>COUNTIF(Anlieferung!D:D,$B367)*1/2</f>
        <v>0</v>
      </c>
      <c r="O367" s="31">
        <f>COUNTIF(Probeabholungen!B:B,$B367)*1/3</f>
        <v>0</v>
      </c>
    </row>
    <row r="368" spans="1:1024">
      <c r="A368" s="8" t="s">
        <v>358</v>
      </c>
      <c r="B368" s="8">
        <v>344735</v>
      </c>
      <c r="D368" s="29"/>
      <c r="E368" s="1">
        <v>0</v>
      </c>
      <c r="F368" s="8">
        <v>6</v>
      </c>
      <c r="G368" s="30">
        <f t="shared" si="18"/>
        <v>6</v>
      </c>
      <c r="H368" s="8">
        <f t="shared" si="20"/>
        <v>0</v>
      </c>
      <c r="I368">
        <f t="shared" si="19"/>
        <v>0</v>
      </c>
      <c r="J368">
        <f>SUMIF(Oeffentlichkeitsarbeit!$D:$D,$B368,Oeffentlichkeitsarbeit!$F:$F)</f>
        <v>0</v>
      </c>
      <c r="K368">
        <f>COUNTIF(Fairteiler!$D:$D,$B368)*1/2</f>
        <v>0</v>
      </c>
      <c r="L368">
        <f>COUNTIF('NP-Betrieb'!D:D,$B368)*1/3</f>
        <v>0</v>
      </c>
      <c r="M368">
        <f>COUNTIF(Fairteilungen!$D:$D,$B368)*3/4</f>
        <v>0</v>
      </c>
      <c r="N368">
        <f>COUNTIF(Anlieferung!D:D,$B368)*1/2</f>
        <v>0</v>
      </c>
      <c r="O368">
        <f>COUNTIF(Probeabholungen!B:B,$B368)*1/3</f>
        <v>0</v>
      </c>
    </row>
    <row r="369" spans="1:1024" ht="27.6">
      <c r="A369" s="8" t="s">
        <v>359</v>
      </c>
      <c r="B369" s="8">
        <v>924566</v>
      </c>
      <c r="D369" s="24">
        <v>45799</v>
      </c>
      <c r="E369" s="1">
        <v>0</v>
      </c>
      <c r="F369">
        <v>6</v>
      </c>
      <c r="G369" s="30">
        <f t="shared" si="18"/>
        <v>-0.33333333333333304</v>
      </c>
      <c r="H369" s="8">
        <f t="shared" si="20"/>
        <v>6.333333333333333</v>
      </c>
      <c r="I369">
        <f t="shared" si="19"/>
        <v>6.333333333333333</v>
      </c>
      <c r="J369">
        <f>SUMIF(Oeffentlichkeitsarbeit!$D:$D,$B369,Oeffentlichkeitsarbeit!$F:$F)</f>
        <v>0</v>
      </c>
      <c r="K369">
        <f>COUNTIF(Fairteiler!$D:$D,$B369)*1/2</f>
        <v>6</v>
      </c>
      <c r="L369">
        <f>COUNTIF('NP-Betrieb'!D:D,$B369)*1/3</f>
        <v>0.33333333333333331</v>
      </c>
      <c r="M369">
        <f>COUNTIF(Fairteilungen!$D:$D,$B369)*3/4</f>
        <v>0</v>
      </c>
      <c r="N369">
        <f>COUNTIF(Anlieferung!D:D,$B369)*1/2</f>
        <v>0</v>
      </c>
      <c r="O369">
        <f>COUNTIF(Probeabholungen!B:B,$B369)*1/3</f>
        <v>0</v>
      </c>
    </row>
    <row r="370" spans="1:1024">
      <c r="A370" s="8" t="s">
        <v>360</v>
      </c>
      <c r="B370" s="8">
        <v>767252</v>
      </c>
      <c r="D370" s="29">
        <v>45253</v>
      </c>
      <c r="E370" s="1">
        <v>0</v>
      </c>
      <c r="F370" s="8">
        <v>6</v>
      </c>
      <c r="G370" s="30">
        <f t="shared" si="18"/>
        <v>6</v>
      </c>
      <c r="H370" s="8">
        <f t="shared" si="20"/>
        <v>0</v>
      </c>
      <c r="I370">
        <f t="shared" si="19"/>
        <v>0</v>
      </c>
      <c r="J370">
        <f>SUMIF(Oeffentlichkeitsarbeit!$D:$D,$B370,Oeffentlichkeitsarbeit!$F:$F)</f>
        <v>0</v>
      </c>
      <c r="K370">
        <f>COUNTIF(Fairteiler!$D:$D,$B370)*1/2</f>
        <v>0</v>
      </c>
      <c r="L370">
        <f>COUNTIF('NP-Betrieb'!D:D,$B370)*1/3</f>
        <v>0</v>
      </c>
      <c r="M370">
        <f>COUNTIF(Fairteilungen!$D:$D,$B370)*3/4</f>
        <v>0</v>
      </c>
      <c r="N370">
        <f>COUNTIF(Anlieferung!D:D,$B370)*1/2</f>
        <v>0</v>
      </c>
      <c r="O370">
        <f>COUNTIF(Probeabholungen!B:B,$B370)*1/3</f>
        <v>0</v>
      </c>
    </row>
    <row r="371" spans="1:1024">
      <c r="A371" s="8" t="s">
        <v>361</v>
      </c>
      <c r="B371" s="8">
        <v>731461</v>
      </c>
      <c r="D371" s="29">
        <v>45215</v>
      </c>
      <c r="E371" s="1">
        <v>6</v>
      </c>
      <c r="F371" s="8">
        <v>6</v>
      </c>
      <c r="G371" s="30">
        <f t="shared" si="18"/>
        <v>12</v>
      </c>
      <c r="H371" s="8">
        <f t="shared" si="20"/>
        <v>-6</v>
      </c>
      <c r="I371">
        <f t="shared" si="19"/>
        <v>0</v>
      </c>
      <c r="J371">
        <f>SUMIF(Oeffentlichkeitsarbeit!$D:$D,$B371,Oeffentlichkeitsarbeit!$F:$F)</f>
        <v>0</v>
      </c>
      <c r="K371">
        <f>COUNTIF(Fairteiler!$D:$D,$B371)*1/2</f>
        <v>0</v>
      </c>
      <c r="L371">
        <f>COUNTIF('NP-Betrieb'!D:D,$B371)*1/3</f>
        <v>0</v>
      </c>
      <c r="M371">
        <f>COUNTIF(Fairteilungen!$D:$D,$B371)*3/4</f>
        <v>0</v>
      </c>
      <c r="N371">
        <f>COUNTIF(Anlieferung!D:D,$B371)*1/2</f>
        <v>0</v>
      </c>
      <c r="O371">
        <f>COUNTIF(Probeabholungen!B:B,$B371)*1/3</f>
        <v>0</v>
      </c>
    </row>
    <row r="372" spans="1:1024" s="11" customFormat="1">
      <c r="A372" t="s">
        <v>362</v>
      </c>
      <c r="B372">
        <v>344349</v>
      </c>
      <c r="C372"/>
      <c r="D372" s="24">
        <v>45427</v>
      </c>
      <c r="E372" s="1">
        <v>0</v>
      </c>
      <c r="F372" s="8">
        <v>6</v>
      </c>
      <c r="G372" s="30">
        <f t="shared" si="18"/>
        <v>5</v>
      </c>
      <c r="H372" s="8">
        <f t="shared" si="20"/>
        <v>1</v>
      </c>
      <c r="I372">
        <f t="shared" si="19"/>
        <v>1</v>
      </c>
      <c r="J372">
        <f>SUMIF(Oeffentlichkeitsarbeit!$D:$D,$B372,Oeffentlichkeitsarbeit!$F:$F)</f>
        <v>0</v>
      </c>
      <c r="K372">
        <f>COUNTIF(Fairteiler!$D:$D,$B372)*1/2</f>
        <v>0</v>
      </c>
      <c r="L372">
        <f>COUNTIF('NP-Betrieb'!D:D,$B372)*1/3</f>
        <v>1</v>
      </c>
      <c r="M372">
        <f>COUNTIF(Fairteilungen!$D:$D,$B372)*3/4</f>
        <v>0</v>
      </c>
      <c r="N372">
        <f>COUNTIF(Anlieferung!D:D,$B372)*1/2</f>
        <v>0</v>
      </c>
      <c r="O372">
        <f>COUNTIF(Probeabholungen!B:B,$B372)*1/3</f>
        <v>0</v>
      </c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  <c r="CJ372"/>
      <c r="CK372"/>
      <c r="CL372"/>
      <c r="CM372"/>
      <c r="CN372"/>
      <c r="CO372"/>
      <c r="CP372"/>
      <c r="CQ372"/>
      <c r="CR372"/>
      <c r="CS372"/>
      <c r="CT372"/>
      <c r="CU372"/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  <c r="DQ372"/>
      <c r="DR372"/>
      <c r="DS372"/>
      <c r="DT372"/>
      <c r="DU372"/>
      <c r="DV372"/>
      <c r="DW372"/>
      <c r="DX372"/>
      <c r="DY372"/>
      <c r="DZ372"/>
      <c r="EA372"/>
      <c r="EB372"/>
      <c r="EC372"/>
      <c r="ED372"/>
      <c r="EE372"/>
      <c r="EF372"/>
      <c r="EG372"/>
      <c r="EH372"/>
      <c r="EI372"/>
      <c r="EJ372"/>
      <c r="EK372"/>
      <c r="EL372"/>
      <c r="EM372"/>
      <c r="EN372"/>
      <c r="EO372"/>
      <c r="EP372"/>
      <c r="EQ372"/>
      <c r="ER372"/>
      <c r="ES372"/>
      <c r="ET372"/>
      <c r="EU372"/>
      <c r="EV372"/>
      <c r="EW372"/>
      <c r="EX372"/>
      <c r="EY372"/>
      <c r="EZ372"/>
      <c r="FA372"/>
      <c r="FB372"/>
      <c r="FC372"/>
      <c r="FD372"/>
      <c r="FE372"/>
      <c r="FF372"/>
      <c r="FG372"/>
      <c r="FH372"/>
      <c r="FI372"/>
      <c r="FJ372"/>
      <c r="FK372"/>
      <c r="FL372"/>
      <c r="FM372"/>
      <c r="FN372"/>
      <c r="FO372"/>
      <c r="FP372"/>
      <c r="FQ372"/>
      <c r="FR372"/>
      <c r="FS372"/>
      <c r="FT372"/>
      <c r="FU372"/>
      <c r="FV372"/>
      <c r="FW372"/>
      <c r="FX372"/>
      <c r="FY372"/>
      <c r="FZ372"/>
      <c r="GA372"/>
      <c r="GB372"/>
      <c r="GC372"/>
      <c r="GD372"/>
      <c r="GE372"/>
      <c r="GF372"/>
      <c r="GG372"/>
      <c r="GH372"/>
      <c r="GI372"/>
      <c r="GJ372"/>
      <c r="GK372"/>
      <c r="GL372"/>
      <c r="GM372"/>
      <c r="GN372"/>
      <c r="GO372"/>
      <c r="GP372"/>
      <c r="GQ372"/>
      <c r="GR372"/>
      <c r="GS372"/>
      <c r="GT372"/>
      <c r="GU372"/>
      <c r="GV372"/>
      <c r="GW372"/>
      <c r="GX372"/>
      <c r="GY372"/>
      <c r="GZ372"/>
      <c r="HA372"/>
      <c r="HB372"/>
      <c r="HC372"/>
      <c r="HD372"/>
      <c r="HE372"/>
      <c r="HF372"/>
      <c r="HG372"/>
      <c r="HH372"/>
      <c r="HI372"/>
      <c r="HJ372"/>
      <c r="HK372"/>
      <c r="HL372"/>
      <c r="HM372"/>
      <c r="HN372"/>
      <c r="HO372"/>
      <c r="HP372"/>
      <c r="HQ372"/>
      <c r="HR372"/>
      <c r="HS372"/>
      <c r="HT372"/>
      <c r="HU372"/>
      <c r="HV372"/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  <c r="IW372"/>
      <c r="IX372"/>
      <c r="IY372"/>
      <c r="IZ372"/>
      <c r="JA372"/>
      <c r="JB372"/>
      <c r="JC372"/>
      <c r="JD372"/>
      <c r="JE372"/>
      <c r="JF372"/>
      <c r="JG372"/>
      <c r="JH372"/>
      <c r="JI372"/>
      <c r="JJ372"/>
      <c r="JK372"/>
      <c r="JL372"/>
      <c r="JM372"/>
      <c r="JN372"/>
      <c r="JO372"/>
      <c r="JP372"/>
      <c r="JQ372"/>
      <c r="JR372"/>
      <c r="JS372"/>
      <c r="JT372"/>
      <c r="JU372"/>
      <c r="JV372"/>
      <c r="JW372"/>
      <c r="JX372"/>
      <c r="JY372"/>
      <c r="JZ372"/>
      <c r="KA372"/>
      <c r="KB372"/>
      <c r="KC372"/>
      <c r="KD372"/>
      <c r="KE372"/>
      <c r="KF372"/>
      <c r="KG372"/>
      <c r="KH372"/>
      <c r="KI372"/>
      <c r="KJ372"/>
      <c r="KK372"/>
      <c r="KL372"/>
      <c r="KM372"/>
      <c r="KN372"/>
      <c r="KO372"/>
      <c r="KP372"/>
      <c r="KQ372"/>
      <c r="KR372"/>
      <c r="KS372"/>
      <c r="KT372"/>
      <c r="KU372"/>
      <c r="KV372"/>
      <c r="KW372"/>
      <c r="KX372"/>
      <c r="KY372"/>
      <c r="KZ372"/>
      <c r="LA372"/>
      <c r="LB372"/>
      <c r="LC372"/>
      <c r="LD372"/>
      <c r="LE372"/>
      <c r="LF372"/>
      <c r="LG372"/>
      <c r="LH372"/>
      <c r="LI372"/>
      <c r="LJ372"/>
      <c r="LK372"/>
      <c r="LL372"/>
      <c r="LM372"/>
      <c r="LN372"/>
      <c r="LO372"/>
      <c r="LP372"/>
      <c r="LQ372"/>
      <c r="LR372"/>
      <c r="LS372"/>
      <c r="LT372"/>
      <c r="LU372"/>
      <c r="LV372"/>
      <c r="LW372"/>
      <c r="LX372"/>
      <c r="LY372"/>
      <c r="LZ372"/>
      <c r="MA372"/>
      <c r="MB372"/>
      <c r="MC372"/>
      <c r="MD372"/>
      <c r="ME372"/>
      <c r="MF372"/>
      <c r="MG372"/>
      <c r="MH372"/>
      <c r="MI372"/>
      <c r="MJ372"/>
      <c r="MK372"/>
      <c r="ML372"/>
      <c r="MM372"/>
      <c r="MN372"/>
      <c r="MO372"/>
      <c r="MP372"/>
      <c r="MQ372"/>
      <c r="MR372"/>
      <c r="MS372"/>
      <c r="MT372"/>
      <c r="MU372"/>
      <c r="MV372"/>
      <c r="MW372"/>
      <c r="MX372"/>
      <c r="MY372"/>
      <c r="MZ372"/>
      <c r="NA372"/>
      <c r="NB372"/>
      <c r="NC372"/>
      <c r="ND372"/>
      <c r="NE372"/>
      <c r="NF372"/>
      <c r="NG372"/>
      <c r="NH372"/>
      <c r="NI372"/>
      <c r="NJ372"/>
      <c r="NK372"/>
      <c r="NL372"/>
      <c r="NM372"/>
      <c r="NN372"/>
      <c r="NO372"/>
      <c r="NP372"/>
      <c r="NQ372"/>
      <c r="NR372"/>
      <c r="NS372"/>
      <c r="NT372"/>
      <c r="NU372"/>
      <c r="NV372"/>
      <c r="NW372"/>
      <c r="NX372"/>
      <c r="NY372"/>
      <c r="NZ372"/>
      <c r="OA372"/>
      <c r="OB372"/>
      <c r="OC372"/>
      <c r="OD372"/>
      <c r="OE372"/>
      <c r="OF372"/>
      <c r="OG372"/>
      <c r="OH372"/>
      <c r="OI372"/>
      <c r="OJ372"/>
      <c r="OK372"/>
      <c r="OL372"/>
      <c r="OM372"/>
      <c r="ON372"/>
      <c r="OO372"/>
      <c r="OP372"/>
      <c r="OQ372"/>
      <c r="OR372"/>
      <c r="OS372"/>
      <c r="OT372"/>
      <c r="OU372"/>
      <c r="OV372"/>
      <c r="OW372"/>
      <c r="OX372"/>
      <c r="OY372"/>
      <c r="OZ372"/>
      <c r="PA372"/>
      <c r="PB372"/>
      <c r="PC372"/>
      <c r="PD372"/>
      <c r="PE372"/>
      <c r="PF372"/>
      <c r="PG372"/>
      <c r="PH372"/>
      <c r="PI372"/>
      <c r="PJ372"/>
      <c r="PK372"/>
      <c r="PL372"/>
      <c r="PM372"/>
      <c r="PN372"/>
      <c r="PO372"/>
      <c r="PP372"/>
      <c r="PQ372"/>
      <c r="PR372"/>
      <c r="PS372"/>
      <c r="PT372"/>
      <c r="PU372"/>
      <c r="PV372"/>
      <c r="PW372"/>
      <c r="PX372"/>
      <c r="PY372"/>
      <c r="PZ372"/>
      <c r="QA372"/>
      <c r="QB372"/>
      <c r="QC372"/>
      <c r="QD372"/>
      <c r="QE372"/>
      <c r="QF372"/>
      <c r="QG372"/>
      <c r="QH372"/>
      <c r="QI372"/>
      <c r="QJ372"/>
      <c r="QK372"/>
      <c r="QL372"/>
      <c r="QM372"/>
      <c r="QN372"/>
      <c r="QO372"/>
      <c r="QP372"/>
      <c r="QQ372"/>
      <c r="QR372"/>
      <c r="QS372"/>
      <c r="QT372"/>
      <c r="QU372"/>
      <c r="QV372"/>
      <c r="QW372"/>
      <c r="QX372"/>
      <c r="QY372"/>
      <c r="QZ372"/>
      <c r="RA372"/>
      <c r="RB372"/>
      <c r="RC372"/>
      <c r="RD372"/>
      <c r="RE372"/>
      <c r="RF372"/>
      <c r="RG372"/>
      <c r="RH372"/>
      <c r="RI372"/>
      <c r="RJ372"/>
      <c r="RK372"/>
      <c r="RL372"/>
      <c r="RM372"/>
      <c r="RN372"/>
      <c r="RO372"/>
      <c r="RP372"/>
      <c r="RQ372"/>
      <c r="RR372"/>
      <c r="RS372"/>
      <c r="RT372"/>
      <c r="RU372"/>
      <c r="RV372"/>
      <c r="RW372"/>
      <c r="RX372"/>
      <c r="RY372"/>
      <c r="RZ372"/>
      <c r="SA372"/>
      <c r="SB372"/>
      <c r="SC372"/>
      <c r="SD372"/>
      <c r="SE372"/>
      <c r="SF372"/>
      <c r="SG372"/>
      <c r="SH372"/>
      <c r="SI372"/>
      <c r="SJ372"/>
      <c r="SK372"/>
      <c r="SL372"/>
      <c r="SM372"/>
      <c r="SN372"/>
      <c r="SO372"/>
      <c r="SP372"/>
      <c r="SQ372"/>
      <c r="SR372"/>
      <c r="SS372"/>
      <c r="ST372"/>
      <c r="SU372"/>
      <c r="SV372"/>
      <c r="SW372"/>
      <c r="SX372"/>
      <c r="SY372"/>
      <c r="SZ372"/>
      <c r="TA372"/>
      <c r="TB372"/>
      <c r="TC372"/>
      <c r="TD372"/>
      <c r="TE372"/>
      <c r="TF372"/>
      <c r="TG372"/>
      <c r="TH372"/>
      <c r="TI372"/>
      <c r="TJ372"/>
      <c r="TK372"/>
      <c r="TL372"/>
      <c r="TM372"/>
      <c r="TN372"/>
      <c r="TO372"/>
      <c r="TP372"/>
      <c r="TQ372"/>
      <c r="TR372"/>
      <c r="TS372"/>
      <c r="TT372"/>
      <c r="TU372"/>
      <c r="TV372"/>
      <c r="TW372"/>
      <c r="TX372"/>
      <c r="TY372"/>
      <c r="TZ372"/>
      <c r="UA372"/>
      <c r="UB372"/>
      <c r="UC372"/>
      <c r="UD372"/>
      <c r="UE372"/>
      <c r="UF372"/>
      <c r="UG372"/>
      <c r="UH372"/>
      <c r="UI372"/>
      <c r="UJ372"/>
      <c r="UK372"/>
      <c r="UL372"/>
      <c r="UM372"/>
      <c r="UN372"/>
      <c r="UO372"/>
      <c r="UP372"/>
      <c r="UQ372"/>
      <c r="UR372"/>
      <c r="US372"/>
      <c r="UT372"/>
      <c r="UU372"/>
      <c r="UV372"/>
      <c r="UW372"/>
      <c r="UX372"/>
      <c r="UY372"/>
      <c r="UZ372"/>
      <c r="VA372"/>
      <c r="VB372"/>
      <c r="VC372"/>
      <c r="VD372"/>
      <c r="VE372"/>
      <c r="VF372"/>
      <c r="VG372"/>
      <c r="VH372"/>
      <c r="VI372"/>
      <c r="VJ372"/>
      <c r="VK372"/>
      <c r="VL372"/>
      <c r="VM372"/>
      <c r="VN372"/>
      <c r="VO372"/>
      <c r="VP372"/>
      <c r="VQ372"/>
      <c r="VR372"/>
      <c r="VS372"/>
      <c r="VT372"/>
      <c r="VU372"/>
      <c r="VV372"/>
      <c r="VW372"/>
      <c r="VX372"/>
      <c r="VY372"/>
      <c r="VZ372"/>
      <c r="WA372"/>
      <c r="WB372"/>
      <c r="WC372"/>
      <c r="WD372"/>
      <c r="WE372"/>
      <c r="WF372"/>
      <c r="WG372"/>
      <c r="WH372"/>
      <c r="WI372"/>
      <c r="WJ372"/>
      <c r="WK372"/>
      <c r="WL372"/>
      <c r="WM372"/>
      <c r="WN372"/>
      <c r="WO372"/>
      <c r="WP372"/>
      <c r="WQ372"/>
      <c r="WR372"/>
      <c r="WS372"/>
      <c r="WT372"/>
      <c r="WU372"/>
      <c r="WV372"/>
      <c r="WW372"/>
      <c r="WX372"/>
      <c r="WY372"/>
      <c r="WZ372"/>
      <c r="XA372"/>
      <c r="XB372"/>
      <c r="XC372"/>
      <c r="XD372"/>
      <c r="XE372"/>
      <c r="XF372"/>
      <c r="XG372"/>
      <c r="XH372"/>
      <c r="XI372"/>
      <c r="XJ372"/>
      <c r="XK372"/>
      <c r="XL372"/>
      <c r="XM372"/>
      <c r="XN372"/>
      <c r="XO372"/>
      <c r="XP372"/>
      <c r="XQ372"/>
      <c r="XR372"/>
      <c r="XS372"/>
      <c r="XT372"/>
      <c r="XU372"/>
      <c r="XV372"/>
      <c r="XW372"/>
      <c r="XX372"/>
      <c r="XY372"/>
      <c r="XZ372"/>
      <c r="YA372"/>
      <c r="YB372"/>
      <c r="YC372"/>
      <c r="YD372"/>
      <c r="YE372"/>
      <c r="YF372"/>
      <c r="YG372"/>
      <c r="YH372"/>
      <c r="YI372"/>
      <c r="YJ372"/>
      <c r="YK372"/>
      <c r="YL372"/>
      <c r="YM372"/>
      <c r="YN372"/>
      <c r="YO372"/>
      <c r="YP372"/>
      <c r="YQ372"/>
      <c r="YR372"/>
      <c r="YS372"/>
      <c r="YT372"/>
      <c r="YU372"/>
      <c r="YV372"/>
      <c r="YW372"/>
      <c r="YX372"/>
      <c r="YY372"/>
      <c r="YZ372"/>
      <c r="ZA372"/>
      <c r="ZB372"/>
      <c r="ZC372"/>
      <c r="ZD372"/>
      <c r="ZE372"/>
      <c r="ZF372"/>
      <c r="ZG372"/>
      <c r="ZH372"/>
      <c r="ZI372"/>
      <c r="ZJ372"/>
      <c r="ZK372"/>
      <c r="ZL372"/>
      <c r="ZM372"/>
      <c r="ZN372"/>
      <c r="ZO372"/>
      <c r="ZP372"/>
      <c r="ZQ372"/>
      <c r="ZR372"/>
      <c r="ZS372"/>
      <c r="ZT372"/>
      <c r="ZU372"/>
      <c r="ZV372"/>
      <c r="ZW372"/>
      <c r="ZX372"/>
      <c r="ZY372"/>
      <c r="ZZ372"/>
      <c r="AAA372"/>
      <c r="AAB372"/>
      <c r="AAC372"/>
      <c r="AAD372"/>
      <c r="AAE372"/>
      <c r="AAF372"/>
      <c r="AAG372"/>
      <c r="AAH372"/>
      <c r="AAI372"/>
      <c r="AAJ372"/>
      <c r="AAK372"/>
      <c r="AAL372"/>
      <c r="AAM372"/>
      <c r="AAN372"/>
      <c r="AAO372"/>
      <c r="AAP372"/>
      <c r="AAQ372"/>
      <c r="AAR372"/>
      <c r="AAS372"/>
      <c r="AAT372"/>
      <c r="AAU372"/>
      <c r="AAV372"/>
      <c r="AAW372"/>
      <c r="AAX372"/>
      <c r="AAY372"/>
      <c r="AAZ372"/>
      <c r="ABA372"/>
      <c r="ABB372"/>
      <c r="ABC372"/>
      <c r="ABD372"/>
      <c r="ABE372"/>
      <c r="ABF372"/>
      <c r="ABG372"/>
      <c r="ABH372"/>
      <c r="ABI372"/>
      <c r="ABJ372"/>
      <c r="ABK372"/>
      <c r="ABL372"/>
      <c r="ABM372"/>
      <c r="ABN372"/>
      <c r="ABO372"/>
      <c r="ABP372"/>
      <c r="ABQ372"/>
      <c r="ABR372"/>
      <c r="ABS372"/>
      <c r="ABT372"/>
      <c r="ABU372"/>
      <c r="ABV372"/>
      <c r="ABW372"/>
      <c r="ABX372"/>
      <c r="ABY372"/>
      <c r="ABZ372"/>
      <c r="ACA372"/>
      <c r="ACB372"/>
      <c r="ACC372"/>
      <c r="ACD372"/>
      <c r="ACE372"/>
      <c r="ACF372"/>
      <c r="ACG372"/>
      <c r="ACH372"/>
      <c r="ACI372"/>
      <c r="ACJ372"/>
      <c r="ACK372"/>
      <c r="ACL372"/>
      <c r="ACM372"/>
      <c r="ACN372"/>
      <c r="ACO372"/>
      <c r="ACP372"/>
      <c r="ACQ372"/>
      <c r="ACR372"/>
      <c r="ACS372"/>
      <c r="ACT372"/>
      <c r="ACU372"/>
      <c r="ACV372"/>
      <c r="ACW372"/>
      <c r="ACX372"/>
      <c r="ACY372"/>
      <c r="ACZ372"/>
      <c r="ADA372"/>
      <c r="ADB372"/>
      <c r="ADC372"/>
      <c r="ADD372"/>
      <c r="ADE372"/>
      <c r="ADF372"/>
      <c r="ADG372"/>
      <c r="ADH372"/>
      <c r="ADI372"/>
      <c r="ADJ372"/>
      <c r="ADK372"/>
      <c r="ADL372"/>
      <c r="ADM372"/>
      <c r="ADN372"/>
      <c r="ADO372"/>
      <c r="ADP372"/>
      <c r="ADQ372"/>
      <c r="ADR372"/>
      <c r="ADS372"/>
      <c r="ADT372"/>
      <c r="ADU372"/>
      <c r="ADV372"/>
      <c r="ADW372"/>
      <c r="ADX372"/>
      <c r="ADY372"/>
      <c r="ADZ372"/>
      <c r="AEA372"/>
      <c r="AEB372"/>
      <c r="AEC372"/>
      <c r="AED372"/>
      <c r="AEE372"/>
      <c r="AEF372"/>
      <c r="AEG372"/>
      <c r="AEH372"/>
      <c r="AEI372"/>
      <c r="AEJ372"/>
      <c r="AEK372"/>
      <c r="AEL372"/>
      <c r="AEM372"/>
      <c r="AEN372"/>
      <c r="AEO372"/>
      <c r="AEP372"/>
      <c r="AEQ372"/>
      <c r="AER372"/>
      <c r="AES372"/>
      <c r="AET372"/>
      <c r="AEU372"/>
      <c r="AEV372"/>
      <c r="AEW372"/>
      <c r="AEX372"/>
      <c r="AEY372"/>
      <c r="AEZ372"/>
      <c r="AFA372"/>
      <c r="AFB372"/>
      <c r="AFC372"/>
      <c r="AFD372"/>
      <c r="AFE372"/>
      <c r="AFF372"/>
      <c r="AFG372"/>
      <c r="AFH372"/>
      <c r="AFI372"/>
      <c r="AFJ372"/>
      <c r="AFK372"/>
      <c r="AFL372"/>
      <c r="AFM372"/>
      <c r="AFN372"/>
      <c r="AFO372"/>
      <c r="AFP372"/>
      <c r="AFQ372"/>
      <c r="AFR372"/>
      <c r="AFS372"/>
      <c r="AFT372"/>
      <c r="AFU372"/>
      <c r="AFV372"/>
      <c r="AFW372"/>
      <c r="AFX372"/>
      <c r="AFY372"/>
      <c r="AFZ372"/>
      <c r="AGA372"/>
      <c r="AGB372"/>
      <c r="AGC372"/>
      <c r="AGD372"/>
      <c r="AGE372"/>
      <c r="AGF372"/>
      <c r="AGG372"/>
      <c r="AGH372"/>
      <c r="AGI372"/>
      <c r="AGJ372"/>
      <c r="AGK372"/>
      <c r="AGL372"/>
      <c r="AGM372"/>
      <c r="AGN372"/>
      <c r="AGO372"/>
      <c r="AGP372"/>
      <c r="AGQ372"/>
      <c r="AGR372"/>
      <c r="AGS372"/>
      <c r="AGT372"/>
      <c r="AGU372"/>
      <c r="AGV372"/>
      <c r="AGW372"/>
      <c r="AGX372"/>
      <c r="AGY372"/>
      <c r="AGZ372"/>
      <c r="AHA372"/>
      <c r="AHB372"/>
      <c r="AHC372"/>
      <c r="AHD372"/>
      <c r="AHE372"/>
      <c r="AHF372"/>
      <c r="AHG372"/>
      <c r="AHH372"/>
      <c r="AHI372"/>
      <c r="AHJ372"/>
      <c r="AHK372"/>
      <c r="AHL372"/>
      <c r="AHM372"/>
      <c r="AHN372"/>
      <c r="AHO372"/>
      <c r="AHP372"/>
      <c r="AHQ372"/>
      <c r="AHR372"/>
      <c r="AHS372"/>
      <c r="AHT372"/>
      <c r="AHU372"/>
      <c r="AHV372"/>
      <c r="AHW372"/>
      <c r="AHX372"/>
      <c r="AHY372"/>
      <c r="AHZ372"/>
      <c r="AIA372"/>
      <c r="AIB372"/>
      <c r="AIC372"/>
      <c r="AID372"/>
      <c r="AIE372"/>
      <c r="AIF372"/>
      <c r="AIG372"/>
      <c r="AIH372"/>
      <c r="AII372"/>
      <c r="AIJ372"/>
      <c r="AIK372"/>
      <c r="AIL372"/>
      <c r="AIM372"/>
      <c r="AIN372"/>
      <c r="AIO372"/>
      <c r="AIP372"/>
      <c r="AIQ372"/>
      <c r="AIR372"/>
      <c r="AIS372"/>
      <c r="AIT372"/>
      <c r="AIU372"/>
      <c r="AIV372"/>
      <c r="AIW372"/>
      <c r="AIX372"/>
      <c r="AIY372"/>
      <c r="AIZ372"/>
      <c r="AJA372"/>
      <c r="AJB372"/>
      <c r="AJC372"/>
      <c r="AJD372"/>
      <c r="AJE372"/>
      <c r="AJF372"/>
      <c r="AJG372"/>
      <c r="AJH372"/>
      <c r="AJI372"/>
      <c r="AJJ372"/>
      <c r="AJK372"/>
      <c r="AJL372"/>
      <c r="AJM372"/>
      <c r="AJN372"/>
      <c r="AJO372"/>
      <c r="AJP372"/>
      <c r="AJQ372"/>
      <c r="AJR372"/>
      <c r="AJS372"/>
      <c r="AJT372"/>
      <c r="AJU372"/>
      <c r="AJV372"/>
      <c r="AJW372"/>
      <c r="AJX372"/>
      <c r="AJY372"/>
      <c r="AJZ372"/>
      <c r="AKA372"/>
      <c r="AKB372"/>
      <c r="AKC372"/>
      <c r="AKD372"/>
      <c r="AKE372"/>
      <c r="AKF372"/>
      <c r="AKG372"/>
      <c r="AKH372"/>
      <c r="AKI372"/>
      <c r="AKJ372"/>
      <c r="AKK372"/>
      <c r="AKL372"/>
      <c r="AKM372"/>
      <c r="AKN372"/>
      <c r="AKO372"/>
      <c r="AKP372"/>
      <c r="AKQ372"/>
      <c r="AKR372"/>
      <c r="AKS372"/>
      <c r="AKT372"/>
      <c r="AKU372"/>
      <c r="AKV372"/>
      <c r="AKW372"/>
      <c r="AKX372"/>
      <c r="AKY372"/>
      <c r="AKZ372"/>
      <c r="ALA372"/>
      <c r="ALB372"/>
      <c r="ALC372"/>
      <c r="ALD372"/>
      <c r="ALE372"/>
      <c r="ALF372"/>
      <c r="ALG372"/>
      <c r="ALH372"/>
      <c r="ALI372"/>
      <c r="ALJ372"/>
      <c r="ALK372"/>
      <c r="ALL372"/>
      <c r="ALM372"/>
      <c r="ALN372"/>
      <c r="ALO372"/>
      <c r="ALP372"/>
      <c r="ALQ372"/>
      <c r="ALR372"/>
      <c r="ALS372"/>
      <c r="ALT372"/>
      <c r="ALU372"/>
      <c r="ALV372"/>
      <c r="ALW372"/>
      <c r="ALX372"/>
      <c r="ALY372"/>
      <c r="ALZ372"/>
      <c r="AMA372"/>
      <c r="AMB372"/>
      <c r="AMC372"/>
      <c r="AMD372"/>
      <c r="AME372"/>
      <c r="AMF372"/>
      <c r="AMG372"/>
      <c r="AMH372"/>
      <c r="AMI372"/>
      <c r="AMJ372"/>
    </row>
    <row r="373" spans="1:1024" ht="27.6">
      <c r="A373" s="16" t="s">
        <v>363</v>
      </c>
      <c r="B373" s="16">
        <v>244036</v>
      </c>
      <c r="C373" s="16" t="s">
        <v>831</v>
      </c>
      <c r="D373" s="29"/>
      <c r="E373" s="1">
        <v>0</v>
      </c>
      <c r="F373" s="16">
        <v>0</v>
      </c>
      <c r="G373" s="30">
        <f t="shared" si="18"/>
        <v>-2.6666666666666665</v>
      </c>
      <c r="H373" s="16">
        <f t="shared" si="20"/>
        <v>2.6666666666666665</v>
      </c>
      <c r="I373">
        <f t="shared" si="19"/>
        <v>2.6666666666666665</v>
      </c>
      <c r="J373">
        <f>SUMIF(Oeffentlichkeitsarbeit!$D:$D,$B373,Oeffentlichkeitsarbeit!$F:$F)</f>
        <v>0</v>
      </c>
      <c r="K373">
        <f>COUNTIF(Fairteiler!$D:$D,$B373)*1/2</f>
        <v>0</v>
      </c>
      <c r="L373">
        <f>COUNTIF('NP-Betrieb'!D:D,$B373)*1/3</f>
        <v>2.6666666666666665</v>
      </c>
      <c r="M373">
        <f>COUNTIF(Fairteilungen!$D:$D,$B373)*3/4</f>
        <v>0</v>
      </c>
      <c r="N373">
        <f>COUNTIF(Anlieferung!D:D,$B373)*1/2</f>
        <v>0</v>
      </c>
      <c r="O373">
        <f>COUNTIF(Probeabholungen!B:B,$B373)*1/3</f>
        <v>0</v>
      </c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  <c r="BJ373" s="11"/>
      <c r="BK373" s="11"/>
      <c r="BL373" s="11"/>
      <c r="BM373" s="11"/>
      <c r="BN373" s="11"/>
      <c r="BO373" s="11"/>
      <c r="BP373" s="11"/>
      <c r="BQ373" s="11"/>
      <c r="BR373" s="11"/>
      <c r="BS373" s="11"/>
      <c r="BT373" s="11"/>
      <c r="BU373" s="11"/>
      <c r="BV373" s="11"/>
      <c r="BW373" s="11"/>
      <c r="BX373" s="11"/>
      <c r="BY373" s="11"/>
      <c r="BZ373" s="11"/>
      <c r="CA373" s="11"/>
      <c r="CB373" s="11"/>
      <c r="CC373" s="11"/>
      <c r="CD373" s="11"/>
      <c r="CE373" s="11"/>
      <c r="CF373" s="11"/>
      <c r="CG373" s="11"/>
      <c r="CH373" s="11"/>
      <c r="CI373" s="11"/>
      <c r="CJ373" s="11"/>
      <c r="CK373" s="11"/>
      <c r="CL373" s="11"/>
      <c r="CM373" s="11"/>
      <c r="CN373" s="11"/>
      <c r="CO373" s="11"/>
      <c r="CP373" s="11"/>
      <c r="CQ373" s="11"/>
      <c r="CR373" s="11"/>
      <c r="CS373" s="11"/>
      <c r="CT373" s="11"/>
      <c r="CU373" s="11"/>
      <c r="CV373" s="11"/>
      <c r="CW373" s="11"/>
      <c r="CX373" s="11"/>
      <c r="CY373" s="11"/>
      <c r="CZ373" s="11"/>
      <c r="DA373" s="11"/>
      <c r="DB373" s="11"/>
      <c r="DC373" s="11"/>
      <c r="DD373" s="11"/>
      <c r="DE373" s="11"/>
      <c r="DF373" s="11"/>
      <c r="DG373" s="11"/>
      <c r="DH373" s="11"/>
      <c r="DI373" s="11"/>
      <c r="DJ373" s="11"/>
      <c r="DK373" s="11"/>
      <c r="DL373" s="11"/>
      <c r="DM373" s="11"/>
      <c r="DN373" s="11"/>
      <c r="DO373" s="11"/>
      <c r="DP373" s="11"/>
      <c r="DQ373" s="11"/>
      <c r="DR373" s="11"/>
      <c r="DS373" s="11"/>
      <c r="DT373" s="11"/>
      <c r="DU373" s="11"/>
      <c r="DV373" s="11"/>
      <c r="DW373" s="11"/>
      <c r="DX373" s="11"/>
      <c r="DY373" s="11"/>
      <c r="DZ373" s="11"/>
      <c r="EA373" s="11"/>
      <c r="EB373" s="11"/>
      <c r="EC373" s="11"/>
      <c r="ED373" s="11"/>
      <c r="EE373" s="11"/>
      <c r="EF373" s="11"/>
      <c r="EG373" s="11"/>
      <c r="EH373" s="11"/>
      <c r="EI373" s="11"/>
      <c r="EJ373" s="11"/>
      <c r="EK373" s="11"/>
      <c r="EL373" s="11"/>
      <c r="EM373" s="11"/>
      <c r="EN373" s="11"/>
      <c r="EO373" s="11"/>
      <c r="EP373" s="11"/>
      <c r="EQ373" s="11"/>
      <c r="ER373" s="11"/>
      <c r="ES373" s="11"/>
      <c r="ET373" s="11"/>
      <c r="EU373" s="11"/>
      <c r="EV373" s="11"/>
      <c r="EW373" s="11"/>
      <c r="EX373" s="11"/>
      <c r="EY373" s="11"/>
      <c r="EZ373" s="11"/>
      <c r="FA373" s="11"/>
      <c r="FB373" s="11"/>
      <c r="FC373" s="11"/>
      <c r="FD373" s="11"/>
      <c r="FE373" s="11"/>
      <c r="FF373" s="11"/>
      <c r="FG373" s="11"/>
      <c r="FH373" s="11"/>
      <c r="FI373" s="11"/>
      <c r="FJ373" s="11"/>
      <c r="FK373" s="11"/>
      <c r="FL373" s="11"/>
      <c r="FM373" s="11"/>
      <c r="FN373" s="11"/>
      <c r="FO373" s="11"/>
      <c r="FP373" s="11"/>
      <c r="FQ373" s="11"/>
      <c r="FR373" s="11"/>
      <c r="FS373" s="11"/>
      <c r="FT373" s="11"/>
      <c r="FU373" s="11"/>
      <c r="FV373" s="11"/>
      <c r="FW373" s="11"/>
      <c r="FX373" s="11"/>
      <c r="FY373" s="11"/>
      <c r="FZ373" s="11"/>
      <c r="GA373" s="11"/>
      <c r="GB373" s="11"/>
      <c r="GC373" s="11"/>
      <c r="GD373" s="11"/>
      <c r="GE373" s="11"/>
      <c r="GF373" s="11"/>
      <c r="GG373" s="11"/>
      <c r="GH373" s="11"/>
      <c r="GI373" s="11"/>
      <c r="GJ373" s="11"/>
      <c r="GK373" s="11"/>
      <c r="GL373" s="11"/>
      <c r="GM373" s="11"/>
      <c r="GN373" s="11"/>
      <c r="GO373" s="11"/>
      <c r="GP373" s="11"/>
      <c r="GQ373" s="11"/>
      <c r="GR373" s="11"/>
      <c r="GS373" s="11"/>
      <c r="GT373" s="11"/>
      <c r="GU373" s="11"/>
      <c r="GV373" s="11"/>
      <c r="GW373" s="11"/>
      <c r="GX373" s="11"/>
      <c r="GY373" s="11"/>
      <c r="GZ373" s="11"/>
      <c r="HA373" s="11"/>
      <c r="HB373" s="11"/>
      <c r="HC373" s="11"/>
      <c r="HD373" s="11"/>
      <c r="HE373" s="11"/>
      <c r="HF373" s="11"/>
      <c r="HG373" s="11"/>
      <c r="HH373" s="11"/>
      <c r="HI373" s="11"/>
      <c r="HJ373" s="11"/>
      <c r="HK373" s="11"/>
      <c r="HL373" s="11"/>
      <c r="HM373" s="11"/>
      <c r="HN373" s="11"/>
      <c r="HO373" s="11"/>
      <c r="HP373" s="11"/>
      <c r="HQ373" s="11"/>
      <c r="HR373" s="11"/>
      <c r="HS373" s="11"/>
      <c r="HT373" s="11"/>
      <c r="HU373" s="11"/>
      <c r="HV373" s="11"/>
      <c r="HW373" s="11"/>
      <c r="HX373" s="11"/>
      <c r="HY373" s="11"/>
      <c r="HZ373" s="11"/>
      <c r="IA373" s="11"/>
      <c r="IB373" s="11"/>
      <c r="IC373" s="11"/>
      <c r="ID373" s="11"/>
      <c r="IE373" s="11"/>
      <c r="IF373" s="11"/>
      <c r="IG373" s="11"/>
      <c r="IH373" s="11"/>
      <c r="II373" s="11"/>
      <c r="IJ373" s="11"/>
      <c r="IK373" s="11"/>
      <c r="IL373" s="11"/>
      <c r="IM373" s="11"/>
      <c r="IN373" s="11"/>
      <c r="IO373" s="11"/>
      <c r="IP373" s="11"/>
      <c r="IQ373" s="11"/>
      <c r="IR373" s="11"/>
      <c r="IS373" s="11"/>
      <c r="IT373" s="11"/>
      <c r="IU373" s="11"/>
      <c r="IV373" s="11"/>
      <c r="IW373" s="11"/>
      <c r="IX373" s="11"/>
      <c r="IY373" s="11"/>
      <c r="IZ373" s="11"/>
      <c r="JA373" s="11"/>
      <c r="JB373" s="11"/>
      <c r="JC373" s="11"/>
      <c r="JD373" s="11"/>
      <c r="JE373" s="11"/>
      <c r="JF373" s="11"/>
      <c r="JG373" s="11"/>
      <c r="JH373" s="11"/>
      <c r="JI373" s="11"/>
      <c r="JJ373" s="11"/>
      <c r="JK373" s="11"/>
      <c r="JL373" s="11"/>
      <c r="JM373" s="11"/>
      <c r="JN373" s="11"/>
      <c r="JO373" s="11"/>
      <c r="JP373" s="11"/>
      <c r="JQ373" s="11"/>
      <c r="JR373" s="11"/>
      <c r="JS373" s="11"/>
      <c r="JT373" s="11"/>
      <c r="JU373" s="11"/>
      <c r="JV373" s="11"/>
      <c r="JW373" s="11"/>
      <c r="JX373" s="11"/>
      <c r="JY373" s="11"/>
      <c r="JZ373" s="11"/>
      <c r="KA373" s="11"/>
      <c r="KB373" s="11"/>
      <c r="KC373" s="11"/>
      <c r="KD373" s="11"/>
      <c r="KE373" s="11"/>
      <c r="KF373" s="11"/>
      <c r="KG373" s="11"/>
      <c r="KH373" s="11"/>
      <c r="KI373" s="11"/>
      <c r="KJ373" s="11"/>
      <c r="KK373" s="11"/>
      <c r="KL373" s="11"/>
      <c r="KM373" s="11"/>
      <c r="KN373" s="11"/>
      <c r="KO373" s="11"/>
      <c r="KP373" s="11"/>
      <c r="KQ373" s="11"/>
      <c r="KR373" s="11"/>
      <c r="KS373" s="11"/>
      <c r="KT373" s="11"/>
      <c r="KU373" s="11"/>
      <c r="KV373" s="11"/>
      <c r="KW373" s="11"/>
      <c r="KX373" s="11"/>
      <c r="KY373" s="11"/>
      <c r="KZ373" s="11"/>
      <c r="LA373" s="11"/>
      <c r="LB373" s="11"/>
      <c r="LC373" s="11"/>
      <c r="LD373" s="11"/>
      <c r="LE373" s="11"/>
      <c r="LF373" s="11"/>
      <c r="LG373" s="11"/>
      <c r="LH373" s="11"/>
      <c r="LI373" s="11"/>
      <c r="LJ373" s="11"/>
      <c r="LK373" s="11"/>
      <c r="LL373" s="11"/>
      <c r="LM373" s="11"/>
      <c r="LN373" s="11"/>
      <c r="LO373" s="11"/>
      <c r="LP373" s="11"/>
      <c r="LQ373" s="11"/>
      <c r="LR373" s="11"/>
      <c r="LS373" s="11"/>
      <c r="LT373" s="11"/>
      <c r="LU373" s="11"/>
      <c r="LV373" s="11"/>
      <c r="LW373" s="11"/>
      <c r="LX373" s="11"/>
      <c r="LY373" s="11"/>
      <c r="LZ373" s="11"/>
      <c r="MA373" s="11"/>
      <c r="MB373" s="11"/>
      <c r="MC373" s="11"/>
      <c r="MD373" s="11"/>
      <c r="ME373" s="11"/>
      <c r="MF373" s="11"/>
      <c r="MG373" s="11"/>
      <c r="MH373" s="11"/>
      <c r="MI373" s="11"/>
      <c r="MJ373" s="11"/>
      <c r="MK373" s="11"/>
      <c r="ML373" s="11"/>
      <c r="MM373" s="11"/>
      <c r="MN373" s="11"/>
      <c r="MO373" s="11"/>
      <c r="MP373" s="11"/>
      <c r="MQ373" s="11"/>
      <c r="MR373" s="11"/>
      <c r="MS373" s="11"/>
      <c r="MT373" s="11"/>
      <c r="MU373" s="11"/>
      <c r="MV373" s="11"/>
      <c r="MW373" s="11"/>
      <c r="MX373" s="11"/>
      <c r="MY373" s="11"/>
      <c r="MZ373" s="11"/>
      <c r="NA373" s="11"/>
      <c r="NB373" s="11"/>
      <c r="NC373" s="11"/>
      <c r="ND373" s="11"/>
      <c r="NE373" s="11"/>
      <c r="NF373" s="11"/>
      <c r="NG373" s="11"/>
      <c r="NH373" s="11"/>
      <c r="NI373" s="11"/>
      <c r="NJ373" s="11"/>
      <c r="NK373" s="11"/>
      <c r="NL373" s="11"/>
      <c r="NM373" s="11"/>
      <c r="NN373" s="11"/>
      <c r="NO373" s="11"/>
      <c r="NP373" s="11"/>
      <c r="NQ373" s="11"/>
      <c r="NR373" s="11"/>
      <c r="NS373" s="11"/>
      <c r="NT373" s="11"/>
      <c r="NU373" s="11"/>
      <c r="NV373" s="11"/>
      <c r="NW373" s="11"/>
      <c r="NX373" s="11"/>
      <c r="NY373" s="11"/>
      <c r="NZ373" s="11"/>
      <c r="OA373" s="11"/>
      <c r="OB373" s="11"/>
      <c r="OC373" s="11"/>
      <c r="OD373" s="11"/>
      <c r="OE373" s="11"/>
      <c r="OF373" s="11"/>
      <c r="OG373" s="11"/>
      <c r="OH373" s="11"/>
      <c r="OI373" s="11"/>
      <c r="OJ373" s="11"/>
      <c r="OK373" s="11"/>
      <c r="OL373" s="11"/>
      <c r="OM373" s="11"/>
      <c r="ON373" s="11"/>
      <c r="OO373" s="11"/>
      <c r="OP373" s="11"/>
      <c r="OQ373" s="11"/>
      <c r="OR373" s="11"/>
      <c r="OS373" s="11"/>
      <c r="OT373" s="11"/>
      <c r="OU373" s="11"/>
      <c r="OV373" s="11"/>
      <c r="OW373" s="11"/>
      <c r="OX373" s="11"/>
      <c r="OY373" s="11"/>
      <c r="OZ373" s="11"/>
      <c r="PA373" s="11"/>
      <c r="PB373" s="11"/>
      <c r="PC373" s="11"/>
      <c r="PD373" s="11"/>
      <c r="PE373" s="11"/>
      <c r="PF373" s="11"/>
      <c r="PG373" s="11"/>
      <c r="PH373" s="11"/>
      <c r="PI373" s="11"/>
      <c r="PJ373" s="11"/>
      <c r="PK373" s="11"/>
      <c r="PL373" s="11"/>
      <c r="PM373" s="11"/>
      <c r="PN373" s="11"/>
      <c r="PO373" s="11"/>
      <c r="PP373" s="11"/>
      <c r="PQ373" s="11"/>
      <c r="PR373" s="11"/>
      <c r="PS373" s="11"/>
      <c r="PT373" s="11"/>
      <c r="PU373" s="11"/>
      <c r="PV373" s="11"/>
      <c r="PW373" s="11"/>
      <c r="PX373" s="11"/>
      <c r="PY373" s="11"/>
      <c r="PZ373" s="11"/>
      <c r="QA373" s="11"/>
      <c r="QB373" s="11"/>
      <c r="QC373" s="11"/>
      <c r="QD373" s="11"/>
      <c r="QE373" s="11"/>
      <c r="QF373" s="11"/>
      <c r="QG373" s="11"/>
      <c r="QH373" s="11"/>
      <c r="QI373" s="11"/>
      <c r="QJ373" s="11"/>
      <c r="QK373" s="11"/>
      <c r="QL373" s="11"/>
      <c r="QM373" s="11"/>
      <c r="QN373" s="11"/>
      <c r="QO373" s="11"/>
      <c r="QP373" s="11"/>
      <c r="QQ373" s="11"/>
      <c r="QR373" s="11"/>
      <c r="QS373" s="11"/>
      <c r="QT373" s="11"/>
      <c r="QU373" s="11"/>
      <c r="QV373" s="11"/>
      <c r="QW373" s="11"/>
      <c r="QX373" s="11"/>
      <c r="QY373" s="11"/>
      <c r="QZ373" s="11"/>
      <c r="RA373" s="11"/>
      <c r="RB373" s="11"/>
      <c r="RC373" s="11"/>
      <c r="RD373" s="11"/>
      <c r="RE373" s="11"/>
      <c r="RF373" s="11"/>
      <c r="RG373" s="11"/>
      <c r="RH373" s="11"/>
      <c r="RI373" s="11"/>
      <c r="RJ373" s="11"/>
      <c r="RK373" s="11"/>
      <c r="RL373" s="11"/>
      <c r="RM373" s="11"/>
      <c r="RN373" s="11"/>
      <c r="RO373" s="11"/>
      <c r="RP373" s="11"/>
      <c r="RQ373" s="11"/>
      <c r="RR373" s="11"/>
      <c r="RS373" s="11"/>
      <c r="RT373" s="11"/>
      <c r="RU373" s="11"/>
      <c r="RV373" s="11"/>
      <c r="RW373" s="11"/>
      <c r="RX373" s="11"/>
      <c r="RY373" s="11"/>
      <c r="RZ373" s="11"/>
      <c r="SA373" s="11"/>
      <c r="SB373" s="11"/>
      <c r="SC373" s="11"/>
      <c r="SD373" s="11"/>
      <c r="SE373" s="11"/>
      <c r="SF373" s="11"/>
      <c r="SG373" s="11"/>
      <c r="SH373" s="11"/>
      <c r="SI373" s="11"/>
      <c r="SJ373" s="11"/>
      <c r="SK373" s="11"/>
      <c r="SL373" s="11"/>
      <c r="SM373" s="11"/>
      <c r="SN373" s="11"/>
      <c r="SO373" s="11"/>
      <c r="SP373" s="11"/>
      <c r="SQ373" s="11"/>
      <c r="SR373" s="11"/>
      <c r="SS373" s="11"/>
      <c r="ST373" s="11"/>
      <c r="SU373" s="11"/>
      <c r="SV373" s="11"/>
      <c r="SW373" s="11"/>
      <c r="SX373" s="11"/>
      <c r="SY373" s="11"/>
      <c r="SZ373" s="11"/>
      <c r="TA373" s="11"/>
      <c r="TB373" s="11"/>
      <c r="TC373" s="11"/>
      <c r="TD373" s="11"/>
      <c r="TE373" s="11"/>
      <c r="TF373" s="11"/>
      <c r="TG373" s="11"/>
      <c r="TH373" s="11"/>
      <c r="TI373" s="11"/>
      <c r="TJ373" s="11"/>
      <c r="TK373" s="11"/>
      <c r="TL373" s="11"/>
      <c r="TM373" s="11"/>
      <c r="TN373" s="11"/>
      <c r="TO373" s="11"/>
      <c r="TP373" s="11"/>
      <c r="TQ373" s="11"/>
      <c r="TR373" s="11"/>
      <c r="TS373" s="11"/>
      <c r="TT373" s="11"/>
      <c r="TU373" s="11"/>
      <c r="TV373" s="11"/>
      <c r="TW373" s="11"/>
      <c r="TX373" s="11"/>
      <c r="TY373" s="11"/>
      <c r="TZ373" s="11"/>
      <c r="UA373" s="11"/>
      <c r="UB373" s="11"/>
      <c r="UC373" s="11"/>
      <c r="UD373" s="11"/>
      <c r="UE373" s="11"/>
      <c r="UF373" s="11"/>
      <c r="UG373" s="11"/>
      <c r="UH373" s="11"/>
      <c r="UI373" s="11"/>
      <c r="UJ373" s="11"/>
      <c r="UK373" s="11"/>
      <c r="UL373" s="11"/>
      <c r="UM373" s="11"/>
      <c r="UN373" s="11"/>
      <c r="UO373" s="11"/>
      <c r="UP373" s="11"/>
      <c r="UQ373" s="11"/>
      <c r="UR373" s="11"/>
      <c r="US373" s="11"/>
      <c r="UT373" s="11"/>
      <c r="UU373" s="11"/>
      <c r="UV373" s="11"/>
      <c r="UW373" s="11"/>
      <c r="UX373" s="11"/>
      <c r="UY373" s="11"/>
      <c r="UZ373" s="11"/>
      <c r="VA373" s="11"/>
      <c r="VB373" s="11"/>
      <c r="VC373" s="11"/>
      <c r="VD373" s="11"/>
      <c r="VE373" s="11"/>
      <c r="VF373" s="11"/>
      <c r="VG373" s="11"/>
      <c r="VH373" s="11"/>
      <c r="VI373" s="11"/>
      <c r="VJ373" s="11"/>
      <c r="VK373" s="11"/>
      <c r="VL373" s="11"/>
      <c r="VM373" s="11"/>
      <c r="VN373" s="11"/>
      <c r="VO373" s="11"/>
      <c r="VP373" s="11"/>
      <c r="VQ373" s="11"/>
      <c r="VR373" s="11"/>
      <c r="VS373" s="11"/>
      <c r="VT373" s="11"/>
      <c r="VU373" s="11"/>
      <c r="VV373" s="11"/>
      <c r="VW373" s="11"/>
      <c r="VX373" s="11"/>
      <c r="VY373" s="11"/>
      <c r="VZ373" s="11"/>
      <c r="WA373" s="11"/>
      <c r="WB373" s="11"/>
      <c r="WC373" s="11"/>
      <c r="WD373" s="11"/>
      <c r="WE373" s="11"/>
      <c r="WF373" s="11"/>
      <c r="WG373" s="11"/>
      <c r="WH373" s="11"/>
      <c r="WI373" s="11"/>
      <c r="WJ373" s="11"/>
      <c r="WK373" s="11"/>
      <c r="WL373" s="11"/>
      <c r="WM373" s="11"/>
      <c r="WN373" s="11"/>
      <c r="WO373" s="11"/>
      <c r="WP373" s="11"/>
      <c r="WQ373" s="11"/>
      <c r="WR373" s="11"/>
      <c r="WS373" s="11"/>
      <c r="WT373" s="11"/>
      <c r="WU373" s="11"/>
      <c r="WV373" s="11"/>
      <c r="WW373" s="11"/>
      <c r="WX373" s="11"/>
      <c r="WY373" s="11"/>
      <c r="WZ373" s="11"/>
      <c r="XA373" s="11"/>
      <c r="XB373" s="11"/>
      <c r="XC373" s="11"/>
      <c r="XD373" s="11"/>
      <c r="XE373" s="11"/>
      <c r="XF373" s="11"/>
      <c r="XG373" s="11"/>
      <c r="XH373" s="11"/>
      <c r="XI373" s="11"/>
      <c r="XJ373" s="11"/>
      <c r="XK373" s="11"/>
      <c r="XL373" s="11"/>
      <c r="XM373" s="11"/>
      <c r="XN373" s="11"/>
      <c r="XO373" s="11"/>
      <c r="XP373" s="11"/>
      <c r="XQ373" s="11"/>
      <c r="XR373" s="11"/>
      <c r="XS373" s="11"/>
      <c r="XT373" s="11"/>
      <c r="XU373" s="11"/>
      <c r="XV373" s="11"/>
      <c r="XW373" s="11"/>
      <c r="XX373" s="11"/>
      <c r="XY373" s="11"/>
      <c r="XZ373" s="11"/>
      <c r="YA373" s="11"/>
      <c r="YB373" s="11"/>
      <c r="YC373" s="11"/>
      <c r="YD373" s="11"/>
      <c r="YE373" s="11"/>
      <c r="YF373" s="11"/>
      <c r="YG373" s="11"/>
      <c r="YH373" s="11"/>
      <c r="YI373" s="11"/>
      <c r="YJ373" s="11"/>
      <c r="YK373" s="11"/>
      <c r="YL373" s="11"/>
      <c r="YM373" s="11"/>
      <c r="YN373" s="11"/>
      <c r="YO373" s="11"/>
      <c r="YP373" s="11"/>
      <c r="YQ373" s="11"/>
      <c r="YR373" s="11"/>
      <c r="YS373" s="11"/>
      <c r="YT373" s="11"/>
      <c r="YU373" s="11"/>
      <c r="YV373" s="11"/>
      <c r="YW373" s="11"/>
      <c r="YX373" s="11"/>
      <c r="YY373" s="11"/>
      <c r="YZ373" s="11"/>
      <c r="ZA373" s="11"/>
      <c r="ZB373" s="11"/>
      <c r="ZC373" s="11"/>
      <c r="ZD373" s="11"/>
      <c r="ZE373" s="11"/>
      <c r="ZF373" s="11"/>
      <c r="ZG373" s="11"/>
      <c r="ZH373" s="11"/>
      <c r="ZI373" s="11"/>
      <c r="ZJ373" s="11"/>
      <c r="ZK373" s="11"/>
      <c r="ZL373" s="11"/>
      <c r="ZM373" s="11"/>
      <c r="ZN373" s="11"/>
      <c r="ZO373" s="11"/>
      <c r="ZP373" s="11"/>
      <c r="ZQ373" s="11"/>
      <c r="ZR373" s="11"/>
      <c r="ZS373" s="11"/>
      <c r="ZT373" s="11"/>
      <c r="ZU373" s="11"/>
      <c r="ZV373" s="11"/>
      <c r="ZW373" s="11"/>
      <c r="ZX373" s="11"/>
      <c r="ZY373" s="11"/>
      <c r="ZZ373" s="11"/>
      <c r="AAA373" s="11"/>
      <c r="AAB373" s="11"/>
      <c r="AAC373" s="11"/>
      <c r="AAD373" s="11"/>
      <c r="AAE373" s="11"/>
      <c r="AAF373" s="11"/>
      <c r="AAG373" s="11"/>
      <c r="AAH373" s="11"/>
      <c r="AAI373" s="11"/>
      <c r="AAJ373" s="11"/>
      <c r="AAK373" s="11"/>
      <c r="AAL373" s="11"/>
      <c r="AAM373" s="11"/>
      <c r="AAN373" s="11"/>
      <c r="AAO373" s="11"/>
      <c r="AAP373" s="11"/>
      <c r="AAQ373" s="11"/>
      <c r="AAR373" s="11"/>
      <c r="AAS373" s="11"/>
      <c r="AAT373" s="11"/>
      <c r="AAU373" s="11"/>
      <c r="AAV373" s="11"/>
      <c r="AAW373" s="11"/>
      <c r="AAX373" s="11"/>
      <c r="AAY373" s="11"/>
      <c r="AAZ373" s="11"/>
      <c r="ABA373" s="11"/>
      <c r="ABB373" s="11"/>
      <c r="ABC373" s="11"/>
      <c r="ABD373" s="11"/>
      <c r="ABE373" s="11"/>
      <c r="ABF373" s="11"/>
      <c r="ABG373" s="11"/>
      <c r="ABH373" s="11"/>
      <c r="ABI373" s="11"/>
      <c r="ABJ373" s="11"/>
      <c r="ABK373" s="11"/>
      <c r="ABL373" s="11"/>
      <c r="ABM373" s="11"/>
      <c r="ABN373" s="11"/>
      <c r="ABO373" s="11"/>
      <c r="ABP373" s="11"/>
      <c r="ABQ373" s="11"/>
      <c r="ABR373" s="11"/>
      <c r="ABS373" s="11"/>
      <c r="ABT373" s="11"/>
      <c r="ABU373" s="11"/>
      <c r="ABV373" s="11"/>
      <c r="ABW373" s="11"/>
      <c r="ABX373" s="11"/>
      <c r="ABY373" s="11"/>
      <c r="ABZ373" s="11"/>
      <c r="ACA373" s="11"/>
      <c r="ACB373" s="11"/>
      <c r="ACC373" s="11"/>
      <c r="ACD373" s="11"/>
      <c r="ACE373" s="11"/>
      <c r="ACF373" s="11"/>
      <c r="ACG373" s="11"/>
      <c r="ACH373" s="11"/>
      <c r="ACI373" s="11"/>
      <c r="ACJ373" s="11"/>
      <c r="ACK373" s="11"/>
      <c r="ACL373" s="11"/>
      <c r="ACM373" s="11"/>
      <c r="ACN373" s="11"/>
      <c r="ACO373" s="11"/>
      <c r="ACP373" s="11"/>
      <c r="ACQ373" s="11"/>
      <c r="ACR373" s="11"/>
      <c r="ACS373" s="11"/>
      <c r="ACT373" s="11"/>
      <c r="ACU373" s="11"/>
      <c r="ACV373" s="11"/>
      <c r="ACW373" s="11"/>
      <c r="ACX373" s="11"/>
      <c r="ACY373" s="11"/>
      <c r="ACZ373" s="11"/>
      <c r="ADA373" s="11"/>
      <c r="ADB373" s="11"/>
      <c r="ADC373" s="11"/>
      <c r="ADD373" s="11"/>
      <c r="ADE373" s="11"/>
      <c r="ADF373" s="11"/>
      <c r="ADG373" s="11"/>
      <c r="ADH373" s="11"/>
      <c r="ADI373" s="11"/>
      <c r="ADJ373" s="11"/>
      <c r="ADK373" s="11"/>
      <c r="ADL373" s="11"/>
      <c r="ADM373" s="11"/>
      <c r="ADN373" s="11"/>
      <c r="ADO373" s="11"/>
      <c r="ADP373" s="11"/>
      <c r="ADQ373" s="11"/>
      <c r="ADR373" s="11"/>
      <c r="ADS373" s="11"/>
      <c r="ADT373" s="11"/>
      <c r="ADU373" s="11"/>
      <c r="ADV373" s="11"/>
      <c r="ADW373" s="11"/>
      <c r="ADX373" s="11"/>
      <c r="ADY373" s="11"/>
      <c r="ADZ373" s="11"/>
      <c r="AEA373" s="11"/>
      <c r="AEB373" s="11"/>
      <c r="AEC373" s="11"/>
      <c r="AED373" s="11"/>
      <c r="AEE373" s="11"/>
      <c r="AEF373" s="11"/>
      <c r="AEG373" s="11"/>
      <c r="AEH373" s="11"/>
      <c r="AEI373" s="11"/>
      <c r="AEJ373" s="11"/>
      <c r="AEK373" s="11"/>
      <c r="AEL373" s="11"/>
      <c r="AEM373" s="11"/>
      <c r="AEN373" s="11"/>
      <c r="AEO373" s="11"/>
      <c r="AEP373" s="11"/>
      <c r="AEQ373" s="11"/>
      <c r="AER373" s="11"/>
      <c r="AES373" s="11"/>
      <c r="AET373" s="11"/>
      <c r="AEU373" s="11"/>
      <c r="AEV373" s="11"/>
      <c r="AEW373" s="11"/>
      <c r="AEX373" s="11"/>
      <c r="AEY373" s="11"/>
      <c r="AEZ373" s="11"/>
      <c r="AFA373" s="11"/>
      <c r="AFB373" s="11"/>
      <c r="AFC373" s="11"/>
      <c r="AFD373" s="11"/>
      <c r="AFE373" s="11"/>
      <c r="AFF373" s="11"/>
      <c r="AFG373" s="11"/>
      <c r="AFH373" s="11"/>
      <c r="AFI373" s="11"/>
      <c r="AFJ373" s="11"/>
      <c r="AFK373" s="11"/>
      <c r="AFL373" s="11"/>
      <c r="AFM373" s="11"/>
      <c r="AFN373" s="11"/>
      <c r="AFO373" s="11"/>
      <c r="AFP373" s="11"/>
      <c r="AFQ373" s="11"/>
      <c r="AFR373" s="11"/>
      <c r="AFS373" s="11"/>
      <c r="AFT373" s="11"/>
      <c r="AFU373" s="11"/>
      <c r="AFV373" s="11"/>
      <c r="AFW373" s="11"/>
      <c r="AFX373" s="11"/>
      <c r="AFY373" s="11"/>
      <c r="AFZ373" s="11"/>
      <c r="AGA373" s="11"/>
      <c r="AGB373" s="11"/>
      <c r="AGC373" s="11"/>
      <c r="AGD373" s="11"/>
      <c r="AGE373" s="11"/>
      <c r="AGF373" s="11"/>
      <c r="AGG373" s="11"/>
      <c r="AGH373" s="11"/>
      <c r="AGI373" s="11"/>
      <c r="AGJ373" s="11"/>
      <c r="AGK373" s="11"/>
      <c r="AGL373" s="11"/>
      <c r="AGM373" s="11"/>
      <c r="AGN373" s="11"/>
      <c r="AGO373" s="11"/>
      <c r="AGP373" s="11"/>
      <c r="AGQ373" s="11"/>
      <c r="AGR373" s="11"/>
      <c r="AGS373" s="11"/>
      <c r="AGT373" s="11"/>
      <c r="AGU373" s="11"/>
      <c r="AGV373" s="11"/>
      <c r="AGW373" s="11"/>
      <c r="AGX373" s="11"/>
      <c r="AGY373" s="11"/>
      <c r="AGZ373" s="11"/>
      <c r="AHA373" s="11"/>
      <c r="AHB373" s="11"/>
      <c r="AHC373" s="11"/>
      <c r="AHD373" s="11"/>
      <c r="AHE373" s="11"/>
      <c r="AHF373" s="11"/>
      <c r="AHG373" s="11"/>
      <c r="AHH373" s="11"/>
      <c r="AHI373" s="11"/>
      <c r="AHJ373" s="11"/>
      <c r="AHK373" s="11"/>
      <c r="AHL373" s="11"/>
      <c r="AHM373" s="11"/>
      <c r="AHN373" s="11"/>
      <c r="AHO373" s="11"/>
      <c r="AHP373" s="11"/>
      <c r="AHQ373" s="11"/>
      <c r="AHR373" s="11"/>
      <c r="AHS373" s="11"/>
      <c r="AHT373" s="11"/>
      <c r="AHU373" s="11"/>
      <c r="AHV373" s="11"/>
      <c r="AHW373" s="11"/>
      <c r="AHX373" s="11"/>
      <c r="AHY373" s="11"/>
      <c r="AHZ373" s="11"/>
      <c r="AIA373" s="11"/>
      <c r="AIB373" s="11"/>
      <c r="AIC373" s="11"/>
      <c r="AID373" s="11"/>
      <c r="AIE373" s="11"/>
      <c r="AIF373" s="11"/>
      <c r="AIG373" s="11"/>
      <c r="AIH373" s="11"/>
      <c r="AII373" s="11"/>
      <c r="AIJ373" s="11"/>
      <c r="AIK373" s="11"/>
      <c r="AIL373" s="11"/>
      <c r="AIM373" s="11"/>
      <c r="AIN373" s="11"/>
      <c r="AIO373" s="11"/>
      <c r="AIP373" s="11"/>
      <c r="AIQ373" s="11"/>
      <c r="AIR373" s="11"/>
      <c r="AIS373" s="11"/>
      <c r="AIT373" s="11"/>
      <c r="AIU373" s="11"/>
      <c r="AIV373" s="11"/>
      <c r="AIW373" s="11"/>
      <c r="AIX373" s="11"/>
      <c r="AIY373" s="11"/>
      <c r="AIZ373" s="11"/>
      <c r="AJA373" s="11"/>
      <c r="AJB373" s="11"/>
      <c r="AJC373" s="11"/>
      <c r="AJD373" s="11"/>
      <c r="AJE373" s="11"/>
      <c r="AJF373" s="11"/>
      <c r="AJG373" s="11"/>
      <c r="AJH373" s="11"/>
      <c r="AJI373" s="11"/>
      <c r="AJJ373" s="11"/>
      <c r="AJK373" s="11"/>
      <c r="AJL373" s="11"/>
      <c r="AJM373" s="11"/>
      <c r="AJN373" s="11"/>
      <c r="AJO373" s="11"/>
      <c r="AJP373" s="11"/>
      <c r="AJQ373" s="11"/>
      <c r="AJR373" s="11"/>
      <c r="AJS373" s="11"/>
      <c r="AJT373" s="11"/>
      <c r="AJU373" s="11"/>
      <c r="AJV373" s="11"/>
      <c r="AJW373" s="11"/>
      <c r="AJX373" s="11"/>
      <c r="AJY373" s="11"/>
      <c r="AJZ373" s="11"/>
      <c r="AKA373" s="11"/>
      <c r="AKB373" s="11"/>
      <c r="AKC373" s="11"/>
      <c r="AKD373" s="11"/>
      <c r="AKE373" s="11"/>
      <c r="AKF373" s="11"/>
      <c r="AKG373" s="11"/>
      <c r="AKH373" s="11"/>
      <c r="AKI373" s="11"/>
      <c r="AKJ373" s="11"/>
      <c r="AKK373" s="11"/>
      <c r="AKL373" s="11"/>
      <c r="AKM373" s="11"/>
      <c r="AKN373" s="11"/>
      <c r="AKO373" s="11"/>
      <c r="AKP373" s="11"/>
      <c r="AKQ373" s="11"/>
      <c r="AKR373" s="11"/>
      <c r="AKS373" s="11"/>
      <c r="AKT373" s="11"/>
      <c r="AKU373" s="11"/>
      <c r="AKV373" s="11"/>
      <c r="AKW373" s="11"/>
      <c r="AKX373" s="11"/>
      <c r="AKY373" s="11"/>
      <c r="AKZ373" s="11"/>
      <c r="ALA373" s="11"/>
      <c r="ALB373" s="11"/>
      <c r="ALC373" s="11"/>
      <c r="ALD373" s="11"/>
      <c r="ALE373" s="11"/>
      <c r="ALF373" s="11"/>
      <c r="ALG373" s="11"/>
      <c r="ALH373" s="11"/>
      <c r="ALI373" s="11"/>
      <c r="ALJ373" s="11"/>
      <c r="ALK373" s="11"/>
      <c r="ALL373" s="11"/>
      <c r="ALM373" s="11"/>
      <c r="ALN373" s="11"/>
      <c r="ALO373" s="11"/>
      <c r="ALP373" s="11"/>
      <c r="ALQ373" s="11"/>
      <c r="ALR373" s="11"/>
      <c r="ALS373" s="11"/>
      <c r="ALT373" s="11"/>
      <c r="ALU373" s="11"/>
      <c r="ALV373" s="11"/>
      <c r="ALW373" s="11"/>
      <c r="ALX373" s="11"/>
      <c r="ALY373" s="11"/>
      <c r="ALZ373" s="11"/>
      <c r="AMA373" s="11"/>
      <c r="AMB373" s="11"/>
      <c r="AMC373" s="11"/>
      <c r="AMD373" s="11"/>
      <c r="AME373" s="11"/>
      <c r="AMF373" s="11"/>
      <c r="AMG373" s="11"/>
      <c r="AMH373" s="11"/>
      <c r="AMI373" s="11"/>
      <c r="AMJ373" s="11"/>
    </row>
    <row r="374" spans="1:1024" ht="27.6">
      <c r="A374" s="8" t="s">
        <v>364</v>
      </c>
      <c r="B374" s="8">
        <v>623934</v>
      </c>
      <c r="D374" s="29"/>
      <c r="E374" s="1">
        <v>0</v>
      </c>
      <c r="F374" s="8">
        <v>6</v>
      </c>
      <c r="G374" s="30">
        <f t="shared" si="18"/>
        <v>-0.33333333333333304</v>
      </c>
      <c r="H374" s="8">
        <f t="shared" si="20"/>
        <v>6.333333333333333</v>
      </c>
      <c r="I374">
        <f t="shared" si="19"/>
        <v>6.333333333333333</v>
      </c>
      <c r="J374">
        <f>SUMIF(Oeffentlichkeitsarbeit!$D:$D,$B374,Oeffentlichkeitsarbeit!$F:$F)</f>
        <v>0</v>
      </c>
      <c r="K374">
        <f>COUNTIF(Fairteiler!$D:$D,$B374)*1/2</f>
        <v>0</v>
      </c>
      <c r="L374">
        <f>COUNTIF('NP-Betrieb'!D:D,$B374)*1/3</f>
        <v>6.333333333333333</v>
      </c>
      <c r="M374">
        <f>COUNTIF(Fairteilungen!$D:$D,$B374)*3/4</f>
        <v>0</v>
      </c>
      <c r="N374">
        <f>COUNTIF(Anlieferung!D:D,$B374)*1/2</f>
        <v>0</v>
      </c>
      <c r="O374">
        <f>COUNTIF(Probeabholungen!B:B,$B374)*1/3</f>
        <v>0</v>
      </c>
    </row>
    <row r="375" spans="1:1024" s="44" customFormat="1">
      <c r="A375" s="8" t="s">
        <v>365</v>
      </c>
      <c r="B375" s="8">
        <v>770790</v>
      </c>
      <c r="C375" s="31"/>
      <c r="D375" s="29">
        <v>45228</v>
      </c>
      <c r="E375" s="1">
        <v>0</v>
      </c>
      <c r="F375" s="8">
        <v>6</v>
      </c>
      <c r="G375" s="30">
        <f t="shared" si="18"/>
        <v>3.3333333333333335</v>
      </c>
      <c r="H375" s="8">
        <f t="shared" si="20"/>
        <v>2.6666666666666665</v>
      </c>
      <c r="I375" s="31">
        <f t="shared" si="19"/>
        <v>2.6666666666666665</v>
      </c>
      <c r="J375" s="31">
        <f>SUMIF(Oeffentlichkeitsarbeit!$D:$D,$B375,Oeffentlichkeitsarbeit!$F:$F)</f>
        <v>0</v>
      </c>
      <c r="K375" s="31">
        <f>COUNTIF(Fairteiler!$D:$D,$B375)*1/2</f>
        <v>0</v>
      </c>
      <c r="L375" s="31">
        <f>COUNTIF('NP-Betrieb'!D:D,$B375)*1/3</f>
        <v>2.6666666666666665</v>
      </c>
      <c r="M375" s="31">
        <f>COUNTIF(Fairteilungen!$D:$D,$B375)*3/4</f>
        <v>0</v>
      </c>
      <c r="N375" s="31">
        <f>COUNTIF(Anlieferung!D:D,$B375)*1/2</f>
        <v>0</v>
      </c>
      <c r="O375" s="31">
        <f>COUNTIF(Probeabholungen!B:B,$B375)*1/3</f>
        <v>0</v>
      </c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  <c r="CJ375"/>
      <c r="CK375"/>
      <c r="CL375"/>
      <c r="CM375"/>
      <c r="CN375"/>
      <c r="CO375"/>
      <c r="CP375"/>
      <c r="CQ375"/>
      <c r="CR375"/>
      <c r="CS375"/>
      <c r="CT375"/>
      <c r="CU375"/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  <c r="DQ375"/>
      <c r="DR375"/>
      <c r="DS375"/>
      <c r="DT375"/>
      <c r="DU375"/>
      <c r="DV375"/>
      <c r="DW375"/>
      <c r="DX375"/>
      <c r="DY375"/>
      <c r="DZ375"/>
      <c r="EA375"/>
      <c r="EB375"/>
      <c r="EC375"/>
      <c r="ED375"/>
      <c r="EE375"/>
      <c r="EF375"/>
      <c r="EG375"/>
      <c r="EH375"/>
      <c r="EI375"/>
      <c r="EJ375"/>
      <c r="EK375"/>
      <c r="EL375"/>
      <c r="EM375"/>
      <c r="EN375"/>
      <c r="EO375"/>
      <c r="EP375"/>
      <c r="EQ375"/>
      <c r="ER375"/>
      <c r="ES375"/>
      <c r="ET375"/>
      <c r="EU375"/>
      <c r="EV375"/>
      <c r="EW375"/>
      <c r="EX375"/>
      <c r="EY375"/>
      <c r="EZ375"/>
      <c r="FA375"/>
      <c r="FB375"/>
      <c r="FC375"/>
      <c r="FD375"/>
      <c r="FE375"/>
      <c r="FF375"/>
      <c r="FG375"/>
      <c r="FH375"/>
      <c r="FI375"/>
      <c r="FJ375"/>
      <c r="FK375"/>
      <c r="FL375"/>
      <c r="FM375"/>
      <c r="FN375"/>
      <c r="FO375"/>
      <c r="FP375"/>
      <c r="FQ375"/>
      <c r="FR375"/>
      <c r="FS375"/>
      <c r="FT375"/>
      <c r="FU375"/>
      <c r="FV375"/>
      <c r="FW375"/>
      <c r="FX375"/>
      <c r="FY375"/>
      <c r="FZ375"/>
      <c r="GA375"/>
      <c r="GB375"/>
      <c r="GC375"/>
      <c r="GD375"/>
      <c r="GE375"/>
      <c r="GF375"/>
      <c r="GG375"/>
      <c r="GH375"/>
      <c r="GI375"/>
      <c r="GJ375"/>
      <c r="GK375"/>
      <c r="GL375"/>
      <c r="GM375"/>
      <c r="GN375"/>
      <c r="GO375"/>
      <c r="GP375"/>
      <c r="GQ375"/>
      <c r="GR375"/>
      <c r="GS375"/>
      <c r="GT375"/>
      <c r="GU375"/>
      <c r="GV375"/>
      <c r="GW375"/>
      <c r="GX375"/>
      <c r="GY375"/>
      <c r="GZ375"/>
      <c r="HA375"/>
      <c r="HB375"/>
      <c r="HC375"/>
      <c r="HD375"/>
      <c r="HE375"/>
      <c r="HF375"/>
      <c r="HG375"/>
      <c r="HH375"/>
      <c r="HI375"/>
      <c r="HJ375"/>
      <c r="HK375"/>
      <c r="HL375"/>
      <c r="HM375"/>
      <c r="HN375"/>
      <c r="HO375"/>
      <c r="HP375"/>
      <c r="HQ375"/>
      <c r="HR375"/>
      <c r="HS375"/>
      <c r="HT375"/>
      <c r="HU375"/>
      <c r="HV375"/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  <c r="IW375"/>
      <c r="IX375"/>
      <c r="IY375"/>
      <c r="IZ375"/>
      <c r="JA375"/>
      <c r="JB375"/>
      <c r="JC375"/>
      <c r="JD375"/>
      <c r="JE375"/>
      <c r="JF375"/>
      <c r="JG375"/>
      <c r="JH375"/>
      <c r="JI375"/>
      <c r="JJ375"/>
      <c r="JK375"/>
      <c r="JL375"/>
      <c r="JM375"/>
      <c r="JN375"/>
      <c r="JO375"/>
      <c r="JP375"/>
      <c r="JQ375"/>
      <c r="JR375"/>
      <c r="JS375"/>
      <c r="JT375"/>
      <c r="JU375"/>
      <c r="JV375"/>
      <c r="JW375"/>
      <c r="JX375"/>
      <c r="JY375"/>
      <c r="JZ375"/>
      <c r="KA375"/>
      <c r="KB375"/>
      <c r="KC375"/>
      <c r="KD375"/>
      <c r="KE375"/>
      <c r="KF375"/>
      <c r="KG375"/>
      <c r="KH375"/>
      <c r="KI375"/>
      <c r="KJ375"/>
      <c r="KK375"/>
      <c r="KL375"/>
      <c r="KM375"/>
      <c r="KN375"/>
      <c r="KO375"/>
      <c r="KP375"/>
      <c r="KQ375"/>
      <c r="KR375"/>
      <c r="KS375"/>
      <c r="KT375"/>
      <c r="KU375"/>
      <c r="KV375"/>
      <c r="KW375"/>
      <c r="KX375"/>
      <c r="KY375"/>
      <c r="KZ375"/>
      <c r="LA375"/>
      <c r="LB375"/>
      <c r="LC375"/>
      <c r="LD375"/>
      <c r="LE375"/>
      <c r="LF375"/>
      <c r="LG375"/>
      <c r="LH375"/>
      <c r="LI375"/>
      <c r="LJ375"/>
      <c r="LK375"/>
      <c r="LL375"/>
      <c r="LM375"/>
      <c r="LN375"/>
      <c r="LO375"/>
      <c r="LP375"/>
      <c r="LQ375"/>
      <c r="LR375"/>
      <c r="LS375"/>
      <c r="LT375"/>
      <c r="LU375"/>
      <c r="LV375"/>
      <c r="LW375"/>
      <c r="LX375"/>
      <c r="LY375"/>
      <c r="LZ375"/>
      <c r="MA375"/>
      <c r="MB375"/>
      <c r="MC375"/>
      <c r="MD375"/>
      <c r="ME375"/>
      <c r="MF375"/>
      <c r="MG375"/>
      <c r="MH375"/>
      <c r="MI375"/>
      <c r="MJ375"/>
      <c r="MK375"/>
      <c r="ML375"/>
      <c r="MM375"/>
      <c r="MN375"/>
      <c r="MO375"/>
      <c r="MP375"/>
      <c r="MQ375"/>
      <c r="MR375"/>
      <c r="MS375"/>
      <c r="MT375"/>
      <c r="MU375"/>
      <c r="MV375"/>
      <c r="MW375"/>
      <c r="MX375"/>
      <c r="MY375"/>
      <c r="MZ375"/>
      <c r="NA375"/>
      <c r="NB375"/>
      <c r="NC375"/>
      <c r="ND375"/>
      <c r="NE375"/>
      <c r="NF375"/>
      <c r="NG375"/>
      <c r="NH375"/>
      <c r="NI375"/>
      <c r="NJ375"/>
      <c r="NK375"/>
      <c r="NL375"/>
      <c r="NM375"/>
      <c r="NN375"/>
      <c r="NO375"/>
      <c r="NP375"/>
      <c r="NQ375"/>
      <c r="NR375"/>
      <c r="NS375"/>
      <c r="NT375"/>
      <c r="NU375"/>
      <c r="NV375"/>
      <c r="NW375"/>
      <c r="NX375"/>
      <c r="NY375"/>
      <c r="NZ375"/>
      <c r="OA375"/>
      <c r="OB375"/>
      <c r="OC375"/>
      <c r="OD375"/>
      <c r="OE375"/>
      <c r="OF375"/>
      <c r="OG375"/>
      <c r="OH375"/>
      <c r="OI375"/>
      <c r="OJ375"/>
      <c r="OK375"/>
      <c r="OL375"/>
      <c r="OM375"/>
      <c r="ON375"/>
      <c r="OO375"/>
      <c r="OP375"/>
      <c r="OQ375"/>
      <c r="OR375"/>
      <c r="OS375"/>
      <c r="OT375"/>
      <c r="OU375"/>
      <c r="OV375"/>
      <c r="OW375"/>
      <c r="OX375"/>
      <c r="OY375"/>
      <c r="OZ375"/>
      <c r="PA375"/>
      <c r="PB375"/>
      <c r="PC375"/>
      <c r="PD375"/>
      <c r="PE375"/>
      <c r="PF375"/>
      <c r="PG375"/>
      <c r="PH375"/>
      <c r="PI375"/>
      <c r="PJ375"/>
      <c r="PK375"/>
      <c r="PL375"/>
      <c r="PM375"/>
      <c r="PN375"/>
      <c r="PO375"/>
      <c r="PP375"/>
      <c r="PQ375"/>
      <c r="PR375"/>
      <c r="PS375"/>
      <c r="PT375"/>
      <c r="PU375"/>
      <c r="PV375"/>
      <c r="PW375"/>
      <c r="PX375"/>
      <c r="PY375"/>
      <c r="PZ375"/>
      <c r="QA375"/>
      <c r="QB375"/>
      <c r="QC375"/>
      <c r="QD375"/>
      <c r="QE375"/>
      <c r="QF375"/>
      <c r="QG375"/>
      <c r="QH375"/>
      <c r="QI375"/>
      <c r="QJ375"/>
      <c r="QK375"/>
      <c r="QL375"/>
      <c r="QM375"/>
      <c r="QN375"/>
      <c r="QO375"/>
      <c r="QP375"/>
      <c r="QQ375"/>
      <c r="QR375"/>
      <c r="QS375"/>
      <c r="QT375"/>
      <c r="QU375"/>
      <c r="QV375"/>
      <c r="QW375"/>
      <c r="QX375"/>
      <c r="QY375"/>
      <c r="QZ375"/>
      <c r="RA375"/>
      <c r="RB375"/>
      <c r="RC375"/>
      <c r="RD375"/>
      <c r="RE375"/>
      <c r="RF375"/>
      <c r="RG375"/>
      <c r="RH375"/>
      <c r="RI375"/>
      <c r="RJ375"/>
      <c r="RK375"/>
      <c r="RL375"/>
      <c r="RM375"/>
      <c r="RN375"/>
      <c r="RO375"/>
      <c r="RP375"/>
      <c r="RQ375"/>
      <c r="RR375"/>
      <c r="RS375"/>
      <c r="RT375"/>
      <c r="RU375"/>
      <c r="RV375"/>
      <c r="RW375"/>
      <c r="RX375"/>
      <c r="RY375"/>
      <c r="RZ375"/>
      <c r="SA375"/>
      <c r="SB375"/>
      <c r="SC375"/>
      <c r="SD375"/>
      <c r="SE375"/>
      <c r="SF375"/>
      <c r="SG375"/>
      <c r="SH375"/>
      <c r="SI375"/>
      <c r="SJ375"/>
      <c r="SK375"/>
      <c r="SL375"/>
      <c r="SM375"/>
      <c r="SN375"/>
      <c r="SO375"/>
      <c r="SP375"/>
      <c r="SQ375"/>
      <c r="SR375"/>
      <c r="SS375"/>
      <c r="ST375"/>
      <c r="SU375"/>
      <c r="SV375"/>
      <c r="SW375"/>
      <c r="SX375"/>
      <c r="SY375"/>
      <c r="SZ375"/>
      <c r="TA375"/>
      <c r="TB375"/>
      <c r="TC375"/>
      <c r="TD375"/>
      <c r="TE375"/>
      <c r="TF375"/>
      <c r="TG375"/>
      <c r="TH375"/>
      <c r="TI375"/>
      <c r="TJ375"/>
      <c r="TK375"/>
      <c r="TL375"/>
      <c r="TM375"/>
      <c r="TN375"/>
      <c r="TO375"/>
      <c r="TP375"/>
      <c r="TQ375"/>
      <c r="TR375"/>
      <c r="TS375"/>
      <c r="TT375"/>
      <c r="TU375"/>
      <c r="TV375"/>
      <c r="TW375"/>
      <c r="TX375"/>
      <c r="TY375"/>
      <c r="TZ375"/>
      <c r="UA375"/>
      <c r="UB375"/>
      <c r="UC375"/>
      <c r="UD375"/>
      <c r="UE375"/>
      <c r="UF375"/>
      <c r="UG375"/>
      <c r="UH375"/>
      <c r="UI375"/>
      <c r="UJ375"/>
      <c r="UK375"/>
      <c r="UL375"/>
      <c r="UM375"/>
      <c r="UN375"/>
      <c r="UO375"/>
      <c r="UP375"/>
      <c r="UQ375"/>
      <c r="UR375"/>
      <c r="US375"/>
      <c r="UT375"/>
      <c r="UU375"/>
      <c r="UV375"/>
      <c r="UW375"/>
      <c r="UX375"/>
      <c r="UY375"/>
      <c r="UZ375"/>
      <c r="VA375"/>
      <c r="VB375"/>
      <c r="VC375"/>
      <c r="VD375"/>
      <c r="VE375"/>
      <c r="VF375"/>
      <c r="VG375"/>
      <c r="VH375"/>
      <c r="VI375"/>
      <c r="VJ375"/>
      <c r="VK375"/>
      <c r="VL375"/>
      <c r="VM375"/>
      <c r="VN375"/>
      <c r="VO375"/>
      <c r="VP375"/>
      <c r="VQ375"/>
      <c r="VR375"/>
      <c r="VS375"/>
      <c r="VT375"/>
      <c r="VU375"/>
      <c r="VV375"/>
      <c r="VW375"/>
      <c r="VX375"/>
      <c r="VY375"/>
      <c r="VZ375"/>
      <c r="WA375"/>
      <c r="WB375"/>
      <c r="WC375"/>
      <c r="WD375"/>
      <c r="WE375"/>
      <c r="WF375"/>
      <c r="WG375"/>
      <c r="WH375"/>
      <c r="WI375"/>
      <c r="WJ375"/>
      <c r="WK375"/>
      <c r="WL375"/>
      <c r="WM375"/>
      <c r="WN375"/>
      <c r="WO375"/>
      <c r="WP375"/>
      <c r="WQ375"/>
      <c r="WR375"/>
      <c r="WS375"/>
      <c r="WT375"/>
      <c r="WU375"/>
      <c r="WV375"/>
      <c r="WW375"/>
      <c r="WX375"/>
      <c r="WY375"/>
      <c r="WZ375"/>
      <c r="XA375"/>
      <c r="XB375"/>
      <c r="XC375"/>
      <c r="XD375"/>
      <c r="XE375"/>
      <c r="XF375"/>
      <c r="XG375"/>
      <c r="XH375"/>
      <c r="XI375"/>
      <c r="XJ375"/>
      <c r="XK375"/>
      <c r="XL375"/>
      <c r="XM375"/>
      <c r="XN375"/>
      <c r="XO375"/>
      <c r="XP375"/>
      <c r="XQ375"/>
      <c r="XR375"/>
      <c r="XS375"/>
      <c r="XT375"/>
      <c r="XU375"/>
      <c r="XV375"/>
      <c r="XW375"/>
      <c r="XX375"/>
      <c r="XY375"/>
      <c r="XZ375"/>
      <c r="YA375"/>
      <c r="YB375"/>
      <c r="YC375"/>
      <c r="YD375"/>
      <c r="YE375"/>
      <c r="YF375"/>
      <c r="YG375"/>
      <c r="YH375"/>
      <c r="YI375"/>
      <c r="YJ375"/>
      <c r="YK375"/>
      <c r="YL375"/>
      <c r="YM375"/>
      <c r="YN375"/>
      <c r="YO375"/>
      <c r="YP375"/>
      <c r="YQ375"/>
      <c r="YR375"/>
      <c r="YS375"/>
      <c r="YT375"/>
      <c r="YU375"/>
      <c r="YV375"/>
      <c r="YW375"/>
      <c r="YX375"/>
      <c r="YY375"/>
      <c r="YZ375"/>
      <c r="ZA375"/>
      <c r="ZB375"/>
      <c r="ZC375"/>
      <c r="ZD375"/>
      <c r="ZE375"/>
      <c r="ZF375"/>
      <c r="ZG375"/>
      <c r="ZH375"/>
      <c r="ZI375"/>
      <c r="ZJ375"/>
      <c r="ZK375"/>
      <c r="ZL375"/>
      <c r="ZM375"/>
      <c r="ZN375"/>
      <c r="ZO375"/>
      <c r="ZP375"/>
      <c r="ZQ375"/>
      <c r="ZR375"/>
      <c r="ZS375"/>
      <c r="ZT375"/>
      <c r="ZU375"/>
      <c r="ZV375"/>
      <c r="ZW375"/>
      <c r="ZX375"/>
      <c r="ZY375"/>
      <c r="ZZ375"/>
      <c r="AAA375"/>
      <c r="AAB375"/>
      <c r="AAC375"/>
      <c r="AAD375"/>
      <c r="AAE375"/>
      <c r="AAF375"/>
      <c r="AAG375"/>
      <c r="AAH375"/>
      <c r="AAI375"/>
      <c r="AAJ375"/>
      <c r="AAK375"/>
      <c r="AAL375"/>
      <c r="AAM375"/>
      <c r="AAN375"/>
      <c r="AAO375"/>
      <c r="AAP375"/>
      <c r="AAQ375"/>
      <c r="AAR375"/>
      <c r="AAS375"/>
      <c r="AAT375"/>
      <c r="AAU375"/>
      <c r="AAV375"/>
      <c r="AAW375"/>
      <c r="AAX375"/>
      <c r="AAY375"/>
      <c r="AAZ375"/>
      <c r="ABA375"/>
      <c r="ABB375"/>
      <c r="ABC375"/>
      <c r="ABD375"/>
      <c r="ABE375"/>
      <c r="ABF375"/>
      <c r="ABG375"/>
      <c r="ABH375"/>
      <c r="ABI375"/>
      <c r="ABJ375"/>
      <c r="ABK375"/>
      <c r="ABL375"/>
      <c r="ABM375"/>
      <c r="ABN375"/>
      <c r="ABO375"/>
      <c r="ABP375"/>
      <c r="ABQ375"/>
      <c r="ABR375"/>
      <c r="ABS375"/>
      <c r="ABT375"/>
      <c r="ABU375"/>
      <c r="ABV375"/>
      <c r="ABW375"/>
      <c r="ABX375"/>
      <c r="ABY375"/>
      <c r="ABZ375"/>
      <c r="ACA375"/>
      <c r="ACB375"/>
      <c r="ACC375"/>
      <c r="ACD375"/>
      <c r="ACE375"/>
      <c r="ACF375"/>
      <c r="ACG375"/>
      <c r="ACH375"/>
      <c r="ACI375"/>
      <c r="ACJ375"/>
      <c r="ACK375"/>
      <c r="ACL375"/>
      <c r="ACM375"/>
      <c r="ACN375"/>
      <c r="ACO375"/>
      <c r="ACP375"/>
      <c r="ACQ375"/>
      <c r="ACR375"/>
      <c r="ACS375"/>
      <c r="ACT375"/>
      <c r="ACU375"/>
      <c r="ACV375"/>
      <c r="ACW375"/>
      <c r="ACX375"/>
      <c r="ACY375"/>
      <c r="ACZ375"/>
      <c r="ADA375"/>
      <c r="ADB375"/>
      <c r="ADC375"/>
      <c r="ADD375"/>
      <c r="ADE375"/>
      <c r="ADF375"/>
      <c r="ADG375"/>
      <c r="ADH375"/>
      <c r="ADI375"/>
      <c r="ADJ375"/>
      <c r="ADK375"/>
      <c r="ADL375"/>
      <c r="ADM375"/>
      <c r="ADN375"/>
      <c r="ADO375"/>
      <c r="ADP375"/>
      <c r="ADQ375"/>
      <c r="ADR375"/>
      <c r="ADS375"/>
      <c r="ADT375"/>
      <c r="ADU375"/>
      <c r="ADV375"/>
      <c r="ADW375"/>
      <c r="ADX375"/>
      <c r="ADY375"/>
      <c r="ADZ375"/>
      <c r="AEA375"/>
      <c r="AEB375"/>
      <c r="AEC375"/>
      <c r="AED375"/>
      <c r="AEE375"/>
      <c r="AEF375"/>
      <c r="AEG375"/>
      <c r="AEH375"/>
      <c r="AEI375"/>
      <c r="AEJ375"/>
      <c r="AEK375"/>
      <c r="AEL375"/>
      <c r="AEM375"/>
      <c r="AEN375"/>
      <c r="AEO375"/>
      <c r="AEP375"/>
      <c r="AEQ375"/>
      <c r="AER375"/>
      <c r="AES375"/>
      <c r="AET375"/>
      <c r="AEU375"/>
      <c r="AEV375"/>
      <c r="AEW375"/>
      <c r="AEX375"/>
      <c r="AEY375"/>
      <c r="AEZ375"/>
      <c r="AFA375"/>
      <c r="AFB375"/>
      <c r="AFC375"/>
      <c r="AFD375"/>
      <c r="AFE375"/>
      <c r="AFF375"/>
      <c r="AFG375"/>
      <c r="AFH375"/>
      <c r="AFI375"/>
      <c r="AFJ375"/>
      <c r="AFK375"/>
      <c r="AFL375"/>
      <c r="AFM375"/>
      <c r="AFN375"/>
      <c r="AFO375"/>
      <c r="AFP375"/>
      <c r="AFQ375"/>
      <c r="AFR375"/>
      <c r="AFS375"/>
      <c r="AFT375"/>
      <c r="AFU375"/>
      <c r="AFV375"/>
      <c r="AFW375"/>
      <c r="AFX375"/>
      <c r="AFY375"/>
      <c r="AFZ375"/>
      <c r="AGA375"/>
      <c r="AGB375"/>
      <c r="AGC375"/>
      <c r="AGD375"/>
      <c r="AGE375"/>
      <c r="AGF375"/>
      <c r="AGG375"/>
      <c r="AGH375"/>
      <c r="AGI375"/>
      <c r="AGJ375"/>
      <c r="AGK375"/>
      <c r="AGL375"/>
      <c r="AGM375"/>
      <c r="AGN375"/>
      <c r="AGO375"/>
      <c r="AGP375"/>
      <c r="AGQ375"/>
      <c r="AGR375"/>
      <c r="AGS375"/>
      <c r="AGT375"/>
      <c r="AGU375"/>
      <c r="AGV375"/>
      <c r="AGW375"/>
      <c r="AGX375"/>
      <c r="AGY375"/>
      <c r="AGZ375"/>
      <c r="AHA375"/>
      <c r="AHB375"/>
      <c r="AHC375"/>
      <c r="AHD375"/>
      <c r="AHE375"/>
      <c r="AHF375"/>
      <c r="AHG375"/>
      <c r="AHH375"/>
      <c r="AHI375"/>
      <c r="AHJ375"/>
      <c r="AHK375"/>
      <c r="AHL375"/>
      <c r="AHM375"/>
      <c r="AHN375"/>
      <c r="AHO375"/>
      <c r="AHP375"/>
      <c r="AHQ375"/>
      <c r="AHR375"/>
      <c r="AHS375"/>
      <c r="AHT375"/>
      <c r="AHU375"/>
      <c r="AHV375"/>
      <c r="AHW375"/>
      <c r="AHX375"/>
      <c r="AHY375"/>
      <c r="AHZ375"/>
      <c r="AIA375"/>
      <c r="AIB375"/>
      <c r="AIC375"/>
      <c r="AID375"/>
      <c r="AIE375"/>
      <c r="AIF375"/>
      <c r="AIG375"/>
      <c r="AIH375"/>
      <c r="AII375"/>
      <c r="AIJ375"/>
      <c r="AIK375"/>
      <c r="AIL375"/>
      <c r="AIM375"/>
      <c r="AIN375"/>
      <c r="AIO375"/>
      <c r="AIP375"/>
      <c r="AIQ375"/>
      <c r="AIR375"/>
      <c r="AIS375"/>
      <c r="AIT375"/>
      <c r="AIU375"/>
      <c r="AIV375"/>
      <c r="AIW375"/>
      <c r="AIX375"/>
      <c r="AIY375"/>
      <c r="AIZ375"/>
      <c r="AJA375"/>
      <c r="AJB375"/>
      <c r="AJC375"/>
      <c r="AJD375"/>
      <c r="AJE375"/>
      <c r="AJF375"/>
      <c r="AJG375"/>
      <c r="AJH375"/>
      <c r="AJI375"/>
      <c r="AJJ375"/>
      <c r="AJK375"/>
      <c r="AJL375"/>
      <c r="AJM375"/>
      <c r="AJN375"/>
      <c r="AJO375"/>
      <c r="AJP375"/>
      <c r="AJQ375"/>
      <c r="AJR375"/>
      <c r="AJS375"/>
      <c r="AJT375"/>
      <c r="AJU375"/>
      <c r="AJV375"/>
      <c r="AJW375"/>
      <c r="AJX375"/>
      <c r="AJY375"/>
      <c r="AJZ375"/>
      <c r="AKA375"/>
      <c r="AKB375"/>
      <c r="AKC375"/>
      <c r="AKD375"/>
      <c r="AKE375"/>
      <c r="AKF375"/>
      <c r="AKG375"/>
      <c r="AKH375"/>
      <c r="AKI375"/>
      <c r="AKJ375"/>
      <c r="AKK375"/>
      <c r="AKL375"/>
      <c r="AKM375"/>
      <c r="AKN375"/>
      <c r="AKO375"/>
      <c r="AKP375"/>
      <c r="AKQ375"/>
      <c r="AKR375"/>
      <c r="AKS375"/>
      <c r="AKT375"/>
      <c r="AKU375"/>
      <c r="AKV375"/>
      <c r="AKW375"/>
      <c r="AKX375"/>
      <c r="AKY375"/>
      <c r="AKZ375"/>
      <c r="ALA375"/>
      <c r="ALB375"/>
      <c r="ALC375"/>
      <c r="ALD375"/>
      <c r="ALE375"/>
      <c r="ALF375"/>
      <c r="ALG375"/>
      <c r="ALH375"/>
      <c r="ALI375"/>
      <c r="ALJ375"/>
      <c r="ALK375"/>
      <c r="ALL375"/>
      <c r="ALM375"/>
      <c r="ALN375"/>
      <c r="ALO375"/>
      <c r="ALP375"/>
      <c r="ALQ375"/>
      <c r="ALR375"/>
      <c r="ALS375"/>
      <c r="ALT375"/>
      <c r="ALU375"/>
      <c r="ALV375"/>
      <c r="ALW375"/>
      <c r="ALX375"/>
      <c r="ALY375"/>
      <c r="ALZ375"/>
      <c r="AMA375"/>
      <c r="AMB375"/>
      <c r="AMC375"/>
      <c r="AMD375"/>
      <c r="AME375"/>
      <c r="AMF375"/>
      <c r="AMG375"/>
      <c r="AMH375"/>
      <c r="AMI375"/>
      <c r="AMJ375"/>
    </row>
    <row r="376" spans="1:1024">
      <c r="A376" s="8" t="s">
        <v>366</v>
      </c>
      <c r="B376" s="8">
        <v>10827</v>
      </c>
      <c r="D376" s="29"/>
      <c r="E376" s="1">
        <v>14</v>
      </c>
      <c r="F376" s="8">
        <v>6</v>
      </c>
      <c r="G376" s="30">
        <f t="shared" si="18"/>
        <v>20</v>
      </c>
      <c r="H376" s="8">
        <f t="shared" si="20"/>
        <v>-14</v>
      </c>
      <c r="I376">
        <f t="shared" si="19"/>
        <v>0</v>
      </c>
      <c r="J376">
        <f>SUMIF(Oeffentlichkeitsarbeit!$D:$D,$B376,Oeffentlichkeitsarbeit!$F:$F)</f>
        <v>0</v>
      </c>
      <c r="K376">
        <f>COUNTIF(Fairteiler!$D:$D,$B376)*1/2</f>
        <v>0</v>
      </c>
      <c r="L376">
        <f>COUNTIF('NP-Betrieb'!D:D,$B376)*1/3</f>
        <v>0</v>
      </c>
      <c r="M376">
        <f>COUNTIF(Fairteilungen!$D:$D,$B376)*3/4</f>
        <v>0</v>
      </c>
      <c r="N376">
        <f>COUNTIF(Anlieferung!D:D,$B376)*1/2</f>
        <v>0</v>
      </c>
      <c r="O376">
        <f>COUNTIF(Probeabholungen!B:B,$B376)*1/3</f>
        <v>0</v>
      </c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44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  <c r="DK376" s="44"/>
      <c r="DL376" s="44"/>
      <c r="DM376" s="44"/>
      <c r="DN376" s="44"/>
      <c r="DO376" s="44"/>
      <c r="DP376" s="44"/>
      <c r="DQ376" s="44"/>
      <c r="DR376" s="44"/>
      <c r="DS376" s="44"/>
      <c r="DT376" s="44"/>
      <c r="DU376" s="44"/>
      <c r="DV376" s="44"/>
      <c r="DW376" s="44"/>
      <c r="DX376" s="44"/>
      <c r="DY376" s="44"/>
      <c r="DZ376" s="44"/>
      <c r="EA376" s="44"/>
      <c r="EB376" s="44"/>
      <c r="EC376" s="44"/>
      <c r="ED376" s="44"/>
      <c r="EE376" s="44"/>
      <c r="EF376" s="44"/>
      <c r="EG376" s="44"/>
      <c r="EH376" s="44"/>
      <c r="EI376" s="44"/>
      <c r="EJ376" s="44"/>
      <c r="EK376" s="44"/>
      <c r="EL376" s="44"/>
      <c r="EM376" s="44"/>
      <c r="EN376" s="44"/>
      <c r="EO376" s="44"/>
      <c r="EP376" s="44"/>
      <c r="EQ376" s="44"/>
      <c r="ER376" s="44"/>
      <c r="ES376" s="44"/>
      <c r="ET376" s="44"/>
      <c r="EU376" s="44"/>
      <c r="EV376" s="44"/>
      <c r="EW376" s="44"/>
      <c r="EX376" s="44"/>
      <c r="EY376" s="44"/>
      <c r="EZ376" s="44"/>
      <c r="FA376" s="44"/>
      <c r="FB376" s="44"/>
      <c r="FC376" s="44"/>
      <c r="FD376" s="44"/>
      <c r="FE376" s="44"/>
      <c r="FF376" s="44"/>
      <c r="FG376" s="44"/>
      <c r="FH376" s="44"/>
      <c r="FI376" s="44"/>
      <c r="FJ376" s="44"/>
      <c r="FK376" s="44"/>
      <c r="FL376" s="44"/>
      <c r="FM376" s="44"/>
      <c r="FN376" s="44"/>
      <c r="FO376" s="44"/>
      <c r="FP376" s="44"/>
      <c r="FQ376" s="44"/>
      <c r="FR376" s="44"/>
      <c r="FS376" s="44"/>
      <c r="FT376" s="44"/>
      <c r="FU376" s="44"/>
      <c r="FV376" s="44"/>
      <c r="FW376" s="44"/>
      <c r="FX376" s="44"/>
      <c r="FY376" s="44"/>
      <c r="FZ376" s="44"/>
      <c r="GA376" s="44"/>
      <c r="GB376" s="44"/>
      <c r="GC376" s="44"/>
      <c r="GD376" s="44"/>
      <c r="GE376" s="44"/>
      <c r="GF376" s="44"/>
      <c r="GG376" s="44"/>
      <c r="GH376" s="44"/>
      <c r="GI376" s="44"/>
      <c r="GJ376" s="44"/>
      <c r="GK376" s="44"/>
      <c r="GL376" s="44"/>
      <c r="GM376" s="44"/>
      <c r="GN376" s="44"/>
      <c r="GO376" s="44"/>
      <c r="GP376" s="44"/>
      <c r="GQ376" s="44"/>
      <c r="GR376" s="44"/>
      <c r="GS376" s="44"/>
      <c r="GT376" s="44"/>
      <c r="GU376" s="44"/>
      <c r="GV376" s="44"/>
      <c r="GW376" s="44"/>
      <c r="GX376" s="44"/>
      <c r="GY376" s="44"/>
      <c r="GZ376" s="44"/>
      <c r="HA376" s="44"/>
      <c r="HB376" s="44"/>
      <c r="HC376" s="44"/>
      <c r="HD376" s="44"/>
      <c r="HE376" s="44"/>
      <c r="HF376" s="44"/>
      <c r="HG376" s="44"/>
      <c r="HH376" s="44"/>
      <c r="HI376" s="44"/>
      <c r="HJ376" s="44"/>
      <c r="HK376" s="44"/>
      <c r="HL376" s="44"/>
      <c r="HM376" s="44"/>
      <c r="HN376" s="44"/>
      <c r="HO376" s="44"/>
      <c r="HP376" s="44"/>
      <c r="HQ376" s="44"/>
      <c r="HR376" s="44"/>
      <c r="HS376" s="44"/>
      <c r="HT376" s="44"/>
      <c r="HU376" s="44"/>
      <c r="HV376" s="44"/>
      <c r="HW376" s="44"/>
      <c r="HX376" s="44"/>
      <c r="HY376" s="44"/>
      <c r="HZ376" s="44"/>
      <c r="IA376" s="44"/>
      <c r="IB376" s="44"/>
      <c r="IC376" s="44"/>
      <c r="ID376" s="44"/>
      <c r="IE376" s="44"/>
      <c r="IF376" s="44"/>
      <c r="IG376" s="44"/>
      <c r="IH376" s="44"/>
      <c r="II376" s="44"/>
      <c r="IJ376" s="44"/>
      <c r="IK376" s="44"/>
      <c r="IL376" s="44"/>
      <c r="IM376" s="44"/>
      <c r="IN376" s="44"/>
      <c r="IO376" s="44"/>
      <c r="IP376" s="44"/>
      <c r="IQ376" s="44"/>
      <c r="IR376" s="44"/>
      <c r="IS376" s="44"/>
      <c r="IT376" s="44"/>
      <c r="IU376" s="44"/>
      <c r="IV376" s="44"/>
      <c r="IW376" s="44"/>
      <c r="IX376" s="44"/>
      <c r="IY376" s="44"/>
      <c r="IZ376" s="44"/>
      <c r="JA376" s="44"/>
      <c r="JB376" s="44"/>
      <c r="JC376" s="44"/>
      <c r="JD376" s="44"/>
      <c r="JE376" s="44"/>
      <c r="JF376" s="44"/>
      <c r="JG376" s="44"/>
      <c r="JH376" s="44"/>
      <c r="JI376" s="44"/>
      <c r="JJ376" s="44"/>
      <c r="JK376" s="44"/>
      <c r="JL376" s="44"/>
      <c r="JM376" s="44"/>
      <c r="JN376" s="44"/>
      <c r="JO376" s="44"/>
      <c r="JP376" s="44"/>
      <c r="JQ376" s="44"/>
      <c r="JR376" s="44"/>
      <c r="JS376" s="44"/>
      <c r="JT376" s="44"/>
      <c r="JU376" s="44"/>
      <c r="JV376" s="44"/>
      <c r="JW376" s="44"/>
      <c r="JX376" s="44"/>
      <c r="JY376" s="44"/>
      <c r="JZ376" s="44"/>
      <c r="KA376" s="44"/>
      <c r="KB376" s="44"/>
      <c r="KC376" s="44"/>
      <c r="KD376" s="44"/>
      <c r="KE376" s="44"/>
      <c r="KF376" s="44"/>
      <c r="KG376" s="44"/>
      <c r="KH376" s="44"/>
      <c r="KI376" s="44"/>
      <c r="KJ376" s="44"/>
      <c r="KK376" s="44"/>
      <c r="KL376" s="44"/>
      <c r="KM376" s="44"/>
      <c r="KN376" s="44"/>
      <c r="KO376" s="44"/>
      <c r="KP376" s="44"/>
      <c r="KQ376" s="44"/>
      <c r="KR376" s="44"/>
      <c r="KS376" s="44"/>
      <c r="KT376" s="44"/>
      <c r="KU376" s="44"/>
      <c r="KV376" s="44"/>
      <c r="KW376" s="44"/>
      <c r="KX376" s="44"/>
      <c r="KY376" s="44"/>
      <c r="KZ376" s="44"/>
      <c r="LA376" s="44"/>
      <c r="LB376" s="44"/>
      <c r="LC376" s="44"/>
      <c r="LD376" s="44"/>
      <c r="LE376" s="44"/>
      <c r="LF376" s="44"/>
      <c r="LG376" s="44"/>
      <c r="LH376" s="44"/>
      <c r="LI376" s="44"/>
      <c r="LJ376" s="44"/>
      <c r="LK376" s="44"/>
      <c r="LL376" s="44"/>
      <c r="LM376" s="44"/>
      <c r="LN376" s="44"/>
      <c r="LO376" s="44"/>
      <c r="LP376" s="44"/>
      <c r="LQ376" s="44"/>
      <c r="LR376" s="44"/>
      <c r="LS376" s="44"/>
      <c r="LT376" s="44"/>
      <c r="LU376" s="44"/>
      <c r="LV376" s="44"/>
      <c r="LW376" s="44"/>
      <c r="LX376" s="44"/>
      <c r="LY376" s="44"/>
      <c r="LZ376" s="44"/>
      <c r="MA376" s="44"/>
      <c r="MB376" s="44"/>
      <c r="MC376" s="44"/>
      <c r="MD376" s="44"/>
      <c r="ME376" s="44"/>
      <c r="MF376" s="44"/>
      <c r="MG376" s="44"/>
      <c r="MH376" s="44"/>
      <c r="MI376" s="44"/>
      <c r="MJ376" s="44"/>
      <c r="MK376" s="44"/>
      <c r="ML376" s="44"/>
      <c r="MM376" s="44"/>
      <c r="MN376" s="44"/>
      <c r="MO376" s="44"/>
      <c r="MP376" s="44"/>
      <c r="MQ376" s="44"/>
      <c r="MR376" s="44"/>
      <c r="MS376" s="44"/>
      <c r="MT376" s="44"/>
      <c r="MU376" s="44"/>
      <c r="MV376" s="44"/>
      <c r="MW376" s="44"/>
      <c r="MX376" s="44"/>
      <c r="MY376" s="44"/>
      <c r="MZ376" s="44"/>
      <c r="NA376" s="44"/>
      <c r="NB376" s="44"/>
      <c r="NC376" s="44"/>
      <c r="ND376" s="44"/>
      <c r="NE376" s="44"/>
      <c r="NF376" s="44"/>
      <c r="NG376" s="44"/>
      <c r="NH376" s="44"/>
      <c r="NI376" s="44"/>
      <c r="NJ376" s="44"/>
      <c r="NK376" s="44"/>
      <c r="NL376" s="44"/>
      <c r="NM376" s="44"/>
      <c r="NN376" s="44"/>
      <c r="NO376" s="44"/>
      <c r="NP376" s="44"/>
      <c r="NQ376" s="44"/>
      <c r="NR376" s="44"/>
      <c r="NS376" s="44"/>
      <c r="NT376" s="44"/>
      <c r="NU376" s="44"/>
      <c r="NV376" s="44"/>
      <c r="NW376" s="44"/>
      <c r="NX376" s="44"/>
      <c r="NY376" s="44"/>
      <c r="NZ376" s="44"/>
      <c r="OA376" s="44"/>
      <c r="OB376" s="44"/>
      <c r="OC376" s="44"/>
      <c r="OD376" s="44"/>
      <c r="OE376" s="44"/>
      <c r="OF376" s="44"/>
      <c r="OG376" s="44"/>
      <c r="OH376" s="44"/>
      <c r="OI376" s="44"/>
      <c r="OJ376" s="44"/>
      <c r="OK376" s="44"/>
      <c r="OL376" s="44"/>
      <c r="OM376" s="44"/>
      <c r="ON376" s="44"/>
      <c r="OO376" s="44"/>
      <c r="OP376" s="44"/>
      <c r="OQ376" s="44"/>
      <c r="OR376" s="44"/>
      <c r="OS376" s="44"/>
      <c r="OT376" s="44"/>
      <c r="OU376" s="44"/>
      <c r="OV376" s="44"/>
      <c r="OW376" s="44"/>
      <c r="OX376" s="44"/>
      <c r="OY376" s="44"/>
      <c r="OZ376" s="44"/>
      <c r="PA376" s="44"/>
      <c r="PB376" s="44"/>
      <c r="PC376" s="44"/>
      <c r="PD376" s="44"/>
      <c r="PE376" s="44"/>
      <c r="PF376" s="44"/>
      <c r="PG376" s="44"/>
      <c r="PH376" s="44"/>
      <c r="PI376" s="44"/>
      <c r="PJ376" s="44"/>
      <c r="PK376" s="44"/>
      <c r="PL376" s="44"/>
      <c r="PM376" s="44"/>
      <c r="PN376" s="44"/>
      <c r="PO376" s="44"/>
      <c r="PP376" s="44"/>
      <c r="PQ376" s="44"/>
      <c r="PR376" s="44"/>
      <c r="PS376" s="44"/>
      <c r="PT376" s="44"/>
      <c r="PU376" s="44"/>
      <c r="PV376" s="44"/>
      <c r="PW376" s="44"/>
      <c r="PX376" s="44"/>
      <c r="PY376" s="44"/>
      <c r="PZ376" s="44"/>
      <c r="QA376" s="44"/>
      <c r="QB376" s="44"/>
      <c r="QC376" s="44"/>
      <c r="QD376" s="44"/>
      <c r="QE376" s="44"/>
      <c r="QF376" s="44"/>
      <c r="QG376" s="44"/>
      <c r="QH376" s="44"/>
      <c r="QI376" s="44"/>
      <c r="QJ376" s="44"/>
      <c r="QK376" s="44"/>
      <c r="QL376" s="44"/>
      <c r="QM376" s="44"/>
      <c r="QN376" s="44"/>
      <c r="QO376" s="44"/>
      <c r="QP376" s="44"/>
      <c r="QQ376" s="44"/>
      <c r="QR376" s="44"/>
      <c r="QS376" s="44"/>
      <c r="QT376" s="44"/>
      <c r="QU376" s="44"/>
      <c r="QV376" s="44"/>
      <c r="QW376" s="44"/>
      <c r="QX376" s="44"/>
      <c r="QY376" s="44"/>
      <c r="QZ376" s="44"/>
      <c r="RA376" s="44"/>
      <c r="RB376" s="44"/>
      <c r="RC376" s="44"/>
      <c r="RD376" s="44"/>
      <c r="RE376" s="44"/>
      <c r="RF376" s="44"/>
      <c r="RG376" s="44"/>
      <c r="RH376" s="44"/>
      <c r="RI376" s="44"/>
      <c r="RJ376" s="44"/>
      <c r="RK376" s="44"/>
      <c r="RL376" s="44"/>
      <c r="RM376" s="44"/>
      <c r="RN376" s="44"/>
      <c r="RO376" s="44"/>
      <c r="RP376" s="44"/>
      <c r="RQ376" s="44"/>
      <c r="RR376" s="44"/>
      <c r="RS376" s="44"/>
      <c r="RT376" s="44"/>
      <c r="RU376" s="44"/>
      <c r="RV376" s="44"/>
      <c r="RW376" s="44"/>
      <c r="RX376" s="44"/>
      <c r="RY376" s="44"/>
      <c r="RZ376" s="44"/>
      <c r="SA376" s="44"/>
      <c r="SB376" s="44"/>
      <c r="SC376" s="44"/>
      <c r="SD376" s="44"/>
      <c r="SE376" s="44"/>
      <c r="SF376" s="44"/>
      <c r="SG376" s="44"/>
      <c r="SH376" s="44"/>
      <c r="SI376" s="44"/>
      <c r="SJ376" s="44"/>
      <c r="SK376" s="44"/>
      <c r="SL376" s="44"/>
      <c r="SM376" s="44"/>
      <c r="SN376" s="44"/>
      <c r="SO376" s="44"/>
      <c r="SP376" s="44"/>
      <c r="SQ376" s="44"/>
      <c r="SR376" s="44"/>
      <c r="SS376" s="44"/>
      <c r="ST376" s="44"/>
      <c r="SU376" s="44"/>
      <c r="SV376" s="44"/>
      <c r="SW376" s="44"/>
      <c r="SX376" s="44"/>
      <c r="SY376" s="44"/>
      <c r="SZ376" s="44"/>
      <c r="TA376" s="44"/>
      <c r="TB376" s="44"/>
      <c r="TC376" s="44"/>
      <c r="TD376" s="44"/>
      <c r="TE376" s="44"/>
      <c r="TF376" s="44"/>
      <c r="TG376" s="44"/>
      <c r="TH376" s="44"/>
      <c r="TI376" s="44"/>
      <c r="TJ376" s="44"/>
      <c r="TK376" s="44"/>
      <c r="TL376" s="44"/>
      <c r="TM376" s="44"/>
      <c r="TN376" s="44"/>
      <c r="TO376" s="44"/>
      <c r="TP376" s="44"/>
      <c r="TQ376" s="44"/>
      <c r="TR376" s="44"/>
      <c r="TS376" s="44"/>
      <c r="TT376" s="44"/>
      <c r="TU376" s="44"/>
      <c r="TV376" s="44"/>
      <c r="TW376" s="44"/>
      <c r="TX376" s="44"/>
      <c r="TY376" s="44"/>
      <c r="TZ376" s="44"/>
      <c r="UA376" s="44"/>
      <c r="UB376" s="44"/>
      <c r="UC376" s="44"/>
      <c r="UD376" s="44"/>
      <c r="UE376" s="44"/>
      <c r="UF376" s="44"/>
      <c r="UG376" s="44"/>
      <c r="UH376" s="44"/>
      <c r="UI376" s="44"/>
      <c r="UJ376" s="44"/>
      <c r="UK376" s="44"/>
      <c r="UL376" s="44"/>
      <c r="UM376" s="44"/>
      <c r="UN376" s="44"/>
      <c r="UO376" s="44"/>
      <c r="UP376" s="44"/>
      <c r="UQ376" s="44"/>
      <c r="UR376" s="44"/>
      <c r="US376" s="44"/>
      <c r="UT376" s="44"/>
      <c r="UU376" s="44"/>
      <c r="UV376" s="44"/>
      <c r="UW376" s="44"/>
      <c r="UX376" s="44"/>
      <c r="UY376" s="44"/>
      <c r="UZ376" s="44"/>
      <c r="VA376" s="44"/>
      <c r="VB376" s="44"/>
      <c r="VC376" s="44"/>
      <c r="VD376" s="44"/>
      <c r="VE376" s="44"/>
      <c r="VF376" s="44"/>
      <c r="VG376" s="44"/>
      <c r="VH376" s="44"/>
      <c r="VI376" s="44"/>
      <c r="VJ376" s="44"/>
      <c r="VK376" s="44"/>
      <c r="VL376" s="44"/>
      <c r="VM376" s="44"/>
      <c r="VN376" s="44"/>
      <c r="VO376" s="44"/>
      <c r="VP376" s="44"/>
      <c r="VQ376" s="44"/>
      <c r="VR376" s="44"/>
      <c r="VS376" s="44"/>
      <c r="VT376" s="44"/>
      <c r="VU376" s="44"/>
      <c r="VV376" s="44"/>
      <c r="VW376" s="44"/>
      <c r="VX376" s="44"/>
      <c r="VY376" s="44"/>
      <c r="VZ376" s="44"/>
      <c r="WA376" s="44"/>
      <c r="WB376" s="44"/>
      <c r="WC376" s="44"/>
      <c r="WD376" s="44"/>
      <c r="WE376" s="44"/>
      <c r="WF376" s="44"/>
      <c r="WG376" s="44"/>
      <c r="WH376" s="44"/>
      <c r="WI376" s="44"/>
      <c r="WJ376" s="44"/>
      <c r="WK376" s="44"/>
      <c r="WL376" s="44"/>
      <c r="WM376" s="44"/>
      <c r="WN376" s="44"/>
      <c r="WO376" s="44"/>
      <c r="WP376" s="44"/>
      <c r="WQ376" s="44"/>
      <c r="WR376" s="44"/>
      <c r="WS376" s="44"/>
      <c r="WT376" s="44"/>
      <c r="WU376" s="44"/>
      <c r="WV376" s="44"/>
      <c r="WW376" s="44"/>
      <c r="WX376" s="44"/>
      <c r="WY376" s="44"/>
      <c r="WZ376" s="44"/>
      <c r="XA376" s="44"/>
      <c r="XB376" s="44"/>
      <c r="XC376" s="44"/>
      <c r="XD376" s="44"/>
      <c r="XE376" s="44"/>
      <c r="XF376" s="44"/>
      <c r="XG376" s="44"/>
      <c r="XH376" s="44"/>
      <c r="XI376" s="44"/>
      <c r="XJ376" s="44"/>
      <c r="XK376" s="44"/>
      <c r="XL376" s="44"/>
      <c r="XM376" s="44"/>
      <c r="XN376" s="44"/>
      <c r="XO376" s="44"/>
      <c r="XP376" s="44"/>
      <c r="XQ376" s="44"/>
      <c r="XR376" s="44"/>
      <c r="XS376" s="44"/>
      <c r="XT376" s="44"/>
      <c r="XU376" s="44"/>
      <c r="XV376" s="44"/>
      <c r="XW376" s="44"/>
      <c r="XX376" s="44"/>
      <c r="XY376" s="44"/>
      <c r="XZ376" s="44"/>
      <c r="YA376" s="44"/>
      <c r="YB376" s="44"/>
      <c r="YC376" s="44"/>
      <c r="YD376" s="44"/>
      <c r="YE376" s="44"/>
      <c r="YF376" s="44"/>
      <c r="YG376" s="44"/>
      <c r="YH376" s="44"/>
      <c r="YI376" s="44"/>
      <c r="YJ376" s="44"/>
      <c r="YK376" s="44"/>
      <c r="YL376" s="44"/>
      <c r="YM376" s="44"/>
      <c r="YN376" s="44"/>
      <c r="YO376" s="44"/>
      <c r="YP376" s="44"/>
      <c r="YQ376" s="44"/>
      <c r="YR376" s="44"/>
      <c r="YS376" s="44"/>
      <c r="YT376" s="44"/>
      <c r="YU376" s="44"/>
      <c r="YV376" s="44"/>
      <c r="YW376" s="44"/>
      <c r="YX376" s="44"/>
      <c r="YY376" s="44"/>
      <c r="YZ376" s="44"/>
      <c r="ZA376" s="44"/>
      <c r="ZB376" s="44"/>
      <c r="ZC376" s="44"/>
      <c r="ZD376" s="44"/>
      <c r="ZE376" s="44"/>
      <c r="ZF376" s="44"/>
      <c r="ZG376" s="44"/>
      <c r="ZH376" s="44"/>
      <c r="ZI376" s="44"/>
      <c r="ZJ376" s="44"/>
      <c r="ZK376" s="44"/>
      <c r="ZL376" s="44"/>
      <c r="ZM376" s="44"/>
      <c r="ZN376" s="44"/>
      <c r="ZO376" s="44"/>
      <c r="ZP376" s="44"/>
      <c r="ZQ376" s="44"/>
      <c r="ZR376" s="44"/>
      <c r="ZS376" s="44"/>
      <c r="ZT376" s="44"/>
      <c r="ZU376" s="44"/>
      <c r="ZV376" s="44"/>
      <c r="ZW376" s="44"/>
      <c r="ZX376" s="44"/>
      <c r="ZY376" s="44"/>
      <c r="ZZ376" s="44"/>
      <c r="AAA376" s="44"/>
      <c r="AAB376" s="44"/>
      <c r="AAC376" s="44"/>
      <c r="AAD376" s="44"/>
      <c r="AAE376" s="44"/>
      <c r="AAF376" s="44"/>
      <c r="AAG376" s="44"/>
      <c r="AAH376" s="44"/>
      <c r="AAI376" s="44"/>
      <c r="AAJ376" s="44"/>
      <c r="AAK376" s="44"/>
      <c r="AAL376" s="44"/>
      <c r="AAM376" s="44"/>
      <c r="AAN376" s="44"/>
      <c r="AAO376" s="44"/>
      <c r="AAP376" s="44"/>
      <c r="AAQ376" s="44"/>
      <c r="AAR376" s="44"/>
      <c r="AAS376" s="44"/>
      <c r="AAT376" s="44"/>
      <c r="AAU376" s="44"/>
      <c r="AAV376" s="44"/>
      <c r="AAW376" s="44"/>
      <c r="AAX376" s="44"/>
      <c r="AAY376" s="44"/>
      <c r="AAZ376" s="44"/>
      <c r="ABA376" s="44"/>
      <c r="ABB376" s="44"/>
      <c r="ABC376" s="44"/>
      <c r="ABD376" s="44"/>
      <c r="ABE376" s="44"/>
      <c r="ABF376" s="44"/>
      <c r="ABG376" s="44"/>
      <c r="ABH376" s="44"/>
      <c r="ABI376" s="44"/>
      <c r="ABJ376" s="44"/>
      <c r="ABK376" s="44"/>
      <c r="ABL376" s="44"/>
      <c r="ABM376" s="44"/>
      <c r="ABN376" s="44"/>
      <c r="ABO376" s="44"/>
      <c r="ABP376" s="44"/>
      <c r="ABQ376" s="44"/>
      <c r="ABR376" s="44"/>
      <c r="ABS376" s="44"/>
      <c r="ABT376" s="44"/>
      <c r="ABU376" s="44"/>
      <c r="ABV376" s="44"/>
      <c r="ABW376" s="44"/>
      <c r="ABX376" s="44"/>
      <c r="ABY376" s="44"/>
      <c r="ABZ376" s="44"/>
      <c r="ACA376" s="44"/>
      <c r="ACB376" s="44"/>
      <c r="ACC376" s="44"/>
      <c r="ACD376" s="44"/>
      <c r="ACE376" s="44"/>
      <c r="ACF376" s="44"/>
      <c r="ACG376" s="44"/>
      <c r="ACH376" s="44"/>
      <c r="ACI376" s="44"/>
      <c r="ACJ376" s="44"/>
      <c r="ACK376" s="44"/>
      <c r="ACL376" s="44"/>
      <c r="ACM376" s="44"/>
      <c r="ACN376" s="44"/>
      <c r="ACO376" s="44"/>
      <c r="ACP376" s="44"/>
      <c r="ACQ376" s="44"/>
      <c r="ACR376" s="44"/>
      <c r="ACS376" s="44"/>
      <c r="ACT376" s="44"/>
      <c r="ACU376" s="44"/>
      <c r="ACV376" s="44"/>
      <c r="ACW376" s="44"/>
      <c r="ACX376" s="44"/>
      <c r="ACY376" s="44"/>
      <c r="ACZ376" s="44"/>
      <c r="ADA376" s="44"/>
      <c r="ADB376" s="44"/>
      <c r="ADC376" s="44"/>
      <c r="ADD376" s="44"/>
      <c r="ADE376" s="44"/>
      <c r="ADF376" s="44"/>
      <c r="ADG376" s="44"/>
      <c r="ADH376" s="44"/>
      <c r="ADI376" s="44"/>
      <c r="ADJ376" s="44"/>
      <c r="ADK376" s="44"/>
      <c r="ADL376" s="44"/>
      <c r="ADM376" s="44"/>
      <c r="ADN376" s="44"/>
      <c r="ADO376" s="44"/>
      <c r="ADP376" s="44"/>
      <c r="ADQ376" s="44"/>
      <c r="ADR376" s="44"/>
      <c r="ADS376" s="44"/>
      <c r="ADT376" s="44"/>
      <c r="ADU376" s="44"/>
      <c r="ADV376" s="44"/>
      <c r="ADW376" s="44"/>
      <c r="ADX376" s="44"/>
      <c r="ADY376" s="44"/>
      <c r="ADZ376" s="44"/>
      <c r="AEA376" s="44"/>
      <c r="AEB376" s="44"/>
      <c r="AEC376" s="44"/>
      <c r="AED376" s="44"/>
      <c r="AEE376" s="44"/>
      <c r="AEF376" s="44"/>
      <c r="AEG376" s="44"/>
      <c r="AEH376" s="44"/>
      <c r="AEI376" s="44"/>
      <c r="AEJ376" s="44"/>
      <c r="AEK376" s="44"/>
      <c r="AEL376" s="44"/>
      <c r="AEM376" s="44"/>
      <c r="AEN376" s="44"/>
      <c r="AEO376" s="44"/>
      <c r="AEP376" s="44"/>
      <c r="AEQ376" s="44"/>
      <c r="AER376" s="44"/>
      <c r="AES376" s="44"/>
      <c r="AET376" s="44"/>
      <c r="AEU376" s="44"/>
      <c r="AEV376" s="44"/>
      <c r="AEW376" s="44"/>
      <c r="AEX376" s="44"/>
      <c r="AEY376" s="44"/>
      <c r="AEZ376" s="44"/>
      <c r="AFA376" s="44"/>
      <c r="AFB376" s="44"/>
      <c r="AFC376" s="44"/>
      <c r="AFD376" s="44"/>
      <c r="AFE376" s="44"/>
      <c r="AFF376" s="44"/>
      <c r="AFG376" s="44"/>
      <c r="AFH376" s="44"/>
      <c r="AFI376" s="44"/>
      <c r="AFJ376" s="44"/>
      <c r="AFK376" s="44"/>
      <c r="AFL376" s="44"/>
      <c r="AFM376" s="44"/>
      <c r="AFN376" s="44"/>
      <c r="AFO376" s="44"/>
      <c r="AFP376" s="44"/>
      <c r="AFQ376" s="44"/>
      <c r="AFR376" s="44"/>
      <c r="AFS376" s="44"/>
      <c r="AFT376" s="44"/>
      <c r="AFU376" s="44"/>
      <c r="AFV376" s="44"/>
      <c r="AFW376" s="44"/>
      <c r="AFX376" s="44"/>
      <c r="AFY376" s="44"/>
      <c r="AFZ376" s="44"/>
      <c r="AGA376" s="44"/>
      <c r="AGB376" s="44"/>
      <c r="AGC376" s="44"/>
      <c r="AGD376" s="44"/>
      <c r="AGE376" s="44"/>
      <c r="AGF376" s="44"/>
      <c r="AGG376" s="44"/>
      <c r="AGH376" s="44"/>
      <c r="AGI376" s="44"/>
      <c r="AGJ376" s="44"/>
      <c r="AGK376" s="44"/>
      <c r="AGL376" s="44"/>
      <c r="AGM376" s="44"/>
      <c r="AGN376" s="44"/>
      <c r="AGO376" s="44"/>
      <c r="AGP376" s="44"/>
      <c r="AGQ376" s="44"/>
      <c r="AGR376" s="44"/>
      <c r="AGS376" s="44"/>
      <c r="AGT376" s="44"/>
      <c r="AGU376" s="44"/>
      <c r="AGV376" s="44"/>
      <c r="AGW376" s="44"/>
      <c r="AGX376" s="44"/>
      <c r="AGY376" s="44"/>
      <c r="AGZ376" s="44"/>
      <c r="AHA376" s="44"/>
      <c r="AHB376" s="44"/>
      <c r="AHC376" s="44"/>
      <c r="AHD376" s="44"/>
      <c r="AHE376" s="44"/>
      <c r="AHF376" s="44"/>
      <c r="AHG376" s="44"/>
      <c r="AHH376" s="44"/>
      <c r="AHI376" s="44"/>
      <c r="AHJ376" s="44"/>
      <c r="AHK376" s="44"/>
      <c r="AHL376" s="44"/>
      <c r="AHM376" s="44"/>
      <c r="AHN376" s="44"/>
      <c r="AHO376" s="44"/>
      <c r="AHP376" s="44"/>
      <c r="AHQ376" s="44"/>
      <c r="AHR376" s="44"/>
      <c r="AHS376" s="44"/>
      <c r="AHT376" s="44"/>
      <c r="AHU376" s="44"/>
      <c r="AHV376" s="44"/>
      <c r="AHW376" s="44"/>
      <c r="AHX376" s="44"/>
      <c r="AHY376" s="44"/>
      <c r="AHZ376" s="44"/>
      <c r="AIA376" s="44"/>
      <c r="AIB376" s="44"/>
      <c r="AIC376" s="44"/>
      <c r="AID376" s="44"/>
      <c r="AIE376" s="44"/>
      <c r="AIF376" s="44"/>
      <c r="AIG376" s="44"/>
      <c r="AIH376" s="44"/>
      <c r="AII376" s="44"/>
      <c r="AIJ376" s="44"/>
      <c r="AIK376" s="44"/>
      <c r="AIL376" s="44"/>
      <c r="AIM376" s="44"/>
      <c r="AIN376" s="44"/>
      <c r="AIO376" s="44"/>
      <c r="AIP376" s="44"/>
      <c r="AIQ376" s="44"/>
      <c r="AIR376" s="44"/>
      <c r="AIS376" s="44"/>
      <c r="AIT376" s="44"/>
      <c r="AIU376" s="44"/>
      <c r="AIV376" s="44"/>
      <c r="AIW376" s="44"/>
      <c r="AIX376" s="44"/>
      <c r="AIY376" s="44"/>
      <c r="AIZ376" s="44"/>
      <c r="AJA376" s="44"/>
      <c r="AJB376" s="44"/>
      <c r="AJC376" s="44"/>
      <c r="AJD376" s="44"/>
      <c r="AJE376" s="44"/>
      <c r="AJF376" s="44"/>
      <c r="AJG376" s="44"/>
      <c r="AJH376" s="44"/>
      <c r="AJI376" s="44"/>
      <c r="AJJ376" s="44"/>
      <c r="AJK376" s="44"/>
      <c r="AJL376" s="44"/>
      <c r="AJM376" s="44"/>
      <c r="AJN376" s="44"/>
      <c r="AJO376" s="44"/>
      <c r="AJP376" s="44"/>
      <c r="AJQ376" s="44"/>
      <c r="AJR376" s="44"/>
      <c r="AJS376" s="44"/>
      <c r="AJT376" s="44"/>
      <c r="AJU376" s="44"/>
      <c r="AJV376" s="44"/>
      <c r="AJW376" s="44"/>
      <c r="AJX376" s="44"/>
      <c r="AJY376" s="44"/>
      <c r="AJZ376" s="44"/>
      <c r="AKA376" s="44"/>
      <c r="AKB376" s="44"/>
      <c r="AKC376" s="44"/>
      <c r="AKD376" s="44"/>
      <c r="AKE376" s="44"/>
      <c r="AKF376" s="44"/>
      <c r="AKG376" s="44"/>
      <c r="AKH376" s="44"/>
      <c r="AKI376" s="44"/>
      <c r="AKJ376" s="44"/>
      <c r="AKK376" s="44"/>
      <c r="AKL376" s="44"/>
      <c r="AKM376" s="44"/>
      <c r="AKN376" s="44"/>
      <c r="AKO376" s="44"/>
      <c r="AKP376" s="44"/>
      <c r="AKQ376" s="44"/>
      <c r="AKR376" s="44"/>
      <c r="AKS376" s="44"/>
      <c r="AKT376" s="44"/>
      <c r="AKU376" s="44"/>
      <c r="AKV376" s="44"/>
      <c r="AKW376" s="44"/>
      <c r="AKX376" s="44"/>
      <c r="AKY376" s="44"/>
      <c r="AKZ376" s="44"/>
      <c r="ALA376" s="44"/>
      <c r="ALB376" s="44"/>
      <c r="ALC376" s="44"/>
      <c r="ALD376" s="44"/>
      <c r="ALE376" s="44"/>
      <c r="ALF376" s="44"/>
      <c r="ALG376" s="44"/>
      <c r="ALH376" s="44"/>
      <c r="ALI376" s="44"/>
      <c r="ALJ376" s="44"/>
      <c r="ALK376" s="44"/>
      <c r="ALL376" s="44"/>
      <c r="ALM376" s="44"/>
      <c r="ALN376" s="44"/>
      <c r="ALO376" s="44"/>
      <c r="ALP376" s="44"/>
      <c r="ALQ376" s="44"/>
      <c r="ALR376" s="44"/>
      <c r="ALS376" s="44"/>
      <c r="ALT376" s="44"/>
      <c r="ALU376" s="44"/>
      <c r="ALV376" s="44"/>
      <c r="ALW376" s="44"/>
      <c r="ALX376" s="44"/>
      <c r="ALY376" s="44"/>
      <c r="ALZ376" s="44"/>
      <c r="AMA376" s="44"/>
      <c r="AMB376" s="44"/>
      <c r="AMC376" s="44"/>
      <c r="AMD376" s="44"/>
      <c r="AME376" s="44"/>
      <c r="AMF376" s="44"/>
      <c r="AMG376" s="44"/>
      <c r="AMH376" s="44"/>
      <c r="AMI376" s="44"/>
      <c r="AMJ376" s="44"/>
    </row>
    <row r="377" spans="1:1024" ht="27.6">
      <c r="A377" s="16" t="s">
        <v>367</v>
      </c>
      <c r="B377" s="16">
        <v>200292</v>
      </c>
      <c r="C377" s="16" t="s">
        <v>831</v>
      </c>
      <c r="D377" s="29"/>
      <c r="E377" s="1">
        <v>0</v>
      </c>
      <c r="F377" s="16">
        <v>0</v>
      </c>
      <c r="G377" s="30">
        <f t="shared" si="18"/>
        <v>-1.6666666666666665</v>
      </c>
      <c r="H377" s="16">
        <f t="shared" si="20"/>
        <v>1.6666666666666665</v>
      </c>
      <c r="I377" s="11">
        <f t="shared" si="19"/>
        <v>1.6666666666666665</v>
      </c>
      <c r="J377" s="11">
        <f>SUMIF(Oeffentlichkeitsarbeit!$D:$D,$B377,Oeffentlichkeitsarbeit!$F:$F)</f>
        <v>0</v>
      </c>
      <c r="K377" s="11">
        <f>COUNTIF(Fairteiler!$D:$D,$B377)*1/2</f>
        <v>0</v>
      </c>
      <c r="L377" s="11">
        <f>COUNTIF('NP-Betrieb'!D:D,$B377)*1/3</f>
        <v>0.33333333333333331</v>
      </c>
      <c r="M377" s="11">
        <f>COUNTIF(Fairteilungen!$D:$D,$B377)*3/4</f>
        <v>0</v>
      </c>
      <c r="N377" s="11">
        <f>COUNTIF(Anlieferung!D:D,$B377)*1/2</f>
        <v>0</v>
      </c>
      <c r="O377" s="11">
        <f>COUNTIF(Probeabholungen!B:B,$B377)*1/3</f>
        <v>1.3333333333333333</v>
      </c>
    </row>
    <row r="378" spans="1:1024" ht="27.6">
      <c r="A378" s="8" t="s">
        <v>368</v>
      </c>
      <c r="B378" s="8">
        <v>546335</v>
      </c>
      <c r="D378" s="29"/>
      <c r="E378" s="1">
        <v>2</v>
      </c>
      <c r="F378" s="8">
        <v>6</v>
      </c>
      <c r="G378" s="30">
        <f t="shared" si="18"/>
        <v>8</v>
      </c>
      <c r="H378" s="8">
        <f t="shared" si="20"/>
        <v>-2</v>
      </c>
      <c r="I378">
        <f t="shared" si="19"/>
        <v>0</v>
      </c>
      <c r="J378">
        <f>SUMIF(Oeffentlichkeitsarbeit!$D:$D,$B378,Oeffentlichkeitsarbeit!$F:$F)</f>
        <v>0</v>
      </c>
      <c r="K378">
        <f>COUNTIF(Fairteiler!$D:$D,$B378)*1/2</f>
        <v>0</v>
      </c>
      <c r="L378">
        <f>COUNTIF('NP-Betrieb'!D:D,$B378)*1/3</f>
        <v>0</v>
      </c>
      <c r="M378">
        <f>COUNTIF(Fairteilungen!$D:$D,$B378)*3/4</f>
        <v>0</v>
      </c>
      <c r="N378">
        <f>COUNTIF(Anlieferung!D:D,$B378)*1/2</f>
        <v>0</v>
      </c>
      <c r="O378">
        <f>COUNTIF(Probeabholungen!B:B,$B378)*1/3</f>
        <v>0</v>
      </c>
    </row>
    <row r="379" spans="1:1024" ht="27.6">
      <c r="A379" s="8" t="s">
        <v>369</v>
      </c>
      <c r="B379" s="8">
        <v>609003</v>
      </c>
      <c r="D379" s="29">
        <v>45142</v>
      </c>
      <c r="E379" s="1">
        <v>0</v>
      </c>
      <c r="F379" s="8">
        <v>6</v>
      </c>
      <c r="G379" s="30">
        <f t="shared" si="18"/>
        <v>6</v>
      </c>
      <c r="H379" s="8">
        <f t="shared" si="20"/>
        <v>0</v>
      </c>
      <c r="I379">
        <f t="shared" si="19"/>
        <v>0</v>
      </c>
      <c r="J379">
        <f>SUMIF(Oeffentlichkeitsarbeit!$D:$D,$B379,Oeffentlichkeitsarbeit!$F:$F)</f>
        <v>0</v>
      </c>
      <c r="K379">
        <f>COUNTIF(Fairteiler!$D:$D,$B379)*1/2</f>
        <v>0</v>
      </c>
      <c r="L379">
        <f>COUNTIF('NP-Betrieb'!D:D,$B379)*1/3</f>
        <v>0</v>
      </c>
      <c r="M379">
        <f>COUNTIF(Fairteilungen!$D:$D,$B379)*3/4</f>
        <v>0</v>
      </c>
      <c r="N379">
        <f>COUNTIF(Anlieferung!D:D,$B379)*1/2</f>
        <v>0</v>
      </c>
      <c r="O379">
        <f>COUNTIF(Probeabholungen!B:B,$B379)*1/3</f>
        <v>0</v>
      </c>
    </row>
    <row r="380" spans="1:1024" ht="27.6">
      <c r="A380" s="8" t="s">
        <v>370</v>
      </c>
      <c r="B380" s="8">
        <v>476887</v>
      </c>
      <c r="C380" s="44"/>
      <c r="D380" s="29"/>
      <c r="E380" s="1">
        <v>12</v>
      </c>
      <c r="F380" s="8">
        <v>6</v>
      </c>
      <c r="G380" s="30">
        <f t="shared" si="18"/>
        <v>18</v>
      </c>
      <c r="H380" s="8">
        <f t="shared" si="20"/>
        <v>-12</v>
      </c>
      <c r="I380" s="44">
        <f t="shared" si="19"/>
        <v>0</v>
      </c>
      <c r="J380" s="44">
        <f>SUMIF(Oeffentlichkeitsarbeit!$D:$D,$B380,Oeffentlichkeitsarbeit!$F:$F)</f>
        <v>0</v>
      </c>
      <c r="K380" s="44">
        <f>COUNTIF(Fairteiler!$D:$D,$B380)*1/2</f>
        <v>0</v>
      </c>
      <c r="L380" s="44">
        <f>COUNTIF('NP-Betrieb'!D:D,$B380)*1/3</f>
        <v>0</v>
      </c>
      <c r="M380" s="44">
        <f>COUNTIF(Fairteilungen!$D:$D,$B380)*3/4</f>
        <v>0</v>
      </c>
      <c r="N380" s="44">
        <f>COUNTIF(Anlieferung!D:D,$B380)*1/2</f>
        <v>0</v>
      </c>
      <c r="O380" s="44">
        <f>COUNTIF(Probeabholungen!B:B,$B380)*1/3</f>
        <v>0</v>
      </c>
    </row>
    <row r="381" spans="1:1024" ht="27.6">
      <c r="A381" s="16" t="s">
        <v>371</v>
      </c>
      <c r="B381" s="16">
        <v>267370</v>
      </c>
      <c r="C381" s="16" t="s">
        <v>831</v>
      </c>
      <c r="D381" s="29"/>
      <c r="E381" s="1">
        <v>0</v>
      </c>
      <c r="F381" s="16">
        <v>0</v>
      </c>
      <c r="G381" s="30">
        <f t="shared" si="18"/>
        <v>-2</v>
      </c>
      <c r="H381" s="16">
        <f t="shared" si="20"/>
        <v>2</v>
      </c>
      <c r="I381" s="11">
        <f t="shared" si="19"/>
        <v>2</v>
      </c>
      <c r="J381" s="11">
        <f>SUMIF(Oeffentlichkeitsarbeit!$D:$D,$B381,Oeffentlichkeitsarbeit!$F:$F)</f>
        <v>0</v>
      </c>
      <c r="K381" s="11">
        <f>COUNTIF(Fairteiler!$D:$D,$B381)*1/2</f>
        <v>1</v>
      </c>
      <c r="L381" s="11">
        <f>COUNTIF('NP-Betrieb'!D:D,$B381)*1/3</f>
        <v>1</v>
      </c>
      <c r="M381" s="11">
        <f>COUNTIF(Fairteilungen!$D:$D,$B381)*3/4</f>
        <v>0</v>
      </c>
      <c r="N381" s="11">
        <f>COUNTIF(Anlieferung!D:D,$B381)*1/2</f>
        <v>0</v>
      </c>
      <c r="O381" s="11">
        <f>COUNTIF(Probeabholungen!B:B,$B381)*1/3</f>
        <v>0</v>
      </c>
    </row>
    <row r="382" spans="1:1024" ht="27.6">
      <c r="A382" s="8" t="s">
        <v>372</v>
      </c>
      <c r="B382" s="8">
        <v>541166</v>
      </c>
      <c r="D382" s="29"/>
      <c r="E382" s="1">
        <v>0</v>
      </c>
      <c r="F382" s="8">
        <v>6</v>
      </c>
      <c r="G382" s="30">
        <f t="shared" si="18"/>
        <v>5.666666666666667</v>
      </c>
      <c r="H382" s="8">
        <f t="shared" si="20"/>
        <v>0.33333333333333331</v>
      </c>
      <c r="I382">
        <f t="shared" si="19"/>
        <v>0.33333333333333331</v>
      </c>
      <c r="J382">
        <f>SUMIF(Oeffentlichkeitsarbeit!$D:$D,$B382,Oeffentlichkeitsarbeit!$F:$F)</f>
        <v>0</v>
      </c>
      <c r="K382">
        <f>COUNTIF(Fairteiler!$D:$D,$B382)*1/2</f>
        <v>0</v>
      </c>
      <c r="L382">
        <f>COUNTIF('NP-Betrieb'!D:D,$B382)*1/3</f>
        <v>0.33333333333333331</v>
      </c>
      <c r="M382">
        <f>COUNTIF(Fairteilungen!$D:$D,$B382)*3/4</f>
        <v>0</v>
      </c>
      <c r="N382">
        <f>COUNTIF(Anlieferung!D:D,$B382)*1/2</f>
        <v>0</v>
      </c>
      <c r="O382">
        <f>COUNTIF(Probeabholungen!B:B,$B382)*1/3</f>
        <v>0</v>
      </c>
    </row>
    <row r="383" spans="1:1024" ht="41.4">
      <c r="A383" s="8" t="s">
        <v>373</v>
      </c>
      <c r="B383" s="8">
        <v>487210</v>
      </c>
      <c r="D383" s="29"/>
      <c r="E383" s="1">
        <v>0</v>
      </c>
      <c r="F383" s="8">
        <v>6</v>
      </c>
      <c r="G383" s="30">
        <f t="shared" si="18"/>
        <v>4.333333333333333</v>
      </c>
      <c r="H383" s="8">
        <f t="shared" si="20"/>
        <v>1.6666666666666667</v>
      </c>
      <c r="I383">
        <f t="shared" si="19"/>
        <v>1.6666666666666667</v>
      </c>
      <c r="J383">
        <f>SUMIF(Oeffentlichkeitsarbeit!$D:$D,$B383,Oeffentlichkeitsarbeit!$F:$F)</f>
        <v>0</v>
      </c>
      <c r="K383">
        <f>COUNTIF(Fairteiler!$D:$D,$B383)*1/2</f>
        <v>0</v>
      </c>
      <c r="L383">
        <f>COUNTIF('NP-Betrieb'!D:D,$B383)*1/3</f>
        <v>1.6666666666666667</v>
      </c>
      <c r="M383">
        <f>COUNTIF(Fairteilungen!$D:$D,$B383)*3/4</f>
        <v>0</v>
      </c>
      <c r="N383">
        <f>COUNTIF(Anlieferung!D:D,$B383)*1/2</f>
        <v>0</v>
      </c>
      <c r="O383">
        <f>COUNTIF(Probeabholungen!B:B,$B383)*1/3</f>
        <v>0</v>
      </c>
    </row>
    <row r="384" spans="1:1024">
      <c r="A384" s="16" t="s">
        <v>374</v>
      </c>
      <c r="B384" s="16">
        <v>541315</v>
      </c>
      <c r="C384" s="31" t="s">
        <v>835</v>
      </c>
      <c r="D384" s="32">
        <v>45117</v>
      </c>
      <c r="E384" s="1">
        <v>0</v>
      </c>
      <c r="F384" s="16">
        <v>0</v>
      </c>
      <c r="G384" s="33">
        <f t="shared" si="18"/>
        <v>-4.1666666666666661</v>
      </c>
      <c r="H384" s="16">
        <f t="shared" si="20"/>
        <v>4.1666666666666661</v>
      </c>
      <c r="I384" s="31">
        <f t="shared" si="19"/>
        <v>4.1666666666666661</v>
      </c>
      <c r="J384" s="31">
        <f>SUMIF(Oeffentlichkeitsarbeit!$D:$D,$B384,Oeffentlichkeitsarbeit!$F:$F)</f>
        <v>1.5</v>
      </c>
      <c r="K384" s="31">
        <f>COUNTIF(Fairteiler!$D:$D,$B384)*1/2</f>
        <v>0</v>
      </c>
      <c r="L384" s="31">
        <f>COUNTIF('NP-Betrieb'!D:D,$B384)*1/3</f>
        <v>2.6666666666666665</v>
      </c>
      <c r="M384" s="31">
        <f>COUNTIF(Fairteilungen!$D:$D,$B384)*3/4</f>
        <v>0</v>
      </c>
      <c r="N384" s="31">
        <f>COUNTIF(Anlieferung!D:D,$B384)*1/2</f>
        <v>0</v>
      </c>
      <c r="O384" s="31">
        <f>COUNTIF(Probeabholungen!B:B,$B384)*1/3</f>
        <v>0</v>
      </c>
    </row>
    <row r="385" spans="1:15" ht="27.6">
      <c r="A385" s="8" t="s">
        <v>375</v>
      </c>
      <c r="B385" s="8">
        <v>163348</v>
      </c>
      <c r="C385" s="11"/>
      <c r="D385" s="29"/>
      <c r="E385" s="1">
        <v>0</v>
      </c>
      <c r="F385" s="8">
        <v>6</v>
      </c>
      <c r="G385" s="30">
        <f t="shared" si="18"/>
        <v>5.666666666666667</v>
      </c>
      <c r="H385" s="8">
        <f t="shared" si="20"/>
        <v>0.33333333333333331</v>
      </c>
      <c r="I385" s="11">
        <f t="shared" si="19"/>
        <v>0.33333333333333331</v>
      </c>
      <c r="J385" s="11">
        <f>SUMIF(Oeffentlichkeitsarbeit!$D:$D,$B385,Oeffentlichkeitsarbeit!$F:$F)</f>
        <v>0</v>
      </c>
      <c r="K385" s="11">
        <f>COUNTIF(Fairteiler!$D:$D,$B385)*1/2</f>
        <v>0</v>
      </c>
      <c r="L385" s="11">
        <f>COUNTIF('NP-Betrieb'!D:D,$B385)*1/3</f>
        <v>0.33333333333333331</v>
      </c>
      <c r="M385" s="11">
        <f>COUNTIF(Fairteilungen!$D:$D,$B385)*3/4</f>
        <v>0</v>
      </c>
      <c r="N385" s="11">
        <f>COUNTIF(Anlieferung!D:D,$B385)*1/2</f>
        <v>0</v>
      </c>
      <c r="O385" s="11">
        <f>COUNTIF(Probeabholungen!B:B,$B385)*1/3</f>
        <v>0</v>
      </c>
    </row>
    <row r="386" spans="1:15">
      <c r="A386" s="8" t="s">
        <v>376</v>
      </c>
      <c r="B386" s="8">
        <v>818752</v>
      </c>
      <c r="D386" s="24">
        <v>45594</v>
      </c>
      <c r="E386" s="1">
        <v>0.66666666666666696</v>
      </c>
      <c r="F386" s="8">
        <v>6</v>
      </c>
      <c r="G386" s="30">
        <f t="shared" ref="G386:G449" si="21">F386-H386</f>
        <v>3.666666666666667</v>
      </c>
      <c r="H386" s="8">
        <f t="shared" si="20"/>
        <v>2.333333333333333</v>
      </c>
      <c r="I386">
        <f t="shared" ref="I386:I449" si="22">SUM(J386:O386)</f>
        <v>3</v>
      </c>
      <c r="J386">
        <f>SUMIF(Oeffentlichkeitsarbeit!$D:$D,$B386,Oeffentlichkeitsarbeit!$F:$F)</f>
        <v>0</v>
      </c>
      <c r="K386">
        <f>COUNTIF(Fairteiler!$D:$D,$B386)*1/2</f>
        <v>0</v>
      </c>
      <c r="L386">
        <f>COUNTIF('NP-Betrieb'!D:D,$B386)*1/3</f>
        <v>3</v>
      </c>
      <c r="M386">
        <f>COUNTIF(Fairteilungen!$D:$D,$B386)*3/4</f>
        <v>0</v>
      </c>
      <c r="N386">
        <f>COUNTIF(Anlieferung!D:D,$B386)*1/2</f>
        <v>0</v>
      </c>
      <c r="O386">
        <f>COUNTIF(Probeabholungen!B:B,$B386)*1/3</f>
        <v>0</v>
      </c>
    </row>
    <row r="387" spans="1:15" ht="27.6">
      <c r="A387" s="16" t="s">
        <v>377</v>
      </c>
      <c r="B387" s="16">
        <v>562361</v>
      </c>
      <c r="C387" s="16" t="s">
        <v>831</v>
      </c>
      <c r="D387" s="29"/>
      <c r="E387" s="1">
        <v>0</v>
      </c>
      <c r="F387" s="16">
        <v>0</v>
      </c>
      <c r="G387" s="30">
        <f t="shared" si="21"/>
        <v>0</v>
      </c>
      <c r="H387" s="16">
        <f t="shared" si="20"/>
        <v>0</v>
      </c>
      <c r="I387" s="11">
        <f t="shared" si="22"/>
        <v>0</v>
      </c>
      <c r="J387" s="11">
        <f>SUMIF(Oeffentlichkeitsarbeit!$D:$D,$B387,Oeffentlichkeitsarbeit!$F:$F)</f>
        <v>0</v>
      </c>
      <c r="K387" s="11">
        <f>COUNTIF(Fairteiler!$D:$D,$B387)*1/2</f>
        <v>0</v>
      </c>
      <c r="L387" s="11">
        <f>COUNTIF('NP-Betrieb'!D:D,$B387)*1/3</f>
        <v>0</v>
      </c>
      <c r="M387" s="11">
        <f>COUNTIF(Fairteilungen!$D:$D,$B387)*3/4</f>
        <v>0</v>
      </c>
      <c r="N387" s="11">
        <f>COUNTIF(Anlieferung!D:D,$B387)*1/2</f>
        <v>0</v>
      </c>
      <c r="O387" s="11">
        <f>COUNTIF(Probeabholungen!B:B,$B387)*1/3</f>
        <v>0</v>
      </c>
    </row>
    <row r="388" spans="1:15">
      <c r="A388" s="8" t="s">
        <v>378</v>
      </c>
      <c r="B388" s="8">
        <v>643668</v>
      </c>
      <c r="C388" s="44"/>
      <c r="D388" s="29"/>
      <c r="E388" s="1">
        <v>3.3333333333333299</v>
      </c>
      <c r="F388" s="8">
        <v>6</v>
      </c>
      <c r="G388" s="30">
        <f t="shared" si="21"/>
        <v>8.6666666666666643</v>
      </c>
      <c r="H388" s="8">
        <f t="shared" si="20"/>
        <v>-2.6666666666666634</v>
      </c>
      <c r="I388" s="44">
        <f t="shared" si="22"/>
        <v>0.66666666666666663</v>
      </c>
      <c r="J388" s="44">
        <f>SUMIF(Oeffentlichkeitsarbeit!$D:$D,$B388,Oeffentlichkeitsarbeit!$F:$F)</f>
        <v>0</v>
      </c>
      <c r="K388" s="44">
        <f>COUNTIF(Fairteiler!$D:$D,$B388)*1/2</f>
        <v>0</v>
      </c>
      <c r="L388" s="44">
        <f>COUNTIF('NP-Betrieb'!D:D,$B388)*1/3</f>
        <v>0.66666666666666663</v>
      </c>
      <c r="M388" s="44">
        <f>COUNTIF(Fairteilungen!$D:$D,$B388)*3/4</f>
        <v>0</v>
      </c>
      <c r="N388" s="44">
        <f>COUNTIF(Anlieferung!D:D,$B388)*1/2</f>
        <v>0</v>
      </c>
      <c r="O388" s="44">
        <f>COUNTIF(Probeabholungen!B:B,$B388)*1/3</f>
        <v>0</v>
      </c>
    </row>
    <row r="389" spans="1:15" ht="27.6">
      <c r="A389" s="8" t="s">
        <v>379</v>
      </c>
      <c r="B389" s="8">
        <v>568663</v>
      </c>
      <c r="D389" s="29"/>
      <c r="E389" s="1">
        <v>0</v>
      </c>
      <c r="F389" s="8">
        <v>6</v>
      </c>
      <c r="G389" s="30">
        <f t="shared" si="21"/>
        <v>-3.1666666666666661</v>
      </c>
      <c r="H389" s="8">
        <f t="shared" si="20"/>
        <v>9.1666666666666661</v>
      </c>
      <c r="I389">
        <f t="shared" si="22"/>
        <v>9.1666666666666661</v>
      </c>
      <c r="J389">
        <f>SUMIF(Oeffentlichkeitsarbeit!$D:$D,$B389,Oeffentlichkeitsarbeit!$F:$F)</f>
        <v>0</v>
      </c>
      <c r="K389">
        <f>COUNTIF(Fairteiler!$D:$D,$B389)*1/2</f>
        <v>5.5</v>
      </c>
      <c r="L389">
        <f>COUNTIF('NP-Betrieb'!D:D,$B389)*1/3</f>
        <v>3.6666666666666665</v>
      </c>
      <c r="M389">
        <f>COUNTIF(Fairteilungen!$D:$D,$B389)*3/4</f>
        <v>0</v>
      </c>
      <c r="N389">
        <f>COUNTIF(Anlieferung!D:D,$B389)*1/2</f>
        <v>0</v>
      </c>
      <c r="O389">
        <f>COUNTIF(Probeabholungen!B:B,$B389)*1/3</f>
        <v>0</v>
      </c>
    </row>
    <row r="390" spans="1:15">
      <c r="A390" s="8" t="s">
        <v>856</v>
      </c>
      <c r="B390" s="8">
        <v>373118</v>
      </c>
      <c r="D390" s="24">
        <v>46077</v>
      </c>
      <c r="E390">
        <v>0</v>
      </c>
      <c r="F390">
        <v>5</v>
      </c>
      <c r="G390" s="30">
        <f t="shared" si="21"/>
        <v>4.333333333333333</v>
      </c>
      <c r="H390" s="8">
        <f t="shared" si="20"/>
        <v>0.66666666666666663</v>
      </c>
      <c r="I390">
        <f t="shared" si="22"/>
        <v>0.66666666666666663</v>
      </c>
      <c r="J390">
        <f>SUMIF(Oeffentlichkeitsarbeit!$D:$D,$B390,Oeffentlichkeitsarbeit!$F:$F)</f>
        <v>0</v>
      </c>
      <c r="K390">
        <f>COUNTIF(Fairteiler!$D:$D,$B390)*1/2</f>
        <v>0</v>
      </c>
      <c r="L390">
        <f>COUNTIF('NP-Betrieb'!D:D,$B390)*1/3</f>
        <v>0.66666666666666663</v>
      </c>
      <c r="M390">
        <f>COUNTIF(Fairteilungen!$D:$D,$B390)*3/4</f>
        <v>0</v>
      </c>
      <c r="N390">
        <f>COUNTIF(Anlieferung!D:D,$B390)*1/2</f>
        <v>0</v>
      </c>
      <c r="O390">
        <f>COUNTIF(Probeabholungen!B:B,$B390)*1/3</f>
        <v>0</v>
      </c>
    </row>
    <row r="391" spans="1:15" ht="41.4">
      <c r="A391" s="16" t="s">
        <v>380</v>
      </c>
      <c r="B391" s="16">
        <v>288222</v>
      </c>
      <c r="C391" s="16" t="s">
        <v>852</v>
      </c>
      <c r="D391" s="32"/>
      <c r="E391" s="1">
        <v>0</v>
      </c>
      <c r="F391" s="16">
        <v>0</v>
      </c>
      <c r="G391" s="33">
        <f t="shared" si="21"/>
        <v>-0.33333333333333331</v>
      </c>
      <c r="H391" s="16">
        <f t="shared" si="20"/>
        <v>0.33333333333333331</v>
      </c>
      <c r="I391" s="31">
        <f t="shared" si="22"/>
        <v>0.33333333333333331</v>
      </c>
      <c r="J391" s="31">
        <f>SUMIF(Oeffentlichkeitsarbeit!$D:$D,$B391,Oeffentlichkeitsarbeit!$F:$F)</f>
        <v>0</v>
      </c>
      <c r="K391" s="31">
        <f>COUNTIF(Fairteiler!$D:$D,$B391)*1/2</f>
        <v>0</v>
      </c>
      <c r="L391" s="31">
        <f>COUNTIF('NP-Betrieb'!D:D,$B391)*1/3</f>
        <v>0.33333333333333331</v>
      </c>
      <c r="M391" s="31">
        <f>COUNTIF(Fairteilungen!$D:$D,$B391)*3/4</f>
        <v>0</v>
      </c>
      <c r="N391" s="31">
        <f>COUNTIF(Anlieferung!D:D,$B391)*1/2</f>
        <v>0</v>
      </c>
      <c r="O391" s="31">
        <f>COUNTIF(Probeabholungen!B:B,$B391)*1/3</f>
        <v>0</v>
      </c>
    </row>
    <row r="392" spans="1:15" ht="27.6">
      <c r="A392" s="8" t="s">
        <v>381</v>
      </c>
      <c r="B392" s="8">
        <v>761889</v>
      </c>
      <c r="D392" s="29">
        <v>45117</v>
      </c>
      <c r="E392" s="1">
        <v>0</v>
      </c>
      <c r="F392" s="8">
        <v>6</v>
      </c>
      <c r="G392" s="30">
        <f t="shared" si="21"/>
        <v>3.6666666666666665</v>
      </c>
      <c r="H392" s="8">
        <f t="shared" si="20"/>
        <v>2.3333333333333335</v>
      </c>
      <c r="I392">
        <f t="shared" si="22"/>
        <v>2.3333333333333335</v>
      </c>
      <c r="J392">
        <f>SUMIF(Oeffentlichkeitsarbeit!$D:$D,$B392,Oeffentlichkeitsarbeit!$F:$F)</f>
        <v>0</v>
      </c>
      <c r="K392">
        <f>COUNTIF(Fairteiler!$D:$D,$B392)*1/2</f>
        <v>0</v>
      </c>
      <c r="L392">
        <f>COUNTIF('NP-Betrieb'!D:D,$B392)*1/3</f>
        <v>2.3333333333333335</v>
      </c>
      <c r="M392">
        <f>COUNTIF(Fairteilungen!$D:$D,$B392)*3/4</f>
        <v>0</v>
      </c>
      <c r="N392">
        <f>COUNTIF(Anlieferung!D:D,$B392)*1/2</f>
        <v>0</v>
      </c>
      <c r="O392">
        <f>COUNTIF(Probeabholungen!B:B,$B392)*1/3</f>
        <v>0</v>
      </c>
    </row>
    <row r="393" spans="1:15">
      <c r="A393" s="8" t="s">
        <v>382</v>
      </c>
      <c r="B393" s="8">
        <v>125197</v>
      </c>
      <c r="D393" s="29"/>
      <c r="E393" s="1">
        <v>0</v>
      </c>
      <c r="F393" s="8">
        <v>6</v>
      </c>
      <c r="G393" s="30">
        <f t="shared" si="21"/>
        <v>6</v>
      </c>
      <c r="H393" s="8">
        <f t="shared" si="20"/>
        <v>0</v>
      </c>
      <c r="I393">
        <f t="shared" si="22"/>
        <v>0</v>
      </c>
      <c r="J393">
        <f>SUMIF(Oeffentlichkeitsarbeit!$D:$D,$B393,Oeffentlichkeitsarbeit!$F:$F)</f>
        <v>0</v>
      </c>
      <c r="K393">
        <f>COUNTIF(Fairteiler!$D:$D,$B393)*1/2</f>
        <v>0</v>
      </c>
      <c r="L393">
        <f>COUNTIF('NP-Betrieb'!D:D,$B393)*1/3</f>
        <v>0</v>
      </c>
      <c r="M393">
        <f>COUNTIF(Fairteilungen!$D:$D,$B393)*3/4</f>
        <v>0</v>
      </c>
      <c r="N393">
        <f>COUNTIF(Anlieferung!D:D,$B393)*1/2</f>
        <v>0</v>
      </c>
      <c r="O393">
        <f>COUNTIF(Probeabholungen!B:B,$B393)*1/3</f>
        <v>0</v>
      </c>
    </row>
    <row r="394" spans="1:15">
      <c r="A394" s="15" t="s">
        <v>383</v>
      </c>
      <c r="B394" s="15">
        <v>466342</v>
      </c>
      <c r="C394" s="15" t="s">
        <v>833</v>
      </c>
      <c r="D394" s="29"/>
      <c r="E394" s="1">
        <v>0</v>
      </c>
      <c r="F394" s="15">
        <v>0</v>
      </c>
      <c r="G394" s="30">
        <f t="shared" si="21"/>
        <v>0</v>
      </c>
      <c r="H394" s="15">
        <f t="shared" si="20"/>
        <v>0</v>
      </c>
      <c r="I394">
        <f t="shared" si="22"/>
        <v>0</v>
      </c>
      <c r="J394">
        <f>SUMIF(Oeffentlichkeitsarbeit!$D:$D,$B394,Oeffentlichkeitsarbeit!$F:$F)</f>
        <v>0</v>
      </c>
      <c r="K394">
        <f>COUNTIF(Fairteiler!$D:$D,$B394)*1/2</f>
        <v>0</v>
      </c>
      <c r="L394">
        <f>COUNTIF('NP-Betrieb'!D:D,$B394)*1/3</f>
        <v>0</v>
      </c>
      <c r="M394">
        <f>COUNTIF(Fairteilungen!$D:$D,$B394)*3/4</f>
        <v>0</v>
      </c>
      <c r="N394">
        <f>COUNTIF(Anlieferung!D:D,$B394)*1/2</f>
        <v>0</v>
      </c>
      <c r="O394">
        <f>COUNTIF(Probeabholungen!B:B,$B394)*1/3</f>
        <v>0</v>
      </c>
    </row>
    <row r="395" spans="1:15" ht="27.6">
      <c r="A395" s="16" t="s">
        <v>384</v>
      </c>
      <c r="B395" s="16">
        <v>365652</v>
      </c>
      <c r="C395" s="16" t="s">
        <v>831</v>
      </c>
      <c r="D395" s="29"/>
      <c r="E395" s="1">
        <v>0</v>
      </c>
      <c r="F395" s="16">
        <v>0</v>
      </c>
      <c r="G395" s="30">
        <f t="shared" si="21"/>
        <v>0</v>
      </c>
      <c r="H395" s="16">
        <f t="shared" si="20"/>
        <v>0</v>
      </c>
      <c r="I395">
        <f t="shared" si="22"/>
        <v>0</v>
      </c>
      <c r="J395">
        <f>SUMIF(Oeffentlichkeitsarbeit!$D:$D,$B395,Oeffentlichkeitsarbeit!$F:$F)</f>
        <v>0</v>
      </c>
      <c r="K395">
        <f>COUNTIF(Fairteiler!$D:$D,$B395)*1/2</f>
        <v>0</v>
      </c>
      <c r="L395">
        <f>COUNTIF('NP-Betrieb'!D:D,$B395)*1/3</f>
        <v>0</v>
      </c>
      <c r="M395">
        <f>COUNTIF(Fairteilungen!$D:$D,$B395)*3/4</f>
        <v>0</v>
      </c>
      <c r="N395">
        <f>COUNTIF(Anlieferung!D:D,$B395)*1/2</f>
        <v>0</v>
      </c>
      <c r="O395">
        <f>COUNTIF(Probeabholungen!B:B,$B395)*1/3</f>
        <v>0</v>
      </c>
    </row>
    <row r="396" spans="1:15" ht="27.6">
      <c r="A396" s="8" t="s">
        <v>385</v>
      </c>
      <c r="B396" s="8">
        <v>39907</v>
      </c>
      <c r="D396" s="24">
        <v>45961</v>
      </c>
      <c r="E396" s="1">
        <v>0</v>
      </c>
      <c r="F396">
        <v>6</v>
      </c>
      <c r="G396" s="30">
        <f t="shared" si="21"/>
        <v>5.666666666666667</v>
      </c>
      <c r="H396" s="8">
        <f t="shared" si="20"/>
        <v>0.33333333333333331</v>
      </c>
      <c r="I396">
        <f t="shared" si="22"/>
        <v>0.33333333333333331</v>
      </c>
      <c r="J396">
        <f>SUMIF(Oeffentlichkeitsarbeit!$D:$D,$B396,Oeffentlichkeitsarbeit!$F:$F)</f>
        <v>0</v>
      </c>
      <c r="K396">
        <f>COUNTIF(Fairteiler!$D:$D,$B396)*1/2</f>
        <v>0</v>
      </c>
      <c r="L396">
        <f>COUNTIF('NP-Betrieb'!D:D,$B396)*1/3</f>
        <v>0.33333333333333331</v>
      </c>
      <c r="M396">
        <f>COUNTIF(Fairteilungen!$D:$D,$B396)*3/4</f>
        <v>0</v>
      </c>
      <c r="N396">
        <f>COUNTIF(Anlieferung!D:D,$B396)*1/2</f>
        <v>0</v>
      </c>
      <c r="O396">
        <f>COUNTIF(Probeabholungen!B:B,$B396)*1/3</f>
        <v>0</v>
      </c>
    </row>
    <row r="397" spans="1:15" ht="27.6">
      <c r="A397" s="8" t="s">
        <v>386</v>
      </c>
      <c r="B397" s="8">
        <v>577256</v>
      </c>
      <c r="D397" s="29"/>
      <c r="E397" s="1">
        <v>6</v>
      </c>
      <c r="F397" s="8">
        <v>6</v>
      </c>
      <c r="G397" s="30">
        <f t="shared" si="21"/>
        <v>12</v>
      </c>
      <c r="H397" s="8">
        <f t="shared" si="20"/>
        <v>-6</v>
      </c>
      <c r="I397">
        <f t="shared" si="22"/>
        <v>0</v>
      </c>
      <c r="J397">
        <f>SUMIF(Oeffentlichkeitsarbeit!$D:$D,$B397,Oeffentlichkeitsarbeit!$F:$F)</f>
        <v>0</v>
      </c>
      <c r="K397">
        <f>COUNTIF(Fairteiler!$D:$D,$B397)*1/2</f>
        <v>0</v>
      </c>
      <c r="L397">
        <f>COUNTIF('NP-Betrieb'!D:D,$B397)*1/3</f>
        <v>0</v>
      </c>
      <c r="M397">
        <f>COUNTIF(Fairteilungen!$D:$D,$B397)*3/4</f>
        <v>0</v>
      </c>
      <c r="N397">
        <f>COUNTIF(Anlieferung!D:D,$B397)*1/2</f>
        <v>0</v>
      </c>
      <c r="O397">
        <f>COUNTIF(Probeabholungen!B:B,$B397)*1/3</f>
        <v>0</v>
      </c>
    </row>
    <row r="398" spans="1:15" ht="41.4">
      <c r="A398" s="8" t="s">
        <v>387</v>
      </c>
      <c r="B398" s="8">
        <v>448875</v>
      </c>
      <c r="D398" s="29"/>
      <c r="E398" s="1">
        <v>0</v>
      </c>
      <c r="F398" s="8">
        <v>6</v>
      </c>
      <c r="G398" s="30">
        <f t="shared" si="21"/>
        <v>5.333333333333333</v>
      </c>
      <c r="H398" s="8">
        <f t="shared" si="20"/>
        <v>0.66666666666666663</v>
      </c>
      <c r="I398">
        <f t="shared" si="22"/>
        <v>0.66666666666666663</v>
      </c>
      <c r="J398">
        <f>SUMIF(Oeffentlichkeitsarbeit!$D:$D,$B398,Oeffentlichkeitsarbeit!$F:$F)</f>
        <v>0</v>
      </c>
      <c r="K398">
        <f>COUNTIF(Fairteiler!$D:$D,$B398)*1/2</f>
        <v>0</v>
      </c>
      <c r="L398">
        <f>COUNTIF('NP-Betrieb'!D:D,$B398)*1/3</f>
        <v>0.66666666666666663</v>
      </c>
      <c r="M398">
        <f>COUNTIF(Fairteilungen!$D:$D,$B398)*3/4</f>
        <v>0</v>
      </c>
      <c r="N398">
        <f>COUNTIF(Anlieferung!D:D,$B398)*1/2</f>
        <v>0</v>
      </c>
      <c r="O398">
        <f>COUNTIF(Probeabholungen!B:B,$B398)*1/3</f>
        <v>0</v>
      </c>
    </row>
    <row r="399" spans="1:15" ht="27.6">
      <c r="A399" s="8" t="s">
        <v>388</v>
      </c>
      <c r="B399" s="8">
        <v>98196</v>
      </c>
      <c r="D399" s="29">
        <v>45228</v>
      </c>
      <c r="E399" s="1">
        <v>6</v>
      </c>
      <c r="F399" s="8">
        <v>6</v>
      </c>
      <c r="G399" s="30">
        <f t="shared" si="21"/>
        <v>12</v>
      </c>
      <c r="H399" s="8">
        <f t="shared" si="20"/>
        <v>-6</v>
      </c>
      <c r="I399">
        <f t="shared" si="22"/>
        <v>0</v>
      </c>
      <c r="J399">
        <f>SUMIF(Oeffentlichkeitsarbeit!$D:$D,$B399,Oeffentlichkeitsarbeit!$F:$F)</f>
        <v>0</v>
      </c>
      <c r="K399">
        <f>COUNTIF(Fairteiler!$D:$D,$B399)*1/2</f>
        <v>0</v>
      </c>
      <c r="L399">
        <f>COUNTIF('NP-Betrieb'!D:D,$B399)*1/3</f>
        <v>0</v>
      </c>
      <c r="M399">
        <f>COUNTIF(Fairteilungen!$D:$D,$B399)*3/4</f>
        <v>0</v>
      </c>
      <c r="N399">
        <f>COUNTIF(Anlieferung!D:D,$B399)*1/2</f>
        <v>0</v>
      </c>
      <c r="O399">
        <f>COUNTIF(Probeabholungen!B:B,$B399)*1/3</f>
        <v>0</v>
      </c>
    </row>
    <row r="400" spans="1:15" ht="27.6">
      <c r="A400" s="8" t="s">
        <v>857</v>
      </c>
      <c r="B400" s="8">
        <v>988224</v>
      </c>
      <c r="D400" s="24">
        <v>46087</v>
      </c>
      <c r="E400">
        <v>0</v>
      </c>
      <c r="F400">
        <v>5</v>
      </c>
      <c r="G400" s="30">
        <f t="shared" si="21"/>
        <v>2.6666666666666665</v>
      </c>
      <c r="H400" s="8">
        <f t="shared" si="20"/>
        <v>2.3333333333333335</v>
      </c>
      <c r="I400">
        <f t="shared" si="22"/>
        <v>2.3333333333333335</v>
      </c>
      <c r="J400">
        <f>SUMIF(Oeffentlichkeitsarbeit!$D:$D,$B400,Oeffentlichkeitsarbeit!$F:$F)</f>
        <v>0</v>
      </c>
      <c r="K400">
        <f>COUNTIF(Fairteiler!$D:$D,$B400)*1/2</f>
        <v>0</v>
      </c>
      <c r="L400">
        <f>COUNTIF('NP-Betrieb'!D:D,$B400)*1/3</f>
        <v>2.3333333333333335</v>
      </c>
      <c r="M400">
        <f>COUNTIF(Fairteilungen!$D:$D,$B400)*3/4</f>
        <v>0</v>
      </c>
      <c r="N400">
        <f>COUNTIF(Anlieferung!D:D,$B400)*1/2</f>
        <v>0</v>
      </c>
      <c r="O400">
        <f>COUNTIF(Probeabholungen!B:B,$B400)*1/3</f>
        <v>0</v>
      </c>
    </row>
    <row r="401" spans="1:15" ht="41.4">
      <c r="A401" s="8" t="s">
        <v>389</v>
      </c>
      <c r="B401" s="8">
        <v>378759</v>
      </c>
      <c r="D401" s="29"/>
      <c r="E401" s="1">
        <v>0.66666666666666696</v>
      </c>
      <c r="F401" s="8">
        <v>6</v>
      </c>
      <c r="G401" s="30">
        <f t="shared" si="21"/>
        <v>5.3333333333333339</v>
      </c>
      <c r="H401" s="8">
        <f t="shared" si="20"/>
        <v>0.6666666666666663</v>
      </c>
      <c r="I401">
        <f t="shared" si="22"/>
        <v>1.3333333333333333</v>
      </c>
      <c r="J401">
        <f>SUMIF(Oeffentlichkeitsarbeit!$D:$D,$B401,Oeffentlichkeitsarbeit!$F:$F)</f>
        <v>0</v>
      </c>
      <c r="K401">
        <f>COUNTIF(Fairteiler!$D:$D,$B401)*1/2</f>
        <v>0</v>
      </c>
      <c r="L401">
        <f>COUNTIF('NP-Betrieb'!D:D,$B401)*1/3</f>
        <v>1.3333333333333333</v>
      </c>
      <c r="M401">
        <f>COUNTIF(Fairteilungen!$D:$D,$B401)*3/4</f>
        <v>0</v>
      </c>
      <c r="N401">
        <f>COUNTIF(Anlieferung!D:D,$B401)*1/2</f>
        <v>0</v>
      </c>
      <c r="O401">
        <f>COUNTIF(Probeabholungen!B:B,$B401)*1/3</f>
        <v>0</v>
      </c>
    </row>
    <row r="402" spans="1:15" ht="27.6">
      <c r="A402" s="8" t="s">
        <v>390</v>
      </c>
      <c r="B402" s="8">
        <v>552071</v>
      </c>
      <c r="D402" s="29"/>
      <c r="E402" s="1">
        <v>14.34</v>
      </c>
      <c r="F402" s="8">
        <v>6</v>
      </c>
      <c r="G402" s="30">
        <f t="shared" si="21"/>
        <v>20.34</v>
      </c>
      <c r="H402" s="8">
        <f t="shared" si="20"/>
        <v>-14.34</v>
      </c>
      <c r="I402">
        <f t="shared" si="22"/>
        <v>0</v>
      </c>
      <c r="J402">
        <f>SUMIF(Oeffentlichkeitsarbeit!$D:$D,$B402,Oeffentlichkeitsarbeit!$F:$F)</f>
        <v>0</v>
      </c>
      <c r="K402">
        <f>COUNTIF(Fairteiler!$D:$D,$B402)*1/2</f>
        <v>0</v>
      </c>
      <c r="L402">
        <f>COUNTIF('NP-Betrieb'!D:D,$B402)*1/3</f>
        <v>0</v>
      </c>
      <c r="M402">
        <f>COUNTIF(Fairteilungen!$D:$D,$B402)*3/4</f>
        <v>0</v>
      </c>
      <c r="N402">
        <f>COUNTIF(Anlieferung!D:D,$B402)*1/2</f>
        <v>0</v>
      </c>
      <c r="O402">
        <f>COUNTIF(Probeabholungen!B:B,$B402)*1/3</f>
        <v>0</v>
      </c>
    </row>
    <row r="403" spans="1:15" ht="27.6">
      <c r="A403" s="8" t="s">
        <v>391</v>
      </c>
      <c r="B403" s="8">
        <v>75350</v>
      </c>
      <c r="D403" s="29"/>
      <c r="E403" s="1">
        <v>5.6666666666666696</v>
      </c>
      <c r="F403" s="8">
        <v>6</v>
      </c>
      <c r="G403" s="30">
        <f t="shared" si="21"/>
        <v>5.6666666666666696</v>
      </c>
      <c r="H403" s="8">
        <f t="shared" si="20"/>
        <v>0.33333333333333037</v>
      </c>
      <c r="I403">
        <f t="shared" si="22"/>
        <v>6</v>
      </c>
      <c r="J403">
        <f>SUMIF(Oeffentlichkeitsarbeit!$D:$D,$B403,Oeffentlichkeitsarbeit!$F:$F)</f>
        <v>5</v>
      </c>
      <c r="K403">
        <f>COUNTIF(Fairteiler!$D:$D,$B403)*1/2</f>
        <v>0</v>
      </c>
      <c r="L403">
        <f>COUNTIF('NP-Betrieb'!D:D,$B403)*1/3</f>
        <v>1</v>
      </c>
      <c r="M403">
        <f>COUNTIF(Fairteilungen!$D:$D,$B403)*3/4</f>
        <v>0</v>
      </c>
      <c r="N403">
        <f>COUNTIF(Anlieferung!D:D,$B403)*1/2</f>
        <v>0</v>
      </c>
      <c r="O403">
        <f>COUNTIF(Probeabholungen!B:B,$B403)*1/3</f>
        <v>0</v>
      </c>
    </row>
    <row r="404" spans="1:15" ht="27.6">
      <c r="A404" s="8" t="s">
        <v>392</v>
      </c>
      <c r="B404" s="8">
        <v>144161</v>
      </c>
      <c r="D404" s="29"/>
      <c r="E404" s="1">
        <v>15.34</v>
      </c>
      <c r="F404" s="8">
        <v>6</v>
      </c>
      <c r="G404" s="30">
        <f t="shared" si="21"/>
        <v>21.34</v>
      </c>
      <c r="H404" s="8">
        <f t="shared" si="20"/>
        <v>-15.34</v>
      </c>
      <c r="I404">
        <f t="shared" si="22"/>
        <v>0</v>
      </c>
      <c r="J404">
        <f>SUMIF(Oeffentlichkeitsarbeit!$D:$D,$B404,Oeffentlichkeitsarbeit!$F:$F)</f>
        <v>0</v>
      </c>
      <c r="K404">
        <f>COUNTIF(Fairteiler!$D:$D,$B404)*1/2</f>
        <v>0</v>
      </c>
      <c r="L404">
        <f>COUNTIF('NP-Betrieb'!D:D,$B404)*1/3</f>
        <v>0</v>
      </c>
      <c r="M404">
        <f>COUNTIF(Fairteilungen!$D:$D,$B404)*3/4</f>
        <v>0</v>
      </c>
      <c r="N404">
        <f>COUNTIF(Anlieferung!D:D,$B404)*1/2</f>
        <v>0</v>
      </c>
      <c r="O404">
        <f>COUNTIF(Probeabholungen!B:B,$B404)*1/3</f>
        <v>0</v>
      </c>
    </row>
    <row r="405" spans="1:15" ht="27.6">
      <c r="A405" s="8" t="s">
        <v>393</v>
      </c>
      <c r="B405" s="8">
        <v>468423</v>
      </c>
      <c r="D405" s="29"/>
      <c r="E405" s="1">
        <v>3</v>
      </c>
      <c r="F405" s="8">
        <v>6</v>
      </c>
      <c r="G405" s="30">
        <f t="shared" si="21"/>
        <v>1.166666666666667</v>
      </c>
      <c r="H405" s="8">
        <f t="shared" si="20"/>
        <v>4.833333333333333</v>
      </c>
      <c r="I405">
        <f t="shared" si="22"/>
        <v>7.833333333333333</v>
      </c>
      <c r="J405">
        <f>SUMIF(Oeffentlichkeitsarbeit!$D:$D,$B405,Oeffentlichkeitsarbeit!$F:$F)</f>
        <v>0</v>
      </c>
      <c r="K405">
        <f>COUNTIF(Fairteiler!$D:$D,$B405)*1/2</f>
        <v>3.5</v>
      </c>
      <c r="L405">
        <f>COUNTIF('NP-Betrieb'!D:D,$B405)*1/3</f>
        <v>4.333333333333333</v>
      </c>
      <c r="M405">
        <f>COUNTIF(Fairteilungen!$D:$D,$B405)*3/4</f>
        <v>0</v>
      </c>
      <c r="N405">
        <f>COUNTIF(Anlieferung!D:D,$B405)*1/2</f>
        <v>0</v>
      </c>
      <c r="O405">
        <f>COUNTIF(Probeabholungen!B:B,$B405)*1/3</f>
        <v>0</v>
      </c>
    </row>
    <row r="406" spans="1:15">
      <c r="A406" s="8" t="s">
        <v>394</v>
      </c>
      <c r="B406" s="8">
        <v>623732</v>
      </c>
      <c r="D406" s="29"/>
      <c r="E406" s="1">
        <v>15.67</v>
      </c>
      <c r="F406" s="8">
        <v>6</v>
      </c>
      <c r="G406" s="30">
        <f t="shared" si="21"/>
        <v>21.67</v>
      </c>
      <c r="H406" s="8">
        <f t="shared" si="20"/>
        <v>-15.67</v>
      </c>
      <c r="I406">
        <f t="shared" si="22"/>
        <v>0</v>
      </c>
      <c r="J406">
        <f>SUMIF(Oeffentlichkeitsarbeit!$D:$D,$B406,Oeffentlichkeitsarbeit!$F:$F)</f>
        <v>0</v>
      </c>
      <c r="K406">
        <f>COUNTIF(Fairteiler!$D:$D,$B406)*1/2</f>
        <v>0</v>
      </c>
      <c r="L406">
        <f>COUNTIF('NP-Betrieb'!D:D,$B406)*1/3</f>
        <v>0</v>
      </c>
      <c r="M406">
        <f>COUNTIF(Fairteilungen!$D:$D,$B406)*3/4</f>
        <v>0</v>
      </c>
      <c r="N406">
        <f>COUNTIF(Anlieferung!D:D,$B406)*1/2</f>
        <v>0</v>
      </c>
      <c r="O406">
        <f>COUNTIF(Probeabholungen!B:B,$B406)*1/3</f>
        <v>0</v>
      </c>
    </row>
    <row r="407" spans="1:15">
      <c r="A407" s="8" t="s">
        <v>395</v>
      </c>
      <c r="B407" s="8">
        <v>585009</v>
      </c>
      <c r="D407" s="29"/>
      <c r="E407" s="1">
        <v>10</v>
      </c>
      <c r="F407" s="8">
        <v>6</v>
      </c>
      <c r="G407" s="30">
        <f t="shared" si="21"/>
        <v>16</v>
      </c>
      <c r="H407" s="8">
        <f t="shared" si="20"/>
        <v>-10</v>
      </c>
      <c r="I407">
        <f t="shared" si="22"/>
        <v>0</v>
      </c>
      <c r="J407">
        <f>SUMIF(Oeffentlichkeitsarbeit!$D:$D,$B407,Oeffentlichkeitsarbeit!$F:$F)</f>
        <v>0</v>
      </c>
      <c r="K407">
        <f>COUNTIF(Fairteiler!$D:$D,$B407)*1/2</f>
        <v>0</v>
      </c>
      <c r="L407">
        <f>COUNTIF('NP-Betrieb'!D:D,$B407)*1/3</f>
        <v>0</v>
      </c>
      <c r="M407">
        <f>COUNTIF(Fairteilungen!$D:$D,$B407)*3/4</f>
        <v>0</v>
      </c>
      <c r="N407">
        <f>COUNTIF(Anlieferung!D:D,$B407)*1/2</f>
        <v>0</v>
      </c>
      <c r="O407">
        <f>COUNTIF(Probeabholungen!B:B,$B407)*1/3</f>
        <v>0</v>
      </c>
    </row>
    <row r="408" spans="1:15" ht="27.6">
      <c r="A408" s="8" t="s">
        <v>396</v>
      </c>
      <c r="B408" s="8">
        <v>496044</v>
      </c>
      <c r="D408" s="29"/>
      <c r="E408" s="1">
        <v>0</v>
      </c>
      <c r="F408" s="8">
        <v>6</v>
      </c>
      <c r="G408" s="30">
        <f t="shared" si="21"/>
        <v>3</v>
      </c>
      <c r="H408" s="8">
        <f t="shared" si="20"/>
        <v>3</v>
      </c>
      <c r="I408">
        <f t="shared" si="22"/>
        <v>3</v>
      </c>
      <c r="J408">
        <f>SUMIF(Oeffentlichkeitsarbeit!$D:$D,$B408,Oeffentlichkeitsarbeit!$F:$F)</f>
        <v>0</v>
      </c>
      <c r="K408">
        <f>COUNTIF(Fairteiler!$D:$D,$B408)*1/2</f>
        <v>0</v>
      </c>
      <c r="L408">
        <f>COUNTIF('NP-Betrieb'!D:D,$B408)*1/3</f>
        <v>1</v>
      </c>
      <c r="M408">
        <f>COUNTIF(Fairteilungen!$D:$D,$B408)*3/4</f>
        <v>0</v>
      </c>
      <c r="N408">
        <f>COUNTIF(Anlieferung!D:D,$B408)*1/2</f>
        <v>0</v>
      </c>
      <c r="O408">
        <f>COUNTIF(Probeabholungen!B:B,$B408)*1/3</f>
        <v>2</v>
      </c>
    </row>
    <row r="409" spans="1:15" ht="27.6">
      <c r="A409" s="8" t="s">
        <v>397</v>
      </c>
      <c r="B409" s="8">
        <v>10992</v>
      </c>
      <c r="D409" s="29"/>
      <c r="E409" s="1">
        <v>6</v>
      </c>
      <c r="F409" s="8">
        <v>6</v>
      </c>
      <c r="G409" s="30">
        <f t="shared" si="21"/>
        <v>12</v>
      </c>
      <c r="H409" s="8">
        <f t="shared" si="20"/>
        <v>-6</v>
      </c>
      <c r="I409">
        <f t="shared" si="22"/>
        <v>0</v>
      </c>
      <c r="J409">
        <f>SUMIF(Oeffentlichkeitsarbeit!$D:$D,$B409,Oeffentlichkeitsarbeit!$F:$F)</f>
        <v>0</v>
      </c>
      <c r="K409">
        <f>COUNTIF(Fairteiler!$D:$D,$B409)*1/2</f>
        <v>0</v>
      </c>
      <c r="L409">
        <f>COUNTIF('NP-Betrieb'!D:D,$B409)*1/3</f>
        <v>0</v>
      </c>
      <c r="M409">
        <f>COUNTIF(Fairteilungen!$D:$D,$B409)*3/4</f>
        <v>0</v>
      </c>
      <c r="N409">
        <f>COUNTIF(Anlieferung!D:D,$B409)*1/2</f>
        <v>0</v>
      </c>
      <c r="O409">
        <f>COUNTIF(Probeabholungen!B:B,$B409)*1/3</f>
        <v>0</v>
      </c>
    </row>
    <row r="410" spans="1:15">
      <c r="A410" s="8" t="s">
        <v>398</v>
      </c>
      <c r="B410" s="8">
        <v>772280</v>
      </c>
      <c r="D410" s="29">
        <v>45253</v>
      </c>
      <c r="E410" s="1">
        <v>0</v>
      </c>
      <c r="F410" s="8">
        <v>6</v>
      </c>
      <c r="G410" s="30">
        <f t="shared" si="21"/>
        <v>4.5</v>
      </c>
      <c r="H410" s="8">
        <f t="shared" si="20"/>
        <v>1.5</v>
      </c>
      <c r="I410">
        <f t="shared" si="22"/>
        <v>1.5</v>
      </c>
      <c r="J410">
        <f>SUMIF(Oeffentlichkeitsarbeit!$D:$D,$B410,Oeffentlichkeitsarbeit!$F:$F)</f>
        <v>0</v>
      </c>
      <c r="K410">
        <f>COUNTIF(Fairteiler!$D:$D,$B410)*1/2</f>
        <v>1.5</v>
      </c>
      <c r="L410">
        <f>COUNTIF('NP-Betrieb'!D:D,$B410)*1/3</f>
        <v>0</v>
      </c>
      <c r="M410">
        <f>COUNTIF(Fairteilungen!$D:$D,$B410)*3/4</f>
        <v>0</v>
      </c>
      <c r="N410">
        <f>COUNTIF(Anlieferung!D:D,$B410)*1/2</f>
        <v>0</v>
      </c>
      <c r="O410">
        <f>COUNTIF(Probeabholungen!B:B,$B410)*1/3</f>
        <v>0</v>
      </c>
    </row>
    <row r="411" spans="1:15" ht="27.6">
      <c r="A411" s="8" t="s">
        <v>399</v>
      </c>
      <c r="B411" s="8">
        <v>587311</v>
      </c>
      <c r="D411" s="29">
        <v>45120</v>
      </c>
      <c r="E411" s="1">
        <v>0</v>
      </c>
      <c r="F411" s="8">
        <v>6</v>
      </c>
      <c r="G411" s="30">
        <f t="shared" si="21"/>
        <v>1.666666666666667</v>
      </c>
      <c r="H411" s="8">
        <f t="shared" si="20"/>
        <v>4.333333333333333</v>
      </c>
      <c r="I411">
        <f t="shared" si="22"/>
        <v>4.333333333333333</v>
      </c>
      <c r="J411">
        <f>SUMIF(Oeffentlichkeitsarbeit!$D:$D,$B411,Oeffentlichkeitsarbeit!$F:$F)</f>
        <v>0</v>
      </c>
      <c r="K411">
        <f>COUNTIF(Fairteiler!$D:$D,$B411)*1/2</f>
        <v>0</v>
      </c>
      <c r="L411">
        <f>COUNTIF('NP-Betrieb'!D:D,$B411)*1/3</f>
        <v>4.333333333333333</v>
      </c>
      <c r="M411">
        <f>COUNTIF(Fairteilungen!$D:$D,$B411)*3/4</f>
        <v>0</v>
      </c>
      <c r="N411">
        <f>COUNTIF(Anlieferung!D:D,$B411)*1/2</f>
        <v>0</v>
      </c>
      <c r="O411">
        <f>COUNTIF(Probeabholungen!B:B,$B411)*1/3</f>
        <v>0</v>
      </c>
    </row>
    <row r="412" spans="1:15" ht="55.2">
      <c r="A412" s="8" t="s">
        <v>400</v>
      </c>
      <c r="B412" s="8">
        <v>369430</v>
      </c>
      <c r="D412" s="29"/>
      <c r="E412" s="1">
        <v>1</v>
      </c>
      <c r="F412" s="8">
        <v>6</v>
      </c>
      <c r="G412" s="30">
        <f t="shared" si="21"/>
        <v>6.333333333333333</v>
      </c>
      <c r="H412" s="8">
        <f t="shared" ref="H412:H475" si="23">I412-E412</f>
        <v>-0.33333333333333337</v>
      </c>
      <c r="I412">
        <f t="shared" si="22"/>
        <v>0.66666666666666663</v>
      </c>
      <c r="J412">
        <f>SUMIF(Oeffentlichkeitsarbeit!$D:$D,$B412,Oeffentlichkeitsarbeit!$F:$F)</f>
        <v>0</v>
      </c>
      <c r="K412">
        <f>COUNTIF(Fairteiler!$D:$D,$B412)*1/2</f>
        <v>0</v>
      </c>
      <c r="L412">
        <f>COUNTIF('NP-Betrieb'!D:D,$B412)*1/3</f>
        <v>0.66666666666666663</v>
      </c>
      <c r="M412">
        <f>COUNTIF(Fairteilungen!$D:$D,$B412)*3/4</f>
        <v>0</v>
      </c>
      <c r="N412">
        <f>COUNTIF(Anlieferung!D:D,$B412)*1/2</f>
        <v>0</v>
      </c>
      <c r="O412">
        <f>COUNTIF(Probeabholungen!B:B,$B412)*1/3</f>
        <v>0</v>
      </c>
    </row>
    <row r="413" spans="1:15">
      <c r="A413" s="8" t="s">
        <v>401</v>
      </c>
      <c r="B413" s="8">
        <v>641872</v>
      </c>
      <c r="D413" s="29"/>
      <c r="E413" s="1">
        <v>0</v>
      </c>
      <c r="F413" s="8">
        <v>6</v>
      </c>
      <c r="G413" s="30">
        <f t="shared" si="21"/>
        <v>5</v>
      </c>
      <c r="H413" s="8">
        <f t="shared" si="23"/>
        <v>1</v>
      </c>
      <c r="I413">
        <f t="shared" si="22"/>
        <v>1</v>
      </c>
      <c r="J413">
        <f>SUMIF(Oeffentlichkeitsarbeit!$D:$D,$B413,Oeffentlichkeitsarbeit!$F:$F)</f>
        <v>0</v>
      </c>
      <c r="K413">
        <f>COUNTIF(Fairteiler!$D:$D,$B413)*1/2</f>
        <v>0</v>
      </c>
      <c r="L413">
        <f>COUNTIF('NP-Betrieb'!D:D,$B413)*1/3</f>
        <v>1</v>
      </c>
      <c r="M413">
        <f>COUNTIF(Fairteilungen!$D:$D,$B413)*3/4</f>
        <v>0</v>
      </c>
      <c r="N413">
        <f>COUNTIF(Anlieferung!D:D,$B413)*1/2</f>
        <v>0</v>
      </c>
      <c r="O413">
        <f>COUNTIF(Probeabholungen!B:B,$B413)*1/3</f>
        <v>0</v>
      </c>
    </row>
    <row r="414" spans="1:15" ht="41.4">
      <c r="A414" s="8" t="s">
        <v>402</v>
      </c>
      <c r="B414" s="8">
        <v>324600</v>
      </c>
      <c r="D414" s="29"/>
      <c r="E414" s="1">
        <v>4.3333333333333304</v>
      </c>
      <c r="F414" s="8">
        <v>6</v>
      </c>
      <c r="G414" s="30">
        <f t="shared" si="21"/>
        <v>10.33333333333333</v>
      </c>
      <c r="H414" s="8">
        <f t="shared" si="23"/>
        <v>-4.3333333333333304</v>
      </c>
      <c r="I414">
        <f t="shared" si="22"/>
        <v>0</v>
      </c>
      <c r="J414">
        <f>SUMIF(Oeffentlichkeitsarbeit!$D:$D,$B414,Oeffentlichkeitsarbeit!$F:$F)</f>
        <v>0</v>
      </c>
      <c r="K414">
        <f>COUNTIF(Fairteiler!$D:$D,$B414)*1/2</f>
        <v>0</v>
      </c>
      <c r="L414">
        <f>COUNTIF('NP-Betrieb'!D:D,$B414)*1/3</f>
        <v>0</v>
      </c>
      <c r="M414">
        <f>COUNTIF(Fairteilungen!$D:$D,$B414)*3/4</f>
        <v>0</v>
      </c>
      <c r="N414">
        <f>COUNTIF(Anlieferung!D:D,$B414)*1/2</f>
        <v>0</v>
      </c>
      <c r="O414">
        <f>COUNTIF(Probeabholungen!B:B,$B414)*1/3</f>
        <v>0</v>
      </c>
    </row>
    <row r="415" spans="1:15" ht="27.6">
      <c r="A415" s="8" t="s">
        <v>403</v>
      </c>
      <c r="B415" s="8">
        <v>960559</v>
      </c>
      <c r="D415" s="24">
        <v>45940</v>
      </c>
      <c r="E415" s="1">
        <v>0</v>
      </c>
      <c r="F415">
        <v>6</v>
      </c>
      <c r="G415" s="30">
        <f t="shared" si="21"/>
        <v>-2</v>
      </c>
      <c r="H415" s="8">
        <f t="shared" si="23"/>
        <v>8</v>
      </c>
      <c r="I415">
        <f t="shared" si="22"/>
        <v>8</v>
      </c>
      <c r="J415">
        <f>SUMIF(Oeffentlichkeitsarbeit!$D:$D,$B415,Oeffentlichkeitsarbeit!$F:$F)</f>
        <v>0</v>
      </c>
      <c r="K415">
        <f>COUNTIF(Fairteiler!$D:$D,$B415)*1/2</f>
        <v>0</v>
      </c>
      <c r="L415">
        <f>COUNTIF('NP-Betrieb'!D:D,$B415)*1/3</f>
        <v>8</v>
      </c>
      <c r="M415">
        <f>COUNTIF(Fairteilungen!$D:$D,$B415)*3/4</f>
        <v>0</v>
      </c>
      <c r="N415">
        <f>COUNTIF(Anlieferung!D:D,$B415)*1/2</f>
        <v>0</v>
      </c>
      <c r="O415">
        <f>COUNTIF(Probeabholungen!B:B,$B415)*1/3</f>
        <v>0</v>
      </c>
    </row>
    <row r="416" spans="1:15" ht="27.6">
      <c r="A416" s="8" t="s">
        <v>404</v>
      </c>
      <c r="B416" s="8">
        <v>790384</v>
      </c>
      <c r="D416" s="29">
        <v>45245</v>
      </c>
      <c r="E416" s="1">
        <v>3.34</v>
      </c>
      <c r="F416" s="8">
        <v>6</v>
      </c>
      <c r="G416" s="30">
        <f t="shared" si="21"/>
        <v>9.34</v>
      </c>
      <c r="H416" s="8">
        <f t="shared" si="23"/>
        <v>-3.34</v>
      </c>
      <c r="I416">
        <f t="shared" si="22"/>
        <v>0</v>
      </c>
      <c r="J416">
        <f>SUMIF(Oeffentlichkeitsarbeit!$D:$D,$B416,Oeffentlichkeitsarbeit!$F:$F)</f>
        <v>0</v>
      </c>
      <c r="K416">
        <f>COUNTIF(Fairteiler!$D:$D,$B416)*1/2</f>
        <v>0</v>
      </c>
      <c r="L416">
        <f>COUNTIF('NP-Betrieb'!D:D,$B416)*1/3</f>
        <v>0</v>
      </c>
      <c r="M416">
        <f>COUNTIF(Fairteilungen!$D:$D,$B416)*3/4</f>
        <v>0</v>
      </c>
      <c r="N416">
        <f>COUNTIF(Anlieferung!D:D,$B416)*1/2</f>
        <v>0</v>
      </c>
      <c r="O416">
        <f>COUNTIF(Probeabholungen!B:B,$B416)*1/3</f>
        <v>0</v>
      </c>
    </row>
    <row r="417" spans="1:15" ht="27.6">
      <c r="A417" s="8" t="s">
        <v>405</v>
      </c>
      <c r="B417" s="8">
        <v>781854</v>
      </c>
      <c r="D417" s="29">
        <v>45228</v>
      </c>
      <c r="E417" s="1">
        <v>0</v>
      </c>
      <c r="F417" s="8">
        <v>6</v>
      </c>
      <c r="G417" s="30">
        <f t="shared" si="21"/>
        <v>-4.1666666666666661</v>
      </c>
      <c r="H417" s="8">
        <f t="shared" si="23"/>
        <v>10.166666666666666</v>
      </c>
      <c r="I417">
        <f t="shared" si="22"/>
        <v>10.166666666666666</v>
      </c>
      <c r="J417">
        <f>SUMIF(Oeffentlichkeitsarbeit!$D:$D,$B417,Oeffentlichkeitsarbeit!$F:$F)</f>
        <v>9.5</v>
      </c>
      <c r="K417">
        <f>COUNTIF(Fairteiler!$D:$D,$B417)*1/2</f>
        <v>0</v>
      </c>
      <c r="L417">
        <f>COUNTIF('NP-Betrieb'!D:D,$B417)*1/3</f>
        <v>0.66666666666666663</v>
      </c>
      <c r="M417">
        <f>COUNTIF(Fairteilungen!$D:$D,$B417)*3/4</f>
        <v>0</v>
      </c>
      <c r="N417">
        <f>COUNTIF(Anlieferung!D:D,$B417)*1/2</f>
        <v>0</v>
      </c>
      <c r="O417">
        <f>COUNTIF(Probeabholungen!B:B,$B417)*1/3</f>
        <v>0</v>
      </c>
    </row>
    <row r="418" spans="1:15">
      <c r="A418" s="8" t="s">
        <v>858</v>
      </c>
      <c r="B418" s="8">
        <v>990225</v>
      </c>
      <c r="D418" s="24">
        <v>46087</v>
      </c>
      <c r="E418">
        <v>0</v>
      </c>
      <c r="F418">
        <v>5</v>
      </c>
      <c r="G418" s="30">
        <f t="shared" si="21"/>
        <v>1.3333333333333335</v>
      </c>
      <c r="H418" s="8">
        <f t="shared" si="23"/>
        <v>3.6666666666666665</v>
      </c>
      <c r="I418">
        <f t="shared" si="22"/>
        <v>3.6666666666666665</v>
      </c>
      <c r="J418">
        <f>SUMIF(Oeffentlichkeitsarbeit!$D:$D,$B418,Oeffentlichkeitsarbeit!$F:$F)</f>
        <v>0</v>
      </c>
      <c r="K418">
        <f>COUNTIF(Fairteiler!$D:$D,$B418)*1/2</f>
        <v>0</v>
      </c>
      <c r="L418">
        <f>COUNTIF('NP-Betrieb'!D:D,$B418)*1/3</f>
        <v>3.6666666666666665</v>
      </c>
      <c r="M418">
        <f>COUNTIF(Fairteilungen!$D:$D,$B418)*3/4</f>
        <v>0</v>
      </c>
      <c r="N418">
        <f>COUNTIF(Anlieferung!D:D,$B418)*1/2</f>
        <v>0</v>
      </c>
      <c r="O418">
        <f>COUNTIF(Probeabholungen!B:B,$B418)*1/3</f>
        <v>0</v>
      </c>
    </row>
    <row r="419" spans="1:15" ht="41.4">
      <c r="A419" s="8" t="s">
        <v>406</v>
      </c>
      <c r="B419" s="8">
        <v>527913</v>
      </c>
      <c r="C419" s="8"/>
      <c r="D419" s="29"/>
      <c r="E419" s="1">
        <v>16</v>
      </c>
      <c r="F419" s="8">
        <v>6</v>
      </c>
      <c r="G419" s="30">
        <f t="shared" si="21"/>
        <v>22</v>
      </c>
      <c r="H419" s="8">
        <f t="shared" si="23"/>
        <v>-16</v>
      </c>
      <c r="I419">
        <f t="shared" si="22"/>
        <v>0</v>
      </c>
      <c r="J419">
        <f>SUMIF(Oeffentlichkeitsarbeit!$D:$D,$B419,Oeffentlichkeitsarbeit!$F:$F)</f>
        <v>0</v>
      </c>
      <c r="K419">
        <f>COUNTIF(Fairteiler!$D:$D,$B419)*1/2</f>
        <v>0</v>
      </c>
      <c r="L419">
        <f>COUNTIF('NP-Betrieb'!D:D,$B419)*1/3</f>
        <v>0</v>
      </c>
      <c r="M419">
        <f>COUNTIF(Fairteilungen!$D:$D,$B419)*3/4</f>
        <v>0</v>
      </c>
      <c r="N419">
        <f>COUNTIF(Anlieferung!D:D,$B419)*1/2</f>
        <v>0</v>
      </c>
      <c r="O419">
        <f>COUNTIF(Probeabholungen!B:B,$B419)*1/3</f>
        <v>0</v>
      </c>
    </row>
    <row r="420" spans="1:15" ht="27.6">
      <c r="A420" s="8" t="s">
        <v>859</v>
      </c>
      <c r="B420" s="8">
        <v>978989</v>
      </c>
      <c r="D420" s="24">
        <v>46077</v>
      </c>
      <c r="E420">
        <v>0</v>
      </c>
      <c r="F420">
        <v>5</v>
      </c>
      <c r="G420" s="30">
        <f t="shared" si="21"/>
        <v>-2.666666666666667</v>
      </c>
      <c r="H420" s="8">
        <f t="shared" si="23"/>
        <v>7.666666666666667</v>
      </c>
      <c r="I420">
        <f t="shared" si="22"/>
        <v>7.666666666666667</v>
      </c>
      <c r="J420">
        <f>SUMIF(Oeffentlichkeitsarbeit!$D:$D,$B420,Oeffentlichkeitsarbeit!$F:$F)</f>
        <v>0</v>
      </c>
      <c r="K420">
        <f>COUNTIF(Fairteiler!$D:$D,$B420)*1/2</f>
        <v>0</v>
      </c>
      <c r="L420">
        <f>COUNTIF('NP-Betrieb'!D:D,$B420)*1/3</f>
        <v>7.666666666666667</v>
      </c>
      <c r="M420">
        <f>COUNTIF(Fairteilungen!$D:$D,$B420)*3/4</f>
        <v>0</v>
      </c>
      <c r="N420">
        <f>COUNTIF(Anlieferung!D:D,$B420)*1/2</f>
        <v>0</v>
      </c>
      <c r="O420">
        <f>COUNTIF(Probeabholungen!B:B,$B420)*1/3</f>
        <v>0</v>
      </c>
    </row>
    <row r="421" spans="1:15">
      <c r="A421" s="8" t="s">
        <v>407</v>
      </c>
      <c r="B421" s="8">
        <v>926434</v>
      </c>
      <c r="D421" s="24">
        <v>45799</v>
      </c>
      <c r="E421" s="1">
        <v>1.1666666666666701</v>
      </c>
      <c r="F421">
        <v>6</v>
      </c>
      <c r="G421" s="30">
        <f t="shared" si="21"/>
        <v>4.1666666666666696</v>
      </c>
      <c r="H421" s="8">
        <f t="shared" si="23"/>
        <v>1.8333333333333299</v>
      </c>
      <c r="I421">
        <f t="shared" si="22"/>
        <v>3</v>
      </c>
      <c r="J421">
        <f>SUMIF(Oeffentlichkeitsarbeit!$D:$D,$B421,Oeffentlichkeitsarbeit!$F:$F)</f>
        <v>0</v>
      </c>
      <c r="K421">
        <f>COUNTIF(Fairteiler!$D:$D,$B421)*1/2</f>
        <v>0</v>
      </c>
      <c r="L421">
        <f>COUNTIF('NP-Betrieb'!D:D,$B421)*1/3</f>
        <v>3</v>
      </c>
      <c r="M421">
        <f>COUNTIF(Fairteilungen!$D:$D,$B421)*3/4</f>
        <v>0</v>
      </c>
      <c r="N421">
        <f>COUNTIF(Anlieferung!D:D,$B421)*1/2</f>
        <v>0</v>
      </c>
      <c r="O421">
        <f>COUNTIF(Probeabholungen!B:B,$B421)*1/3</f>
        <v>0</v>
      </c>
    </row>
    <row r="422" spans="1:15" ht="27.6">
      <c r="A422" s="8" t="s">
        <v>408</v>
      </c>
      <c r="B422" s="8">
        <v>324752</v>
      </c>
      <c r="D422" s="29"/>
      <c r="E422" s="1">
        <v>11</v>
      </c>
      <c r="F422" s="8">
        <v>6</v>
      </c>
      <c r="G422" s="30">
        <f t="shared" si="21"/>
        <v>17</v>
      </c>
      <c r="H422" s="8">
        <f t="shared" si="23"/>
        <v>-11</v>
      </c>
      <c r="I422">
        <f t="shared" si="22"/>
        <v>0</v>
      </c>
      <c r="J422">
        <f>SUMIF(Oeffentlichkeitsarbeit!$D:$D,$B422,Oeffentlichkeitsarbeit!$F:$F)</f>
        <v>0</v>
      </c>
      <c r="K422">
        <f>COUNTIF(Fairteiler!$D:$D,$B422)*1/2</f>
        <v>0</v>
      </c>
      <c r="L422">
        <f>COUNTIF('NP-Betrieb'!D:D,$B422)*1/3</f>
        <v>0</v>
      </c>
      <c r="M422">
        <f>COUNTIF(Fairteilungen!$D:$D,$B422)*3/4</f>
        <v>0</v>
      </c>
      <c r="N422">
        <f>COUNTIF(Anlieferung!D:D,$B422)*1/2</f>
        <v>0</v>
      </c>
      <c r="O422">
        <f>COUNTIF(Probeabholungen!B:B,$B422)*1/3</f>
        <v>0</v>
      </c>
    </row>
    <row r="423" spans="1:15" ht="27.6">
      <c r="A423" s="8" t="s">
        <v>409</v>
      </c>
      <c r="B423" s="8">
        <v>514839</v>
      </c>
      <c r="C423" s="8"/>
      <c r="D423" s="29">
        <v>45129</v>
      </c>
      <c r="E423" s="1">
        <v>3</v>
      </c>
      <c r="F423" s="8">
        <v>6</v>
      </c>
      <c r="G423" s="30">
        <f t="shared" si="21"/>
        <v>7.333333333333333</v>
      </c>
      <c r="H423" s="8">
        <f t="shared" si="23"/>
        <v>-1.3333333333333333</v>
      </c>
      <c r="I423">
        <f t="shared" si="22"/>
        <v>1.6666666666666667</v>
      </c>
      <c r="J423">
        <f>SUMIF(Oeffentlichkeitsarbeit!$D:$D,$B423,Oeffentlichkeitsarbeit!$F:$F)</f>
        <v>0</v>
      </c>
      <c r="K423">
        <f>COUNTIF(Fairteiler!$D:$D,$B423)*1/2</f>
        <v>0</v>
      </c>
      <c r="L423">
        <f>COUNTIF('NP-Betrieb'!D:D,$B423)*1/3</f>
        <v>1.6666666666666667</v>
      </c>
      <c r="M423">
        <f>COUNTIF(Fairteilungen!$D:$D,$B423)*3/4</f>
        <v>0</v>
      </c>
      <c r="N423">
        <f>COUNTIF(Anlieferung!D:D,$B423)*1/2</f>
        <v>0</v>
      </c>
      <c r="O423">
        <f>COUNTIF(Probeabholungen!B:B,$B423)*1/3</f>
        <v>0</v>
      </c>
    </row>
    <row r="424" spans="1:15" ht="27.6">
      <c r="A424" s="8" t="s">
        <v>410</v>
      </c>
      <c r="B424" s="8">
        <v>220393</v>
      </c>
      <c r="D424" s="29"/>
      <c r="E424" s="1">
        <v>7.67</v>
      </c>
      <c r="F424" s="8">
        <v>6</v>
      </c>
      <c r="G424" s="30">
        <f t="shared" si="21"/>
        <v>12.67</v>
      </c>
      <c r="H424" s="8">
        <f t="shared" si="23"/>
        <v>-6.67</v>
      </c>
      <c r="I424">
        <f t="shared" si="22"/>
        <v>1</v>
      </c>
      <c r="J424">
        <f>SUMIF(Oeffentlichkeitsarbeit!$D:$D,$B424,Oeffentlichkeitsarbeit!$F:$F)</f>
        <v>0</v>
      </c>
      <c r="K424">
        <f>COUNTIF(Fairteiler!$D:$D,$B424)*1/2</f>
        <v>0</v>
      </c>
      <c r="L424">
        <f>COUNTIF('NP-Betrieb'!D:D,$B424)*1/3</f>
        <v>1</v>
      </c>
      <c r="M424">
        <f>COUNTIF(Fairteilungen!$D:$D,$B424)*3/4</f>
        <v>0</v>
      </c>
      <c r="N424">
        <f>COUNTIF(Anlieferung!D:D,$B424)*1/2</f>
        <v>0</v>
      </c>
      <c r="O424">
        <f>COUNTIF(Probeabholungen!B:B,$B424)*1/3</f>
        <v>0</v>
      </c>
    </row>
    <row r="425" spans="1:15" ht="27.6">
      <c r="A425" s="8" t="s">
        <v>411</v>
      </c>
      <c r="B425" s="8">
        <v>530062</v>
      </c>
      <c r="D425" s="29"/>
      <c r="E425" s="1">
        <v>6</v>
      </c>
      <c r="F425" s="8">
        <v>6</v>
      </c>
      <c r="G425" s="30">
        <f t="shared" si="21"/>
        <v>12</v>
      </c>
      <c r="H425" s="8">
        <f t="shared" si="23"/>
        <v>-6</v>
      </c>
      <c r="I425">
        <f t="shared" si="22"/>
        <v>0</v>
      </c>
      <c r="J425">
        <f>SUMIF(Oeffentlichkeitsarbeit!$D:$D,$B425,Oeffentlichkeitsarbeit!$F:$F)</f>
        <v>0</v>
      </c>
      <c r="K425">
        <f>COUNTIF(Fairteiler!$D:$D,$B425)*1/2</f>
        <v>0</v>
      </c>
      <c r="L425">
        <f>COUNTIF('NP-Betrieb'!D:D,$B425)*1/3</f>
        <v>0</v>
      </c>
      <c r="M425">
        <f>COUNTIF(Fairteilungen!$D:$D,$B425)*3/4</f>
        <v>0</v>
      </c>
      <c r="N425">
        <f>COUNTIF(Anlieferung!D:D,$B425)*1/2</f>
        <v>0</v>
      </c>
      <c r="O425">
        <f>COUNTIF(Probeabholungen!B:B,$B425)*1/3</f>
        <v>0</v>
      </c>
    </row>
    <row r="426" spans="1:15">
      <c r="A426" t="s">
        <v>412</v>
      </c>
      <c r="B426">
        <v>900975</v>
      </c>
      <c r="D426" s="24">
        <v>45698</v>
      </c>
      <c r="E426" s="1">
        <v>3</v>
      </c>
      <c r="F426" s="8">
        <v>6</v>
      </c>
      <c r="G426" s="30">
        <f t="shared" si="21"/>
        <v>5.3333333333333339</v>
      </c>
      <c r="H426" s="8">
        <f t="shared" si="23"/>
        <v>0.66666666666666652</v>
      </c>
      <c r="I426">
        <f t="shared" si="22"/>
        <v>3.6666666666666665</v>
      </c>
      <c r="J426">
        <f>SUMIF(Oeffentlichkeitsarbeit!$D:$D,$B426,Oeffentlichkeitsarbeit!$F:$F)</f>
        <v>0</v>
      </c>
      <c r="K426">
        <f>COUNTIF(Fairteiler!$D:$D,$B426)*1/2</f>
        <v>0</v>
      </c>
      <c r="L426">
        <f>COUNTIF('NP-Betrieb'!D:D,$B426)*1/3</f>
        <v>3.6666666666666665</v>
      </c>
      <c r="M426">
        <f>COUNTIF(Fairteilungen!$D:$D,$B426)*3/4</f>
        <v>0</v>
      </c>
      <c r="N426">
        <f>COUNTIF(Anlieferung!D:D,$B426)*1/2</f>
        <v>0</v>
      </c>
      <c r="O426">
        <f>COUNTIF(Probeabholungen!B:B,$B426)*1/3</f>
        <v>0</v>
      </c>
    </row>
    <row r="427" spans="1:15" ht="27.6">
      <c r="A427" s="8" t="s">
        <v>413</v>
      </c>
      <c r="B427" s="8">
        <v>495110</v>
      </c>
      <c r="D427" s="29"/>
      <c r="E427" s="1">
        <v>0</v>
      </c>
      <c r="F427" s="8">
        <v>6</v>
      </c>
      <c r="G427" s="30">
        <f t="shared" si="21"/>
        <v>4.3333333333333339</v>
      </c>
      <c r="H427" s="8">
        <f t="shared" si="23"/>
        <v>1.6666666666666665</v>
      </c>
      <c r="I427">
        <f t="shared" si="22"/>
        <v>1.6666666666666665</v>
      </c>
      <c r="J427">
        <f>SUMIF(Oeffentlichkeitsarbeit!$D:$D,$B427,Oeffentlichkeitsarbeit!$F:$F)</f>
        <v>0</v>
      </c>
      <c r="K427">
        <f>COUNTIF(Fairteiler!$D:$D,$B427)*1/2</f>
        <v>1</v>
      </c>
      <c r="L427">
        <f>COUNTIF('NP-Betrieb'!D:D,$B427)*1/3</f>
        <v>0.66666666666666663</v>
      </c>
      <c r="M427">
        <f>COUNTIF(Fairteilungen!$D:$D,$B427)*3/4</f>
        <v>0</v>
      </c>
      <c r="N427">
        <f>COUNTIF(Anlieferung!D:D,$B427)*1/2</f>
        <v>0</v>
      </c>
      <c r="O427">
        <f>COUNTIF(Probeabholungen!B:B,$B427)*1/3</f>
        <v>0</v>
      </c>
    </row>
    <row r="428" spans="1:15" ht="27.6">
      <c r="A428" s="8" t="s">
        <v>414</v>
      </c>
      <c r="B428" s="8">
        <v>328548</v>
      </c>
      <c r="D428" s="29"/>
      <c r="E428" s="1">
        <v>0</v>
      </c>
      <c r="F428" s="8">
        <v>6</v>
      </c>
      <c r="G428" s="30">
        <f t="shared" si="21"/>
        <v>4</v>
      </c>
      <c r="H428" s="8">
        <f t="shared" si="23"/>
        <v>2</v>
      </c>
      <c r="I428">
        <f t="shared" si="22"/>
        <v>2</v>
      </c>
      <c r="J428">
        <f>SUMIF(Oeffentlichkeitsarbeit!$D:$D,$B428,Oeffentlichkeitsarbeit!$F:$F)</f>
        <v>0</v>
      </c>
      <c r="K428">
        <f>COUNTIF(Fairteiler!$D:$D,$B428)*1/2</f>
        <v>1</v>
      </c>
      <c r="L428">
        <f>COUNTIF('NP-Betrieb'!D:D,$B428)*1/3</f>
        <v>1</v>
      </c>
      <c r="M428">
        <f>COUNTIF(Fairteilungen!$D:$D,$B428)*3/4</f>
        <v>0</v>
      </c>
      <c r="N428">
        <f>COUNTIF(Anlieferung!D:D,$B428)*1/2</f>
        <v>0</v>
      </c>
      <c r="O428">
        <f>COUNTIF(Probeabholungen!B:B,$B428)*1/3</f>
        <v>0</v>
      </c>
    </row>
    <row r="429" spans="1:15">
      <c r="A429" s="8" t="s">
        <v>415</v>
      </c>
      <c r="B429" s="8">
        <v>390258</v>
      </c>
      <c r="C429" s="8"/>
      <c r="D429" s="29"/>
      <c r="E429" s="1">
        <v>12</v>
      </c>
      <c r="F429" s="8">
        <v>6</v>
      </c>
      <c r="G429" s="30">
        <f t="shared" si="21"/>
        <v>18</v>
      </c>
      <c r="H429" s="8">
        <f t="shared" si="23"/>
        <v>-12</v>
      </c>
      <c r="I429">
        <f t="shared" si="22"/>
        <v>0</v>
      </c>
      <c r="J429">
        <f>SUMIF(Oeffentlichkeitsarbeit!$D:$D,$B429,Oeffentlichkeitsarbeit!$F:$F)</f>
        <v>0</v>
      </c>
      <c r="K429">
        <f>COUNTIF(Fairteiler!$D:$D,$B429)*1/2</f>
        <v>0</v>
      </c>
      <c r="L429">
        <f>COUNTIF('NP-Betrieb'!D:D,$B429)*1/3</f>
        <v>0</v>
      </c>
      <c r="M429">
        <f>COUNTIF(Fairteilungen!$D:$D,$B429)*3/4</f>
        <v>0</v>
      </c>
      <c r="N429">
        <f>COUNTIF(Anlieferung!D:D,$B429)*1/2</f>
        <v>0</v>
      </c>
      <c r="O429">
        <f>COUNTIF(Probeabholungen!B:B,$B429)*1/3</f>
        <v>0</v>
      </c>
    </row>
    <row r="430" spans="1:15" ht="27.6">
      <c r="A430" s="8" t="s">
        <v>416</v>
      </c>
      <c r="B430" s="8">
        <v>748420</v>
      </c>
      <c r="D430" s="29">
        <v>45190</v>
      </c>
      <c r="E430" s="1">
        <v>5</v>
      </c>
      <c r="F430" s="8">
        <v>6</v>
      </c>
      <c r="G430" s="30">
        <f t="shared" si="21"/>
        <v>10.333333333333332</v>
      </c>
      <c r="H430" s="8">
        <f t="shared" si="23"/>
        <v>-4.333333333333333</v>
      </c>
      <c r="I430">
        <f t="shared" si="22"/>
        <v>0.66666666666666663</v>
      </c>
      <c r="J430">
        <f>SUMIF(Oeffentlichkeitsarbeit!$D:$D,$B430,Oeffentlichkeitsarbeit!$F:$F)</f>
        <v>0</v>
      </c>
      <c r="K430">
        <f>COUNTIF(Fairteiler!$D:$D,$B430)*1/2</f>
        <v>0</v>
      </c>
      <c r="L430">
        <f>COUNTIF('NP-Betrieb'!D:D,$B430)*1/3</f>
        <v>0.66666666666666663</v>
      </c>
      <c r="M430">
        <f>COUNTIF(Fairteilungen!$D:$D,$B430)*3/4</f>
        <v>0</v>
      </c>
      <c r="N430">
        <f>COUNTIF(Anlieferung!D:D,$B430)*1/2</f>
        <v>0</v>
      </c>
      <c r="O430">
        <f>COUNTIF(Probeabholungen!B:B,$B430)*1/3</f>
        <v>0</v>
      </c>
    </row>
    <row r="431" spans="1:15">
      <c r="A431" s="8" t="s">
        <v>417</v>
      </c>
      <c r="B431" s="8">
        <v>686972</v>
      </c>
      <c r="D431" s="29"/>
      <c r="E431" s="1">
        <v>0</v>
      </c>
      <c r="F431" s="8">
        <v>6</v>
      </c>
      <c r="G431" s="30">
        <f t="shared" si="21"/>
        <v>0.66666666666666696</v>
      </c>
      <c r="H431" s="8">
        <f t="shared" si="23"/>
        <v>5.333333333333333</v>
      </c>
      <c r="I431">
        <f t="shared" si="22"/>
        <v>5.333333333333333</v>
      </c>
      <c r="J431">
        <f>SUMIF(Oeffentlichkeitsarbeit!$D:$D,$B431,Oeffentlichkeitsarbeit!$F:$F)</f>
        <v>0</v>
      </c>
      <c r="K431">
        <f>COUNTIF(Fairteiler!$D:$D,$B431)*1/2</f>
        <v>0</v>
      </c>
      <c r="L431">
        <f>COUNTIF('NP-Betrieb'!D:D,$B431)*1/3</f>
        <v>5.333333333333333</v>
      </c>
      <c r="M431">
        <f>COUNTIF(Fairteilungen!$D:$D,$B431)*3/4</f>
        <v>0</v>
      </c>
      <c r="N431">
        <f>COUNTIF(Anlieferung!D:D,$B431)*1/2</f>
        <v>0</v>
      </c>
      <c r="O431">
        <f>COUNTIF(Probeabholungen!B:B,$B431)*1/3</f>
        <v>0</v>
      </c>
    </row>
    <row r="432" spans="1:15" ht="27.6">
      <c r="A432" s="8" t="s">
        <v>418</v>
      </c>
      <c r="B432" s="8">
        <v>537495</v>
      </c>
      <c r="D432" s="29"/>
      <c r="E432" s="1">
        <v>6.0066666666666597</v>
      </c>
      <c r="F432" s="8">
        <v>6</v>
      </c>
      <c r="G432" s="30">
        <f t="shared" si="21"/>
        <v>12.006666666666661</v>
      </c>
      <c r="H432" s="8">
        <f t="shared" si="23"/>
        <v>-6.0066666666666597</v>
      </c>
      <c r="I432">
        <f t="shared" si="22"/>
        <v>0</v>
      </c>
      <c r="J432">
        <f>SUMIF(Oeffentlichkeitsarbeit!$D:$D,$B432,Oeffentlichkeitsarbeit!$F:$F)</f>
        <v>0</v>
      </c>
      <c r="K432">
        <f>COUNTIF(Fairteiler!$D:$D,$B432)*1/2</f>
        <v>0</v>
      </c>
      <c r="L432">
        <f>COUNTIF('NP-Betrieb'!D:D,$B432)*1/3</f>
        <v>0</v>
      </c>
      <c r="M432">
        <f>COUNTIF(Fairteilungen!$D:$D,$B432)*3/4</f>
        <v>0</v>
      </c>
      <c r="N432">
        <f>COUNTIF(Anlieferung!D:D,$B432)*1/2</f>
        <v>0</v>
      </c>
      <c r="O432">
        <f>COUNTIF(Probeabholungen!B:B,$B432)*1/3</f>
        <v>0</v>
      </c>
    </row>
    <row r="433" spans="1:15" ht="27.6">
      <c r="A433" s="8" t="s">
        <v>419</v>
      </c>
      <c r="B433" s="8">
        <v>595661</v>
      </c>
      <c r="D433" s="29"/>
      <c r="E433" s="1">
        <v>0</v>
      </c>
      <c r="F433" s="8">
        <v>6</v>
      </c>
      <c r="G433" s="30">
        <f t="shared" si="21"/>
        <v>2</v>
      </c>
      <c r="H433" s="8">
        <f t="shared" si="23"/>
        <v>4</v>
      </c>
      <c r="I433">
        <f t="shared" si="22"/>
        <v>4</v>
      </c>
      <c r="J433">
        <f>SUMIF(Oeffentlichkeitsarbeit!$D:$D,$B433,Oeffentlichkeitsarbeit!$F:$F)</f>
        <v>0</v>
      </c>
      <c r="K433">
        <f>COUNTIF(Fairteiler!$D:$D,$B433)*1/2</f>
        <v>4</v>
      </c>
      <c r="L433">
        <f>COUNTIF('NP-Betrieb'!D:D,$B433)*1/3</f>
        <v>0</v>
      </c>
      <c r="M433">
        <f>COUNTIF(Fairteilungen!$D:$D,$B433)*3/4</f>
        <v>0</v>
      </c>
      <c r="N433">
        <f>COUNTIF(Anlieferung!D:D,$B433)*1/2</f>
        <v>0</v>
      </c>
      <c r="O433">
        <f>COUNTIF(Probeabholungen!B:B,$B433)*1/3</f>
        <v>0</v>
      </c>
    </row>
    <row r="434" spans="1:15" ht="41.4">
      <c r="A434" s="8" t="s">
        <v>420</v>
      </c>
      <c r="B434" s="8">
        <v>294548</v>
      </c>
      <c r="D434" s="29"/>
      <c r="E434" s="1">
        <v>0</v>
      </c>
      <c r="F434" s="8">
        <v>6</v>
      </c>
      <c r="G434" s="30">
        <f t="shared" si="21"/>
        <v>3</v>
      </c>
      <c r="H434" s="8">
        <f t="shared" si="23"/>
        <v>3</v>
      </c>
      <c r="I434">
        <f t="shared" si="22"/>
        <v>3</v>
      </c>
      <c r="J434">
        <f>SUMIF(Oeffentlichkeitsarbeit!$D:$D,$B434,Oeffentlichkeitsarbeit!$F:$F)</f>
        <v>0</v>
      </c>
      <c r="K434">
        <f>COUNTIF(Fairteiler!$D:$D,$B434)*1/2</f>
        <v>0</v>
      </c>
      <c r="L434">
        <f>COUNTIF('NP-Betrieb'!D:D,$B434)*1/3</f>
        <v>3</v>
      </c>
      <c r="M434">
        <f>COUNTIF(Fairteilungen!$D:$D,$B434)*3/4</f>
        <v>0</v>
      </c>
      <c r="N434">
        <f>COUNTIF(Anlieferung!D:D,$B434)*1/2</f>
        <v>0</v>
      </c>
      <c r="O434">
        <f>COUNTIF(Probeabholungen!B:B,$B434)*1/3</f>
        <v>0</v>
      </c>
    </row>
    <row r="435" spans="1:15">
      <c r="A435" s="8" t="s">
        <v>860</v>
      </c>
      <c r="B435" s="8">
        <v>986554</v>
      </c>
      <c r="D435" s="24">
        <v>46087</v>
      </c>
      <c r="E435">
        <v>0</v>
      </c>
      <c r="F435">
        <v>5</v>
      </c>
      <c r="G435" s="30">
        <f t="shared" si="21"/>
        <v>3.3333333333333335</v>
      </c>
      <c r="H435" s="8">
        <f t="shared" si="23"/>
        <v>1.6666666666666665</v>
      </c>
      <c r="I435">
        <f t="shared" si="22"/>
        <v>1.6666666666666665</v>
      </c>
      <c r="J435">
        <f>SUMIF(Oeffentlichkeitsarbeit!$D:$D,$B435,Oeffentlichkeitsarbeit!$F:$F)</f>
        <v>0</v>
      </c>
      <c r="K435">
        <f>COUNTIF(Fairteiler!$D:$D,$B435)*1/2</f>
        <v>1</v>
      </c>
      <c r="L435">
        <f>COUNTIF('NP-Betrieb'!D:D,$B435)*1/3</f>
        <v>0.66666666666666663</v>
      </c>
      <c r="M435">
        <f>COUNTIF(Fairteilungen!$D:$D,$B435)*3/4</f>
        <v>0</v>
      </c>
      <c r="N435">
        <f>COUNTIF(Anlieferung!D:D,$B435)*1/2</f>
        <v>0</v>
      </c>
      <c r="O435">
        <f>COUNTIF(Probeabholungen!B:B,$B435)*1/3</f>
        <v>0</v>
      </c>
    </row>
    <row r="436" spans="1:15" ht="27.6">
      <c r="A436" s="8" t="s">
        <v>421</v>
      </c>
      <c r="B436" s="8">
        <v>624638</v>
      </c>
      <c r="D436" s="29"/>
      <c r="E436" s="1">
        <v>0</v>
      </c>
      <c r="F436" s="8">
        <v>6</v>
      </c>
      <c r="G436" s="30">
        <f t="shared" si="21"/>
        <v>3</v>
      </c>
      <c r="H436" s="8">
        <f t="shared" si="23"/>
        <v>3</v>
      </c>
      <c r="I436">
        <f t="shared" si="22"/>
        <v>3</v>
      </c>
      <c r="J436">
        <f>SUMIF(Oeffentlichkeitsarbeit!$D:$D,$B436,Oeffentlichkeitsarbeit!$F:$F)</f>
        <v>0</v>
      </c>
      <c r="K436">
        <f>COUNTIF(Fairteiler!$D:$D,$B436)*1/2</f>
        <v>1</v>
      </c>
      <c r="L436">
        <f>COUNTIF('NP-Betrieb'!D:D,$B436)*1/3</f>
        <v>2</v>
      </c>
      <c r="M436">
        <f>COUNTIF(Fairteilungen!$D:$D,$B436)*3/4</f>
        <v>0</v>
      </c>
      <c r="N436">
        <f>COUNTIF(Anlieferung!D:D,$B436)*1/2</f>
        <v>0</v>
      </c>
      <c r="O436">
        <f>COUNTIF(Probeabholungen!B:B,$B436)*1/3</f>
        <v>0</v>
      </c>
    </row>
    <row r="437" spans="1:15" ht="41.4">
      <c r="A437" s="8" t="s">
        <v>861</v>
      </c>
      <c r="B437" s="8">
        <v>748316</v>
      </c>
      <c r="D437" s="24">
        <v>46077</v>
      </c>
      <c r="E437">
        <v>0</v>
      </c>
      <c r="F437">
        <v>5</v>
      </c>
      <c r="G437" s="30">
        <f t="shared" si="21"/>
        <v>1.3333333333333335</v>
      </c>
      <c r="H437" s="8">
        <f t="shared" si="23"/>
        <v>3.6666666666666665</v>
      </c>
      <c r="I437">
        <f t="shared" si="22"/>
        <v>3.6666666666666665</v>
      </c>
      <c r="J437">
        <f>SUMIF(Oeffentlichkeitsarbeit!$D:$D,$B437,Oeffentlichkeitsarbeit!$F:$F)</f>
        <v>0</v>
      </c>
      <c r="K437">
        <f>COUNTIF(Fairteiler!$D:$D,$B437)*1/2</f>
        <v>0</v>
      </c>
      <c r="L437">
        <f>COUNTIF('NP-Betrieb'!D:D,$B437)*1/3</f>
        <v>3.6666666666666665</v>
      </c>
      <c r="M437">
        <f>COUNTIF(Fairteilungen!$D:$D,$B437)*3/4</f>
        <v>0</v>
      </c>
      <c r="N437">
        <f>COUNTIF(Anlieferung!D:D,$B437)*1/2</f>
        <v>0</v>
      </c>
      <c r="O437">
        <f>COUNTIF(Probeabholungen!B:B,$B437)*1/3</f>
        <v>0</v>
      </c>
    </row>
    <row r="438" spans="1:15" ht="27.6">
      <c r="A438" s="8" t="s">
        <v>422</v>
      </c>
      <c r="B438" s="8">
        <v>687118</v>
      </c>
      <c r="D438" s="29">
        <v>45245</v>
      </c>
      <c r="E438" s="1">
        <v>0</v>
      </c>
      <c r="F438" s="8">
        <v>6</v>
      </c>
      <c r="G438" s="30">
        <f t="shared" si="21"/>
        <v>1.666666666666667</v>
      </c>
      <c r="H438" s="8">
        <f t="shared" si="23"/>
        <v>4.333333333333333</v>
      </c>
      <c r="I438">
        <f t="shared" si="22"/>
        <v>4.333333333333333</v>
      </c>
      <c r="J438">
        <f>SUMIF(Oeffentlichkeitsarbeit!$D:$D,$B438,Oeffentlichkeitsarbeit!$F:$F)</f>
        <v>0</v>
      </c>
      <c r="K438">
        <f>COUNTIF(Fairteiler!$D:$D,$B438)*1/2</f>
        <v>0</v>
      </c>
      <c r="L438">
        <f>COUNTIF('NP-Betrieb'!D:D,$B438)*1/3</f>
        <v>4.333333333333333</v>
      </c>
      <c r="M438">
        <f>COUNTIF(Fairteilungen!$D:$D,$B438)*3/4</f>
        <v>0</v>
      </c>
      <c r="N438">
        <f>COUNTIF(Anlieferung!D:D,$B438)*1/2</f>
        <v>0</v>
      </c>
      <c r="O438">
        <f>COUNTIF(Probeabholungen!B:B,$B438)*1/3</f>
        <v>0</v>
      </c>
    </row>
    <row r="439" spans="1:15" ht="27.6">
      <c r="A439" s="8" t="s">
        <v>423</v>
      </c>
      <c r="B439" s="8">
        <v>75868</v>
      </c>
      <c r="D439" s="29"/>
      <c r="E439" s="1">
        <v>11.3366666666667</v>
      </c>
      <c r="F439" s="8">
        <v>6</v>
      </c>
      <c r="G439" s="30">
        <f t="shared" si="21"/>
        <v>17.336666666666702</v>
      </c>
      <c r="H439" s="8">
        <f t="shared" si="23"/>
        <v>-11.3366666666667</v>
      </c>
      <c r="I439">
        <f t="shared" si="22"/>
        <v>0</v>
      </c>
      <c r="J439">
        <f>SUMIF(Oeffentlichkeitsarbeit!$D:$D,$B439,Oeffentlichkeitsarbeit!$F:$F)</f>
        <v>0</v>
      </c>
      <c r="K439">
        <f>COUNTIF(Fairteiler!$D:$D,$B439)*1/2</f>
        <v>0</v>
      </c>
      <c r="L439">
        <f>COUNTIF('NP-Betrieb'!D:D,$B439)*1/3</f>
        <v>0</v>
      </c>
      <c r="M439">
        <f>COUNTIF(Fairteilungen!$D:$D,$B439)*3/4</f>
        <v>0</v>
      </c>
      <c r="N439">
        <f>COUNTIF(Anlieferung!D:D,$B439)*1/2</f>
        <v>0</v>
      </c>
      <c r="O439">
        <f>COUNTIF(Probeabholungen!B:B,$B439)*1/3</f>
        <v>0</v>
      </c>
    </row>
    <row r="440" spans="1:15" ht="27.6">
      <c r="A440" s="8" t="s">
        <v>424</v>
      </c>
      <c r="B440" s="8">
        <v>569123</v>
      </c>
      <c r="D440" s="29"/>
      <c r="E440" s="1">
        <v>0</v>
      </c>
      <c r="F440" s="8">
        <v>6</v>
      </c>
      <c r="G440" s="30">
        <f t="shared" si="21"/>
        <v>0</v>
      </c>
      <c r="H440" s="8">
        <f t="shared" si="23"/>
        <v>6</v>
      </c>
      <c r="I440">
        <f t="shared" si="22"/>
        <v>6</v>
      </c>
      <c r="J440">
        <f>SUMIF(Oeffentlichkeitsarbeit!$D:$D,$B440,Oeffentlichkeitsarbeit!$F:$F)</f>
        <v>0</v>
      </c>
      <c r="K440">
        <f>COUNTIF(Fairteiler!$D:$D,$B440)*1/2</f>
        <v>6</v>
      </c>
      <c r="L440">
        <f>COUNTIF('NP-Betrieb'!D:D,$B440)*1/3</f>
        <v>0</v>
      </c>
      <c r="M440">
        <f>COUNTIF(Fairteilungen!$D:$D,$B440)*3/4</f>
        <v>0</v>
      </c>
      <c r="N440">
        <f>COUNTIF(Anlieferung!D:D,$B440)*1/2</f>
        <v>0</v>
      </c>
      <c r="O440">
        <f>COUNTIF(Probeabholungen!B:B,$B440)*1/3</f>
        <v>0</v>
      </c>
    </row>
    <row r="441" spans="1:15" ht="27.6">
      <c r="A441" s="8" t="s">
        <v>425</v>
      </c>
      <c r="B441" s="8">
        <v>128912</v>
      </c>
      <c r="D441" s="29"/>
      <c r="E441" s="1">
        <v>10.5</v>
      </c>
      <c r="F441" s="8">
        <v>6</v>
      </c>
      <c r="G441" s="30">
        <f t="shared" si="21"/>
        <v>16.5</v>
      </c>
      <c r="H441" s="8">
        <f t="shared" si="23"/>
        <v>-10.5</v>
      </c>
      <c r="I441">
        <f t="shared" si="22"/>
        <v>0</v>
      </c>
      <c r="J441">
        <f>SUMIF(Oeffentlichkeitsarbeit!$D:$D,$B441,Oeffentlichkeitsarbeit!$F:$F)</f>
        <v>0</v>
      </c>
      <c r="K441">
        <f>COUNTIF(Fairteiler!$D:$D,$B441)*1/2</f>
        <v>0</v>
      </c>
      <c r="L441">
        <f>COUNTIF('NP-Betrieb'!D:D,$B441)*1/3</f>
        <v>0</v>
      </c>
      <c r="M441">
        <f>COUNTIF(Fairteilungen!$D:$D,$B441)*3/4</f>
        <v>0</v>
      </c>
      <c r="N441">
        <f>COUNTIF(Anlieferung!D:D,$B441)*1/2</f>
        <v>0</v>
      </c>
      <c r="O441">
        <f>COUNTIF(Probeabholungen!B:B,$B441)*1/3</f>
        <v>0</v>
      </c>
    </row>
    <row r="442" spans="1:15">
      <c r="A442" s="8" t="s">
        <v>426</v>
      </c>
      <c r="B442" s="8">
        <v>579086</v>
      </c>
      <c r="D442" s="29"/>
      <c r="E442" s="1">
        <v>0</v>
      </c>
      <c r="F442" s="8">
        <v>6</v>
      </c>
      <c r="G442" s="30">
        <f t="shared" si="21"/>
        <v>6</v>
      </c>
      <c r="H442" s="8">
        <f t="shared" si="23"/>
        <v>0</v>
      </c>
      <c r="I442">
        <f t="shared" si="22"/>
        <v>0</v>
      </c>
      <c r="J442">
        <f>SUMIF(Oeffentlichkeitsarbeit!$D:$D,$B442,Oeffentlichkeitsarbeit!$F:$F)</f>
        <v>0</v>
      </c>
      <c r="K442">
        <f>COUNTIF(Fairteiler!$D:$D,$B442)*1/2</f>
        <v>0</v>
      </c>
      <c r="L442">
        <f>COUNTIF('NP-Betrieb'!D:D,$B442)*1/3</f>
        <v>0</v>
      </c>
      <c r="M442">
        <f>COUNTIF(Fairteilungen!$D:$D,$B442)*3/4</f>
        <v>0</v>
      </c>
      <c r="N442">
        <f>COUNTIF(Anlieferung!D:D,$B442)*1/2</f>
        <v>0</v>
      </c>
      <c r="O442">
        <f>COUNTIF(Probeabholungen!B:B,$B442)*1/3</f>
        <v>0</v>
      </c>
    </row>
    <row r="443" spans="1:15" ht="27.6">
      <c r="A443" s="8" t="s">
        <v>427</v>
      </c>
      <c r="B443" s="8">
        <v>725703</v>
      </c>
      <c r="D443" s="24">
        <v>45754</v>
      </c>
      <c r="E443" s="1">
        <v>0</v>
      </c>
      <c r="F443">
        <v>6</v>
      </c>
      <c r="G443" s="30">
        <f t="shared" si="21"/>
        <v>2.3333333333333335</v>
      </c>
      <c r="H443" s="8">
        <f t="shared" si="23"/>
        <v>3.6666666666666665</v>
      </c>
      <c r="I443">
        <f t="shared" si="22"/>
        <v>3.6666666666666665</v>
      </c>
      <c r="J443">
        <f>SUMIF(Oeffentlichkeitsarbeit!$D:$D,$B443,Oeffentlichkeitsarbeit!$F:$F)</f>
        <v>0</v>
      </c>
      <c r="K443">
        <f>COUNTIF(Fairteiler!$D:$D,$B443)*1/2</f>
        <v>0</v>
      </c>
      <c r="L443">
        <f>COUNTIF('NP-Betrieb'!D:D,$B443)*1/3</f>
        <v>3.6666666666666665</v>
      </c>
      <c r="M443">
        <f>COUNTIF(Fairteilungen!$D:$D,$B443)*3/4</f>
        <v>0</v>
      </c>
      <c r="N443">
        <f>COUNTIF(Anlieferung!D:D,$B443)*1/2</f>
        <v>0</v>
      </c>
      <c r="O443">
        <f>COUNTIF(Probeabholungen!B:B,$B443)*1/3</f>
        <v>0</v>
      </c>
    </row>
    <row r="444" spans="1:15">
      <c r="A444" s="8" t="s">
        <v>428</v>
      </c>
      <c r="B444" s="8">
        <v>230735</v>
      </c>
      <c r="D444" s="29"/>
      <c r="E444" s="1">
        <v>2.1666666666666701</v>
      </c>
      <c r="F444" s="8">
        <v>6</v>
      </c>
      <c r="G444" s="30">
        <f t="shared" si="21"/>
        <v>6.6666666666666696</v>
      </c>
      <c r="H444" s="8">
        <f t="shared" si="23"/>
        <v>-0.66666666666667007</v>
      </c>
      <c r="I444">
        <f t="shared" si="22"/>
        <v>1.5</v>
      </c>
      <c r="J444">
        <f>SUMIF(Oeffentlichkeitsarbeit!$D:$D,$B444,Oeffentlichkeitsarbeit!$F:$F)</f>
        <v>0</v>
      </c>
      <c r="K444">
        <f>COUNTIF(Fairteiler!$D:$D,$B444)*1/2</f>
        <v>0.5</v>
      </c>
      <c r="L444">
        <f>COUNTIF('NP-Betrieb'!D:D,$B444)*1/3</f>
        <v>1</v>
      </c>
      <c r="M444">
        <f>COUNTIF(Fairteilungen!$D:$D,$B444)*3/4</f>
        <v>0</v>
      </c>
      <c r="N444">
        <f>COUNTIF(Anlieferung!D:D,$B444)*1/2</f>
        <v>0</v>
      </c>
      <c r="O444">
        <f>COUNTIF(Probeabholungen!B:B,$B444)*1/3</f>
        <v>0</v>
      </c>
    </row>
    <row r="445" spans="1:15" ht="41.4">
      <c r="A445" s="8" t="s">
        <v>429</v>
      </c>
      <c r="B445" s="8">
        <v>660253</v>
      </c>
      <c r="D445" s="29">
        <v>45230</v>
      </c>
      <c r="E445" s="1">
        <v>11.3366666666667</v>
      </c>
      <c r="F445" s="8">
        <v>6</v>
      </c>
      <c r="G445" s="30">
        <f t="shared" si="21"/>
        <v>17.336666666666702</v>
      </c>
      <c r="H445" s="8">
        <f t="shared" si="23"/>
        <v>-11.3366666666667</v>
      </c>
      <c r="I445">
        <f t="shared" si="22"/>
        <v>0</v>
      </c>
      <c r="J445">
        <f>SUMIF(Oeffentlichkeitsarbeit!$D:$D,$B445,Oeffentlichkeitsarbeit!$F:$F)</f>
        <v>0</v>
      </c>
      <c r="K445">
        <f>COUNTIF(Fairteiler!$D:$D,$B445)*1/2</f>
        <v>0</v>
      </c>
      <c r="L445">
        <f>COUNTIF('NP-Betrieb'!D:D,$B445)*1/3</f>
        <v>0</v>
      </c>
      <c r="M445">
        <f>COUNTIF(Fairteilungen!$D:$D,$B445)*3/4</f>
        <v>0</v>
      </c>
      <c r="N445">
        <f>COUNTIF(Anlieferung!D:D,$B445)*1/2</f>
        <v>0</v>
      </c>
      <c r="O445">
        <f>COUNTIF(Probeabholungen!B:B,$B445)*1/3</f>
        <v>0</v>
      </c>
    </row>
    <row r="446" spans="1:15">
      <c r="A446" s="8" t="s">
        <v>430</v>
      </c>
      <c r="B446" s="8">
        <v>459248</v>
      </c>
      <c r="D446" s="29"/>
      <c r="E446" s="1">
        <v>0</v>
      </c>
      <c r="F446" s="8">
        <v>6</v>
      </c>
      <c r="G446" s="30">
        <f t="shared" si="21"/>
        <v>6</v>
      </c>
      <c r="H446" s="8">
        <f t="shared" si="23"/>
        <v>0</v>
      </c>
      <c r="I446">
        <f t="shared" si="22"/>
        <v>0</v>
      </c>
      <c r="J446">
        <f>SUMIF(Oeffentlichkeitsarbeit!$D:$D,$B446,Oeffentlichkeitsarbeit!$F:$F)</f>
        <v>0</v>
      </c>
      <c r="K446">
        <f>COUNTIF(Fairteiler!$D:$D,$B446)*1/2</f>
        <v>0</v>
      </c>
      <c r="L446">
        <f>COUNTIF('NP-Betrieb'!D:D,$B446)*1/3</f>
        <v>0</v>
      </c>
      <c r="M446">
        <f>COUNTIF(Fairteilungen!$D:$D,$B446)*3/4</f>
        <v>0</v>
      </c>
      <c r="N446">
        <f>COUNTIF(Anlieferung!D:D,$B446)*1/2</f>
        <v>0</v>
      </c>
      <c r="O446">
        <f>COUNTIF(Probeabholungen!B:B,$B446)*1/3</f>
        <v>0</v>
      </c>
    </row>
    <row r="447" spans="1:15" ht="27.6">
      <c r="A447" s="8" t="s">
        <v>431</v>
      </c>
      <c r="B447" s="8">
        <v>157147</v>
      </c>
      <c r="D447" s="29"/>
      <c r="E447" s="1">
        <v>0</v>
      </c>
      <c r="F447" s="8">
        <v>6</v>
      </c>
      <c r="G447" s="30">
        <f t="shared" si="21"/>
        <v>4.5</v>
      </c>
      <c r="H447" s="8">
        <f t="shared" si="23"/>
        <v>1.5</v>
      </c>
      <c r="I447">
        <f t="shared" si="22"/>
        <v>1.5</v>
      </c>
      <c r="J447">
        <f>SUMIF(Oeffentlichkeitsarbeit!$D:$D,$B447,Oeffentlichkeitsarbeit!$F:$F)</f>
        <v>0</v>
      </c>
      <c r="K447">
        <f>COUNTIF(Fairteiler!$D:$D,$B447)*1/2</f>
        <v>1.5</v>
      </c>
      <c r="L447">
        <f>COUNTIF('NP-Betrieb'!D:D,$B447)*1/3</f>
        <v>0</v>
      </c>
      <c r="M447">
        <f>COUNTIF(Fairteilungen!$D:$D,$B447)*3/4</f>
        <v>0</v>
      </c>
      <c r="N447">
        <f>COUNTIF(Anlieferung!D:D,$B447)*1/2</f>
        <v>0</v>
      </c>
      <c r="O447">
        <f>COUNTIF(Probeabholungen!B:B,$B447)*1/3</f>
        <v>0</v>
      </c>
    </row>
    <row r="448" spans="1:15">
      <c r="A448" s="8" t="s">
        <v>432</v>
      </c>
      <c r="B448" s="8">
        <v>682088</v>
      </c>
      <c r="D448" s="29"/>
      <c r="E448" s="1">
        <v>8.3333333333333304</v>
      </c>
      <c r="F448" s="8">
        <v>6</v>
      </c>
      <c r="G448" s="30">
        <f t="shared" si="21"/>
        <v>14.33333333333333</v>
      </c>
      <c r="H448" s="8">
        <f t="shared" si="23"/>
        <v>-8.3333333333333304</v>
      </c>
      <c r="I448">
        <f t="shared" si="22"/>
        <v>0</v>
      </c>
      <c r="J448">
        <f>SUMIF(Oeffentlichkeitsarbeit!$D:$D,$B448,Oeffentlichkeitsarbeit!$F:$F)</f>
        <v>0</v>
      </c>
      <c r="K448">
        <f>COUNTIF(Fairteiler!$D:$D,$B448)*1/2</f>
        <v>0</v>
      </c>
      <c r="L448">
        <f>COUNTIF('NP-Betrieb'!D:D,$B448)*1/3</f>
        <v>0</v>
      </c>
      <c r="M448">
        <f>COUNTIF(Fairteilungen!$D:$D,$B448)*3/4</f>
        <v>0</v>
      </c>
      <c r="N448">
        <f>COUNTIF(Anlieferung!D:D,$B448)*1/2</f>
        <v>0</v>
      </c>
      <c r="O448">
        <f>COUNTIF(Probeabholungen!B:B,$B448)*1/3</f>
        <v>0</v>
      </c>
    </row>
    <row r="449" spans="1:15" ht="27.6">
      <c r="A449" s="8" t="s">
        <v>433</v>
      </c>
      <c r="B449" s="8">
        <v>410546</v>
      </c>
      <c r="D449" s="29"/>
      <c r="E449" s="1">
        <v>15</v>
      </c>
      <c r="F449" s="8">
        <v>6</v>
      </c>
      <c r="G449" s="30">
        <f t="shared" si="21"/>
        <v>21</v>
      </c>
      <c r="H449" s="8">
        <f t="shared" si="23"/>
        <v>-15</v>
      </c>
      <c r="I449">
        <f t="shared" si="22"/>
        <v>0</v>
      </c>
      <c r="J449">
        <f>SUMIF(Oeffentlichkeitsarbeit!$D:$D,$B449,Oeffentlichkeitsarbeit!$F:$F)</f>
        <v>0</v>
      </c>
      <c r="K449">
        <f>COUNTIF(Fairteiler!$D:$D,$B449)*1/2</f>
        <v>0</v>
      </c>
      <c r="L449">
        <f>COUNTIF('NP-Betrieb'!D:D,$B449)*1/3</f>
        <v>0</v>
      </c>
      <c r="M449">
        <f>COUNTIF(Fairteilungen!$D:$D,$B449)*3/4</f>
        <v>0</v>
      </c>
      <c r="N449">
        <f>COUNTIF(Anlieferung!D:D,$B449)*1/2</f>
        <v>0</v>
      </c>
      <c r="O449">
        <f>COUNTIF(Probeabholungen!B:B,$B449)*1/3</f>
        <v>0</v>
      </c>
    </row>
    <row r="450" spans="1:15">
      <c r="A450" s="8" t="s">
        <v>434</v>
      </c>
      <c r="B450" s="8">
        <v>464487</v>
      </c>
      <c r="D450" s="29"/>
      <c r="E450" s="1">
        <v>5</v>
      </c>
      <c r="F450" s="8">
        <v>6</v>
      </c>
      <c r="G450" s="30">
        <f t="shared" ref="G450:G513" si="24">F450-H450</f>
        <v>11</v>
      </c>
      <c r="H450" s="8">
        <f t="shared" si="23"/>
        <v>-5</v>
      </c>
      <c r="I450">
        <f t="shared" ref="I450:I513" si="25">SUM(J450:O450)</f>
        <v>0</v>
      </c>
      <c r="J450">
        <f>SUMIF(Oeffentlichkeitsarbeit!$D:$D,$B450,Oeffentlichkeitsarbeit!$F:$F)</f>
        <v>0</v>
      </c>
      <c r="K450">
        <f>COUNTIF(Fairteiler!$D:$D,$B450)*1/2</f>
        <v>0</v>
      </c>
      <c r="L450">
        <f>COUNTIF('NP-Betrieb'!D:D,$B450)*1/3</f>
        <v>0</v>
      </c>
      <c r="M450">
        <f>COUNTIF(Fairteilungen!$D:$D,$B450)*3/4</f>
        <v>0</v>
      </c>
      <c r="N450">
        <f>COUNTIF(Anlieferung!D:D,$B450)*1/2</f>
        <v>0</v>
      </c>
      <c r="O450">
        <f>COUNTIF(Probeabholungen!B:B,$B450)*1/3</f>
        <v>0</v>
      </c>
    </row>
    <row r="451" spans="1:15" ht="27.6">
      <c r="A451" s="8" t="s">
        <v>435</v>
      </c>
      <c r="B451" s="8">
        <v>100256</v>
      </c>
      <c r="C451" s="8"/>
      <c r="D451" s="29"/>
      <c r="E451" s="1">
        <v>0</v>
      </c>
      <c r="F451" s="8">
        <v>6</v>
      </c>
      <c r="G451" s="30">
        <f t="shared" si="24"/>
        <v>6</v>
      </c>
      <c r="H451" s="8">
        <f t="shared" si="23"/>
        <v>0</v>
      </c>
      <c r="I451">
        <f t="shared" si="25"/>
        <v>0</v>
      </c>
      <c r="J451">
        <f>SUMIF(Oeffentlichkeitsarbeit!$D:$D,$B451,Oeffentlichkeitsarbeit!$F:$F)</f>
        <v>0</v>
      </c>
      <c r="K451">
        <f>COUNTIF(Fairteiler!$D:$D,$B451)*1/2</f>
        <v>0</v>
      </c>
      <c r="L451">
        <f>COUNTIF('NP-Betrieb'!D:D,$B451)*1/3</f>
        <v>0</v>
      </c>
      <c r="M451">
        <f>COUNTIF(Fairteilungen!$D:$D,$B451)*3/4</f>
        <v>0</v>
      </c>
      <c r="N451">
        <f>COUNTIF(Anlieferung!D:D,$B451)*1/2</f>
        <v>0</v>
      </c>
      <c r="O451">
        <f>COUNTIF(Probeabholungen!B:B,$B451)*1/3</f>
        <v>0</v>
      </c>
    </row>
    <row r="452" spans="1:15">
      <c r="A452" t="s">
        <v>436</v>
      </c>
      <c r="B452">
        <v>518819</v>
      </c>
      <c r="D452" s="24">
        <v>45698</v>
      </c>
      <c r="E452" s="1">
        <v>6</v>
      </c>
      <c r="F452" s="8">
        <v>6</v>
      </c>
      <c r="G452" s="30">
        <f t="shared" si="24"/>
        <v>12</v>
      </c>
      <c r="H452" s="8">
        <f t="shared" si="23"/>
        <v>-6</v>
      </c>
      <c r="I452">
        <f t="shared" si="25"/>
        <v>0</v>
      </c>
      <c r="J452">
        <f>SUMIF(Oeffentlichkeitsarbeit!$D:$D,$B452,Oeffentlichkeitsarbeit!$F:$F)</f>
        <v>0</v>
      </c>
      <c r="K452">
        <f>COUNTIF(Fairteiler!$D:$D,$B452)*1/2</f>
        <v>0</v>
      </c>
      <c r="L452">
        <f>COUNTIF('NP-Betrieb'!D:D,$B452)*1/3</f>
        <v>0</v>
      </c>
      <c r="M452">
        <f>COUNTIF(Fairteilungen!$D:$D,$B452)*3/4</f>
        <v>0</v>
      </c>
      <c r="N452">
        <f>COUNTIF(Anlieferung!D:D,$B452)*1/2</f>
        <v>0</v>
      </c>
      <c r="O452">
        <f>COUNTIF(Probeabholungen!B:B,$B452)*1/3</f>
        <v>0</v>
      </c>
    </row>
    <row r="453" spans="1:15">
      <c r="A453" s="8" t="s">
        <v>437</v>
      </c>
      <c r="B453" s="8">
        <v>502273</v>
      </c>
      <c r="D453" s="29">
        <v>45097</v>
      </c>
      <c r="E453" s="1">
        <v>13</v>
      </c>
      <c r="F453" s="8">
        <v>6</v>
      </c>
      <c r="G453" s="30">
        <f t="shared" si="24"/>
        <v>19</v>
      </c>
      <c r="H453" s="8">
        <f t="shared" si="23"/>
        <v>-13</v>
      </c>
      <c r="I453">
        <f t="shared" si="25"/>
        <v>0</v>
      </c>
      <c r="J453">
        <f>SUMIF(Oeffentlichkeitsarbeit!$D:$D,$B453,Oeffentlichkeitsarbeit!$F:$F)</f>
        <v>0</v>
      </c>
      <c r="K453">
        <f>COUNTIF(Fairteiler!$D:$D,$B453)*1/2</f>
        <v>0</v>
      </c>
      <c r="L453">
        <f>COUNTIF('NP-Betrieb'!D:D,$B453)*1/3</f>
        <v>0</v>
      </c>
      <c r="M453">
        <f>COUNTIF(Fairteilungen!$D:$D,$B453)*3/4</f>
        <v>0</v>
      </c>
      <c r="N453">
        <f>COUNTIF(Anlieferung!D:D,$B453)*1/2</f>
        <v>0</v>
      </c>
      <c r="O453">
        <f>COUNTIF(Probeabholungen!B:B,$B453)*1/3</f>
        <v>0</v>
      </c>
    </row>
    <row r="454" spans="1:15" ht="27.6">
      <c r="A454" s="8" t="s">
        <v>438</v>
      </c>
      <c r="B454" s="8">
        <v>509758</v>
      </c>
      <c r="D454" s="29"/>
      <c r="E454" s="1">
        <v>0.67000000000000404</v>
      </c>
      <c r="F454" s="8">
        <v>6</v>
      </c>
      <c r="G454" s="30">
        <f t="shared" si="24"/>
        <v>6.6700000000000044</v>
      </c>
      <c r="H454" s="8">
        <f t="shared" si="23"/>
        <v>-0.67000000000000404</v>
      </c>
      <c r="I454">
        <f t="shared" si="25"/>
        <v>0</v>
      </c>
      <c r="J454">
        <f>SUMIF(Oeffentlichkeitsarbeit!$D:$D,$B454,Oeffentlichkeitsarbeit!$F:$F)</f>
        <v>0</v>
      </c>
      <c r="K454">
        <f>COUNTIF(Fairteiler!$D:$D,$B454)*1/2</f>
        <v>0</v>
      </c>
      <c r="L454">
        <f>COUNTIF('NP-Betrieb'!D:D,$B454)*1/3</f>
        <v>0</v>
      </c>
      <c r="M454">
        <f>COUNTIF(Fairteilungen!$D:$D,$B454)*3/4</f>
        <v>0</v>
      </c>
      <c r="N454">
        <f>COUNTIF(Anlieferung!D:D,$B454)*1/2</f>
        <v>0</v>
      </c>
      <c r="O454">
        <f>COUNTIF(Probeabholungen!B:B,$B454)*1/3</f>
        <v>0</v>
      </c>
    </row>
    <row r="455" spans="1:15" ht="27.6">
      <c r="A455" s="8" t="s">
        <v>439</v>
      </c>
      <c r="B455" s="8">
        <v>868212</v>
      </c>
      <c r="D455" s="24">
        <v>45530</v>
      </c>
      <c r="E455" s="1">
        <v>4.5</v>
      </c>
      <c r="F455" s="8">
        <v>6</v>
      </c>
      <c r="G455" s="30">
        <f t="shared" si="24"/>
        <v>10.5</v>
      </c>
      <c r="H455" s="8">
        <f t="shared" si="23"/>
        <v>-4.5</v>
      </c>
      <c r="I455">
        <f t="shared" si="25"/>
        <v>0</v>
      </c>
      <c r="J455">
        <f>SUMIF(Oeffentlichkeitsarbeit!$D:$D,$B455,Oeffentlichkeitsarbeit!$F:$F)</f>
        <v>0</v>
      </c>
      <c r="K455">
        <f>COUNTIF(Fairteiler!$D:$D,$B455)*1/2</f>
        <v>0</v>
      </c>
      <c r="L455">
        <f>COUNTIF('NP-Betrieb'!D:D,$B455)*1/3</f>
        <v>0</v>
      </c>
      <c r="M455">
        <f>COUNTIF(Fairteilungen!$D:$D,$B455)*3/4</f>
        <v>0</v>
      </c>
      <c r="N455">
        <f>COUNTIF(Anlieferung!D:D,$B455)*1/2</f>
        <v>0</v>
      </c>
      <c r="O455">
        <f>COUNTIF(Probeabholungen!B:B,$B455)*1/3</f>
        <v>0</v>
      </c>
    </row>
    <row r="456" spans="1:15">
      <c r="A456" s="8" t="s">
        <v>440</v>
      </c>
      <c r="B456" s="8">
        <v>910059</v>
      </c>
      <c r="D456" s="24">
        <v>45799</v>
      </c>
      <c r="E456" s="1">
        <v>0</v>
      </c>
      <c r="F456">
        <v>6</v>
      </c>
      <c r="G456" s="30">
        <f t="shared" si="24"/>
        <v>4.5</v>
      </c>
      <c r="H456" s="8">
        <f t="shared" si="23"/>
        <v>1.5</v>
      </c>
      <c r="I456">
        <f t="shared" si="25"/>
        <v>1.5</v>
      </c>
      <c r="J456">
        <f>SUMIF(Oeffentlichkeitsarbeit!$D:$D,$B456,Oeffentlichkeitsarbeit!$F:$F)</f>
        <v>0</v>
      </c>
      <c r="K456">
        <f>COUNTIF(Fairteiler!$D:$D,$B456)*1/2</f>
        <v>0.5</v>
      </c>
      <c r="L456">
        <f>COUNTIF('NP-Betrieb'!D:D,$B456)*1/3</f>
        <v>1</v>
      </c>
      <c r="M456">
        <f>COUNTIF(Fairteilungen!$D:$D,$B456)*3/4</f>
        <v>0</v>
      </c>
      <c r="N456">
        <f>COUNTIF(Anlieferung!D:D,$B456)*1/2</f>
        <v>0</v>
      </c>
      <c r="O456">
        <f>COUNTIF(Probeabholungen!B:B,$B456)*1/3</f>
        <v>0</v>
      </c>
    </row>
    <row r="457" spans="1:15">
      <c r="A457" s="82" t="s">
        <v>2986</v>
      </c>
      <c r="B457" s="82">
        <v>1026392</v>
      </c>
      <c r="D457" s="24">
        <v>46143</v>
      </c>
      <c r="E457" s="1">
        <v>0</v>
      </c>
      <c r="F457" s="8">
        <v>4</v>
      </c>
      <c r="G457" s="30">
        <f t="shared" si="24"/>
        <v>4</v>
      </c>
      <c r="H457" s="8">
        <f t="shared" si="23"/>
        <v>0</v>
      </c>
      <c r="I457">
        <f t="shared" si="25"/>
        <v>0</v>
      </c>
      <c r="J457">
        <f>SUMIF(Oeffentlichkeitsarbeit!$D:$D,$B457,Oeffentlichkeitsarbeit!$F:$F)</f>
        <v>0</v>
      </c>
      <c r="K457">
        <f>COUNTIF(Fairteiler!$D:$D,$B457)*1/2</f>
        <v>0</v>
      </c>
      <c r="L457">
        <f>COUNTIF('NP-Betrieb'!D:D,$B457)*1/3</f>
        <v>0</v>
      </c>
      <c r="M457">
        <f>COUNTIF(Fairteilungen!$D:$D,$B457)*3/4</f>
        <v>0</v>
      </c>
      <c r="N457">
        <f>COUNTIF(Anlieferung!D:D,$B457)*1/2</f>
        <v>0</v>
      </c>
      <c r="O457">
        <f>COUNTIF(Probeabholungen!B:B,$B457)*1/3</f>
        <v>0</v>
      </c>
    </row>
    <row r="458" spans="1:15" ht="27.6">
      <c r="A458" s="8" t="s">
        <v>441</v>
      </c>
      <c r="B458" s="8">
        <v>186453</v>
      </c>
      <c r="D458" s="29"/>
      <c r="E458" s="1">
        <v>14.34</v>
      </c>
      <c r="F458" s="8">
        <v>6</v>
      </c>
      <c r="G458" s="30">
        <f t="shared" si="24"/>
        <v>20.34</v>
      </c>
      <c r="H458" s="8">
        <f t="shared" si="23"/>
        <v>-14.34</v>
      </c>
      <c r="I458">
        <f t="shared" si="25"/>
        <v>0</v>
      </c>
      <c r="J458">
        <f>SUMIF(Oeffentlichkeitsarbeit!$D:$D,$B458,Oeffentlichkeitsarbeit!$F:$F)</f>
        <v>0</v>
      </c>
      <c r="K458">
        <f>COUNTIF(Fairteiler!$D:$D,$B458)*1/2</f>
        <v>0</v>
      </c>
      <c r="L458">
        <f>COUNTIF('NP-Betrieb'!D:D,$B458)*1/3</f>
        <v>0</v>
      </c>
      <c r="M458">
        <f>COUNTIF(Fairteilungen!$D:$D,$B458)*3/4</f>
        <v>0</v>
      </c>
      <c r="N458">
        <f>COUNTIF(Anlieferung!D:D,$B458)*1/2</f>
        <v>0</v>
      </c>
      <c r="O458">
        <f>COUNTIF(Probeabholungen!B:B,$B458)*1/3</f>
        <v>0</v>
      </c>
    </row>
    <row r="459" spans="1:15" ht="27.6">
      <c r="A459" s="16" t="s">
        <v>442</v>
      </c>
      <c r="B459" s="16">
        <v>477040</v>
      </c>
      <c r="C459" s="16" t="s">
        <v>831</v>
      </c>
      <c r="D459" s="29"/>
      <c r="E459" s="1">
        <v>0</v>
      </c>
      <c r="F459" s="16">
        <v>0</v>
      </c>
      <c r="G459" s="30">
        <f t="shared" si="24"/>
        <v>-0.33333333333333331</v>
      </c>
      <c r="H459" s="16">
        <f t="shared" si="23"/>
        <v>0.33333333333333331</v>
      </c>
      <c r="I459" s="31">
        <f t="shared" si="25"/>
        <v>0.33333333333333331</v>
      </c>
      <c r="J459" s="31">
        <f>SUMIF(Oeffentlichkeitsarbeit!$D:$D,$B459,Oeffentlichkeitsarbeit!$F:$F)</f>
        <v>0</v>
      </c>
      <c r="K459" s="31">
        <f>COUNTIF(Fairteiler!$D:$D,$B459)*1/2</f>
        <v>0</v>
      </c>
      <c r="L459" s="31">
        <f>COUNTIF('NP-Betrieb'!D:D,$B459)*1/3</f>
        <v>0.33333333333333331</v>
      </c>
      <c r="M459" s="31">
        <f>COUNTIF(Fairteilungen!$D:$D,$B459)*3/4</f>
        <v>0</v>
      </c>
      <c r="N459" s="31">
        <f>COUNTIF(Anlieferung!D:D,$B459)*1/2</f>
        <v>0</v>
      </c>
      <c r="O459" s="31">
        <f>COUNTIF(Probeabholungen!B:B,$B459)*1/3</f>
        <v>0</v>
      </c>
    </row>
    <row r="460" spans="1:15" ht="27.6">
      <c r="A460" s="8" t="s">
        <v>443</v>
      </c>
      <c r="B460" s="8">
        <v>503370</v>
      </c>
      <c r="D460" s="29"/>
      <c r="E460" s="1">
        <v>11</v>
      </c>
      <c r="F460" s="8">
        <v>6</v>
      </c>
      <c r="G460" s="30">
        <f t="shared" si="24"/>
        <v>17</v>
      </c>
      <c r="H460" s="8">
        <f t="shared" si="23"/>
        <v>-11</v>
      </c>
      <c r="I460">
        <f t="shared" si="25"/>
        <v>0</v>
      </c>
      <c r="J460">
        <f>SUMIF(Oeffentlichkeitsarbeit!$D:$D,$B460,Oeffentlichkeitsarbeit!$F:$F)</f>
        <v>0</v>
      </c>
      <c r="K460">
        <f>COUNTIF(Fairteiler!$D:$D,$B460)*1/2</f>
        <v>0</v>
      </c>
      <c r="L460">
        <f>COUNTIF('NP-Betrieb'!D:D,$B460)*1/3</f>
        <v>0</v>
      </c>
      <c r="M460">
        <f>COUNTIF(Fairteilungen!$D:$D,$B460)*3/4</f>
        <v>0</v>
      </c>
      <c r="N460">
        <f>COUNTIF(Anlieferung!D:D,$B460)*1/2</f>
        <v>0</v>
      </c>
      <c r="O460">
        <f>COUNTIF(Probeabholungen!B:B,$B460)*1/3</f>
        <v>0</v>
      </c>
    </row>
    <row r="461" spans="1:15">
      <c r="A461" s="8" t="s">
        <v>444</v>
      </c>
      <c r="B461" s="8">
        <v>682082</v>
      </c>
      <c r="D461" s="29"/>
      <c r="E461" s="1">
        <v>0</v>
      </c>
      <c r="F461" s="8">
        <v>6</v>
      </c>
      <c r="G461" s="30">
        <f t="shared" si="24"/>
        <v>4.8333333333333339</v>
      </c>
      <c r="H461" s="8">
        <f t="shared" si="23"/>
        <v>1.1666666666666665</v>
      </c>
      <c r="I461">
        <f t="shared" si="25"/>
        <v>1.1666666666666665</v>
      </c>
      <c r="J461">
        <f>SUMIF(Oeffentlichkeitsarbeit!$D:$D,$B461,Oeffentlichkeitsarbeit!$F:$F)</f>
        <v>0.5</v>
      </c>
      <c r="K461">
        <f>COUNTIF(Fairteiler!$D:$D,$B461)*1/2</f>
        <v>0</v>
      </c>
      <c r="L461">
        <f>COUNTIF('NP-Betrieb'!D:D,$B461)*1/3</f>
        <v>0.66666666666666663</v>
      </c>
      <c r="M461">
        <f>COUNTIF(Fairteilungen!$D:$D,$B461)*3/4</f>
        <v>0</v>
      </c>
      <c r="N461">
        <f>COUNTIF(Anlieferung!D:D,$B461)*1/2</f>
        <v>0</v>
      </c>
      <c r="O461">
        <f>COUNTIF(Probeabholungen!B:B,$B461)*1/3</f>
        <v>0</v>
      </c>
    </row>
    <row r="462" spans="1:15">
      <c r="A462" s="8" t="s">
        <v>445</v>
      </c>
      <c r="B462" s="8">
        <v>124349</v>
      </c>
      <c r="D462" s="29">
        <v>45120</v>
      </c>
      <c r="E462" s="1">
        <v>10.67</v>
      </c>
      <c r="F462" s="8">
        <v>6</v>
      </c>
      <c r="G462" s="30">
        <f t="shared" si="24"/>
        <v>16.670000000000002</v>
      </c>
      <c r="H462" s="8">
        <f t="shared" si="23"/>
        <v>-10.67</v>
      </c>
      <c r="I462">
        <f t="shared" si="25"/>
        <v>0</v>
      </c>
      <c r="J462">
        <f>SUMIF(Oeffentlichkeitsarbeit!$D:$D,$B462,Oeffentlichkeitsarbeit!$F:$F)</f>
        <v>0</v>
      </c>
      <c r="K462">
        <f>COUNTIF(Fairteiler!$D:$D,$B462)*1/2</f>
        <v>0</v>
      </c>
      <c r="L462">
        <f>COUNTIF('NP-Betrieb'!D:D,$B462)*1/3</f>
        <v>0</v>
      </c>
      <c r="M462">
        <f>COUNTIF(Fairteilungen!$D:$D,$B462)*3/4</f>
        <v>0</v>
      </c>
      <c r="N462">
        <f>COUNTIF(Anlieferung!D:D,$B462)*1/2</f>
        <v>0</v>
      </c>
      <c r="O462">
        <f>COUNTIF(Probeabholungen!B:B,$B462)*1/3</f>
        <v>0</v>
      </c>
    </row>
    <row r="463" spans="1:15" ht="27.6">
      <c r="A463" s="8" t="s">
        <v>446</v>
      </c>
      <c r="B463" s="8">
        <v>63772</v>
      </c>
      <c r="D463" s="29"/>
      <c r="E463" s="1">
        <v>0</v>
      </c>
      <c r="F463" s="8">
        <v>6</v>
      </c>
      <c r="G463" s="30">
        <f t="shared" si="24"/>
        <v>5</v>
      </c>
      <c r="H463" s="8">
        <f t="shared" si="23"/>
        <v>1</v>
      </c>
      <c r="I463">
        <f t="shared" si="25"/>
        <v>1</v>
      </c>
      <c r="J463">
        <f>SUMIF(Oeffentlichkeitsarbeit!$D:$D,$B463,Oeffentlichkeitsarbeit!$F:$F)</f>
        <v>0</v>
      </c>
      <c r="K463">
        <f>COUNTIF(Fairteiler!$D:$D,$B463)*1/2</f>
        <v>1</v>
      </c>
      <c r="L463">
        <f>COUNTIF('NP-Betrieb'!D:D,$B463)*1/3</f>
        <v>0</v>
      </c>
      <c r="M463">
        <f>COUNTIF(Fairteilungen!$D:$D,$B463)*3/4</f>
        <v>0</v>
      </c>
      <c r="N463">
        <f>COUNTIF(Anlieferung!D:D,$B463)*1/2</f>
        <v>0</v>
      </c>
      <c r="O463">
        <f>COUNTIF(Probeabholungen!B:B,$B463)*1/3</f>
        <v>0</v>
      </c>
    </row>
    <row r="464" spans="1:15">
      <c r="A464" s="8" t="s">
        <v>447</v>
      </c>
      <c r="B464" s="8">
        <v>891738</v>
      </c>
      <c r="D464" s="24">
        <v>45631</v>
      </c>
      <c r="E464" s="1">
        <v>3.6666666666666701</v>
      </c>
      <c r="F464" s="8">
        <v>6</v>
      </c>
      <c r="G464" s="30">
        <f t="shared" si="24"/>
        <v>6.6666666666666696</v>
      </c>
      <c r="H464" s="8">
        <f t="shared" si="23"/>
        <v>-0.66666666666667007</v>
      </c>
      <c r="I464">
        <f t="shared" si="25"/>
        <v>3</v>
      </c>
      <c r="J464">
        <f>SUMIF(Oeffentlichkeitsarbeit!$D:$D,$B464,Oeffentlichkeitsarbeit!$F:$F)</f>
        <v>0</v>
      </c>
      <c r="K464">
        <f>COUNTIF(Fairteiler!$D:$D,$B464)*1/2</f>
        <v>3</v>
      </c>
      <c r="L464">
        <f>COUNTIF('NP-Betrieb'!D:D,$B464)*1/3</f>
        <v>0</v>
      </c>
      <c r="M464">
        <f>COUNTIF(Fairteilungen!$D:$D,$B464)*3/4</f>
        <v>0</v>
      </c>
      <c r="N464">
        <f>COUNTIF(Anlieferung!D:D,$B464)*1/2</f>
        <v>0</v>
      </c>
      <c r="O464">
        <f>COUNTIF(Probeabholungen!B:B,$B464)*1/3</f>
        <v>0</v>
      </c>
    </row>
    <row r="465" spans="1:15">
      <c r="A465" s="16" t="s">
        <v>448</v>
      </c>
      <c r="B465" s="16">
        <v>481387</v>
      </c>
      <c r="C465" s="31" t="s">
        <v>852</v>
      </c>
      <c r="D465" s="32"/>
      <c r="E465" s="1">
        <v>0</v>
      </c>
      <c r="F465" s="16">
        <v>0</v>
      </c>
      <c r="G465" s="33">
        <f t="shared" si="24"/>
        <v>-0.66666666666666663</v>
      </c>
      <c r="H465" s="16">
        <f t="shared" si="23"/>
        <v>0.66666666666666663</v>
      </c>
      <c r="I465" s="31">
        <f t="shared" si="25"/>
        <v>0.66666666666666663</v>
      </c>
      <c r="J465" s="31">
        <f>SUMIF(Oeffentlichkeitsarbeit!$D:$D,$B465,Oeffentlichkeitsarbeit!$F:$F)</f>
        <v>0</v>
      </c>
      <c r="K465" s="31">
        <f>COUNTIF(Fairteiler!$D:$D,$B465)*1/2</f>
        <v>0</v>
      </c>
      <c r="L465" s="31">
        <f>COUNTIF('NP-Betrieb'!D:D,$B465)*1/3</f>
        <v>0.66666666666666663</v>
      </c>
      <c r="M465" s="31">
        <f>COUNTIF(Fairteilungen!$D:$D,$B465)*3/4</f>
        <v>0</v>
      </c>
      <c r="N465" s="31">
        <f>COUNTIF(Anlieferung!D:D,$B465)*1/2</f>
        <v>0</v>
      </c>
      <c r="O465" s="31">
        <f>COUNTIF(Probeabholungen!B:B,$B465)*1/3</f>
        <v>0</v>
      </c>
    </row>
    <row r="466" spans="1:15" ht="27.6">
      <c r="A466" s="8" t="s">
        <v>449</v>
      </c>
      <c r="B466" s="8">
        <v>557761</v>
      </c>
      <c r="D466" s="29"/>
      <c r="E466" s="1">
        <v>15.67</v>
      </c>
      <c r="F466" s="8">
        <v>6</v>
      </c>
      <c r="G466" s="30">
        <f t="shared" si="24"/>
        <v>21.67</v>
      </c>
      <c r="H466" s="8">
        <f t="shared" si="23"/>
        <v>-15.67</v>
      </c>
      <c r="I466">
        <f t="shared" si="25"/>
        <v>0</v>
      </c>
      <c r="J466">
        <f>SUMIF(Oeffentlichkeitsarbeit!$D:$D,$B466,Oeffentlichkeitsarbeit!$F:$F)</f>
        <v>0</v>
      </c>
      <c r="K466">
        <f>COUNTIF(Fairteiler!$D:$D,$B466)*1/2</f>
        <v>0</v>
      </c>
      <c r="L466">
        <f>COUNTIF('NP-Betrieb'!D:D,$B466)*1/3</f>
        <v>0</v>
      </c>
      <c r="M466">
        <f>COUNTIF(Fairteilungen!$D:$D,$B466)*3/4</f>
        <v>0</v>
      </c>
      <c r="N466">
        <f>COUNTIF(Anlieferung!D:D,$B466)*1/2</f>
        <v>0</v>
      </c>
      <c r="O466">
        <f>COUNTIF(Probeabholungen!B:B,$B466)*1/3</f>
        <v>0</v>
      </c>
    </row>
    <row r="467" spans="1:15" ht="27.6">
      <c r="A467" s="8" t="s">
        <v>450</v>
      </c>
      <c r="B467" s="8">
        <v>635374</v>
      </c>
      <c r="D467" s="29"/>
      <c r="E467" s="1">
        <v>0</v>
      </c>
      <c r="F467" s="8">
        <v>6</v>
      </c>
      <c r="G467" s="30">
        <f t="shared" si="24"/>
        <v>-0.16666666666666696</v>
      </c>
      <c r="H467" s="8">
        <f t="shared" si="23"/>
        <v>6.166666666666667</v>
      </c>
      <c r="I467">
        <f t="shared" si="25"/>
        <v>6.166666666666667</v>
      </c>
      <c r="J467">
        <f>SUMIF(Oeffentlichkeitsarbeit!$D:$D,$B467,Oeffentlichkeitsarbeit!$F:$F)</f>
        <v>0</v>
      </c>
      <c r="K467">
        <f>COUNTIF(Fairteiler!$D:$D,$B467)*1/2</f>
        <v>1.5</v>
      </c>
      <c r="L467">
        <f>COUNTIF('NP-Betrieb'!D:D,$B467)*1/3</f>
        <v>4</v>
      </c>
      <c r="M467">
        <f>COUNTIF(Fairteilungen!$D:$D,$B467)*3/4</f>
        <v>0</v>
      </c>
      <c r="N467">
        <f>COUNTIF(Anlieferung!D:D,$B467)*1/2</f>
        <v>0</v>
      </c>
      <c r="O467">
        <f>COUNTIF(Probeabholungen!B:B,$B467)*1/3</f>
        <v>0.66666666666666663</v>
      </c>
    </row>
    <row r="468" spans="1:15" ht="27.6">
      <c r="A468" s="8" t="s">
        <v>451</v>
      </c>
      <c r="B468" s="8">
        <v>721932</v>
      </c>
      <c r="D468" s="24">
        <v>45530</v>
      </c>
      <c r="E468" s="1">
        <v>0</v>
      </c>
      <c r="F468" s="8">
        <v>6</v>
      </c>
      <c r="G468" s="30">
        <f t="shared" si="24"/>
        <v>3.6666666666666665</v>
      </c>
      <c r="H468" s="8">
        <f t="shared" si="23"/>
        <v>2.3333333333333335</v>
      </c>
      <c r="I468">
        <f t="shared" si="25"/>
        <v>2.3333333333333335</v>
      </c>
      <c r="J468">
        <f>SUMIF(Oeffentlichkeitsarbeit!$D:$D,$B468,Oeffentlichkeitsarbeit!$F:$F)</f>
        <v>0</v>
      </c>
      <c r="K468">
        <f>COUNTIF(Fairteiler!$D:$D,$B468)*1/2</f>
        <v>0</v>
      </c>
      <c r="L468">
        <f>COUNTIF('NP-Betrieb'!D:D,$B468)*1/3</f>
        <v>2.3333333333333335</v>
      </c>
      <c r="M468">
        <f>COUNTIF(Fairteilungen!$D:$D,$B468)*3/4</f>
        <v>0</v>
      </c>
      <c r="N468">
        <f>COUNTIF(Anlieferung!D:D,$B468)*1/2</f>
        <v>0</v>
      </c>
      <c r="O468">
        <f>COUNTIF(Probeabholungen!B:B,$B468)*1/3</f>
        <v>0</v>
      </c>
    </row>
    <row r="469" spans="1:15" ht="27.6">
      <c r="A469" s="8" t="s">
        <v>452</v>
      </c>
      <c r="B469" s="8">
        <v>681855</v>
      </c>
      <c r="D469" s="29"/>
      <c r="E469" s="1">
        <v>10.6733333333333</v>
      </c>
      <c r="F469" s="8">
        <v>6</v>
      </c>
      <c r="G469" s="30">
        <f t="shared" si="24"/>
        <v>16.6733333333333</v>
      </c>
      <c r="H469" s="8">
        <f t="shared" si="23"/>
        <v>-10.6733333333333</v>
      </c>
      <c r="I469">
        <f t="shared" si="25"/>
        <v>0</v>
      </c>
      <c r="J469">
        <f>SUMIF(Oeffentlichkeitsarbeit!$D:$D,$B469,Oeffentlichkeitsarbeit!$F:$F)</f>
        <v>0</v>
      </c>
      <c r="K469">
        <f>COUNTIF(Fairteiler!$D:$D,$B469)*1/2</f>
        <v>0</v>
      </c>
      <c r="L469">
        <f>COUNTIF('NP-Betrieb'!D:D,$B469)*1/3</f>
        <v>0</v>
      </c>
      <c r="M469">
        <f>COUNTIF(Fairteilungen!$D:$D,$B469)*3/4</f>
        <v>0</v>
      </c>
      <c r="N469">
        <f>COUNTIF(Anlieferung!D:D,$B469)*1/2</f>
        <v>0</v>
      </c>
      <c r="O469">
        <f>COUNTIF(Probeabholungen!B:B,$B469)*1/3</f>
        <v>0</v>
      </c>
    </row>
    <row r="470" spans="1:15">
      <c r="A470" s="8" t="s">
        <v>453</v>
      </c>
      <c r="B470" s="8">
        <v>728926</v>
      </c>
      <c r="D470" s="29">
        <v>45308</v>
      </c>
      <c r="E470" s="1">
        <v>11</v>
      </c>
      <c r="F470" s="8">
        <v>6</v>
      </c>
      <c r="G470" s="30">
        <f t="shared" si="24"/>
        <v>17</v>
      </c>
      <c r="H470" s="8">
        <f t="shared" si="23"/>
        <v>-11</v>
      </c>
      <c r="I470">
        <f t="shared" si="25"/>
        <v>0</v>
      </c>
      <c r="J470">
        <f>SUMIF(Oeffentlichkeitsarbeit!$D:$D,$B470,Oeffentlichkeitsarbeit!$F:$F)</f>
        <v>0</v>
      </c>
      <c r="K470">
        <f>COUNTIF(Fairteiler!$D:$D,$B470)*1/2</f>
        <v>0</v>
      </c>
      <c r="L470">
        <f>COUNTIF('NP-Betrieb'!D:D,$B470)*1/3</f>
        <v>0</v>
      </c>
      <c r="M470">
        <f>COUNTIF(Fairteilungen!$D:$D,$B470)*3/4</f>
        <v>0</v>
      </c>
      <c r="N470">
        <f>COUNTIF(Anlieferung!D:D,$B470)*1/2</f>
        <v>0</v>
      </c>
      <c r="O470">
        <f>COUNTIF(Probeabholungen!B:B,$B470)*1/3</f>
        <v>0</v>
      </c>
    </row>
    <row r="471" spans="1:15">
      <c r="A471" s="8" t="s">
        <v>454</v>
      </c>
      <c r="B471" s="8">
        <v>407232</v>
      </c>
      <c r="D471" s="29"/>
      <c r="E471" s="1">
        <v>12</v>
      </c>
      <c r="F471" s="8">
        <v>6</v>
      </c>
      <c r="G471" s="30">
        <f t="shared" si="24"/>
        <v>18</v>
      </c>
      <c r="H471" s="8">
        <f t="shared" si="23"/>
        <v>-12</v>
      </c>
      <c r="I471">
        <f t="shared" si="25"/>
        <v>0</v>
      </c>
      <c r="J471">
        <f>SUMIF(Oeffentlichkeitsarbeit!$D:$D,$B471,Oeffentlichkeitsarbeit!$F:$F)</f>
        <v>0</v>
      </c>
      <c r="K471">
        <f>COUNTIF(Fairteiler!$D:$D,$B471)*1/2</f>
        <v>0</v>
      </c>
      <c r="L471">
        <f>COUNTIF('NP-Betrieb'!D:D,$B471)*1/3</f>
        <v>0</v>
      </c>
      <c r="M471">
        <f>COUNTIF(Fairteilungen!$D:$D,$B471)*3/4</f>
        <v>0</v>
      </c>
      <c r="N471">
        <f>COUNTIF(Anlieferung!D:D,$B471)*1/2</f>
        <v>0</v>
      </c>
      <c r="O471">
        <f>COUNTIF(Probeabholungen!B:B,$B471)*1/3</f>
        <v>0</v>
      </c>
    </row>
    <row r="472" spans="1:15" ht="27.6">
      <c r="A472" s="8" t="s">
        <v>455</v>
      </c>
      <c r="B472" s="8">
        <v>190629</v>
      </c>
      <c r="D472" s="29">
        <v>45215</v>
      </c>
      <c r="E472" s="1">
        <v>5</v>
      </c>
      <c r="F472" s="8">
        <v>6</v>
      </c>
      <c r="G472" s="30">
        <f t="shared" si="24"/>
        <v>11</v>
      </c>
      <c r="H472" s="8">
        <f t="shared" si="23"/>
        <v>-5</v>
      </c>
      <c r="I472">
        <f t="shared" si="25"/>
        <v>0</v>
      </c>
      <c r="J472">
        <f>SUMIF(Oeffentlichkeitsarbeit!$D:$D,$B472,Oeffentlichkeitsarbeit!$F:$F)</f>
        <v>0</v>
      </c>
      <c r="K472">
        <f>COUNTIF(Fairteiler!$D:$D,$B472)*1/2</f>
        <v>0</v>
      </c>
      <c r="L472">
        <f>COUNTIF('NP-Betrieb'!D:D,$B472)*1/3</f>
        <v>0</v>
      </c>
      <c r="M472">
        <f>COUNTIF(Fairteilungen!$D:$D,$B472)*3/4</f>
        <v>0</v>
      </c>
      <c r="N472">
        <f>COUNTIF(Anlieferung!D:D,$B472)*1/2</f>
        <v>0</v>
      </c>
      <c r="O472">
        <f>COUNTIF(Probeabholungen!B:B,$B472)*1/3</f>
        <v>0</v>
      </c>
    </row>
    <row r="473" spans="1:15">
      <c r="A473" t="s">
        <v>456</v>
      </c>
      <c r="B473">
        <v>442239</v>
      </c>
      <c r="D473" s="24">
        <v>45427</v>
      </c>
      <c r="E473" s="1">
        <v>0</v>
      </c>
      <c r="F473" s="8">
        <v>6</v>
      </c>
      <c r="G473" s="30">
        <f t="shared" si="24"/>
        <v>-3.8333333333333339</v>
      </c>
      <c r="H473" s="8">
        <f t="shared" si="23"/>
        <v>9.8333333333333339</v>
      </c>
      <c r="I473">
        <f t="shared" si="25"/>
        <v>9.8333333333333339</v>
      </c>
      <c r="J473">
        <f>SUMIF(Oeffentlichkeitsarbeit!$D:$D,$B473,Oeffentlichkeitsarbeit!$F:$F)</f>
        <v>9.5</v>
      </c>
      <c r="K473">
        <f>COUNTIF(Fairteiler!$D:$D,$B473)*1/2</f>
        <v>0</v>
      </c>
      <c r="L473">
        <f>COUNTIF('NP-Betrieb'!D:D,$B473)*1/3</f>
        <v>0.33333333333333331</v>
      </c>
      <c r="M473">
        <f>COUNTIF(Fairteilungen!$D:$D,$B473)*3/4</f>
        <v>0</v>
      </c>
      <c r="N473">
        <f>COUNTIF(Anlieferung!D:D,$B473)*1/2</f>
        <v>0</v>
      </c>
      <c r="O473">
        <f>COUNTIF(Probeabholungen!B:B,$B473)*1/3</f>
        <v>0</v>
      </c>
    </row>
    <row r="474" spans="1:15">
      <c r="A474" s="8" t="s">
        <v>457</v>
      </c>
      <c r="B474" s="8">
        <v>184651</v>
      </c>
      <c r="D474" s="29"/>
      <c r="E474" s="1">
        <v>0</v>
      </c>
      <c r="F474" s="8">
        <v>6</v>
      </c>
      <c r="G474" s="30">
        <f t="shared" si="24"/>
        <v>3.833333333333333</v>
      </c>
      <c r="H474" s="8">
        <f t="shared" si="23"/>
        <v>2.166666666666667</v>
      </c>
      <c r="I474">
        <f t="shared" si="25"/>
        <v>2.166666666666667</v>
      </c>
      <c r="J474">
        <f>SUMIF(Oeffentlichkeitsarbeit!$D:$D,$B474,Oeffentlichkeitsarbeit!$F:$F)</f>
        <v>0.5</v>
      </c>
      <c r="K474">
        <f>COUNTIF(Fairteiler!$D:$D,$B474)*1/2</f>
        <v>0</v>
      </c>
      <c r="L474">
        <f>COUNTIF('NP-Betrieb'!D:D,$B474)*1/3</f>
        <v>1.6666666666666667</v>
      </c>
      <c r="M474">
        <f>COUNTIF(Fairteilungen!$D:$D,$B474)*3/4</f>
        <v>0</v>
      </c>
      <c r="N474">
        <f>COUNTIF(Anlieferung!D:D,$B474)*1/2</f>
        <v>0</v>
      </c>
      <c r="O474">
        <f>COUNTIF(Probeabholungen!B:B,$B474)*1/3</f>
        <v>0</v>
      </c>
    </row>
    <row r="475" spans="1:15">
      <c r="A475" s="8" t="s">
        <v>458</v>
      </c>
      <c r="B475" s="8">
        <v>696603</v>
      </c>
      <c r="D475" s="29"/>
      <c r="E475" s="1">
        <v>0</v>
      </c>
      <c r="F475" s="8">
        <v>6</v>
      </c>
      <c r="G475" s="30">
        <f t="shared" si="24"/>
        <v>3.3333333333333335</v>
      </c>
      <c r="H475" s="8">
        <f t="shared" si="23"/>
        <v>2.6666666666666665</v>
      </c>
      <c r="I475">
        <f t="shared" si="25"/>
        <v>2.6666666666666665</v>
      </c>
      <c r="J475">
        <f>SUMIF(Oeffentlichkeitsarbeit!$D:$D,$B475,Oeffentlichkeitsarbeit!$F:$F)</f>
        <v>0</v>
      </c>
      <c r="K475">
        <f>COUNTIF(Fairteiler!$D:$D,$B475)*1/2</f>
        <v>0</v>
      </c>
      <c r="L475">
        <f>COUNTIF('NP-Betrieb'!D:D,$B475)*1/3</f>
        <v>2.6666666666666665</v>
      </c>
      <c r="M475">
        <f>COUNTIF(Fairteilungen!$D:$D,$B475)*3/4</f>
        <v>0</v>
      </c>
      <c r="N475">
        <f>COUNTIF(Anlieferung!D:D,$B475)*1/2</f>
        <v>0</v>
      </c>
      <c r="O475">
        <f>COUNTIF(Probeabholungen!B:B,$B475)*1/3</f>
        <v>0</v>
      </c>
    </row>
    <row r="476" spans="1:15">
      <c r="A476" s="16" t="s">
        <v>459</v>
      </c>
      <c r="B476" s="16">
        <v>157111</v>
      </c>
      <c r="C476" s="16" t="s">
        <v>862</v>
      </c>
      <c r="D476" s="29"/>
      <c r="E476" s="1">
        <v>0</v>
      </c>
      <c r="F476" s="16">
        <v>0</v>
      </c>
      <c r="G476" s="30">
        <f t="shared" si="24"/>
        <v>-0.33333333333333331</v>
      </c>
      <c r="H476" s="16">
        <f t="shared" ref="H476:H539" si="26">I476-E476</f>
        <v>0.33333333333333331</v>
      </c>
      <c r="I476" s="18">
        <f t="shared" si="25"/>
        <v>0.33333333333333331</v>
      </c>
      <c r="J476" s="18">
        <f>SUMIF(Oeffentlichkeitsarbeit!$D:$D,$B476,Oeffentlichkeitsarbeit!$F:$F)</f>
        <v>0</v>
      </c>
      <c r="K476" s="18">
        <f>COUNTIF(Fairteiler!$D:$D,$B476)*1/2</f>
        <v>0</v>
      </c>
      <c r="L476" s="18">
        <f>COUNTIF('NP-Betrieb'!D:D,$B476)*1/3</f>
        <v>0.33333333333333331</v>
      </c>
      <c r="M476" s="18">
        <f>COUNTIF(Fairteilungen!$D:$D,$B476)*3/4</f>
        <v>0</v>
      </c>
      <c r="N476" s="18">
        <f>COUNTIF(Anlieferung!D:D,$B476)*1/2</f>
        <v>0</v>
      </c>
      <c r="O476" s="18">
        <f>COUNTIF(Probeabholungen!B:B,$B476)*1/3</f>
        <v>0</v>
      </c>
    </row>
    <row r="477" spans="1:15">
      <c r="A477" s="8" t="s">
        <v>460</v>
      </c>
      <c r="B477" s="8">
        <v>132132</v>
      </c>
      <c r="D477" s="29"/>
      <c r="E477" s="1">
        <v>0</v>
      </c>
      <c r="F477" s="8">
        <v>6</v>
      </c>
      <c r="G477" s="30">
        <f t="shared" si="24"/>
        <v>3.833333333333333</v>
      </c>
      <c r="H477" s="8">
        <f t="shared" si="26"/>
        <v>2.166666666666667</v>
      </c>
      <c r="I477">
        <f t="shared" si="25"/>
        <v>2.166666666666667</v>
      </c>
      <c r="J477">
        <f>SUMIF(Oeffentlichkeitsarbeit!$D:$D,$B477,Oeffentlichkeitsarbeit!$F:$F)</f>
        <v>0</v>
      </c>
      <c r="K477">
        <f>COUNTIF(Fairteiler!$D:$D,$B477)*1/2</f>
        <v>0</v>
      </c>
      <c r="L477">
        <f>COUNTIF('NP-Betrieb'!D:D,$B477)*1/3</f>
        <v>0</v>
      </c>
      <c r="M477">
        <f>COUNTIF(Fairteilungen!$D:$D,$B477)*3/4</f>
        <v>0</v>
      </c>
      <c r="N477">
        <f>COUNTIF(Anlieferung!D:D,$B477)*1/2</f>
        <v>0.5</v>
      </c>
      <c r="O477">
        <f>COUNTIF(Probeabholungen!B:B,$B477)*1/3</f>
        <v>1.6666666666666667</v>
      </c>
    </row>
    <row r="478" spans="1:15" ht="27.6">
      <c r="A478" s="8" t="s">
        <v>461</v>
      </c>
      <c r="B478" s="8">
        <v>693099</v>
      </c>
      <c r="D478" s="29"/>
      <c r="E478" s="1">
        <v>0</v>
      </c>
      <c r="F478" s="8">
        <v>6</v>
      </c>
      <c r="G478" s="30">
        <f t="shared" si="24"/>
        <v>-4.6666666666666661</v>
      </c>
      <c r="H478" s="8">
        <f t="shared" si="26"/>
        <v>10.666666666666666</v>
      </c>
      <c r="I478">
        <f t="shared" si="25"/>
        <v>10.666666666666666</v>
      </c>
      <c r="J478">
        <f>SUMIF(Oeffentlichkeitsarbeit!$D:$D,$B478,Oeffentlichkeitsarbeit!$F:$F)</f>
        <v>7</v>
      </c>
      <c r="K478">
        <f>COUNTIF(Fairteiler!$D:$D,$B478)*1/2</f>
        <v>0</v>
      </c>
      <c r="L478">
        <f>COUNTIF('NP-Betrieb'!D:D,$B478)*1/3</f>
        <v>3.6666666666666665</v>
      </c>
      <c r="M478">
        <f>COUNTIF(Fairteilungen!$D:$D,$B478)*3/4</f>
        <v>0</v>
      </c>
      <c r="N478">
        <f>COUNTIF(Anlieferung!D:D,$B478)*1/2</f>
        <v>0</v>
      </c>
      <c r="O478">
        <f>COUNTIF(Probeabholungen!B:B,$B478)*1/3</f>
        <v>0</v>
      </c>
    </row>
    <row r="479" spans="1:15">
      <c r="A479" s="8" t="s">
        <v>462</v>
      </c>
      <c r="B479" s="8">
        <v>387179</v>
      </c>
      <c r="D479" s="29"/>
      <c r="E479" s="1">
        <v>14.5</v>
      </c>
      <c r="F479" s="8">
        <v>6</v>
      </c>
      <c r="G479" s="30">
        <f t="shared" si="24"/>
        <v>20.5</v>
      </c>
      <c r="H479" s="8">
        <f t="shared" si="26"/>
        <v>-14.5</v>
      </c>
      <c r="I479">
        <f t="shared" si="25"/>
        <v>0</v>
      </c>
      <c r="J479">
        <f>SUMIF(Oeffentlichkeitsarbeit!$D:$D,$B479,Oeffentlichkeitsarbeit!$F:$F)</f>
        <v>0</v>
      </c>
      <c r="K479">
        <f>COUNTIF(Fairteiler!$D:$D,$B479)*1/2</f>
        <v>0</v>
      </c>
      <c r="L479">
        <f>COUNTIF('NP-Betrieb'!D:D,$B479)*1/3</f>
        <v>0</v>
      </c>
      <c r="M479">
        <f>COUNTIF(Fairteilungen!$D:$D,$B479)*3/4</f>
        <v>0</v>
      </c>
      <c r="N479">
        <f>COUNTIF(Anlieferung!D:D,$B479)*1/2</f>
        <v>0</v>
      </c>
      <c r="O479">
        <f>COUNTIF(Probeabholungen!B:B,$B479)*1/3</f>
        <v>0</v>
      </c>
    </row>
    <row r="480" spans="1:15">
      <c r="A480" s="8" t="s">
        <v>463</v>
      </c>
      <c r="B480" s="8">
        <v>494196</v>
      </c>
      <c r="D480" s="29"/>
      <c r="E480" s="1">
        <v>0</v>
      </c>
      <c r="F480" s="8">
        <v>6</v>
      </c>
      <c r="G480" s="30">
        <f t="shared" si="24"/>
        <v>4</v>
      </c>
      <c r="H480" s="8">
        <f t="shared" si="26"/>
        <v>2</v>
      </c>
      <c r="I480">
        <f t="shared" si="25"/>
        <v>2</v>
      </c>
      <c r="J480">
        <f>SUMIF(Oeffentlichkeitsarbeit!$D:$D,$B480,Oeffentlichkeitsarbeit!$F:$F)</f>
        <v>0</v>
      </c>
      <c r="K480">
        <f>COUNTIF(Fairteiler!$D:$D,$B480)*1/2</f>
        <v>0</v>
      </c>
      <c r="L480">
        <f>COUNTIF('NP-Betrieb'!D:D,$B480)*1/3</f>
        <v>2</v>
      </c>
      <c r="M480">
        <f>COUNTIF(Fairteilungen!$D:$D,$B480)*3/4</f>
        <v>0</v>
      </c>
      <c r="N480">
        <f>COUNTIF(Anlieferung!D:D,$B480)*1/2</f>
        <v>0</v>
      </c>
      <c r="O480">
        <f>COUNTIF(Probeabholungen!B:B,$B480)*1/3</f>
        <v>0</v>
      </c>
    </row>
    <row r="481" spans="1:1024" ht="41.4">
      <c r="A481" s="8" t="s">
        <v>464</v>
      </c>
      <c r="B481" s="8">
        <v>808032</v>
      </c>
      <c r="D481" s="24">
        <v>45799</v>
      </c>
      <c r="E481" s="1">
        <v>3.5</v>
      </c>
      <c r="F481">
        <v>6</v>
      </c>
      <c r="G481" s="30">
        <f t="shared" si="24"/>
        <v>9.5</v>
      </c>
      <c r="H481" s="8">
        <f t="shared" si="26"/>
        <v>-3.5</v>
      </c>
      <c r="I481">
        <f t="shared" si="25"/>
        <v>0</v>
      </c>
      <c r="J481">
        <f>SUMIF(Oeffentlichkeitsarbeit!$D:$D,$B481,Oeffentlichkeitsarbeit!$F:$F)</f>
        <v>0</v>
      </c>
      <c r="K481">
        <f>COUNTIF(Fairteiler!$D:$D,$B481)*1/2</f>
        <v>0</v>
      </c>
      <c r="L481">
        <f>COUNTIF('NP-Betrieb'!D:D,$B481)*1/3</f>
        <v>0</v>
      </c>
      <c r="M481">
        <f>COUNTIF(Fairteilungen!$D:$D,$B481)*3/4</f>
        <v>0</v>
      </c>
      <c r="N481">
        <f>COUNTIF(Anlieferung!D:D,$B481)*1/2</f>
        <v>0</v>
      </c>
      <c r="O481">
        <f>COUNTIF(Probeabholungen!B:B,$B481)*1/3</f>
        <v>0</v>
      </c>
    </row>
    <row r="482" spans="1:1024" ht="27.6">
      <c r="A482" s="8" t="s">
        <v>465</v>
      </c>
      <c r="B482" s="8">
        <v>588228</v>
      </c>
      <c r="D482" s="29"/>
      <c r="E482" s="1">
        <v>0</v>
      </c>
      <c r="F482" s="8">
        <v>6</v>
      </c>
      <c r="G482" s="30">
        <f t="shared" si="24"/>
        <v>4.2500000066666672</v>
      </c>
      <c r="H482" s="8">
        <f t="shared" si="26"/>
        <v>1.7499999933333332</v>
      </c>
      <c r="I482">
        <f t="shared" si="25"/>
        <v>1.7499999933333332</v>
      </c>
      <c r="J482">
        <f>SUMIF(Oeffentlichkeitsarbeit!$D:$D,$B482,Oeffentlichkeitsarbeit!$F:$F)</f>
        <v>1.7499999933333332</v>
      </c>
      <c r="K482">
        <f>COUNTIF(Fairteiler!$D:$D,$B482)*1/2</f>
        <v>0</v>
      </c>
      <c r="L482">
        <f>COUNTIF('NP-Betrieb'!D:D,$B482)*1/3</f>
        <v>0</v>
      </c>
      <c r="M482">
        <f>COUNTIF(Fairteilungen!$D:$D,$B482)*3/4</f>
        <v>0</v>
      </c>
      <c r="N482">
        <f>COUNTIF(Anlieferung!D:D,$B482)*1/2</f>
        <v>0</v>
      </c>
      <c r="O482">
        <f>COUNTIF(Probeabholungen!B:B,$B482)*1/3</f>
        <v>0</v>
      </c>
    </row>
    <row r="483" spans="1:1024" ht="27.6">
      <c r="A483" s="8" t="s">
        <v>466</v>
      </c>
      <c r="B483" s="8">
        <v>441659</v>
      </c>
      <c r="D483" s="24">
        <v>45961</v>
      </c>
      <c r="E483" s="1">
        <v>0.66666666666666696</v>
      </c>
      <c r="F483">
        <v>6</v>
      </c>
      <c r="G483" s="30">
        <f t="shared" si="24"/>
        <v>6.666666666666667</v>
      </c>
      <c r="H483" s="8">
        <f t="shared" si="26"/>
        <v>-0.66666666666666696</v>
      </c>
      <c r="I483">
        <f t="shared" si="25"/>
        <v>0</v>
      </c>
      <c r="J483">
        <f>SUMIF(Oeffentlichkeitsarbeit!$D:$D,$B483,Oeffentlichkeitsarbeit!$F:$F)</f>
        <v>0</v>
      </c>
      <c r="K483">
        <f>COUNTIF(Fairteiler!$D:$D,$B483)*1/2</f>
        <v>0</v>
      </c>
      <c r="L483">
        <f>COUNTIF('NP-Betrieb'!D:D,$B483)*1/3</f>
        <v>0</v>
      </c>
      <c r="M483">
        <f>COUNTIF(Fairteilungen!$D:$D,$B483)*3/4</f>
        <v>0</v>
      </c>
      <c r="N483">
        <f>COUNTIF(Anlieferung!D:D,$B483)*1/2</f>
        <v>0</v>
      </c>
      <c r="O483">
        <f>COUNTIF(Probeabholungen!B:B,$B483)*1/3</f>
        <v>0</v>
      </c>
    </row>
    <row r="484" spans="1:1024" ht="27.6">
      <c r="A484" s="16" t="s">
        <v>467</v>
      </c>
      <c r="B484" s="16">
        <v>560929</v>
      </c>
      <c r="C484" s="16" t="s">
        <v>831</v>
      </c>
      <c r="D484" s="29"/>
      <c r="E484" s="1">
        <v>0</v>
      </c>
      <c r="F484" s="16">
        <v>0</v>
      </c>
      <c r="G484" s="30">
        <f t="shared" si="24"/>
        <v>0</v>
      </c>
      <c r="H484" s="16">
        <f t="shared" si="26"/>
        <v>0</v>
      </c>
      <c r="I484">
        <f t="shared" si="25"/>
        <v>0</v>
      </c>
      <c r="J484">
        <f>SUMIF(Oeffentlichkeitsarbeit!$D:$D,$B484,Oeffentlichkeitsarbeit!$F:$F)</f>
        <v>0</v>
      </c>
      <c r="K484">
        <f>COUNTIF(Fairteiler!$D:$D,$B484)*1/2</f>
        <v>0</v>
      </c>
      <c r="L484">
        <f>COUNTIF('NP-Betrieb'!D:D,$B484)*1/3</f>
        <v>0</v>
      </c>
      <c r="M484">
        <f>COUNTIF(Fairteilungen!$D:$D,$B484)*3/4</f>
        <v>0</v>
      </c>
      <c r="N484">
        <f>COUNTIF(Anlieferung!D:D,$B484)*1/2</f>
        <v>0</v>
      </c>
      <c r="O484">
        <f>COUNTIF(Probeabholungen!B:B,$B484)*1/3</f>
        <v>0</v>
      </c>
    </row>
    <row r="485" spans="1:1024" ht="27.6">
      <c r="A485" s="8" t="s">
        <v>468</v>
      </c>
      <c r="B485" s="8">
        <v>170071</v>
      </c>
      <c r="D485" s="29"/>
      <c r="E485" s="1">
        <v>0</v>
      </c>
      <c r="F485" s="8">
        <v>6</v>
      </c>
      <c r="G485" s="30">
        <f t="shared" si="24"/>
        <v>0.33333333333333304</v>
      </c>
      <c r="H485" s="8">
        <f t="shared" si="26"/>
        <v>5.666666666666667</v>
      </c>
      <c r="I485">
        <f t="shared" si="25"/>
        <v>5.666666666666667</v>
      </c>
      <c r="J485">
        <f>SUMIF(Oeffentlichkeitsarbeit!$D:$D,$B485,Oeffentlichkeitsarbeit!$F:$F)</f>
        <v>0</v>
      </c>
      <c r="K485">
        <f>COUNTIF(Fairteiler!$D:$D,$B485)*1/2</f>
        <v>0</v>
      </c>
      <c r="L485">
        <f>COUNTIF('NP-Betrieb'!D:D,$B485)*1/3</f>
        <v>5.666666666666667</v>
      </c>
      <c r="M485">
        <f>COUNTIF(Fairteilungen!$D:$D,$B485)*3/4</f>
        <v>0</v>
      </c>
      <c r="N485">
        <f>COUNTIF(Anlieferung!D:D,$B485)*1/2</f>
        <v>0</v>
      </c>
      <c r="O485">
        <f>COUNTIF(Probeabholungen!B:B,$B485)*1/3</f>
        <v>0</v>
      </c>
    </row>
    <row r="486" spans="1:1024">
      <c r="A486" s="8" t="s">
        <v>469</v>
      </c>
      <c r="B486" s="8">
        <v>696071</v>
      </c>
      <c r="D486" s="29"/>
      <c r="E486" s="1">
        <v>2.3333333333333299</v>
      </c>
      <c r="F486" s="8">
        <v>6</v>
      </c>
      <c r="G486" s="30">
        <f t="shared" si="24"/>
        <v>8.3333333333333304</v>
      </c>
      <c r="H486" s="8">
        <f t="shared" si="26"/>
        <v>-2.3333333333333299</v>
      </c>
      <c r="I486">
        <f t="shared" si="25"/>
        <v>0</v>
      </c>
      <c r="J486">
        <f>SUMIF(Oeffentlichkeitsarbeit!$D:$D,$B486,Oeffentlichkeitsarbeit!$F:$F)</f>
        <v>0</v>
      </c>
      <c r="K486">
        <f>COUNTIF(Fairteiler!$D:$D,$B486)*1/2</f>
        <v>0</v>
      </c>
      <c r="L486">
        <f>COUNTIF('NP-Betrieb'!D:D,$B486)*1/3</f>
        <v>0</v>
      </c>
      <c r="M486">
        <f>COUNTIF(Fairteilungen!$D:$D,$B486)*3/4</f>
        <v>0</v>
      </c>
      <c r="N486">
        <f>COUNTIF(Anlieferung!D:D,$B486)*1/2</f>
        <v>0</v>
      </c>
      <c r="O486">
        <f>COUNTIF(Probeabholungen!B:B,$B486)*1/3</f>
        <v>0</v>
      </c>
    </row>
    <row r="487" spans="1:1024">
      <c r="A487" s="8" t="s">
        <v>470</v>
      </c>
      <c r="B487" s="8">
        <v>868469</v>
      </c>
      <c r="D487" s="24">
        <v>45622</v>
      </c>
      <c r="E487" s="1">
        <v>0</v>
      </c>
      <c r="F487" s="8">
        <v>6</v>
      </c>
      <c r="G487" s="30">
        <f t="shared" si="24"/>
        <v>5</v>
      </c>
      <c r="H487" s="8">
        <f t="shared" si="26"/>
        <v>1</v>
      </c>
      <c r="I487">
        <f t="shared" si="25"/>
        <v>1</v>
      </c>
      <c r="J487">
        <f>SUMIF(Oeffentlichkeitsarbeit!$D:$D,$B487,Oeffentlichkeitsarbeit!$F:$F)</f>
        <v>0</v>
      </c>
      <c r="K487">
        <f>COUNTIF(Fairteiler!$D:$D,$B487)*1/2</f>
        <v>0</v>
      </c>
      <c r="L487">
        <f>COUNTIF('NP-Betrieb'!D:D,$B487)*1/3</f>
        <v>1</v>
      </c>
      <c r="M487">
        <f>COUNTIF(Fairteilungen!$D:$D,$B487)*3/4</f>
        <v>0</v>
      </c>
      <c r="N487">
        <f>COUNTIF(Anlieferung!D:D,$B487)*1/2</f>
        <v>0</v>
      </c>
      <c r="O487">
        <f>COUNTIF(Probeabholungen!B:B,$B487)*1/3</f>
        <v>0</v>
      </c>
    </row>
    <row r="488" spans="1:1024">
      <c r="A488" s="8" t="s">
        <v>471</v>
      </c>
      <c r="B488" s="8">
        <v>207833</v>
      </c>
      <c r="D488" s="29"/>
      <c r="E488" s="1">
        <v>15.67</v>
      </c>
      <c r="F488" s="8">
        <v>6</v>
      </c>
      <c r="G488" s="30">
        <f t="shared" si="24"/>
        <v>21.67</v>
      </c>
      <c r="H488" s="8">
        <f t="shared" si="26"/>
        <v>-15.67</v>
      </c>
      <c r="I488">
        <f t="shared" si="25"/>
        <v>0</v>
      </c>
      <c r="J488">
        <f>SUMIF(Oeffentlichkeitsarbeit!$D:$D,$B488,Oeffentlichkeitsarbeit!$F:$F)</f>
        <v>0</v>
      </c>
      <c r="K488">
        <f>COUNTIF(Fairteiler!$D:$D,$B488)*1/2</f>
        <v>0</v>
      </c>
      <c r="L488">
        <f>COUNTIF('NP-Betrieb'!D:D,$B488)*1/3</f>
        <v>0</v>
      </c>
      <c r="M488">
        <f>COUNTIF(Fairteilungen!$D:$D,$B488)*3/4</f>
        <v>0</v>
      </c>
      <c r="N488">
        <f>COUNTIF(Anlieferung!D:D,$B488)*1/2</f>
        <v>0</v>
      </c>
      <c r="O488">
        <f>COUNTIF(Probeabholungen!B:B,$B488)*1/3</f>
        <v>0</v>
      </c>
    </row>
    <row r="489" spans="1:1024">
      <c r="A489" s="8" t="s">
        <v>472</v>
      </c>
      <c r="B489">
        <v>595693</v>
      </c>
      <c r="D489" s="24">
        <v>45668</v>
      </c>
      <c r="E489" s="1">
        <v>4</v>
      </c>
      <c r="F489">
        <v>6</v>
      </c>
      <c r="G489" s="30">
        <f t="shared" si="24"/>
        <v>9.6666666666666661</v>
      </c>
      <c r="H489" s="8">
        <f t="shared" si="26"/>
        <v>-3.6666666666666665</v>
      </c>
      <c r="I489">
        <f t="shared" si="25"/>
        <v>0.33333333333333331</v>
      </c>
      <c r="J489">
        <f>SUMIF(Oeffentlichkeitsarbeit!$D:$D,$B489,Oeffentlichkeitsarbeit!$F:$F)</f>
        <v>0</v>
      </c>
      <c r="K489">
        <f>COUNTIF(Fairteiler!$D:$D,$B489)*1/2</f>
        <v>0</v>
      </c>
      <c r="L489">
        <f>COUNTIF('NP-Betrieb'!D:D,$B489)*1/3</f>
        <v>0.33333333333333331</v>
      </c>
      <c r="M489">
        <f>COUNTIF(Fairteilungen!$D:$D,$B489)*3/4</f>
        <v>0</v>
      </c>
      <c r="N489">
        <f>COUNTIF(Anlieferung!D:D,$B489)*1/2</f>
        <v>0</v>
      </c>
      <c r="O489">
        <f>COUNTIF(Probeabholungen!B:B,$B489)*1/3</f>
        <v>0</v>
      </c>
    </row>
    <row r="490" spans="1:1024">
      <c r="A490" s="8" t="s">
        <v>473</v>
      </c>
      <c r="B490" s="8">
        <v>696097</v>
      </c>
      <c r="D490" s="29"/>
      <c r="E490" s="1">
        <v>0.66666666666666696</v>
      </c>
      <c r="F490" s="8">
        <v>6</v>
      </c>
      <c r="G490" s="30">
        <f t="shared" si="24"/>
        <v>6.666666666666667</v>
      </c>
      <c r="H490" s="8">
        <f t="shared" si="26"/>
        <v>-0.66666666666666696</v>
      </c>
      <c r="I490">
        <f t="shared" si="25"/>
        <v>0</v>
      </c>
      <c r="J490">
        <f>SUMIF(Oeffentlichkeitsarbeit!$D:$D,$B490,Oeffentlichkeitsarbeit!$F:$F)</f>
        <v>0</v>
      </c>
      <c r="K490">
        <f>COUNTIF(Fairteiler!$D:$D,$B490)*1/2</f>
        <v>0</v>
      </c>
      <c r="L490">
        <f>COUNTIF('NP-Betrieb'!D:D,$B490)*1/3</f>
        <v>0</v>
      </c>
      <c r="M490">
        <f>COUNTIF(Fairteilungen!$D:$D,$B490)*3/4</f>
        <v>0</v>
      </c>
      <c r="N490">
        <f>COUNTIF(Anlieferung!D:D,$B490)*1/2</f>
        <v>0</v>
      </c>
      <c r="O490">
        <f>COUNTIF(Probeabholungen!B:B,$B490)*1/3</f>
        <v>0</v>
      </c>
    </row>
    <row r="491" spans="1:1024" ht="27.6">
      <c r="A491" s="8" t="s">
        <v>474</v>
      </c>
      <c r="B491" s="8">
        <v>845124</v>
      </c>
      <c r="D491" s="24">
        <v>45495</v>
      </c>
      <c r="E491" s="1">
        <v>0</v>
      </c>
      <c r="F491" s="8">
        <v>6</v>
      </c>
      <c r="G491" s="30">
        <f t="shared" si="24"/>
        <v>2</v>
      </c>
      <c r="H491" s="8">
        <f t="shared" si="26"/>
        <v>4</v>
      </c>
      <c r="I491">
        <f t="shared" si="25"/>
        <v>4</v>
      </c>
      <c r="J491">
        <f>SUMIF(Oeffentlichkeitsarbeit!$D:$D,$B491,Oeffentlichkeitsarbeit!$F:$F)</f>
        <v>0</v>
      </c>
      <c r="K491">
        <f>COUNTIF(Fairteiler!$D:$D,$B491)*1/2</f>
        <v>0</v>
      </c>
      <c r="L491">
        <f>COUNTIF('NP-Betrieb'!D:D,$B491)*1/3</f>
        <v>4</v>
      </c>
      <c r="M491">
        <f>COUNTIF(Fairteilungen!$D:$D,$B491)*3/4</f>
        <v>0</v>
      </c>
      <c r="N491">
        <f>COUNTIF(Anlieferung!D:D,$B491)*1/2</f>
        <v>0</v>
      </c>
      <c r="O491">
        <f>COUNTIF(Probeabholungen!B:B,$B491)*1/3</f>
        <v>0</v>
      </c>
    </row>
    <row r="492" spans="1:1024" ht="27.6">
      <c r="A492" s="8" t="s">
        <v>475</v>
      </c>
      <c r="B492" s="8">
        <v>356207</v>
      </c>
      <c r="D492" s="29"/>
      <c r="E492" s="1">
        <v>13.67</v>
      </c>
      <c r="F492" s="8">
        <v>6</v>
      </c>
      <c r="G492" s="30">
        <f t="shared" si="24"/>
        <v>19.670000000000002</v>
      </c>
      <c r="H492" s="8">
        <f t="shared" si="26"/>
        <v>-13.67</v>
      </c>
      <c r="I492">
        <f t="shared" si="25"/>
        <v>0</v>
      </c>
      <c r="J492">
        <f>SUMIF(Oeffentlichkeitsarbeit!$D:$D,$B492,Oeffentlichkeitsarbeit!$F:$F)</f>
        <v>0</v>
      </c>
      <c r="K492">
        <f>COUNTIF(Fairteiler!$D:$D,$B492)*1/2</f>
        <v>0</v>
      </c>
      <c r="L492">
        <f>COUNTIF('NP-Betrieb'!D:D,$B492)*1/3</f>
        <v>0</v>
      </c>
      <c r="M492">
        <f>COUNTIF(Fairteilungen!$D:$D,$B492)*3/4</f>
        <v>0</v>
      </c>
      <c r="N492">
        <f>COUNTIF(Anlieferung!D:D,$B492)*1/2</f>
        <v>0</v>
      </c>
      <c r="O492">
        <f>COUNTIF(Probeabholungen!B:B,$B492)*1/3</f>
        <v>0</v>
      </c>
    </row>
    <row r="493" spans="1:1024" ht="27.6">
      <c r="A493" s="8" t="s">
        <v>476</v>
      </c>
      <c r="B493" s="8">
        <v>844290</v>
      </c>
      <c r="D493" s="24">
        <v>45530</v>
      </c>
      <c r="E493" s="1">
        <v>0</v>
      </c>
      <c r="F493" s="8">
        <v>6</v>
      </c>
      <c r="G493" s="30">
        <f t="shared" si="24"/>
        <v>2.3333333333333335</v>
      </c>
      <c r="H493" s="8">
        <f t="shared" si="26"/>
        <v>3.6666666666666665</v>
      </c>
      <c r="I493">
        <f t="shared" si="25"/>
        <v>3.6666666666666665</v>
      </c>
      <c r="J493">
        <f>SUMIF(Oeffentlichkeitsarbeit!$D:$D,$B493,Oeffentlichkeitsarbeit!$F:$F)</f>
        <v>0</v>
      </c>
      <c r="K493">
        <f>COUNTIF(Fairteiler!$D:$D,$B493)*1/2</f>
        <v>0</v>
      </c>
      <c r="L493">
        <f>COUNTIF('NP-Betrieb'!D:D,$B493)*1/3</f>
        <v>3.6666666666666665</v>
      </c>
      <c r="M493">
        <f>COUNTIF(Fairteilungen!$D:$D,$B493)*3/4</f>
        <v>0</v>
      </c>
      <c r="N493">
        <f>COUNTIF(Anlieferung!D:D,$B493)*1/2</f>
        <v>0</v>
      </c>
      <c r="O493">
        <f>COUNTIF(Probeabholungen!B:B,$B493)*1/3</f>
        <v>0</v>
      </c>
    </row>
    <row r="494" spans="1:1024" ht="27.6">
      <c r="A494" s="8" t="s">
        <v>477</v>
      </c>
      <c r="B494" s="8">
        <v>911799</v>
      </c>
      <c r="D494" s="24">
        <v>45799</v>
      </c>
      <c r="E494" s="1">
        <v>2.5</v>
      </c>
      <c r="F494">
        <v>6</v>
      </c>
      <c r="G494" s="30">
        <f t="shared" si="24"/>
        <v>8.5</v>
      </c>
      <c r="H494" s="8">
        <f t="shared" si="26"/>
        <v>-2.5</v>
      </c>
      <c r="I494">
        <f t="shared" si="25"/>
        <v>0</v>
      </c>
      <c r="J494">
        <f>SUMIF(Oeffentlichkeitsarbeit!$D:$D,$B494,Oeffentlichkeitsarbeit!$F:$F)</f>
        <v>0</v>
      </c>
      <c r="K494">
        <f>COUNTIF(Fairteiler!$D:$D,$B494)*1/2</f>
        <v>0</v>
      </c>
      <c r="L494">
        <f>COUNTIF('NP-Betrieb'!D:D,$B494)*1/3</f>
        <v>0</v>
      </c>
      <c r="M494">
        <f>COUNTIF(Fairteilungen!$D:$D,$B494)*3/4</f>
        <v>0</v>
      </c>
      <c r="N494">
        <f>COUNTIF(Anlieferung!D:D,$B494)*1/2</f>
        <v>0</v>
      </c>
      <c r="O494">
        <f>COUNTIF(Probeabholungen!B:B,$B494)*1/3</f>
        <v>0</v>
      </c>
    </row>
    <row r="495" spans="1:1024" s="11" customFormat="1" ht="27.6">
      <c r="A495" s="8" t="s">
        <v>478</v>
      </c>
      <c r="B495" s="8">
        <v>242433</v>
      </c>
      <c r="C495"/>
      <c r="D495" s="29"/>
      <c r="E495" s="1">
        <v>11</v>
      </c>
      <c r="F495" s="8">
        <v>6</v>
      </c>
      <c r="G495" s="30">
        <f t="shared" si="24"/>
        <v>17</v>
      </c>
      <c r="H495" s="8">
        <f t="shared" si="26"/>
        <v>-11</v>
      </c>
      <c r="I495">
        <f t="shared" si="25"/>
        <v>0</v>
      </c>
      <c r="J495">
        <f>SUMIF(Oeffentlichkeitsarbeit!$D:$D,$B495,Oeffentlichkeitsarbeit!$F:$F)</f>
        <v>0</v>
      </c>
      <c r="K495">
        <f>COUNTIF(Fairteiler!$D:$D,$B495)*1/2</f>
        <v>0</v>
      </c>
      <c r="L495">
        <f>COUNTIF('NP-Betrieb'!D:D,$B495)*1/3</f>
        <v>0</v>
      </c>
      <c r="M495">
        <f>COUNTIF(Fairteilungen!$D:$D,$B495)*3/4</f>
        <v>0</v>
      </c>
      <c r="N495">
        <f>COUNTIF(Anlieferung!D:D,$B495)*1/2</f>
        <v>0</v>
      </c>
      <c r="O495">
        <f>COUNTIF(Probeabholungen!B:B,$B495)*1/3</f>
        <v>0</v>
      </c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  <c r="BR495"/>
      <c r="BS495"/>
      <c r="BT495"/>
      <c r="BU495"/>
      <c r="BV495"/>
      <c r="BW495"/>
      <c r="BX495"/>
      <c r="BY495"/>
      <c r="BZ495"/>
      <c r="CA495"/>
      <c r="CB495"/>
      <c r="CC495"/>
      <c r="CD495"/>
      <c r="CE495"/>
      <c r="CF495"/>
      <c r="CG495"/>
      <c r="CH495"/>
      <c r="CI495"/>
      <c r="CJ495"/>
      <c r="CK495"/>
      <c r="CL495"/>
      <c r="CM495"/>
      <c r="CN495"/>
      <c r="CO495"/>
      <c r="CP495"/>
      <c r="CQ495"/>
      <c r="CR495"/>
      <c r="CS495"/>
      <c r="CT495"/>
      <c r="CU495"/>
      <c r="CV495"/>
      <c r="CW495"/>
      <c r="CX495"/>
      <c r="CY495"/>
      <c r="CZ495"/>
      <c r="DA495"/>
      <c r="DB495"/>
      <c r="DC495"/>
      <c r="DD495"/>
      <c r="DE495"/>
      <c r="DF495"/>
      <c r="DG495"/>
      <c r="DH495"/>
      <c r="DI495"/>
      <c r="DJ495"/>
      <c r="DK495"/>
      <c r="DL495"/>
      <c r="DM495"/>
      <c r="DN495"/>
      <c r="DO495"/>
      <c r="DP495"/>
      <c r="DQ495"/>
      <c r="DR495"/>
      <c r="DS495"/>
      <c r="DT495"/>
      <c r="DU495"/>
      <c r="DV495"/>
      <c r="DW495"/>
      <c r="DX495"/>
      <c r="DY495"/>
      <c r="DZ495"/>
      <c r="EA495"/>
      <c r="EB495"/>
      <c r="EC495"/>
      <c r="ED495"/>
      <c r="EE495"/>
      <c r="EF495"/>
      <c r="EG495"/>
      <c r="EH495"/>
      <c r="EI495"/>
      <c r="EJ495"/>
      <c r="EK495"/>
      <c r="EL495"/>
      <c r="EM495"/>
      <c r="EN495"/>
      <c r="EO495"/>
      <c r="EP495"/>
      <c r="EQ495"/>
      <c r="ER495"/>
      <c r="ES495"/>
      <c r="ET495"/>
      <c r="EU495"/>
      <c r="EV495"/>
      <c r="EW495"/>
      <c r="EX495"/>
      <c r="EY495"/>
      <c r="EZ495"/>
      <c r="FA495"/>
      <c r="FB495"/>
      <c r="FC495"/>
      <c r="FD495"/>
      <c r="FE495"/>
      <c r="FF495"/>
      <c r="FG495"/>
      <c r="FH495"/>
      <c r="FI495"/>
      <c r="FJ495"/>
      <c r="FK495"/>
      <c r="FL495"/>
      <c r="FM495"/>
      <c r="FN495"/>
      <c r="FO495"/>
      <c r="FP495"/>
      <c r="FQ495"/>
      <c r="FR495"/>
      <c r="FS495"/>
      <c r="FT495"/>
      <c r="FU495"/>
      <c r="FV495"/>
      <c r="FW495"/>
      <c r="FX495"/>
      <c r="FY495"/>
      <c r="FZ495"/>
      <c r="GA495"/>
      <c r="GB495"/>
      <c r="GC495"/>
      <c r="GD495"/>
      <c r="GE495"/>
      <c r="GF495"/>
      <c r="GG495"/>
      <c r="GH495"/>
      <c r="GI495"/>
      <c r="GJ495"/>
      <c r="GK495"/>
      <c r="GL495"/>
      <c r="GM495"/>
      <c r="GN495"/>
      <c r="GO495"/>
      <c r="GP495"/>
      <c r="GQ495"/>
      <c r="GR495"/>
      <c r="GS495"/>
      <c r="GT495"/>
      <c r="GU495"/>
      <c r="GV495"/>
      <c r="GW495"/>
      <c r="GX495"/>
      <c r="GY495"/>
      <c r="GZ495"/>
      <c r="HA495"/>
      <c r="HB495"/>
      <c r="HC495"/>
      <c r="HD495"/>
      <c r="HE495"/>
      <c r="HF495"/>
      <c r="HG495"/>
      <c r="HH495"/>
      <c r="HI495"/>
      <c r="HJ495"/>
      <c r="HK495"/>
      <c r="HL495"/>
      <c r="HM495"/>
      <c r="HN495"/>
      <c r="HO495"/>
      <c r="HP495"/>
      <c r="HQ495"/>
      <c r="HR495"/>
      <c r="HS495"/>
      <c r="HT495"/>
      <c r="HU495"/>
      <c r="HV495"/>
      <c r="HW495"/>
      <c r="HX495"/>
      <c r="HY495"/>
      <c r="HZ495"/>
      <c r="IA495"/>
      <c r="IB495"/>
      <c r="IC495"/>
      <c r="ID495"/>
      <c r="IE495"/>
      <c r="IF495"/>
      <c r="IG495"/>
      <c r="IH495"/>
      <c r="II495"/>
      <c r="IJ495"/>
      <c r="IK495"/>
      <c r="IL495"/>
      <c r="IM495"/>
      <c r="IN495"/>
      <c r="IO495"/>
      <c r="IP495"/>
      <c r="IQ495"/>
      <c r="IR495"/>
      <c r="IS495"/>
      <c r="IT495"/>
      <c r="IU495"/>
      <c r="IV495"/>
      <c r="IW495"/>
      <c r="IX495"/>
      <c r="IY495"/>
      <c r="IZ495"/>
      <c r="JA495"/>
      <c r="JB495"/>
      <c r="JC495"/>
      <c r="JD495"/>
      <c r="JE495"/>
      <c r="JF495"/>
      <c r="JG495"/>
      <c r="JH495"/>
      <c r="JI495"/>
      <c r="JJ495"/>
      <c r="JK495"/>
      <c r="JL495"/>
      <c r="JM495"/>
      <c r="JN495"/>
      <c r="JO495"/>
      <c r="JP495"/>
      <c r="JQ495"/>
      <c r="JR495"/>
      <c r="JS495"/>
      <c r="JT495"/>
      <c r="JU495"/>
      <c r="JV495"/>
      <c r="JW495"/>
      <c r="JX495"/>
      <c r="JY495"/>
      <c r="JZ495"/>
      <c r="KA495"/>
      <c r="KB495"/>
      <c r="KC495"/>
      <c r="KD495"/>
      <c r="KE495"/>
      <c r="KF495"/>
      <c r="KG495"/>
      <c r="KH495"/>
      <c r="KI495"/>
      <c r="KJ495"/>
      <c r="KK495"/>
      <c r="KL495"/>
      <c r="KM495"/>
      <c r="KN495"/>
      <c r="KO495"/>
      <c r="KP495"/>
      <c r="KQ495"/>
      <c r="KR495"/>
      <c r="KS495"/>
      <c r="KT495"/>
      <c r="KU495"/>
      <c r="KV495"/>
      <c r="KW495"/>
      <c r="KX495"/>
      <c r="KY495"/>
      <c r="KZ495"/>
      <c r="LA495"/>
      <c r="LB495"/>
      <c r="LC495"/>
      <c r="LD495"/>
      <c r="LE495"/>
      <c r="LF495"/>
      <c r="LG495"/>
      <c r="LH495"/>
      <c r="LI495"/>
      <c r="LJ495"/>
      <c r="LK495"/>
      <c r="LL495"/>
      <c r="LM495"/>
      <c r="LN495"/>
      <c r="LO495"/>
      <c r="LP495"/>
      <c r="LQ495"/>
      <c r="LR495"/>
      <c r="LS495"/>
      <c r="LT495"/>
      <c r="LU495"/>
      <c r="LV495"/>
      <c r="LW495"/>
      <c r="LX495"/>
      <c r="LY495"/>
      <c r="LZ495"/>
      <c r="MA495"/>
      <c r="MB495"/>
      <c r="MC495"/>
      <c r="MD495"/>
      <c r="ME495"/>
      <c r="MF495"/>
      <c r="MG495"/>
      <c r="MH495"/>
      <c r="MI495"/>
      <c r="MJ495"/>
      <c r="MK495"/>
      <c r="ML495"/>
      <c r="MM495"/>
      <c r="MN495"/>
      <c r="MO495"/>
      <c r="MP495"/>
      <c r="MQ495"/>
      <c r="MR495"/>
      <c r="MS495"/>
      <c r="MT495"/>
      <c r="MU495"/>
      <c r="MV495"/>
      <c r="MW495"/>
      <c r="MX495"/>
      <c r="MY495"/>
      <c r="MZ495"/>
      <c r="NA495"/>
      <c r="NB495"/>
      <c r="NC495"/>
      <c r="ND495"/>
      <c r="NE495"/>
      <c r="NF495"/>
      <c r="NG495"/>
      <c r="NH495"/>
      <c r="NI495"/>
      <c r="NJ495"/>
      <c r="NK495"/>
      <c r="NL495"/>
      <c r="NM495"/>
      <c r="NN495"/>
      <c r="NO495"/>
      <c r="NP495"/>
      <c r="NQ495"/>
      <c r="NR495"/>
      <c r="NS495"/>
      <c r="NT495"/>
      <c r="NU495"/>
      <c r="NV495"/>
      <c r="NW495"/>
      <c r="NX495"/>
      <c r="NY495"/>
      <c r="NZ495"/>
      <c r="OA495"/>
      <c r="OB495"/>
      <c r="OC495"/>
      <c r="OD495"/>
      <c r="OE495"/>
      <c r="OF495"/>
      <c r="OG495"/>
      <c r="OH495"/>
      <c r="OI495"/>
      <c r="OJ495"/>
      <c r="OK495"/>
      <c r="OL495"/>
      <c r="OM495"/>
      <c r="ON495"/>
      <c r="OO495"/>
      <c r="OP495"/>
      <c r="OQ495"/>
      <c r="OR495"/>
      <c r="OS495"/>
      <c r="OT495"/>
      <c r="OU495"/>
      <c r="OV495"/>
      <c r="OW495"/>
      <c r="OX495"/>
      <c r="OY495"/>
      <c r="OZ495"/>
      <c r="PA495"/>
      <c r="PB495"/>
      <c r="PC495"/>
      <c r="PD495"/>
      <c r="PE495"/>
      <c r="PF495"/>
      <c r="PG495"/>
      <c r="PH495"/>
      <c r="PI495"/>
      <c r="PJ495"/>
      <c r="PK495"/>
      <c r="PL495"/>
      <c r="PM495"/>
      <c r="PN495"/>
      <c r="PO495"/>
      <c r="PP495"/>
      <c r="PQ495"/>
      <c r="PR495"/>
      <c r="PS495"/>
      <c r="PT495"/>
      <c r="PU495"/>
      <c r="PV495"/>
      <c r="PW495"/>
      <c r="PX495"/>
      <c r="PY495"/>
      <c r="PZ495"/>
      <c r="QA495"/>
      <c r="QB495"/>
      <c r="QC495"/>
      <c r="QD495"/>
      <c r="QE495"/>
      <c r="QF495"/>
      <c r="QG495"/>
      <c r="QH495"/>
      <c r="QI495"/>
      <c r="QJ495"/>
      <c r="QK495"/>
      <c r="QL495"/>
      <c r="QM495"/>
      <c r="QN495"/>
      <c r="QO495"/>
      <c r="QP495"/>
      <c r="QQ495"/>
      <c r="QR495"/>
      <c r="QS495"/>
      <c r="QT495"/>
      <c r="QU495"/>
      <c r="QV495"/>
      <c r="QW495"/>
      <c r="QX495"/>
      <c r="QY495"/>
      <c r="QZ495"/>
      <c r="RA495"/>
      <c r="RB495"/>
      <c r="RC495"/>
      <c r="RD495"/>
      <c r="RE495"/>
      <c r="RF495"/>
      <c r="RG495"/>
      <c r="RH495"/>
      <c r="RI495"/>
      <c r="RJ495"/>
      <c r="RK495"/>
      <c r="RL495"/>
      <c r="RM495"/>
      <c r="RN495"/>
      <c r="RO495"/>
      <c r="RP495"/>
      <c r="RQ495"/>
      <c r="RR495"/>
      <c r="RS495"/>
      <c r="RT495"/>
      <c r="RU495"/>
      <c r="RV495"/>
      <c r="RW495"/>
      <c r="RX495"/>
      <c r="RY495"/>
      <c r="RZ495"/>
      <c r="SA495"/>
      <c r="SB495"/>
      <c r="SC495"/>
      <c r="SD495"/>
      <c r="SE495"/>
      <c r="SF495"/>
      <c r="SG495"/>
      <c r="SH495"/>
      <c r="SI495"/>
      <c r="SJ495"/>
      <c r="SK495"/>
      <c r="SL495"/>
      <c r="SM495"/>
      <c r="SN495"/>
      <c r="SO495"/>
      <c r="SP495"/>
      <c r="SQ495"/>
      <c r="SR495"/>
      <c r="SS495"/>
      <c r="ST495"/>
      <c r="SU495"/>
      <c r="SV495"/>
      <c r="SW495"/>
      <c r="SX495"/>
      <c r="SY495"/>
      <c r="SZ495"/>
      <c r="TA495"/>
      <c r="TB495"/>
      <c r="TC495"/>
      <c r="TD495"/>
      <c r="TE495"/>
      <c r="TF495"/>
      <c r="TG495"/>
      <c r="TH495"/>
      <c r="TI495"/>
      <c r="TJ495"/>
      <c r="TK495"/>
      <c r="TL495"/>
      <c r="TM495"/>
      <c r="TN495"/>
      <c r="TO495"/>
      <c r="TP495"/>
      <c r="TQ495"/>
      <c r="TR495"/>
      <c r="TS495"/>
      <c r="TT495"/>
      <c r="TU495"/>
      <c r="TV495"/>
      <c r="TW495"/>
      <c r="TX495"/>
      <c r="TY495"/>
      <c r="TZ495"/>
      <c r="UA495"/>
      <c r="UB495"/>
      <c r="UC495"/>
      <c r="UD495"/>
      <c r="UE495"/>
      <c r="UF495"/>
      <c r="UG495"/>
      <c r="UH495"/>
      <c r="UI495"/>
      <c r="UJ495"/>
      <c r="UK495"/>
      <c r="UL495"/>
      <c r="UM495"/>
      <c r="UN495"/>
      <c r="UO495"/>
      <c r="UP495"/>
      <c r="UQ495"/>
      <c r="UR495"/>
      <c r="US495"/>
      <c r="UT495"/>
      <c r="UU495"/>
      <c r="UV495"/>
      <c r="UW495"/>
      <c r="UX495"/>
      <c r="UY495"/>
      <c r="UZ495"/>
      <c r="VA495"/>
      <c r="VB495"/>
      <c r="VC495"/>
      <c r="VD495"/>
      <c r="VE495"/>
      <c r="VF495"/>
      <c r="VG495"/>
      <c r="VH495"/>
      <c r="VI495"/>
      <c r="VJ495"/>
      <c r="VK495"/>
      <c r="VL495"/>
      <c r="VM495"/>
      <c r="VN495"/>
      <c r="VO495"/>
      <c r="VP495"/>
      <c r="VQ495"/>
      <c r="VR495"/>
      <c r="VS495"/>
      <c r="VT495"/>
      <c r="VU495"/>
      <c r="VV495"/>
      <c r="VW495"/>
      <c r="VX495"/>
      <c r="VY495"/>
      <c r="VZ495"/>
      <c r="WA495"/>
      <c r="WB495"/>
      <c r="WC495"/>
      <c r="WD495"/>
      <c r="WE495"/>
      <c r="WF495"/>
      <c r="WG495"/>
      <c r="WH495"/>
      <c r="WI495"/>
      <c r="WJ495"/>
      <c r="WK495"/>
      <c r="WL495"/>
      <c r="WM495"/>
      <c r="WN495"/>
      <c r="WO495"/>
      <c r="WP495"/>
      <c r="WQ495"/>
      <c r="WR495"/>
      <c r="WS495"/>
      <c r="WT495"/>
      <c r="WU495"/>
      <c r="WV495"/>
      <c r="WW495"/>
      <c r="WX495"/>
      <c r="WY495"/>
      <c r="WZ495"/>
      <c r="XA495"/>
      <c r="XB495"/>
      <c r="XC495"/>
      <c r="XD495"/>
      <c r="XE495"/>
      <c r="XF495"/>
      <c r="XG495"/>
      <c r="XH495"/>
      <c r="XI495"/>
      <c r="XJ495"/>
      <c r="XK495"/>
      <c r="XL495"/>
      <c r="XM495"/>
      <c r="XN495"/>
      <c r="XO495"/>
      <c r="XP495"/>
      <c r="XQ495"/>
      <c r="XR495"/>
      <c r="XS495"/>
      <c r="XT495"/>
      <c r="XU495"/>
      <c r="XV495"/>
      <c r="XW495"/>
      <c r="XX495"/>
      <c r="XY495"/>
      <c r="XZ495"/>
      <c r="YA495"/>
      <c r="YB495"/>
      <c r="YC495"/>
      <c r="YD495"/>
      <c r="YE495"/>
      <c r="YF495"/>
      <c r="YG495"/>
      <c r="YH495"/>
      <c r="YI495"/>
      <c r="YJ495"/>
      <c r="YK495"/>
      <c r="YL495"/>
      <c r="YM495"/>
      <c r="YN495"/>
      <c r="YO495"/>
      <c r="YP495"/>
      <c r="YQ495"/>
      <c r="YR495"/>
      <c r="YS495"/>
      <c r="YT495"/>
      <c r="YU495"/>
      <c r="YV495"/>
      <c r="YW495"/>
      <c r="YX495"/>
      <c r="YY495"/>
      <c r="YZ495"/>
      <c r="ZA495"/>
      <c r="ZB495"/>
      <c r="ZC495"/>
      <c r="ZD495"/>
      <c r="ZE495"/>
      <c r="ZF495"/>
      <c r="ZG495"/>
      <c r="ZH495"/>
      <c r="ZI495"/>
      <c r="ZJ495"/>
      <c r="ZK495"/>
      <c r="ZL495"/>
      <c r="ZM495"/>
      <c r="ZN495"/>
      <c r="ZO495"/>
      <c r="ZP495"/>
      <c r="ZQ495"/>
      <c r="ZR495"/>
      <c r="ZS495"/>
      <c r="ZT495"/>
      <c r="ZU495"/>
      <c r="ZV495"/>
      <c r="ZW495"/>
      <c r="ZX495"/>
      <c r="ZY495"/>
      <c r="ZZ495"/>
      <c r="AAA495"/>
      <c r="AAB495"/>
      <c r="AAC495"/>
      <c r="AAD495"/>
      <c r="AAE495"/>
      <c r="AAF495"/>
      <c r="AAG495"/>
      <c r="AAH495"/>
      <c r="AAI495"/>
      <c r="AAJ495"/>
      <c r="AAK495"/>
      <c r="AAL495"/>
      <c r="AAM495"/>
      <c r="AAN495"/>
      <c r="AAO495"/>
      <c r="AAP495"/>
      <c r="AAQ495"/>
      <c r="AAR495"/>
      <c r="AAS495"/>
      <c r="AAT495"/>
      <c r="AAU495"/>
      <c r="AAV495"/>
      <c r="AAW495"/>
      <c r="AAX495"/>
      <c r="AAY495"/>
      <c r="AAZ495"/>
      <c r="ABA495"/>
      <c r="ABB495"/>
      <c r="ABC495"/>
      <c r="ABD495"/>
      <c r="ABE495"/>
      <c r="ABF495"/>
      <c r="ABG495"/>
      <c r="ABH495"/>
      <c r="ABI495"/>
      <c r="ABJ495"/>
      <c r="ABK495"/>
      <c r="ABL495"/>
      <c r="ABM495"/>
      <c r="ABN495"/>
      <c r="ABO495"/>
      <c r="ABP495"/>
      <c r="ABQ495"/>
      <c r="ABR495"/>
      <c r="ABS495"/>
      <c r="ABT495"/>
      <c r="ABU495"/>
      <c r="ABV495"/>
      <c r="ABW495"/>
      <c r="ABX495"/>
      <c r="ABY495"/>
      <c r="ABZ495"/>
      <c r="ACA495"/>
      <c r="ACB495"/>
      <c r="ACC495"/>
      <c r="ACD495"/>
      <c r="ACE495"/>
      <c r="ACF495"/>
      <c r="ACG495"/>
      <c r="ACH495"/>
      <c r="ACI495"/>
      <c r="ACJ495"/>
      <c r="ACK495"/>
      <c r="ACL495"/>
      <c r="ACM495"/>
      <c r="ACN495"/>
      <c r="ACO495"/>
      <c r="ACP495"/>
      <c r="ACQ495"/>
      <c r="ACR495"/>
      <c r="ACS495"/>
      <c r="ACT495"/>
      <c r="ACU495"/>
      <c r="ACV495"/>
      <c r="ACW495"/>
      <c r="ACX495"/>
      <c r="ACY495"/>
      <c r="ACZ495"/>
      <c r="ADA495"/>
      <c r="ADB495"/>
      <c r="ADC495"/>
      <c r="ADD495"/>
      <c r="ADE495"/>
      <c r="ADF495"/>
      <c r="ADG495"/>
      <c r="ADH495"/>
      <c r="ADI495"/>
      <c r="ADJ495"/>
      <c r="ADK495"/>
      <c r="ADL495"/>
      <c r="ADM495"/>
      <c r="ADN495"/>
      <c r="ADO495"/>
      <c r="ADP495"/>
      <c r="ADQ495"/>
      <c r="ADR495"/>
      <c r="ADS495"/>
      <c r="ADT495"/>
      <c r="ADU495"/>
      <c r="ADV495"/>
      <c r="ADW495"/>
      <c r="ADX495"/>
      <c r="ADY495"/>
      <c r="ADZ495"/>
      <c r="AEA495"/>
      <c r="AEB495"/>
      <c r="AEC495"/>
      <c r="AED495"/>
      <c r="AEE495"/>
      <c r="AEF495"/>
      <c r="AEG495"/>
      <c r="AEH495"/>
      <c r="AEI495"/>
      <c r="AEJ495"/>
      <c r="AEK495"/>
      <c r="AEL495"/>
      <c r="AEM495"/>
      <c r="AEN495"/>
      <c r="AEO495"/>
      <c r="AEP495"/>
      <c r="AEQ495"/>
      <c r="AER495"/>
      <c r="AES495"/>
      <c r="AET495"/>
      <c r="AEU495"/>
      <c r="AEV495"/>
      <c r="AEW495"/>
      <c r="AEX495"/>
      <c r="AEY495"/>
      <c r="AEZ495"/>
      <c r="AFA495"/>
      <c r="AFB495"/>
      <c r="AFC495"/>
      <c r="AFD495"/>
      <c r="AFE495"/>
      <c r="AFF495"/>
      <c r="AFG495"/>
      <c r="AFH495"/>
      <c r="AFI495"/>
      <c r="AFJ495"/>
      <c r="AFK495"/>
      <c r="AFL495"/>
      <c r="AFM495"/>
      <c r="AFN495"/>
      <c r="AFO495"/>
      <c r="AFP495"/>
      <c r="AFQ495"/>
      <c r="AFR495"/>
      <c r="AFS495"/>
      <c r="AFT495"/>
      <c r="AFU495"/>
      <c r="AFV495"/>
      <c r="AFW495"/>
      <c r="AFX495"/>
      <c r="AFY495"/>
      <c r="AFZ495"/>
      <c r="AGA495"/>
      <c r="AGB495"/>
      <c r="AGC495"/>
      <c r="AGD495"/>
      <c r="AGE495"/>
      <c r="AGF495"/>
      <c r="AGG495"/>
      <c r="AGH495"/>
      <c r="AGI495"/>
      <c r="AGJ495"/>
      <c r="AGK495"/>
      <c r="AGL495"/>
      <c r="AGM495"/>
      <c r="AGN495"/>
      <c r="AGO495"/>
      <c r="AGP495"/>
      <c r="AGQ495"/>
      <c r="AGR495"/>
      <c r="AGS495"/>
      <c r="AGT495"/>
      <c r="AGU495"/>
      <c r="AGV495"/>
      <c r="AGW495"/>
      <c r="AGX495"/>
      <c r="AGY495"/>
      <c r="AGZ495"/>
      <c r="AHA495"/>
      <c r="AHB495"/>
      <c r="AHC495"/>
      <c r="AHD495"/>
      <c r="AHE495"/>
      <c r="AHF495"/>
      <c r="AHG495"/>
      <c r="AHH495"/>
      <c r="AHI495"/>
      <c r="AHJ495"/>
      <c r="AHK495"/>
      <c r="AHL495"/>
      <c r="AHM495"/>
      <c r="AHN495"/>
      <c r="AHO495"/>
      <c r="AHP495"/>
      <c r="AHQ495"/>
      <c r="AHR495"/>
      <c r="AHS495"/>
      <c r="AHT495"/>
      <c r="AHU495"/>
      <c r="AHV495"/>
      <c r="AHW495"/>
      <c r="AHX495"/>
      <c r="AHY495"/>
      <c r="AHZ495"/>
      <c r="AIA495"/>
      <c r="AIB495"/>
      <c r="AIC495"/>
      <c r="AID495"/>
      <c r="AIE495"/>
      <c r="AIF495"/>
      <c r="AIG495"/>
      <c r="AIH495"/>
      <c r="AII495"/>
      <c r="AIJ495"/>
      <c r="AIK495"/>
      <c r="AIL495"/>
      <c r="AIM495"/>
      <c r="AIN495"/>
      <c r="AIO495"/>
      <c r="AIP495"/>
      <c r="AIQ495"/>
      <c r="AIR495"/>
      <c r="AIS495"/>
      <c r="AIT495"/>
      <c r="AIU495"/>
      <c r="AIV495"/>
      <c r="AIW495"/>
      <c r="AIX495"/>
      <c r="AIY495"/>
      <c r="AIZ495"/>
      <c r="AJA495"/>
      <c r="AJB495"/>
      <c r="AJC495"/>
      <c r="AJD495"/>
      <c r="AJE495"/>
      <c r="AJF495"/>
      <c r="AJG495"/>
      <c r="AJH495"/>
      <c r="AJI495"/>
      <c r="AJJ495"/>
      <c r="AJK495"/>
      <c r="AJL495"/>
      <c r="AJM495"/>
      <c r="AJN495"/>
      <c r="AJO495"/>
      <c r="AJP495"/>
      <c r="AJQ495"/>
      <c r="AJR495"/>
      <c r="AJS495"/>
      <c r="AJT495"/>
      <c r="AJU495"/>
      <c r="AJV495"/>
      <c r="AJW495"/>
      <c r="AJX495"/>
      <c r="AJY495"/>
      <c r="AJZ495"/>
      <c r="AKA495"/>
      <c r="AKB495"/>
      <c r="AKC495"/>
      <c r="AKD495"/>
      <c r="AKE495"/>
      <c r="AKF495"/>
      <c r="AKG495"/>
      <c r="AKH495"/>
      <c r="AKI495"/>
      <c r="AKJ495"/>
      <c r="AKK495"/>
      <c r="AKL495"/>
      <c r="AKM495"/>
      <c r="AKN495"/>
      <c r="AKO495"/>
      <c r="AKP495"/>
      <c r="AKQ495"/>
      <c r="AKR495"/>
      <c r="AKS495"/>
      <c r="AKT495"/>
      <c r="AKU495"/>
      <c r="AKV495"/>
      <c r="AKW495"/>
      <c r="AKX495"/>
      <c r="AKY495"/>
      <c r="AKZ495"/>
      <c r="ALA495"/>
      <c r="ALB495"/>
      <c r="ALC495"/>
      <c r="ALD495"/>
      <c r="ALE495"/>
      <c r="ALF495"/>
      <c r="ALG495"/>
      <c r="ALH495"/>
      <c r="ALI495"/>
      <c r="ALJ495"/>
      <c r="ALK495"/>
      <c r="ALL495"/>
      <c r="ALM495"/>
      <c r="ALN495"/>
      <c r="ALO495"/>
      <c r="ALP495"/>
      <c r="ALQ495"/>
      <c r="ALR495"/>
      <c r="ALS495"/>
      <c r="ALT495"/>
      <c r="ALU495"/>
      <c r="ALV495"/>
      <c r="ALW495"/>
      <c r="ALX495"/>
      <c r="ALY495"/>
      <c r="ALZ495"/>
      <c r="AMA495"/>
      <c r="AMB495"/>
      <c r="AMC495"/>
      <c r="AMD495"/>
      <c r="AME495"/>
      <c r="AMF495"/>
      <c r="AMG495"/>
      <c r="AMH495"/>
      <c r="AMI495"/>
      <c r="AMJ495"/>
    </row>
    <row r="496" spans="1:1024">
      <c r="A496" s="8" t="s">
        <v>479</v>
      </c>
      <c r="B496" s="8">
        <v>250499</v>
      </c>
      <c r="D496" s="29"/>
      <c r="E496" s="1">
        <v>11</v>
      </c>
      <c r="F496" s="8">
        <v>6</v>
      </c>
      <c r="G496" s="30">
        <f t="shared" si="24"/>
        <v>17</v>
      </c>
      <c r="H496" s="8">
        <f t="shared" si="26"/>
        <v>-11</v>
      </c>
      <c r="I496">
        <f t="shared" si="25"/>
        <v>0</v>
      </c>
      <c r="J496">
        <f>SUMIF(Oeffentlichkeitsarbeit!$D:$D,$B496,Oeffentlichkeitsarbeit!$F:$F)</f>
        <v>0</v>
      </c>
      <c r="K496">
        <f>COUNTIF(Fairteiler!$D:$D,$B496)*1/2</f>
        <v>0</v>
      </c>
      <c r="L496">
        <f>COUNTIF('NP-Betrieb'!D:D,$B496)*1/3</f>
        <v>0</v>
      </c>
      <c r="M496">
        <f>COUNTIF(Fairteilungen!$D:$D,$B496)*3/4</f>
        <v>0</v>
      </c>
      <c r="N496">
        <f>COUNTIF(Anlieferung!D:D,$B496)*1/2</f>
        <v>0</v>
      </c>
      <c r="O496">
        <f>COUNTIF(Probeabholungen!B:B,$B496)*1/3</f>
        <v>0</v>
      </c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  <c r="AZ496" s="11"/>
      <c r="BA496" s="11"/>
      <c r="BB496" s="11"/>
      <c r="BC496" s="11"/>
      <c r="BD496" s="11"/>
      <c r="BE496" s="11"/>
      <c r="BF496" s="11"/>
      <c r="BG496" s="11"/>
      <c r="BH496" s="11"/>
      <c r="BI496" s="11"/>
      <c r="BJ496" s="11"/>
      <c r="BK496" s="11"/>
      <c r="BL496" s="11"/>
      <c r="BM496" s="11"/>
      <c r="BN496" s="11"/>
      <c r="BO496" s="11"/>
      <c r="BP496" s="11"/>
      <c r="BQ496" s="11"/>
      <c r="BR496" s="11"/>
      <c r="BS496" s="11"/>
      <c r="BT496" s="11"/>
      <c r="BU496" s="11"/>
      <c r="BV496" s="11"/>
      <c r="BW496" s="11"/>
      <c r="BX496" s="11"/>
      <c r="BY496" s="11"/>
      <c r="BZ496" s="11"/>
      <c r="CA496" s="11"/>
      <c r="CB496" s="11"/>
      <c r="CC496" s="11"/>
      <c r="CD496" s="11"/>
      <c r="CE496" s="11"/>
      <c r="CF496" s="11"/>
      <c r="CG496" s="11"/>
      <c r="CH496" s="11"/>
      <c r="CI496" s="11"/>
      <c r="CJ496" s="11"/>
      <c r="CK496" s="11"/>
      <c r="CL496" s="11"/>
      <c r="CM496" s="11"/>
      <c r="CN496" s="11"/>
      <c r="CO496" s="11"/>
      <c r="CP496" s="11"/>
      <c r="CQ496" s="11"/>
      <c r="CR496" s="11"/>
      <c r="CS496" s="11"/>
      <c r="CT496" s="11"/>
      <c r="CU496" s="11"/>
      <c r="CV496" s="11"/>
      <c r="CW496" s="11"/>
      <c r="CX496" s="11"/>
      <c r="CY496" s="11"/>
      <c r="CZ496" s="11"/>
      <c r="DA496" s="11"/>
      <c r="DB496" s="11"/>
      <c r="DC496" s="11"/>
      <c r="DD496" s="11"/>
      <c r="DE496" s="11"/>
      <c r="DF496" s="11"/>
      <c r="DG496" s="11"/>
      <c r="DH496" s="11"/>
      <c r="DI496" s="11"/>
      <c r="DJ496" s="11"/>
      <c r="DK496" s="11"/>
      <c r="DL496" s="11"/>
      <c r="DM496" s="11"/>
      <c r="DN496" s="11"/>
      <c r="DO496" s="11"/>
      <c r="DP496" s="11"/>
      <c r="DQ496" s="11"/>
      <c r="DR496" s="11"/>
      <c r="DS496" s="11"/>
      <c r="DT496" s="11"/>
      <c r="DU496" s="11"/>
      <c r="DV496" s="11"/>
      <c r="DW496" s="11"/>
      <c r="DX496" s="11"/>
      <c r="DY496" s="11"/>
      <c r="DZ496" s="11"/>
      <c r="EA496" s="11"/>
      <c r="EB496" s="11"/>
      <c r="EC496" s="11"/>
      <c r="ED496" s="11"/>
      <c r="EE496" s="11"/>
      <c r="EF496" s="11"/>
      <c r="EG496" s="11"/>
      <c r="EH496" s="11"/>
      <c r="EI496" s="11"/>
      <c r="EJ496" s="11"/>
      <c r="EK496" s="11"/>
      <c r="EL496" s="11"/>
      <c r="EM496" s="11"/>
      <c r="EN496" s="11"/>
      <c r="EO496" s="11"/>
      <c r="EP496" s="11"/>
      <c r="EQ496" s="11"/>
      <c r="ER496" s="11"/>
      <c r="ES496" s="11"/>
      <c r="ET496" s="11"/>
      <c r="EU496" s="11"/>
      <c r="EV496" s="11"/>
      <c r="EW496" s="11"/>
      <c r="EX496" s="11"/>
      <c r="EY496" s="11"/>
      <c r="EZ496" s="11"/>
      <c r="FA496" s="11"/>
      <c r="FB496" s="11"/>
      <c r="FC496" s="11"/>
      <c r="FD496" s="11"/>
      <c r="FE496" s="11"/>
      <c r="FF496" s="11"/>
      <c r="FG496" s="11"/>
      <c r="FH496" s="11"/>
      <c r="FI496" s="11"/>
      <c r="FJ496" s="11"/>
      <c r="FK496" s="11"/>
      <c r="FL496" s="11"/>
      <c r="FM496" s="11"/>
      <c r="FN496" s="11"/>
      <c r="FO496" s="11"/>
      <c r="FP496" s="11"/>
      <c r="FQ496" s="11"/>
      <c r="FR496" s="11"/>
      <c r="FS496" s="11"/>
      <c r="FT496" s="11"/>
      <c r="FU496" s="11"/>
      <c r="FV496" s="11"/>
      <c r="FW496" s="11"/>
      <c r="FX496" s="11"/>
      <c r="FY496" s="11"/>
      <c r="FZ496" s="11"/>
      <c r="GA496" s="11"/>
      <c r="GB496" s="11"/>
      <c r="GC496" s="11"/>
      <c r="GD496" s="11"/>
      <c r="GE496" s="11"/>
      <c r="GF496" s="11"/>
      <c r="GG496" s="11"/>
      <c r="GH496" s="11"/>
      <c r="GI496" s="11"/>
      <c r="GJ496" s="11"/>
      <c r="GK496" s="11"/>
      <c r="GL496" s="11"/>
      <c r="GM496" s="11"/>
      <c r="GN496" s="11"/>
      <c r="GO496" s="11"/>
      <c r="GP496" s="11"/>
      <c r="GQ496" s="11"/>
      <c r="GR496" s="11"/>
      <c r="GS496" s="11"/>
      <c r="GT496" s="11"/>
      <c r="GU496" s="11"/>
      <c r="GV496" s="11"/>
      <c r="GW496" s="11"/>
      <c r="GX496" s="11"/>
      <c r="GY496" s="11"/>
      <c r="GZ496" s="11"/>
      <c r="HA496" s="11"/>
      <c r="HB496" s="11"/>
      <c r="HC496" s="11"/>
      <c r="HD496" s="11"/>
      <c r="HE496" s="11"/>
      <c r="HF496" s="11"/>
      <c r="HG496" s="11"/>
      <c r="HH496" s="11"/>
      <c r="HI496" s="11"/>
      <c r="HJ496" s="11"/>
      <c r="HK496" s="11"/>
      <c r="HL496" s="11"/>
      <c r="HM496" s="11"/>
      <c r="HN496" s="11"/>
      <c r="HO496" s="11"/>
      <c r="HP496" s="11"/>
      <c r="HQ496" s="11"/>
      <c r="HR496" s="11"/>
      <c r="HS496" s="11"/>
      <c r="HT496" s="11"/>
      <c r="HU496" s="11"/>
      <c r="HV496" s="11"/>
      <c r="HW496" s="11"/>
      <c r="HX496" s="11"/>
      <c r="HY496" s="11"/>
      <c r="HZ496" s="11"/>
      <c r="IA496" s="11"/>
      <c r="IB496" s="11"/>
      <c r="IC496" s="11"/>
      <c r="ID496" s="11"/>
      <c r="IE496" s="11"/>
      <c r="IF496" s="11"/>
      <c r="IG496" s="11"/>
      <c r="IH496" s="11"/>
      <c r="II496" s="11"/>
      <c r="IJ496" s="11"/>
      <c r="IK496" s="11"/>
      <c r="IL496" s="11"/>
      <c r="IM496" s="11"/>
      <c r="IN496" s="11"/>
      <c r="IO496" s="11"/>
      <c r="IP496" s="11"/>
      <c r="IQ496" s="11"/>
      <c r="IR496" s="11"/>
      <c r="IS496" s="11"/>
      <c r="IT496" s="11"/>
      <c r="IU496" s="11"/>
      <c r="IV496" s="11"/>
      <c r="IW496" s="11"/>
      <c r="IX496" s="11"/>
      <c r="IY496" s="11"/>
      <c r="IZ496" s="11"/>
      <c r="JA496" s="11"/>
      <c r="JB496" s="11"/>
      <c r="JC496" s="11"/>
      <c r="JD496" s="11"/>
      <c r="JE496" s="11"/>
      <c r="JF496" s="11"/>
      <c r="JG496" s="11"/>
      <c r="JH496" s="11"/>
      <c r="JI496" s="11"/>
      <c r="JJ496" s="11"/>
      <c r="JK496" s="11"/>
      <c r="JL496" s="11"/>
      <c r="JM496" s="11"/>
      <c r="JN496" s="11"/>
      <c r="JO496" s="11"/>
      <c r="JP496" s="11"/>
      <c r="JQ496" s="11"/>
      <c r="JR496" s="11"/>
      <c r="JS496" s="11"/>
      <c r="JT496" s="11"/>
      <c r="JU496" s="11"/>
      <c r="JV496" s="11"/>
      <c r="JW496" s="11"/>
      <c r="JX496" s="11"/>
      <c r="JY496" s="11"/>
      <c r="JZ496" s="11"/>
      <c r="KA496" s="11"/>
      <c r="KB496" s="11"/>
      <c r="KC496" s="11"/>
      <c r="KD496" s="11"/>
      <c r="KE496" s="11"/>
      <c r="KF496" s="11"/>
      <c r="KG496" s="11"/>
      <c r="KH496" s="11"/>
      <c r="KI496" s="11"/>
      <c r="KJ496" s="11"/>
      <c r="KK496" s="11"/>
      <c r="KL496" s="11"/>
      <c r="KM496" s="11"/>
      <c r="KN496" s="11"/>
      <c r="KO496" s="11"/>
      <c r="KP496" s="11"/>
      <c r="KQ496" s="11"/>
      <c r="KR496" s="11"/>
      <c r="KS496" s="11"/>
      <c r="KT496" s="11"/>
      <c r="KU496" s="11"/>
      <c r="KV496" s="11"/>
      <c r="KW496" s="11"/>
      <c r="KX496" s="11"/>
      <c r="KY496" s="11"/>
      <c r="KZ496" s="11"/>
      <c r="LA496" s="11"/>
      <c r="LB496" s="11"/>
      <c r="LC496" s="11"/>
      <c r="LD496" s="11"/>
      <c r="LE496" s="11"/>
      <c r="LF496" s="11"/>
      <c r="LG496" s="11"/>
      <c r="LH496" s="11"/>
      <c r="LI496" s="11"/>
      <c r="LJ496" s="11"/>
      <c r="LK496" s="11"/>
      <c r="LL496" s="11"/>
      <c r="LM496" s="11"/>
      <c r="LN496" s="11"/>
      <c r="LO496" s="11"/>
      <c r="LP496" s="11"/>
      <c r="LQ496" s="11"/>
      <c r="LR496" s="11"/>
      <c r="LS496" s="11"/>
      <c r="LT496" s="11"/>
      <c r="LU496" s="11"/>
      <c r="LV496" s="11"/>
      <c r="LW496" s="11"/>
      <c r="LX496" s="11"/>
      <c r="LY496" s="11"/>
      <c r="LZ496" s="11"/>
      <c r="MA496" s="11"/>
      <c r="MB496" s="11"/>
      <c r="MC496" s="11"/>
      <c r="MD496" s="11"/>
      <c r="ME496" s="11"/>
      <c r="MF496" s="11"/>
      <c r="MG496" s="11"/>
      <c r="MH496" s="11"/>
      <c r="MI496" s="11"/>
      <c r="MJ496" s="11"/>
      <c r="MK496" s="11"/>
      <c r="ML496" s="11"/>
      <c r="MM496" s="11"/>
      <c r="MN496" s="11"/>
      <c r="MO496" s="11"/>
      <c r="MP496" s="11"/>
      <c r="MQ496" s="11"/>
      <c r="MR496" s="11"/>
      <c r="MS496" s="11"/>
      <c r="MT496" s="11"/>
      <c r="MU496" s="11"/>
      <c r="MV496" s="11"/>
      <c r="MW496" s="11"/>
      <c r="MX496" s="11"/>
      <c r="MY496" s="11"/>
      <c r="MZ496" s="11"/>
      <c r="NA496" s="11"/>
      <c r="NB496" s="11"/>
      <c r="NC496" s="11"/>
      <c r="ND496" s="11"/>
      <c r="NE496" s="11"/>
      <c r="NF496" s="11"/>
      <c r="NG496" s="11"/>
      <c r="NH496" s="11"/>
      <c r="NI496" s="11"/>
      <c r="NJ496" s="11"/>
      <c r="NK496" s="11"/>
      <c r="NL496" s="11"/>
      <c r="NM496" s="11"/>
      <c r="NN496" s="11"/>
      <c r="NO496" s="11"/>
      <c r="NP496" s="11"/>
      <c r="NQ496" s="11"/>
      <c r="NR496" s="11"/>
      <c r="NS496" s="11"/>
      <c r="NT496" s="11"/>
      <c r="NU496" s="11"/>
      <c r="NV496" s="11"/>
      <c r="NW496" s="11"/>
      <c r="NX496" s="11"/>
      <c r="NY496" s="11"/>
      <c r="NZ496" s="11"/>
      <c r="OA496" s="11"/>
      <c r="OB496" s="11"/>
      <c r="OC496" s="11"/>
      <c r="OD496" s="11"/>
      <c r="OE496" s="11"/>
      <c r="OF496" s="11"/>
      <c r="OG496" s="11"/>
      <c r="OH496" s="11"/>
      <c r="OI496" s="11"/>
      <c r="OJ496" s="11"/>
      <c r="OK496" s="11"/>
      <c r="OL496" s="11"/>
      <c r="OM496" s="11"/>
      <c r="ON496" s="11"/>
      <c r="OO496" s="11"/>
      <c r="OP496" s="11"/>
      <c r="OQ496" s="11"/>
      <c r="OR496" s="11"/>
      <c r="OS496" s="11"/>
      <c r="OT496" s="11"/>
      <c r="OU496" s="11"/>
      <c r="OV496" s="11"/>
      <c r="OW496" s="11"/>
      <c r="OX496" s="11"/>
      <c r="OY496" s="11"/>
      <c r="OZ496" s="11"/>
      <c r="PA496" s="11"/>
      <c r="PB496" s="11"/>
      <c r="PC496" s="11"/>
      <c r="PD496" s="11"/>
      <c r="PE496" s="11"/>
      <c r="PF496" s="11"/>
      <c r="PG496" s="11"/>
      <c r="PH496" s="11"/>
      <c r="PI496" s="11"/>
      <c r="PJ496" s="11"/>
      <c r="PK496" s="11"/>
      <c r="PL496" s="11"/>
      <c r="PM496" s="11"/>
      <c r="PN496" s="11"/>
      <c r="PO496" s="11"/>
      <c r="PP496" s="11"/>
      <c r="PQ496" s="11"/>
      <c r="PR496" s="11"/>
      <c r="PS496" s="11"/>
      <c r="PT496" s="11"/>
      <c r="PU496" s="11"/>
      <c r="PV496" s="11"/>
      <c r="PW496" s="11"/>
      <c r="PX496" s="11"/>
      <c r="PY496" s="11"/>
      <c r="PZ496" s="11"/>
      <c r="QA496" s="11"/>
      <c r="QB496" s="11"/>
      <c r="QC496" s="11"/>
      <c r="QD496" s="11"/>
      <c r="QE496" s="11"/>
      <c r="QF496" s="11"/>
      <c r="QG496" s="11"/>
      <c r="QH496" s="11"/>
      <c r="QI496" s="11"/>
      <c r="QJ496" s="11"/>
      <c r="QK496" s="11"/>
      <c r="QL496" s="11"/>
      <c r="QM496" s="11"/>
      <c r="QN496" s="11"/>
      <c r="QO496" s="11"/>
      <c r="QP496" s="11"/>
      <c r="QQ496" s="11"/>
      <c r="QR496" s="11"/>
      <c r="QS496" s="11"/>
      <c r="QT496" s="11"/>
      <c r="QU496" s="11"/>
      <c r="QV496" s="11"/>
      <c r="QW496" s="11"/>
      <c r="QX496" s="11"/>
      <c r="QY496" s="11"/>
      <c r="QZ496" s="11"/>
      <c r="RA496" s="11"/>
      <c r="RB496" s="11"/>
      <c r="RC496" s="11"/>
      <c r="RD496" s="11"/>
      <c r="RE496" s="11"/>
      <c r="RF496" s="11"/>
      <c r="RG496" s="11"/>
      <c r="RH496" s="11"/>
      <c r="RI496" s="11"/>
      <c r="RJ496" s="11"/>
      <c r="RK496" s="11"/>
      <c r="RL496" s="11"/>
      <c r="RM496" s="11"/>
      <c r="RN496" s="11"/>
      <c r="RO496" s="11"/>
      <c r="RP496" s="11"/>
      <c r="RQ496" s="11"/>
      <c r="RR496" s="11"/>
      <c r="RS496" s="11"/>
      <c r="RT496" s="11"/>
      <c r="RU496" s="11"/>
      <c r="RV496" s="11"/>
      <c r="RW496" s="11"/>
      <c r="RX496" s="11"/>
      <c r="RY496" s="11"/>
      <c r="RZ496" s="11"/>
      <c r="SA496" s="11"/>
      <c r="SB496" s="11"/>
      <c r="SC496" s="11"/>
      <c r="SD496" s="11"/>
      <c r="SE496" s="11"/>
      <c r="SF496" s="11"/>
      <c r="SG496" s="11"/>
      <c r="SH496" s="11"/>
      <c r="SI496" s="11"/>
      <c r="SJ496" s="11"/>
      <c r="SK496" s="11"/>
      <c r="SL496" s="11"/>
      <c r="SM496" s="11"/>
      <c r="SN496" s="11"/>
      <c r="SO496" s="11"/>
      <c r="SP496" s="11"/>
      <c r="SQ496" s="11"/>
      <c r="SR496" s="11"/>
      <c r="SS496" s="11"/>
      <c r="ST496" s="11"/>
      <c r="SU496" s="11"/>
      <c r="SV496" s="11"/>
      <c r="SW496" s="11"/>
      <c r="SX496" s="11"/>
      <c r="SY496" s="11"/>
      <c r="SZ496" s="11"/>
      <c r="TA496" s="11"/>
      <c r="TB496" s="11"/>
      <c r="TC496" s="11"/>
      <c r="TD496" s="11"/>
      <c r="TE496" s="11"/>
      <c r="TF496" s="11"/>
      <c r="TG496" s="11"/>
      <c r="TH496" s="11"/>
      <c r="TI496" s="11"/>
      <c r="TJ496" s="11"/>
      <c r="TK496" s="11"/>
      <c r="TL496" s="11"/>
      <c r="TM496" s="11"/>
      <c r="TN496" s="11"/>
      <c r="TO496" s="11"/>
      <c r="TP496" s="11"/>
      <c r="TQ496" s="11"/>
      <c r="TR496" s="11"/>
      <c r="TS496" s="11"/>
      <c r="TT496" s="11"/>
      <c r="TU496" s="11"/>
      <c r="TV496" s="11"/>
      <c r="TW496" s="11"/>
      <c r="TX496" s="11"/>
      <c r="TY496" s="11"/>
      <c r="TZ496" s="11"/>
      <c r="UA496" s="11"/>
      <c r="UB496" s="11"/>
      <c r="UC496" s="11"/>
      <c r="UD496" s="11"/>
      <c r="UE496" s="11"/>
      <c r="UF496" s="11"/>
      <c r="UG496" s="11"/>
      <c r="UH496" s="11"/>
      <c r="UI496" s="11"/>
      <c r="UJ496" s="11"/>
      <c r="UK496" s="11"/>
      <c r="UL496" s="11"/>
      <c r="UM496" s="11"/>
      <c r="UN496" s="11"/>
      <c r="UO496" s="11"/>
      <c r="UP496" s="11"/>
      <c r="UQ496" s="11"/>
      <c r="UR496" s="11"/>
      <c r="US496" s="11"/>
      <c r="UT496" s="11"/>
      <c r="UU496" s="11"/>
      <c r="UV496" s="11"/>
      <c r="UW496" s="11"/>
      <c r="UX496" s="11"/>
      <c r="UY496" s="11"/>
      <c r="UZ496" s="11"/>
      <c r="VA496" s="11"/>
      <c r="VB496" s="11"/>
      <c r="VC496" s="11"/>
      <c r="VD496" s="11"/>
      <c r="VE496" s="11"/>
      <c r="VF496" s="11"/>
      <c r="VG496" s="11"/>
      <c r="VH496" s="11"/>
      <c r="VI496" s="11"/>
      <c r="VJ496" s="11"/>
      <c r="VK496" s="11"/>
      <c r="VL496" s="11"/>
      <c r="VM496" s="11"/>
      <c r="VN496" s="11"/>
      <c r="VO496" s="11"/>
      <c r="VP496" s="11"/>
      <c r="VQ496" s="11"/>
      <c r="VR496" s="11"/>
      <c r="VS496" s="11"/>
      <c r="VT496" s="11"/>
      <c r="VU496" s="11"/>
      <c r="VV496" s="11"/>
      <c r="VW496" s="11"/>
      <c r="VX496" s="11"/>
      <c r="VY496" s="11"/>
      <c r="VZ496" s="11"/>
      <c r="WA496" s="11"/>
      <c r="WB496" s="11"/>
      <c r="WC496" s="11"/>
      <c r="WD496" s="11"/>
      <c r="WE496" s="11"/>
      <c r="WF496" s="11"/>
      <c r="WG496" s="11"/>
      <c r="WH496" s="11"/>
      <c r="WI496" s="11"/>
      <c r="WJ496" s="11"/>
      <c r="WK496" s="11"/>
      <c r="WL496" s="11"/>
      <c r="WM496" s="11"/>
      <c r="WN496" s="11"/>
      <c r="WO496" s="11"/>
      <c r="WP496" s="11"/>
      <c r="WQ496" s="11"/>
      <c r="WR496" s="11"/>
      <c r="WS496" s="11"/>
      <c r="WT496" s="11"/>
      <c r="WU496" s="11"/>
      <c r="WV496" s="11"/>
      <c r="WW496" s="11"/>
      <c r="WX496" s="11"/>
      <c r="WY496" s="11"/>
      <c r="WZ496" s="11"/>
      <c r="XA496" s="11"/>
      <c r="XB496" s="11"/>
      <c r="XC496" s="11"/>
      <c r="XD496" s="11"/>
      <c r="XE496" s="11"/>
      <c r="XF496" s="11"/>
      <c r="XG496" s="11"/>
      <c r="XH496" s="11"/>
      <c r="XI496" s="11"/>
      <c r="XJ496" s="11"/>
      <c r="XK496" s="11"/>
      <c r="XL496" s="11"/>
      <c r="XM496" s="11"/>
      <c r="XN496" s="11"/>
      <c r="XO496" s="11"/>
      <c r="XP496" s="11"/>
      <c r="XQ496" s="11"/>
      <c r="XR496" s="11"/>
      <c r="XS496" s="11"/>
      <c r="XT496" s="11"/>
      <c r="XU496" s="11"/>
      <c r="XV496" s="11"/>
      <c r="XW496" s="11"/>
      <c r="XX496" s="11"/>
      <c r="XY496" s="11"/>
      <c r="XZ496" s="11"/>
      <c r="YA496" s="11"/>
      <c r="YB496" s="11"/>
      <c r="YC496" s="11"/>
      <c r="YD496" s="11"/>
      <c r="YE496" s="11"/>
      <c r="YF496" s="11"/>
      <c r="YG496" s="11"/>
      <c r="YH496" s="11"/>
      <c r="YI496" s="11"/>
      <c r="YJ496" s="11"/>
      <c r="YK496" s="11"/>
      <c r="YL496" s="11"/>
      <c r="YM496" s="11"/>
      <c r="YN496" s="11"/>
      <c r="YO496" s="11"/>
      <c r="YP496" s="11"/>
      <c r="YQ496" s="11"/>
      <c r="YR496" s="11"/>
      <c r="YS496" s="11"/>
      <c r="YT496" s="11"/>
      <c r="YU496" s="11"/>
      <c r="YV496" s="11"/>
      <c r="YW496" s="11"/>
      <c r="YX496" s="11"/>
      <c r="YY496" s="11"/>
      <c r="YZ496" s="11"/>
      <c r="ZA496" s="11"/>
      <c r="ZB496" s="11"/>
      <c r="ZC496" s="11"/>
      <c r="ZD496" s="11"/>
      <c r="ZE496" s="11"/>
      <c r="ZF496" s="11"/>
      <c r="ZG496" s="11"/>
      <c r="ZH496" s="11"/>
      <c r="ZI496" s="11"/>
      <c r="ZJ496" s="11"/>
      <c r="ZK496" s="11"/>
      <c r="ZL496" s="11"/>
      <c r="ZM496" s="11"/>
      <c r="ZN496" s="11"/>
      <c r="ZO496" s="11"/>
      <c r="ZP496" s="11"/>
      <c r="ZQ496" s="11"/>
      <c r="ZR496" s="11"/>
      <c r="ZS496" s="11"/>
      <c r="ZT496" s="11"/>
      <c r="ZU496" s="11"/>
      <c r="ZV496" s="11"/>
      <c r="ZW496" s="11"/>
      <c r="ZX496" s="11"/>
      <c r="ZY496" s="11"/>
      <c r="ZZ496" s="11"/>
      <c r="AAA496" s="11"/>
      <c r="AAB496" s="11"/>
      <c r="AAC496" s="11"/>
      <c r="AAD496" s="11"/>
      <c r="AAE496" s="11"/>
      <c r="AAF496" s="11"/>
      <c r="AAG496" s="11"/>
      <c r="AAH496" s="11"/>
      <c r="AAI496" s="11"/>
      <c r="AAJ496" s="11"/>
      <c r="AAK496" s="11"/>
      <c r="AAL496" s="11"/>
      <c r="AAM496" s="11"/>
      <c r="AAN496" s="11"/>
      <c r="AAO496" s="11"/>
      <c r="AAP496" s="11"/>
      <c r="AAQ496" s="11"/>
      <c r="AAR496" s="11"/>
      <c r="AAS496" s="11"/>
      <c r="AAT496" s="11"/>
      <c r="AAU496" s="11"/>
      <c r="AAV496" s="11"/>
      <c r="AAW496" s="11"/>
      <c r="AAX496" s="11"/>
      <c r="AAY496" s="11"/>
      <c r="AAZ496" s="11"/>
      <c r="ABA496" s="11"/>
      <c r="ABB496" s="11"/>
      <c r="ABC496" s="11"/>
      <c r="ABD496" s="11"/>
      <c r="ABE496" s="11"/>
      <c r="ABF496" s="11"/>
      <c r="ABG496" s="11"/>
      <c r="ABH496" s="11"/>
      <c r="ABI496" s="11"/>
      <c r="ABJ496" s="11"/>
      <c r="ABK496" s="11"/>
      <c r="ABL496" s="11"/>
      <c r="ABM496" s="11"/>
      <c r="ABN496" s="11"/>
      <c r="ABO496" s="11"/>
      <c r="ABP496" s="11"/>
      <c r="ABQ496" s="11"/>
      <c r="ABR496" s="11"/>
      <c r="ABS496" s="11"/>
      <c r="ABT496" s="11"/>
      <c r="ABU496" s="11"/>
      <c r="ABV496" s="11"/>
      <c r="ABW496" s="11"/>
      <c r="ABX496" s="11"/>
      <c r="ABY496" s="11"/>
      <c r="ABZ496" s="11"/>
      <c r="ACA496" s="11"/>
      <c r="ACB496" s="11"/>
      <c r="ACC496" s="11"/>
      <c r="ACD496" s="11"/>
      <c r="ACE496" s="11"/>
      <c r="ACF496" s="11"/>
      <c r="ACG496" s="11"/>
      <c r="ACH496" s="11"/>
      <c r="ACI496" s="11"/>
      <c r="ACJ496" s="11"/>
      <c r="ACK496" s="11"/>
      <c r="ACL496" s="11"/>
      <c r="ACM496" s="11"/>
      <c r="ACN496" s="11"/>
      <c r="ACO496" s="11"/>
      <c r="ACP496" s="11"/>
      <c r="ACQ496" s="11"/>
      <c r="ACR496" s="11"/>
      <c r="ACS496" s="11"/>
      <c r="ACT496" s="11"/>
      <c r="ACU496" s="11"/>
      <c r="ACV496" s="11"/>
      <c r="ACW496" s="11"/>
      <c r="ACX496" s="11"/>
      <c r="ACY496" s="11"/>
      <c r="ACZ496" s="11"/>
      <c r="ADA496" s="11"/>
      <c r="ADB496" s="11"/>
      <c r="ADC496" s="11"/>
      <c r="ADD496" s="11"/>
      <c r="ADE496" s="11"/>
      <c r="ADF496" s="11"/>
      <c r="ADG496" s="11"/>
      <c r="ADH496" s="11"/>
      <c r="ADI496" s="11"/>
      <c r="ADJ496" s="11"/>
      <c r="ADK496" s="11"/>
      <c r="ADL496" s="11"/>
      <c r="ADM496" s="11"/>
      <c r="ADN496" s="11"/>
      <c r="ADO496" s="11"/>
      <c r="ADP496" s="11"/>
      <c r="ADQ496" s="11"/>
      <c r="ADR496" s="11"/>
      <c r="ADS496" s="11"/>
      <c r="ADT496" s="11"/>
      <c r="ADU496" s="11"/>
      <c r="ADV496" s="11"/>
      <c r="ADW496" s="11"/>
      <c r="ADX496" s="11"/>
      <c r="ADY496" s="11"/>
      <c r="ADZ496" s="11"/>
      <c r="AEA496" s="11"/>
      <c r="AEB496" s="11"/>
      <c r="AEC496" s="11"/>
      <c r="AED496" s="11"/>
      <c r="AEE496" s="11"/>
      <c r="AEF496" s="11"/>
      <c r="AEG496" s="11"/>
      <c r="AEH496" s="11"/>
      <c r="AEI496" s="11"/>
      <c r="AEJ496" s="11"/>
      <c r="AEK496" s="11"/>
      <c r="AEL496" s="11"/>
      <c r="AEM496" s="11"/>
      <c r="AEN496" s="11"/>
      <c r="AEO496" s="11"/>
      <c r="AEP496" s="11"/>
      <c r="AEQ496" s="11"/>
      <c r="AER496" s="11"/>
      <c r="AES496" s="11"/>
      <c r="AET496" s="11"/>
      <c r="AEU496" s="11"/>
      <c r="AEV496" s="11"/>
      <c r="AEW496" s="11"/>
      <c r="AEX496" s="11"/>
      <c r="AEY496" s="11"/>
      <c r="AEZ496" s="11"/>
      <c r="AFA496" s="11"/>
      <c r="AFB496" s="11"/>
      <c r="AFC496" s="11"/>
      <c r="AFD496" s="11"/>
      <c r="AFE496" s="11"/>
      <c r="AFF496" s="11"/>
      <c r="AFG496" s="11"/>
      <c r="AFH496" s="11"/>
      <c r="AFI496" s="11"/>
      <c r="AFJ496" s="11"/>
      <c r="AFK496" s="11"/>
      <c r="AFL496" s="11"/>
      <c r="AFM496" s="11"/>
      <c r="AFN496" s="11"/>
      <c r="AFO496" s="11"/>
      <c r="AFP496" s="11"/>
      <c r="AFQ496" s="11"/>
      <c r="AFR496" s="11"/>
      <c r="AFS496" s="11"/>
      <c r="AFT496" s="11"/>
      <c r="AFU496" s="11"/>
      <c r="AFV496" s="11"/>
      <c r="AFW496" s="11"/>
      <c r="AFX496" s="11"/>
      <c r="AFY496" s="11"/>
      <c r="AFZ496" s="11"/>
      <c r="AGA496" s="11"/>
      <c r="AGB496" s="11"/>
      <c r="AGC496" s="11"/>
      <c r="AGD496" s="11"/>
      <c r="AGE496" s="11"/>
      <c r="AGF496" s="11"/>
      <c r="AGG496" s="11"/>
      <c r="AGH496" s="11"/>
      <c r="AGI496" s="11"/>
      <c r="AGJ496" s="11"/>
      <c r="AGK496" s="11"/>
      <c r="AGL496" s="11"/>
      <c r="AGM496" s="11"/>
      <c r="AGN496" s="11"/>
      <c r="AGO496" s="11"/>
      <c r="AGP496" s="11"/>
      <c r="AGQ496" s="11"/>
      <c r="AGR496" s="11"/>
      <c r="AGS496" s="11"/>
      <c r="AGT496" s="11"/>
      <c r="AGU496" s="11"/>
      <c r="AGV496" s="11"/>
      <c r="AGW496" s="11"/>
      <c r="AGX496" s="11"/>
      <c r="AGY496" s="11"/>
      <c r="AGZ496" s="11"/>
      <c r="AHA496" s="11"/>
      <c r="AHB496" s="11"/>
      <c r="AHC496" s="11"/>
      <c r="AHD496" s="11"/>
      <c r="AHE496" s="11"/>
      <c r="AHF496" s="11"/>
      <c r="AHG496" s="11"/>
      <c r="AHH496" s="11"/>
      <c r="AHI496" s="11"/>
      <c r="AHJ496" s="11"/>
      <c r="AHK496" s="11"/>
      <c r="AHL496" s="11"/>
      <c r="AHM496" s="11"/>
      <c r="AHN496" s="11"/>
      <c r="AHO496" s="11"/>
      <c r="AHP496" s="11"/>
      <c r="AHQ496" s="11"/>
      <c r="AHR496" s="11"/>
      <c r="AHS496" s="11"/>
      <c r="AHT496" s="11"/>
      <c r="AHU496" s="11"/>
      <c r="AHV496" s="11"/>
      <c r="AHW496" s="11"/>
      <c r="AHX496" s="11"/>
      <c r="AHY496" s="11"/>
      <c r="AHZ496" s="11"/>
      <c r="AIA496" s="11"/>
      <c r="AIB496" s="11"/>
      <c r="AIC496" s="11"/>
      <c r="AID496" s="11"/>
      <c r="AIE496" s="11"/>
      <c r="AIF496" s="11"/>
      <c r="AIG496" s="11"/>
      <c r="AIH496" s="11"/>
      <c r="AII496" s="11"/>
      <c r="AIJ496" s="11"/>
      <c r="AIK496" s="11"/>
      <c r="AIL496" s="11"/>
      <c r="AIM496" s="11"/>
      <c r="AIN496" s="11"/>
      <c r="AIO496" s="11"/>
      <c r="AIP496" s="11"/>
      <c r="AIQ496" s="11"/>
      <c r="AIR496" s="11"/>
      <c r="AIS496" s="11"/>
      <c r="AIT496" s="11"/>
      <c r="AIU496" s="11"/>
      <c r="AIV496" s="11"/>
      <c r="AIW496" s="11"/>
      <c r="AIX496" s="11"/>
      <c r="AIY496" s="11"/>
      <c r="AIZ496" s="11"/>
      <c r="AJA496" s="11"/>
      <c r="AJB496" s="11"/>
      <c r="AJC496" s="11"/>
      <c r="AJD496" s="11"/>
      <c r="AJE496" s="11"/>
      <c r="AJF496" s="11"/>
      <c r="AJG496" s="11"/>
      <c r="AJH496" s="11"/>
      <c r="AJI496" s="11"/>
      <c r="AJJ496" s="11"/>
      <c r="AJK496" s="11"/>
      <c r="AJL496" s="11"/>
      <c r="AJM496" s="11"/>
      <c r="AJN496" s="11"/>
      <c r="AJO496" s="11"/>
      <c r="AJP496" s="11"/>
      <c r="AJQ496" s="11"/>
      <c r="AJR496" s="11"/>
      <c r="AJS496" s="11"/>
      <c r="AJT496" s="11"/>
      <c r="AJU496" s="11"/>
      <c r="AJV496" s="11"/>
      <c r="AJW496" s="11"/>
      <c r="AJX496" s="11"/>
      <c r="AJY496" s="11"/>
      <c r="AJZ496" s="11"/>
      <c r="AKA496" s="11"/>
      <c r="AKB496" s="11"/>
      <c r="AKC496" s="11"/>
      <c r="AKD496" s="11"/>
      <c r="AKE496" s="11"/>
      <c r="AKF496" s="11"/>
      <c r="AKG496" s="11"/>
      <c r="AKH496" s="11"/>
      <c r="AKI496" s="11"/>
      <c r="AKJ496" s="11"/>
      <c r="AKK496" s="11"/>
      <c r="AKL496" s="11"/>
      <c r="AKM496" s="11"/>
      <c r="AKN496" s="11"/>
      <c r="AKO496" s="11"/>
      <c r="AKP496" s="11"/>
      <c r="AKQ496" s="11"/>
      <c r="AKR496" s="11"/>
      <c r="AKS496" s="11"/>
      <c r="AKT496" s="11"/>
      <c r="AKU496" s="11"/>
      <c r="AKV496" s="11"/>
      <c r="AKW496" s="11"/>
      <c r="AKX496" s="11"/>
      <c r="AKY496" s="11"/>
      <c r="AKZ496" s="11"/>
      <c r="ALA496" s="11"/>
      <c r="ALB496" s="11"/>
      <c r="ALC496" s="11"/>
      <c r="ALD496" s="11"/>
      <c r="ALE496" s="11"/>
      <c r="ALF496" s="11"/>
      <c r="ALG496" s="11"/>
      <c r="ALH496" s="11"/>
      <c r="ALI496" s="11"/>
      <c r="ALJ496" s="11"/>
      <c r="ALK496" s="11"/>
      <c r="ALL496" s="11"/>
      <c r="ALM496" s="11"/>
      <c r="ALN496" s="11"/>
      <c r="ALO496" s="11"/>
      <c r="ALP496" s="11"/>
      <c r="ALQ496" s="11"/>
      <c r="ALR496" s="11"/>
      <c r="ALS496" s="11"/>
      <c r="ALT496" s="11"/>
      <c r="ALU496" s="11"/>
      <c r="ALV496" s="11"/>
      <c r="ALW496" s="11"/>
      <c r="ALX496" s="11"/>
      <c r="ALY496" s="11"/>
      <c r="ALZ496" s="11"/>
      <c r="AMA496" s="11"/>
      <c r="AMB496" s="11"/>
      <c r="AMC496" s="11"/>
      <c r="AMD496" s="11"/>
      <c r="AME496" s="11"/>
      <c r="AMF496" s="11"/>
      <c r="AMG496" s="11"/>
      <c r="AMH496" s="11"/>
      <c r="AMI496" s="11"/>
      <c r="AMJ496" s="11"/>
    </row>
    <row r="497" spans="1:15" ht="27.6">
      <c r="A497" s="8" t="s">
        <v>480</v>
      </c>
      <c r="B497" s="8">
        <v>844737</v>
      </c>
      <c r="D497" s="24">
        <v>45531</v>
      </c>
      <c r="E497" s="1">
        <v>6.6666666666666696</v>
      </c>
      <c r="F497" s="8">
        <v>6</v>
      </c>
      <c r="G497" s="30">
        <f t="shared" si="24"/>
        <v>12.66666666666667</v>
      </c>
      <c r="H497" s="8">
        <f t="shared" si="26"/>
        <v>-6.6666666666666696</v>
      </c>
      <c r="I497">
        <f t="shared" si="25"/>
        <v>0</v>
      </c>
      <c r="J497">
        <f>SUMIF(Oeffentlichkeitsarbeit!$D:$D,$B497,Oeffentlichkeitsarbeit!$F:$F)</f>
        <v>0</v>
      </c>
      <c r="K497">
        <f>COUNTIF(Fairteiler!$D:$D,$B497)*1/2</f>
        <v>0</v>
      </c>
      <c r="L497">
        <f>COUNTIF('NP-Betrieb'!D:D,$B497)*1/3</f>
        <v>0</v>
      </c>
      <c r="M497">
        <f>COUNTIF(Fairteilungen!$D:$D,$B497)*3/4</f>
        <v>0</v>
      </c>
      <c r="N497">
        <f>COUNTIF(Anlieferung!D:D,$B497)*1/2</f>
        <v>0</v>
      </c>
      <c r="O497">
        <f>COUNTIF(Probeabholungen!B:B,$B497)*1/3</f>
        <v>0</v>
      </c>
    </row>
    <row r="498" spans="1:15" ht="27.6">
      <c r="A498" s="8" t="s">
        <v>481</v>
      </c>
      <c r="B498" s="8">
        <v>622021</v>
      </c>
      <c r="D498" s="24">
        <v>45631</v>
      </c>
      <c r="E498" s="1">
        <v>6</v>
      </c>
      <c r="F498" s="8">
        <v>6</v>
      </c>
      <c r="G498" s="30">
        <f t="shared" si="24"/>
        <v>12</v>
      </c>
      <c r="H498" s="8">
        <f t="shared" si="26"/>
        <v>-6</v>
      </c>
      <c r="I498">
        <f t="shared" si="25"/>
        <v>0</v>
      </c>
      <c r="J498">
        <f>SUMIF(Oeffentlichkeitsarbeit!$D:$D,$B498,Oeffentlichkeitsarbeit!$F:$F)</f>
        <v>0</v>
      </c>
      <c r="K498">
        <f>COUNTIF(Fairteiler!$D:$D,$B498)*1/2</f>
        <v>0</v>
      </c>
      <c r="L498">
        <f>COUNTIF('NP-Betrieb'!D:D,$B498)*1/3</f>
        <v>0</v>
      </c>
      <c r="M498">
        <f>COUNTIF(Fairteilungen!$D:$D,$B498)*3/4</f>
        <v>0</v>
      </c>
      <c r="N498">
        <f>COUNTIF(Anlieferung!D:D,$B498)*1/2</f>
        <v>0</v>
      </c>
      <c r="O498">
        <f>COUNTIF(Probeabholungen!B:B,$B498)*1/3</f>
        <v>0</v>
      </c>
    </row>
    <row r="499" spans="1:15" ht="27.6">
      <c r="A499" s="8" t="s">
        <v>482</v>
      </c>
      <c r="B499" s="8">
        <v>620294</v>
      </c>
      <c r="D499" s="29"/>
      <c r="E499" s="1">
        <v>1.1666666666666701</v>
      </c>
      <c r="F499" s="8">
        <v>6</v>
      </c>
      <c r="G499" s="30">
        <f t="shared" si="24"/>
        <v>2.333333333333337</v>
      </c>
      <c r="H499" s="8">
        <f t="shared" si="26"/>
        <v>3.666666666666663</v>
      </c>
      <c r="I499">
        <f t="shared" si="25"/>
        <v>4.833333333333333</v>
      </c>
      <c r="J499">
        <f>SUMIF(Oeffentlichkeitsarbeit!$D:$D,$B499,Oeffentlichkeitsarbeit!$F:$F)</f>
        <v>0</v>
      </c>
      <c r="K499">
        <f>COUNTIF(Fairteiler!$D:$D,$B499)*1/2</f>
        <v>3.5</v>
      </c>
      <c r="L499">
        <f>COUNTIF('NP-Betrieb'!D:D,$B499)*1/3</f>
        <v>1.3333333333333333</v>
      </c>
      <c r="M499">
        <f>COUNTIF(Fairteilungen!$D:$D,$B499)*3/4</f>
        <v>0</v>
      </c>
      <c r="N499">
        <f>COUNTIF(Anlieferung!D:D,$B499)*1/2</f>
        <v>0</v>
      </c>
      <c r="O499">
        <f>COUNTIF(Probeabholungen!B:B,$B499)*1/3</f>
        <v>0</v>
      </c>
    </row>
    <row r="500" spans="1:15">
      <c r="A500" t="s">
        <v>483</v>
      </c>
      <c r="B500">
        <v>366237</v>
      </c>
      <c r="D500" s="29">
        <v>45481</v>
      </c>
      <c r="E500" s="1">
        <v>6</v>
      </c>
      <c r="F500" s="8">
        <v>6</v>
      </c>
      <c r="G500" s="30">
        <f t="shared" si="24"/>
        <v>12</v>
      </c>
      <c r="H500" s="8">
        <f t="shared" si="26"/>
        <v>-6</v>
      </c>
      <c r="I500">
        <f t="shared" si="25"/>
        <v>0</v>
      </c>
      <c r="J500">
        <f>SUMIF(Oeffentlichkeitsarbeit!$D:$D,$B500,Oeffentlichkeitsarbeit!$F:$F)</f>
        <v>0</v>
      </c>
      <c r="K500">
        <f>COUNTIF(Fairteiler!$D:$D,$B500)*1/2</f>
        <v>0</v>
      </c>
      <c r="L500">
        <f>COUNTIF('NP-Betrieb'!D:D,$B500)*1/3</f>
        <v>0</v>
      </c>
      <c r="M500">
        <f>COUNTIF(Fairteilungen!$D:$D,$B500)*3/4</f>
        <v>0</v>
      </c>
      <c r="N500">
        <f>COUNTIF(Anlieferung!D:D,$B500)*1/2</f>
        <v>0</v>
      </c>
      <c r="O500">
        <f>COUNTIF(Probeabholungen!B:B,$B500)*1/3</f>
        <v>0</v>
      </c>
    </row>
    <row r="501" spans="1:15" ht="27.6">
      <c r="A501" s="8" t="s">
        <v>484</v>
      </c>
      <c r="B501" s="8">
        <v>934158</v>
      </c>
      <c r="C501" s="11"/>
      <c r="D501" s="24">
        <v>45845</v>
      </c>
      <c r="E501" s="1">
        <v>0</v>
      </c>
      <c r="F501" s="11">
        <v>6</v>
      </c>
      <c r="G501" s="30">
        <f t="shared" si="24"/>
        <v>3.6666666666666665</v>
      </c>
      <c r="H501" s="8">
        <f t="shared" si="26"/>
        <v>2.3333333333333335</v>
      </c>
      <c r="I501" s="11">
        <f t="shared" si="25"/>
        <v>2.3333333333333335</v>
      </c>
      <c r="J501" s="11">
        <f>SUMIF(Oeffentlichkeitsarbeit!$D:$D,$B501,Oeffentlichkeitsarbeit!$F:$F)</f>
        <v>0</v>
      </c>
      <c r="K501" s="11">
        <f>COUNTIF(Fairteiler!$D:$D,$B501)*1/2</f>
        <v>0</v>
      </c>
      <c r="L501" s="11">
        <f>COUNTIF('NP-Betrieb'!D:D,$B501)*1/3</f>
        <v>2.3333333333333335</v>
      </c>
      <c r="M501" s="11">
        <f>COUNTIF(Fairteilungen!$D:$D,$B501)*3/4</f>
        <v>0</v>
      </c>
      <c r="N501" s="11">
        <f>COUNTIF(Anlieferung!D:D,$B501)*1/2</f>
        <v>0</v>
      </c>
      <c r="O501" s="11">
        <f>COUNTIF(Probeabholungen!B:B,$B501)*1/3</f>
        <v>0</v>
      </c>
    </row>
    <row r="502" spans="1:15">
      <c r="A502" t="s">
        <v>485</v>
      </c>
      <c r="B502">
        <v>789902</v>
      </c>
      <c r="D502" s="24">
        <v>45720</v>
      </c>
      <c r="E502" s="1">
        <v>0</v>
      </c>
      <c r="F502">
        <v>6</v>
      </c>
      <c r="G502" s="30">
        <f t="shared" si="24"/>
        <v>1.5</v>
      </c>
      <c r="H502" s="8">
        <f t="shared" si="26"/>
        <v>4.5</v>
      </c>
      <c r="I502">
        <f t="shared" si="25"/>
        <v>4.5</v>
      </c>
      <c r="J502">
        <f>SUMIF(Oeffentlichkeitsarbeit!$D:$D,$B502,Oeffentlichkeitsarbeit!$F:$F)</f>
        <v>0</v>
      </c>
      <c r="K502">
        <f>COUNTIF(Fairteiler!$D:$D,$B502)*1/2</f>
        <v>0</v>
      </c>
      <c r="L502">
        <f>COUNTIF('NP-Betrieb'!D:D,$B502)*1/3</f>
        <v>4</v>
      </c>
      <c r="M502">
        <f>COUNTIF(Fairteilungen!$D:$D,$B502)*3/4</f>
        <v>0</v>
      </c>
      <c r="N502">
        <f>COUNTIF(Anlieferung!D:D,$B502)*1/2</f>
        <v>0.5</v>
      </c>
      <c r="O502">
        <f>COUNTIF(Probeabholungen!B:B,$B502)*1/3</f>
        <v>0</v>
      </c>
    </row>
    <row r="503" spans="1:15" ht="27.6">
      <c r="A503" s="8" t="s">
        <v>486</v>
      </c>
      <c r="B503" s="8">
        <v>467700</v>
      </c>
      <c r="D503" s="29"/>
      <c r="E503" s="1">
        <v>7.17</v>
      </c>
      <c r="F503" s="8">
        <v>6</v>
      </c>
      <c r="G503" s="30">
        <f t="shared" si="24"/>
        <v>13.17</v>
      </c>
      <c r="H503" s="8">
        <f t="shared" si="26"/>
        <v>-7.17</v>
      </c>
      <c r="I503">
        <f t="shared" si="25"/>
        <v>0</v>
      </c>
      <c r="J503">
        <f>SUMIF(Oeffentlichkeitsarbeit!$D:$D,$B503,Oeffentlichkeitsarbeit!$F:$F)</f>
        <v>0</v>
      </c>
      <c r="K503">
        <f>COUNTIF(Fairteiler!$D:$D,$B503)*1/2</f>
        <v>0</v>
      </c>
      <c r="L503">
        <f>COUNTIF('NP-Betrieb'!D:D,$B503)*1/3</f>
        <v>0</v>
      </c>
      <c r="M503">
        <f>COUNTIF(Fairteilungen!$D:$D,$B503)*3/4</f>
        <v>0</v>
      </c>
      <c r="N503">
        <f>COUNTIF(Anlieferung!D:D,$B503)*1/2</f>
        <v>0</v>
      </c>
      <c r="O503">
        <f>COUNTIF(Probeabholungen!B:B,$B503)*1/3</f>
        <v>0</v>
      </c>
    </row>
    <row r="504" spans="1:15" ht="55.2">
      <c r="A504" s="8" t="s">
        <v>487</v>
      </c>
      <c r="B504" s="8">
        <v>739516</v>
      </c>
      <c r="D504" s="29">
        <v>45077</v>
      </c>
      <c r="E504" s="1">
        <v>0</v>
      </c>
      <c r="F504" s="8">
        <v>6</v>
      </c>
      <c r="G504" s="30">
        <f t="shared" si="24"/>
        <v>5.333333333333333</v>
      </c>
      <c r="H504" s="8">
        <f t="shared" si="26"/>
        <v>0.66666666666666663</v>
      </c>
      <c r="I504">
        <f t="shared" si="25"/>
        <v>0.66666666666666663</v>
      </c>
      <c r="J504">
        <f>SUMIF(Oeffentlichkeitsarbeit!$D:$D,$B504,Oeffentlichkeitsarbeit!$F:$F)</f>
        <v>0</v>
      </c>
      <c r="K504">
        <f>COUNTIF(Fairteiler!$D:$D,$B504)*1/2</f>
        <v>0</v>
      </c>
      <c r="L504">
        <f>COUNTIF('NP-Betrieb'!D:D,$B504)*1/3</f>
        <v>0.66666666666666663</v>
      </c>
      <c r="M504">
        <f>COUNTIF(Fairteilungen!$D:$D,$B504)*3/4</f>
        <v>0</v>
      </c>
      <c r="N504">
        <f>COUNTIF(Anlieferung!D:D,$B504)*1/2</f>
        <v>0</v>
      </c>
      <c r="O504">
        <f>COUNTIF(Probeabholungen!B:B,$B504)*1/3</f>
        <v>0</v>
      </c>
    </row>
    <row r="505" spans="1:15" ht="27.6">
      <c r="A505" s="8" t="s">
        <v>488</v>
      </c>
      <c r="B505" s="8">
        <v>139259</v>
      </c>
      <c r="D505" s="24">
        <v>45940</v>
      </c>
      <c r="E505" s="1">
        <v>0</v>
      </c>
      <c r="F505">
        <v>6</v>
      </c>
      <c r="G505" s="30">
        <f t="shared" si="24"/>
        <v>4.666666666666667</v>
      </c>
      <c r="H505" s="8">
        <f t="shared" si="26"/>
        <v>1.3333333333333333</v>
      </c>
      <c r="I505">
        <f t="shared" si="25"/>
        <v>1.3333333333333333</v>
      </c>
      <c r="J505">
        <f>SUMIF(Oeffentlichkeitsarbeit!$D:$D,$B505,Oeffentlichkeitsarbeit!$F:$F)</f>
        <v>0</v>
      </c>
      <c r="K505">
        <f>COUNTIF(Fairteiler!$D:$D,$B505)*1/2</f>
        <v>0</v>
      </c>
      <c r="L505">
        <f>COUNTIF('NP-Betrieb'!D:D,$B505)*1/3</f>
        <v>1.3333333333333333</v>
      </c>
      <c r="M505">
        <f>COUNTIF(Fairteilungen!$D:$D,$B505)*3/4</f>
        <v>0</v>
      </c>
      <c r="N505">
        <f>COUNTIF(Anlieferung!D:D,$B505)*1/2</f>
        <v>0</v>
      </c>
      <c r="O505">
        <f>COUNTIF(Probeabholungen!B:B,$B505)*1/3</f>
        <v>0</v>
      </c>
    </row>
    <row r="506" spans="1:15" ht="27.6">
      <c r="A506" s="8" t="s">
        <v>489</v>
      </c>
      <c r="B506" s="8">
        <v>708613</v>
      </c>
      <c r="D506" s="29">
        <v>45308</v>
      </c>
      <c r="E506" s="1">
        <v>0</v>
      </c>
      <c r="F506" s="8">
        <v>6</v>
      </c>
      <c r="G506" s="30">
        <f t="shared" si="24"/>
        <v>3.8333333333333335</v>
      </c>
      <c r="H506" s="8">
        <f t="shared" si="26"/>
        <v>2.1666666666666665</v>
      </c>
      <c r="I506">
        <f t="shared" si="25"/>
        <v>2.1666666666666665</v>
      </c>
      <c r="J506">
        <f>SUMIF(Oeffentlichkeitsarbeit!$D:$D,$B506,Oeffentlichkeitsarbeit!$F:$F)</f>
        <v>0</v>
      </c>
      <c r="K506">
        <f>COUNTIF(Fairteiler!$D:$D,$B506)*1/2</f>
        <v>1.5</v>
      </c>
      <c r="L506">
        <f>COUNTIF('NP-Betrieb'!D:D,$B506)*1/3</f>
        <v>0.66666666666666663</v>
      </c>
      <c r="M506">
        <f>COUNTIF(Fairteilungen!$D:$D,$B506)*3/4</f>
        <v>0</v>
      </c>
      <c r="N506">
        <f>COUNTIF(Anlieferung!D:D,$B506)*1/2</f>
        <v>0</v>
      </c>
      <c r="O506">
        <f>COUNTIF(Probeabholungen!B:B,$B506)*1/3</f>
        <v>0</v>
      </c>
    </row>
    <row r="507" spans="1:15">
      <c r="A507" t="s">
        <v>490</v>
      </c>
      <c r="B507">
        <v>538904</v>
      </c>
      <c r="D507" s="24">
        <v>45398</v>
      </c>
      <c r="E507" s="1">
        <v>5.3333333333333304</v>
      </c>
      <c r="F507">
        <v>6</v>
      </c>
      <c r="G507" s="30">
        <f t="shared" si="24"/>
        <v>8.9999999999999964</v>
      </c>
      <c r="H507" s="8">
        <f t="shared" si="26"/>
        <v>-2.9999999999999969</v>
      </c>
      <c r="I507">
        <f t="shared" si="25"/>
        <v>2.3333333333333335</v>
      </c>
      <c r="J507">
        <f>SUMIF(Oeffentlichkeitsarbeit!$D:$D,$B507,Oeffentlichkeitsarbeit!$F:$F)</f>
        <v>0</v>
      </c>
      <c r="K507">
        <f>COUNTIF(Fairteiler!$D:$D,$B507)*1/2</f>
        <v>0</v>
      </c>
      <c r="L507">
        <f>COUNTIF('NP-Betrieb'!D:D,$B507)*1/3</f>
        <v>2.3333333333333335</v>
      </c>
      <c r="M507">
        <f>COUNTIF(Fairteilungen!$D:$D,$B507)*3/4</f>
        <v>0</v>
      </c>
      <c r="N507">
        <f>COUNTIF(Anlieferung!D:D,$B507)*1/2</f>
        <v>0</v>
      </c>
      <c r="O507">
        <f>COUNTIF(Probeabholungen!B:B,$B507)*1/3</f>
        <v>0</v>
      </c>
    </row>
    <row r="508" spans="1:15" ht="27.6">
      <c r="A508" s="8" t="s">
        <v>491</v>
      </c>
      <c r="B508" s="8">
        <v>565875</v>
      </c>
      <c r="D508" s="29"/>
      <c r="E508" s="1">
        <v>0</v>
      </c>
      <c r="F508" s="8">
        <v>6</v>
      </c>
      <c r="G508" s="30">
        <f t="shared" si="24"/>
        <v>6</v>
      </c>
      <c r="H508" s="8">
        <f t="shared" si="26"/>
        <v>0</v>
      </c>
      <c r="I508">
        <f t="shared" si="25"/>
        <v>0</v>
      </c>
      <c r="J508">
        <f>SUMIF(Oeffentlichkeitsarbeit!$D:$D,$B508,Oeffentlichkeitsarbeit!$F:$F)</f>
        <v>0</v>
      </c>
      <c r="K508">
        <f>COUNTIF(Fairteiler!$D:$D,$B508)*1/2</f>
        <v>0</v>
      </c>
      <c r="L508">
        <f>COUNTIF('NP-Betrieb'!D:D,$B508)*1/3</f>
        <v>0</v>
      </c>
      <c r="M508">
        <f>COUNTIF(Fairteilungen!$D:$D,$B508)*3/4</f>
        <v>0</v>
      </c>
      <c r="N508">
        <f>COUNTIF(Anlieferung!D:D,$B508)*1/2</f>
        <v>0</v>
      </c>
      <c r="O508">
        <f>COUNTIF(Probeabholungen!B:B,$B508)*1/3</f>
        <v>0</v>
      </c>
    </row>
    <row r="509" spans="1:15" ht="27.6">
      <c r="A509" s="8" t="s">
        <v>492</v>
      </c>
      <c r="B509" s="8">
        <v>700972</v>
      </c>
      <c r="D509" s="29"/>
      <c r="E509" s="1">
        <v>0</v>
      </c>
      <c r="F509" s="8">
        <v>6</v>
      </c>
      <c r="G509" s="30">
        <f t="shared" si="24"/>
        <v>0</v>
      </c>
      <c r="H509" s="8">
        <f t="shared" si="26"/>
        <v>6</v>
      </c>
      <c r="I509">
        <f t="shared" si="25"/>
        <v>6</v>
      </c>
      <c r="J509">
        <f>SUMIF(Oeffentlichkeitsarbeit!$D:$D,$B509,Oeffentlichkeitsarbeit!$F:$F)</f>
        <v>0</v>
      </c>
      <c r="K509">
        <f>COUNTIF(Fairteiler!$D:$D,$B509)*1/2</f>
        <v>6</v>
      </c>
      <c r="L509">
        <f>COUNTIF('NP-Betrieb'!D:D,$B509)*1/3</f>
        <v>0</v>
      </c>
      <c r="M509">
        <f>COUNTIF(Fairteilungen!$D:$D,$B509)*3/4</f>
        <v>0</v>
      </c>
      <c r="N509">
        <f>COUNTIF(Anlieferung!D:D,$B509)*1/2</f>
        <v>0</v>
      </c>
      <c r="O509">
        <f>COUNTIF(Probeabholungen!B:B,$B509)*1/3</f>
        <v>0</v>
      </c>
    </row>
    <row r="510" spans="1:15" ht="27.6">
      <c r="A510" s="8" t="s">
        <v>493</v>
      </c>
      <c r="B510" s="8">
        <v>476617</v>
      </c>
      <c r="D510" s="29"/>
      <c r="E510" s="1">
        <v>0</v>
      </c>
      <c r="F510" s="8">
        <v>6</v>
      </c>
      <c r="G510" s="30">
        <f t="shared" si="24"/>
        <v>2.3333333333333335</v>
      </c>
      <c r="H510" s="8">
        <f t="shared" si="26"/>
        <v>3.6666666666666665</v>
      </c>
      <c r="I510">
        <f t="shared" si="25"/>
        <v>3.6666666666666665</v>
      </c>
      <c r="J510">
        <f>SUMIF(Oeffentlichkeitsarbeit!$D:$D,$B510,Oeffentlichkeitsarbeit!$F:$F)</f>
        <v>0</v>
      </c>
      <c r="K510">
        <f>COUNTIF(Fairteiler!$D:$D,$B510)*1/2</f>
        <v>0</v>
      </c>
      <c r="L510">
        <f>COUNTIF('NP-Betrieb'!D:D,$B510)*1/3</f>
        <v>3.6666666666666665</v>
      </c>
      <c r="M510">
        <f>COUNTIF(Fairteilungen!$D:$D,$B510)*3/4</f>
        <v>0</v>
      </c>
      <c r="N510">
        <f>COUNTIF(Anlieferung!D:D,$B510)*1/2</f>
        <v>0</v>
      </c>
      <c r="O510">
        <f>COUNTIF(Probeabholungen!B:B,$B510)*1/3</f>
        <v>0</v>
      </c>
    </row>
    <row r="511" spans="1:15" ht="27.6">
      <c r="A511" s="8" t="s">
        <v>494</v>
      </c>
      <c r="B511" s="8">
        <v>624978</v>
      </c>
      <c r="D511" s="29"/>
      <c r="E511" s="1">
        <v>11.3333333333333</v>
      </c>
      <c r="F511" s="8">
        <v>6</v>
      </c>
      <c r="G511" s="30">
        <f t="shared" si="24"/>
        <v>17.3333333333333</v>
      </c>
      <c r="H511" s="8">
        <f t="shared" si="26"/>
        <v>-11.3333333333333</v>
      </c>
      <c r="I511">
        <f t="shared" si="25"/>
        <v>0</v>
      </c>
      <c r="J511">
        <f>SUMIF(Oeffentlichkeitsarbeit!$D:$D,$B511,Oeffentlichkeitsarbeit!$F:$F)</f>
        <v>0</v>
      </c>
      <c r="K511">
        <f>COUNTIF(Fairteiler!$D:$D,$B511)*1/2</f>
        <v>0</v>
      </c>
      <c r="L511">
        <f>COUNTIF('NP-Betrieb'!D:D,$B511)*1/3</f>
        <v>0</v>
      </c>
      <c r="M511">
        <f>COUNTIF(Fairteilungen!$D:$D,$B511)*3/4</f>
        <v>0</v>
      </c>
      <c r="N511">
        <f>COUNTIF(Anlieferung!D:D,$B511)*1/2</f>
        <v>0</v>
      </c>
      <c r="O511">
        <f>COUNTIF(Probeabholungen!B:B,$B511)*1/3</f>
        <v>0</v>
      </c>
    </row>
    <row r="512" spans="1:15" ht="41.4">
      <c r="A512" s="8" t="s">
        <v>495</v>
      </c>
      <c r="B512" s="8">
        <v>660626</v>
      </c>
      <c r="D512" s="24">
        <v>45826</v>
      </c>
      <c r="E512" s="1">
        <v>1.6666666666666701</v>
      </c>
      <c r="F512">
        <v>6</v>
      </c>
      <c r="G512" s="30">
        <f t="shared" si="24"/>
        <v>6.6666666666666696</v>
      </c>
      <c r="H512" s="8">
        <f t="shared" si="26"/>
        <v>-0.66666666666667007</v>
      </c>
      <c r="I512">
        <f t="shared" si="25"/>
        <v>1</v>
      </c>
      <c r="J512">
        <f>SUMIF(Oeffentlichkeitsarbeit!$D:$D,$B512,Oeffentlichkeitsarbeit!$F:$F)</f>
        <v>0</v>
      </c>
      <c r="K512">
        <f>COUNTIF(Fairteiler!$D:$D,$B512)*1/2</f>
        <v>0</v>
      </c>
      <c r="L512">
        <f>COUNTIF('NP-Betrieb'!D:D,$B512)*1/3</f>
        <v>1</v>
      </c>
      <c r="M512">
        <f>COUNTIF(Fairteilungen!$D:$D,$B512)*3/4</f>
        <v>0</v>
      </c>
      <c r="N512">
        <f>COUNTIF(Anlieferung!D:D,$B512)*1/2</f>
        <v>0</v>
      </c>
      <c r="O512">
        <f>COUNTIF(Probeabholungen!B:B,$B512)*1/3</f>
        <v>0</v>
      </c>
    </row>
    <row r="513" spans="1:1024" ht="27.6">
      <c r="A513" s="8" t="s">
        <v>496</v>
      </c>
      <c r="B513" s="8">
        <v>441735</v>
      </c>
      <c r="D513" s="24">
        <v>45826</v>
      </c>
      <c r="E513" s="1">
        <v>0</v>
      </c>
      <c r="F513">
        <v>6</v>
      </c>
      <c r="G513" s="30">
        <f t="shared" si="24"/>
        <v>2.3333333333333335</v>
      </c>
      <c r="H513" s="8">
        <f t="shared" si="26"/>
        <v>3.6666666666666665</v>
      </c>
      <c r="I513">
        <f t="shared" si="25"/>
        <v>3.6666666666666665</v>
      </c>
      <c r="J513">
        <f>SUMIF(Oeffentlichkeitsarbeit!$D:$D,$B513,Oeffentlichkeitsarbeit!$F:$F)</f>
        <v>0</v>
      </c>
      <c r="K513">
        <f>COUNTIF(Fairteiler!$D:$D,$B513)*1/2</f>
        <v>0</v>
      </c>
      <c r="L513">
        <f>COUNTIF('NP-Betrieb'!D:D,$B513)*1/3</f>
        <v>3.6666666666666665</v>
      </c>
      <c r="M513">
        <f>COUNTIF(Fairteilungen!$D:$D,$B513)*3/4</f>
        <v>0</v>
      </c>
      <c r="N513">
        <f>COUNTIF(Anlieferung!D:D,$B513)*1/2</f>
        <v>0</v>
      </c>
      <c r="O513">
        <f>COUNTIF(Probeabholungen!B:B,$B513)*1/3</f>
        <v>0</v>
      </c>
    </row>
    <row r="514" spans="1:1024" ht="41.4">
      <c r="A514" s="8" t="s">
        <v>497</v>
      </c>
      <c r="B514" s="8">
        <v>149072</v>
      </c>
      <c r="D514" s="29"/>
      <c r="E514" s="1">
        <v>14.67</v>
      </c>
      <c r="F514" s="8">
        <v>6</v>
      </c>
      <c r="G514" s="30">
        <f t="shared" ref="G514:G577" si="27">F514-H514</f>
        <v>20.67</v>
      </c>
      <c r="H514" s="8">
        <f t="shared" si="26"/>
        <v>-14.67</v>
      </c>
      <c r="I514">
        <f t="shared" ref="I514:I577" si="28">SUM(J514:O514)</f>
        <v>0</v>
      </c>
      <c r="J514">
        <f>SUMIF(Oeffentlichkeitsarbeit!$D:$D,$B514,Oeffentlichkeitsarbeit!$F:$F)</f>
        <v>0</v>
      </c>
      <c r="K514">
        <f>COUNTIF(Fairteiler!$D:$D,$B514)*1/2</f>
        <v>0</v>
      </c>
      <c r="L514">
        <f>COUNTIF('NP-Betrieb'!D:D,$B514)*1/3</f>
        <v>0</v>
      </c>
      <c r="M514">
        <f>COUNTIF(Fairteilungen!$D:$D,$B514)*3/4</f>
        <v>0</v>
      </c>
      <c r="N514">
        <f>COUNTIF(Anlieferung!D:D,$B514)*1/2</f>
        <v>0</v>
      </c>
      <c r="O514">
        <f>COUNTIF(Probeabholungen!B:B,$B514)*1/3</f>
        <v>0</v>
      </c>
    </row>
    <row r="515" spans="1:1024">
      <c r="A515" s="8" t="s">
        <v>498</v>
      </c>
      <c r="B515" s="8">
        <v>438280</v>
      </c>
      <c r="C515" s="11"/>
      <c r="D515" s="29"/>
      <c r="E515" s="1">
        <v>12.6733333333333</v>
      </c>
      <c r="F515" s="8">
        <v>6</v>
      </c>
      <c r="G515" s="30">
        <f t="shared" si="27"/>
        <v>18.6733333333333</v>
      </c>
      <c r="H515" s="8">
        <f t="shared" si="26"/>
        <v>-12.6733333333333</v>
      </c>
      <c r="I515" s="11">
        <f t="shared" si="28"/>
        <v>0</v>
      </c>
      <c r="J515" s="11">
        <f>SUMIF(Oeffentlichkeitsarbeit!$D:$D,$B515,Oeffentlichkeitsarbeit!$F:$F)</f>
        <v>0</v>
      </c>
      <c r="K515" s="11">
        <f>COUNTIF(Fairteiler!$D:$D,$B515)*1/2</f>
        <v>0</v>
      </c>
      <c r="L515" s="11">
        <f>COUNTIF('NP-Betrieb'!D:D,$B515)*1/3</f>
        <v>0</v>
      </c>
      <c r="M515" s="11">
        <f>COUNTIF(Fairteilungen!$D:$D,$B515)*3/4</f>
        <v>0</v>
      </c>
      <c r="N515" s="11">
        <f>COUNTIF(Anlieferung!D:D,$B515)*1/2</f>
        <v>0</v>
      </c>
      <c r="O515" s="11">
        <f>COUNTIF(Probeabholungen!B:B,$B515)*1/3</f>
        <v>0</v>
      </c>
    </row>
    <row r="516" spans="1:1024" ht="27.6">
      <c r="A516" s="8" t="s">
        <v>499</v>
      </c>
      <c r="B516" s="8">
        <v>967920</v>
      </c>
      <c r="D516" s="24">
        <v>45940</v>
      </c>
      <c r="E516" s="1">
        <v>0</v>
      </c>
      <c r="F516">
        <v>6</v>
      </c>
      <c r="G516" s="30">
        <f t="shared" si="27"/>
        <v>-5.1666666666666661</v>
      </c>
      <c r="H516" s="8">
        <f t="shared" si="26"/>
        <v>11.166666666666666</v>
      </c>
      <c r="I516">
        <f t="shared" si="28"/>
        <v>11.166666666666666</v>
      </c>
      <c r="J516">
        <f>SUMIF(Oeffentlichkeitsarbeit!$D:$D,$B516,Oeffentlichkeitsarbeit!$F:$F)</f>
        <v>0</v>
      </c>
      <c r="K516">
        <f>COUNTIF(Fairteiler!$D:$D,$B516)*1/2</f>
        <v>8</v>
      </c>
      <c r="L516">
        <f>COUNTIF('NP-Betrieb'!D:D,$B516)*1/3</f>
        <v>2.6666666666666665</v>
      </c>
      <c r="M516">
        <f>COUNTIF(Fairteilungen!$D:$D,$B516)*3/4</f>
        <v>0</v>
      </c>
      <c r="N516">
        <f>COUNTIF(Anlieferung!D:D,$B516)*1/2</f>
        <v>0.5</v>
      </c>
      <c r="O516">
        <f>COUNTIF(Probeabholungen!B:B,$B516)*1/3</f>
        <v>0</v>
      </c>
    </row>
    <row r="517" spans="1:1024" s="11" customFormat="1" ht="27.6">
      <c r="A517" s="16" t="s">
        <v>500</v>
      </c>
      <c r="B517" s="16">
        <v>590233</v>
      </c>
      <c r="C517" s="16" t="s">
        <v>831</v>
      </c>
      <c r="D517" s="29"/>
      <c r="E517" s="1">
        <v>0</v>
      </c>
      <c r="F517" s="16">
        <v>0</v>
      </c>
      <c r="G517" s="30">
        <f t="shared" si="27"/>
        <v>-0.66666666666666663</v>
      </c>
      <c r="H517" s="16">
        <f t="shared" si="26"/>
        <v>0.66666666666666663</v>
      </c>
      <c r="I517" s="11">
        <f t="shared" si="28"/>
        <v>0.66666666666666663</v>
      </c>
      <c r="J517" s="11">
        <f>SUMIF(Oeffentlichkeitsarbeit!$D:$D,$B517,Oeffentlichkeitsarbeit!$F:$F)</f>
        <v>0</v>
      </c>
      <c r="K517" s="11">
        <f>COUNTIF(Fairteiler!$D:$D,$B517)*1/2</f>
        <v>0</v>
      </c>
      <c r="L517" s="11">
        <f>COUNTIF('NP-Betrieb'!D:D,$B517)*1/3</f>
        <v>0.66666666666666663</v>
      </c>
      <c r="M517" s="11">
        <f>COUNTIF(Fairteilungen!$D:$D,$B517)*3/4</f>
        <v>0</v>
      </c>
      <c r="N517" s="11">
        <f>COUNTIF(Anlieferung!D:D,$B517)*1/2</f>
        <v>0</v>
      </c>
      <c r="O517" s="11">
        <f>COUNTIF(Probeabholungen!B:B,$B517)*1/3</f>
        <v>0</v>
      </c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  <c r="BR517"/>
      <c r="BS517"/>
      <c r="BT517"/>
      <c r="BU517"/>
      <c r="BV517"/>
      <c r="BW517"/>
      <c r="BX517"/>
      <c r="BY517"/>
      <c r="BZ517"/>
      <c r="CA517"/>
      <c r="CB517"/>
      <c r="CC517"/>
      <c r="CD517"/>
      <c r="CE517"/>
      <c r="CF517"/>
      <c r="CG517"/>
      <c r="CH517"/>
      <c r="CI517"/>
      <c r="CJ517"/>
      <c r="CK517"/>
      <c r="CL517"/>
      <c r="CM517"/>
      <c r="CN517"/>
      <c r="CO517"/>
      <c r="CP517"/>
      <c r="CQ517"/>
      <c r="CR517"/>
      <c r="CS517"/>
      <c r="CT517"/>
      <c r="CU517"/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  <c r="DQ517"/>
      <c r="DR517"/>
      <c r="DS517"/>
      <c r="DT517"/>
      <c r="DU517"/>
      <c r="DV517"/>
      <c r="DW517"/>
      <c r="DX517"/>
      <c r="DY517"/>
      <c r="DZ517"/>
      <c r="EA517"/>
      <c r="EB517"/>
      <c r="EC517"/>
      <c r="ED517"/>
      <c r="EE517"/>
      <c r="EF517"/>
      <c r="EG517"/>
      <c r="EH517"/>
      <c r="EI517"/>
      <c r="EJ517"/>
      <c r="EK517"/>
      <c r="EL517"/>
      <c r="EM517"/>
      <c r="EN517"/>
      <c r="EO517"/>
      <c r="EP517"/>
      <c r="EQ517"/>
      <c r="ER517"/>
      <c r="ES517"/>
      <c r="ET517"/>
      <c r="EU517"/>
      <c r="EV517"/>
      <c r="EW517"/>
      <c r="EX517"/>
      <c r="EY517"/>
      <c r="EZ517"/>
      <c r="FA517"/>
      <c r="FB517"/>
      <c r="FC517"/>
      <c r="FD517"/>
      <c r="FE517"/>
      <c r="FF517"/>
      <c r="FG517"/>
      <c r="FH517"/>
      <c r="FI517"/>
      <c r="FJ517"/>
      <c r="FK517"/>
      <c r="FL517"/>
      <c r="FM517"/>
      <c r="FN517"/>
      <c r="FO517"/>
      <c r="FP517"/>
      <c r="FQ517"/>
      <c r="FR517"/>
      <c r="FS517"/>
      <c r="FT517"/>
      <c r="FU517"/>
      <c r="FV517"/>
      <c r="FW517"/>
      <c r="FX517"/>
      <c r="FY517"/>
      <c r="FZ517"/>
      <c r="GA517"/>
      <c r="GB517"/>
      <c r="GC517"/>
      <c r="GD517"/>
      <c r="GE517"/>
      <c r="GF517"/>
      <c r="GG517"/>
      <c r="GH517"/>
      <c r="GI517"/>
      <c r="GJ517"/>
      <c r="GK517"/>
      <c r="GL517"/>
      <c r="GM517"/>
      <c r="GN517"/>
      <c r="GO517"/>
      <c r="GP517"/>
      <c r="GQ517"/>
      <c r="GR517"/>
      <c r="GS517"/>
      <c r="GT517"/>
      <c r="GU517"/>
      <c r="GV517"/>
      <c r="GW517"/>
      <c r="GX517"/>
      <c r="GY517"/>
      <c r="GZ517"/>
      <c r="HA517"/>
      <c r="HB517"/>
      <c r="HC517"/>
      <c r="HD517"/>
      <c r="HE517"/>
      <c r="HF517"/>
      <c r="HG517"/>
      <c r="HH517"/>
      <c r="HI517"/>
      <c r="HJ517"/>
      <c r="HK517"/>
      <c r="HL517"/>
      <c r="HM517"/>
      <c r="HN517"/>
      <c r="HO517"/>
      <c r="HP517"/>
      <c r="HQ517"/>
      <c r="HR517"/>
      <c r="HS517"/>
      <c r="HT517"/>
      <c r="HU517"/>
      <c r="HV517"/>
      <c r="HW517"/>
      <c r="HX517"/>
      <c r="HY517"/>
      <c r="HZ517"/>
      <c r="IA517"/>
      <c r="IB517"/>
      <c r="IC517"/>
      <c r="ID517"/>
      <c r="IE517"/>
      <c r="IF517"/>
      <c r="IG517"/>
      <c r="IH517"/>
      <c r="II517"/>
      <c r="IJ517"/>
      <c r="IK517"/>
      <c r="IL517"/>
      <c r="IM517"/>
      <c r="IN517"/>
      <c r="IO517"/>
      <c r="IP517"/>
      <c r="IQ517"/>
      <c r="IR517"/>
      <c r="IS517"/>
      <c r="IT517"/>
      <c r="IU517"/>
      <c r="IV517"/>
      <c r="IW517"/>
      <c r="IX517"/>
      <c r="IY517"/>
      <c r="IZ517"/>
      <c r="JA517"/>
      <c r="JB517"/>
      <c r="JC517"/>
      <c r="JD517"/>
      <c r="JE517"/>
      <c r="JF517"/>
      <c r="JG517"/>
      <c r="JH517"/>
      <c r="JI517"/>
      <c r="JJ517"/>
      <c r="JK517"/>
      <c r="JL517"/>
      <c r="JM517"/>
      <c r="JN517"/>
      <c r="JO517"/>
      <c r="JP517"/>
      <c r="JQ517"/>
      <c r="JR517"/>
      <c r="JS517"/>
      <c r="JT517"/>
      <c r="JU517"/>
      <c r="JV517"/>
      <c r="JW517"/>
      <c r="JX517"/>
      <c r="JY517"/>
      <c r="JZ517"/>
      <c r="KA517"/>
      <c r="KB517"/>
      <c r="KC517"/>
      <c r="KD517"/>
      <c r="KE517"/>
      <c r="KF517"/>
      <c r="KG517"/>
      <c r="KH517"/>
      <c r="KI517"/>
      <c r="KJ517"/>
      <c r="KK517"/>
      <c r="KL517"/>
      <c r="KM517"/>
      <c r="KN517"/>
      <c r="KO517"/>
      <c r="KP517"/>
      <c r="KQ517"/>
      <c r="KR517"/>
      <c r="KS517"/>
      <c r="KT517"/>
      <c r="KU517"/>
      <c r="KV517"/>
      <c r="KW517"/>
      <c r="KX517"/>
      <c r="KY517"/>
      <c r="KZ517"/>
      <c r="LA517"/>
      <c r="LB517"/>
      <c r="LC517"/>
      <c r="LD517"/>
      <c r="LE517"/>
      <c r="LF517"/>
      <c r="LG517"/>
      <c r="LH517"/>
      <c r="LI517"/>
      <c r="LJ517"/>
      <c r="LK517"/>
      <c r="LL517"/>
      <c r="LM517"/>
      <c r="LN517"/>
      <c r="LO517"/>
      <c r="LP517"/>
      <c r="LQ517"/>
      <c r="LR517"/>
      <c r="LS517"/>
      <c r="LT517"/>
      <c r="LU517"/>
      <c r="LV517"/>
      <c r="LW517"/>
      <c r="LX517"/>
      <c r="LY517"/>
      <c r="LZ517"/>
      <c r="MA517"/>
      <c r="MB517"/>
      <c r="MC517"/>
      <c r="MD517"/>
      <c r="ME517"/>
      <c r="MF517"/>
      <c r="MG517"/>
      <c r="MH517"/>
      <c r="MI517"/>
      <c r="MJ517"/>
      <c r="MK517"/>
      <c r="ML517"/>
      <c r="MM517"/>
      <c r="MN517"/>
      <c r="MO517"/>
      <c r="MP517"/>
      <c r="MQ517"/>
      <c r="MR517"/>
      <c r="MS517"/>
      <c r="MT517"/>
      <c r="MU517"/>
      <c r="MV517"/>
      <c r="MW517"/>
      <c r="MX517"/>
      <c r="MY517"/>
      <c r="MZ517"/>
      <c r="NA517"/>
      <c r="NB517"/>
      <c r="NC517"/>
      <c r="ND517"/>
      <c r="NE517"/>
      <c r="NF517"/>
      <c r="NG517"/>
      <c r="NH517"/>
      <c r="NI517"/>
      <c r="NJ517"/>
      <c r="NK517"/>
      <c r="NL517"/>
      <c r="NM517"/>
      <c r="NN517"/>
      <c r="NO517"/>
      <c r="NP517"/>
      <c r="NQ517"/>
      <c r="NR517"/>
      <c r="NS517"/>
      <c r="NT517"/>
      <c r="NU517"/>
      <c r="NV517"/>
      <c r="NW517"/>
      <c r="NX517"/>
      <c r="NY517"/>
      <c r="NZ517"/>
      <c r="OA517"/>
      <c r="OB517"/>
      <c r="OC517"/>
      <c r="OD517"/>
      <c r="OE517"/>
      <c r="OF517"/>
      <c r="OG517"/>
      <c r="OH517"/>
      <c r="OI517"/>
      <c r="OJ517"/>
      <c r="OK517"/>
      <c r="OL517"/>
      <c r="OM517"/>
      <c r="ON517"/>
      <c r="OO517"/>
      <c r="OP517"/>
      <c r="OQ517"/>
      <c r="OR517"/>
      <c r="OS517"/>
      <c r="OT517"/>
      <c r="OU517"/>
      <c r="OV517"/>
      <c r="OW517"/>
      <c r="OX517"/>
      <c r="OY517"/>
      <c r="OZ517"/>
      <c r="PA517"/>
      <c r="PB517"/>
      <c r="PC517"/>
      <c r="PD517"/>
      <c r="PE517"/>
      <c r="PF517"/>
      <c r="PG517"/>
      <c r="PH517"/>
      <c r="PI517"/>
      <c r="PJ517"/>
      <c r="PK517"/>
      <c r="PL517"/>
      <c r="PM517"/>
      <c r="PN517"/>
      <c r="PO517"/>
      <c r="PP517"/>
      <c r="PQ517"/>
      <c r="PR517"/>
      <c r="PS517"/>
      <c r="PT517"/>
      <c r="PU517"/>
      <c r="PV517"/>
      <c r="PW517"/>
      <c r="PX517"/>
      <c r="PY517"/>
      <c r="PZ517"/>
      <c r="QA517"/>
      <c r="QB517"/>
      <c r="QC517"/>
      <c r="QD517"/>
      <c r="QE517"/>
      <c r="QF517"/>
      <c r="QG517"/>
      <c r="QH517"/>
      <c r="QI517"/>
      <c r="QJ517"/>
      <c r="QK517"/>
      <c r="QL517"/>
      <c r="QM517"/>
      <c r="QN517"/>
      <c r="QO517"/>
      <c r="QP517"/>
      <c r="QQ517"/>
      <c r="QR517"/>
      <c r="QS517"/>
      <c r="QT517"/>
      <c r="QU517"/>
      <c r="QV517"/>
      <c r="QW517"/>
      <c r="QX517"/>
      <c r="QY517"/>
      <c r="QZ517"/>
      <c r="RA517"/>
      <c r="RB517"/>
      <c r="RC517"/>
      <c r="RD517"/>
      <c r="RE517"/>
      <c r="RF517"/>
      <c r="RG517"/>
      <c r="RH517"/>
      <c r="RI517"/>
      <c r="RJ517"/>
      <c r="RK517"/>
      <c r="RL517"/>
      <c r="RM517"/>
      <c r="RN517"/>
      <c r="RO517"/>
      <c r="RP517"/>
      <c r="RQ517"/>
      <c r="RR517"/>
      <c r="RS517"/>
      <c r="RT517"/>
      <c r="RU517"/>
      <c r="RV517"/>
      <c r="RW517"/>
      <c r="RX517"/>
      <c r="RY517"/>
      <c r="RZ517"/>
      <c r="SA517"/>
      <c r="SB517"/>
      <c r="SC517"/>
      <c r="SD517"/>
      <c r="SE517"/>
      <c r="SF517"/>
      <c r="SG517"/>
      <c r="SH517"/>
      <c r="SI517"/>
      <c r="SJ517"/>
      <c r="SK517"/>
      <c r="SL517"/>
      <c r="SM517"/>
      <c r="SN517"/>
      <c r="SO517"/>
      <c r="SP517"/>
      <c r="SQ517"/>
      <c r="SR517"/>
      <c r="SS517"/>
      <c r="ST517"/>
      <c r="SU517"/>
      <c r="SV517"/>
      <c r="SW517"/>
      <c r="SX517"/>
      <c r="SY517"/>
      <c r="SZ517"/>
      <c r="TA517"/>
      <c r="TB517"/>
      <c r="TC517"/>
      <c r="TD517"/>
      <c r="TE517"/>
      <c r="TF517"/>
      <c r="TG517"/>
      <c r="TH517"/>
      <c r="TI517"/>
      <c r="TJ517"/>
      <c r="TK517"/>
      <c r="TL517"/>
      <c r="TM517"/>
      <c r="TN517"/>
      <c r="TO517"/>
      <c r="TP517"/>
      <c r="TQ517"/>
      <c r="TR517"/>
      <c r="TS517"/>
      <c r="TT517"/>
      <c r="TU517"/>
      <c r="TV517"/>
      <c r="TW517"/>
      <c r="TX517"/>
      <c r="TY517"/>
      <c r="TZ517"/>
      <c r="UA517"/>
      <c r="UB517"/>
      <c r="UC517"/>
      <c r="UD517"/>
      <c r="UE517"/>
      <c r="UF517"/>
      <c r="UG517"/>
      <c r="UH517"/>
      <c r="UI517"/>
      <c r="UJ517"/>
      <c r="UK517"/>
      <c r="UL517"/>
      <c r="UM517"/>
      <c r="UN517"/>
      <c r="UO517"/>
      <c r="UP517"/>
      <c r="UQ517"/>
      <c r="UR517"/>
      <c r="US517"/>
      <c r="UT517"/>
      <c r="UU517"/>
      <c r="UV517"/>
      <c r="UW517"/>
      <c r="UX517"/>
      <c r="UY517"/>
      <c r="UZ517"/>
      <c r="VA517"/>
      <c r="VB517"/>
      <c r="VC517"/>
      <c r="VD517"/>
      <c r="VE517"/>
      <c r="VF517"/>
      <c r="VG517"/>
      <c r="VH517"/>
      <c r="VI517"/>
      <c r="VJ517"/>
      <c r="VK517"/>
      <c r="VL517"/>
      <c r="VM517"/>
      <c r="VN517"/>
      <c r="VO517"/>
      <c r="VP517"/>
      <c r="VQ517"/>
      <c r="VR517"/>
      <c r="VS517"/>
      <c r="VT517"/>
      <c r="VU517"/>
      <c r="VV517"/>
      <c r="VW517"/>
      <c r="VX517"/>
      <c r="VY517"/>
      <c r="VZ517"/>
      <c r="WA517"/>
      <c r="WB517"/>
      <c r="WC517"/>
      <c r="WD517"/>
      <c r="WE517"/>
      <c r="WF517"/>
      <c r="WG517"/>
      <c r="WH517"/>
      <c r="WI517"/>
      <c r="WJ517"/>
      <c r="WK517"/>
      <c r="WL517"/>
      <c r="WM517"/>
      <c r="WN517"/>
      <c r="WO517"/>
      <c r="WP517"/>
      <c r="WQ517"/>
      <c r="WR517"/>
      <c r="WS517"/>
      <c r="WT517"/>
      <c r="WU517"/>
      <c r="WV517"/>
      <c r="WW517"/>
      <c r="WX517"/>
      <c r="WY517"/>
      <c r="WZ517"/>
      <c r="XA517"/>
      <c r="XB517"/>
      <c r="XC517"/>
      <c r="XD517"/>
      <c r="XE517"/>
      <c r="XF517"/>
      <c r="XG517"/>
      <c r="XH517"/>
      <c r="XI517"/>
      <c r="XJ517"/>
      <c r="XK517"/>
      <c r="XL517"/>
      <c r="XM517"/>
      <c r="XN517"/>
      <c r="XO517"/>
      <c r="XP517"/>
      <c r="XQ517"/>
      <c r="XR517"/>
      <c r="XS517"/>
      <c r="XT517"/>
      <c r="XU517"/>
      <c r="XV517"/>
      <c r="XW517"/>
      <c r="XX517"/>
      <c r="XY517"/>
      <c r="XZ517"/>
      <c r="YA517"/>
      <c r="YB517"/>
      <c r="YC517"/>
      <c r="YD517"/>
      <c r="YE517"/>
      <c r="YF517"/>
      <c r="YG517"/>
      <c r="YH517"/>
      <c r="YI517"/>
      <c r="YJ517"/>
      <c r="YK517"/>
      <c r="YL517"/>
      <c r="YM517"/>
      <c r="YN517"/>
      <c r="YO517"/>
      <c r="YP517"/>
      <c r="YQ517"/>
      <c r="YR517"/>
      <c r="YS517"/>
      <c r="YT517"/>
      <c r="YU517"/>
      <c r="YV517"/>
      <c r="YW517"/>
      <c r="YX517"/>
      <c r="YY517"/>
      <c r="YZ517"/>
      <c r="ZA517"/>
      <c r="ZB517"/>
      <c r="ZC517"/>
      <c r="ZD517"/>
      <c r="ZE517"/>
      <c r="ZF517"/>
      <c r="ZG517"/>
      <c r="ZH517"/>
      <c r="ZI517"/>
      <c r="ZJ517"/>
      <c r="ZK517"/>
      <c r="ZL517"/>
      <c r="ZM517"/>
      <c r="ZN517"/>
      <c r="ZO517"/>
      <c r="ZP517"/>
      <c r="ZQ517"/>
      <c r="ZR517"/>
      <c r="ZS517"/>
      <c r="ZT517"/>
      <c r="ZU517"/>
      <c r="ZV517"/>
      <c r="ZW517"/>
      <c r="ZX517"/>
      <c r="ZY517"/>
      <c r="ZZ517"/>
      <c r="AAA517"/>
      <c r="AAB517"/>
      <c r="AAC517"/>
      <c r="AAD517"/>
      <c r="AAE517"/>
      <c r="AAF517"/>
      <c r="AAG517"/>
      <c r="AAH517"/>
      <c r="AAI517"/>
      <c r="AAJ517"/>
      <c r="AAK517"/>
      <c r="AAL517"/>
      <c r="AAM517"/>
      <c r="AAN517"/>
      <c r="AAO517"/>
      <c r="AAP517"/>
      <c r="AAQ517"/>
      <c r="AAR517"/>
      <c r="AAS517"/>
      <c r="AAT517"/>
      <c r="AAU517"/>
      <c r="AAV517"/>
      <c r="AAW517"/>
      <c r="AAX517"/>
      <c r="AAY517"/>
      <c r="AAZ517"/>
      <c r="ABA517"/>
      <c r="ABB517"/>
      <c r="ABC517"/>
      <c r="ABD517"/>
      <c r="ABE517"/>
      <c r="ABF517"/>
      <c r="ABG517"/>
      <c r="ABH517"/>
      <c r="ABI517"/>
      <c r="ABJ517"/>
      <c r="ABK517"/>
      <c r="ABL517"/>
      <c r="ABM517"/>
      <c r="ABN517"/>
      <c r="ABO517"/>
      <c r="ABP517"/>
      <c r="ABQ517"/>
      <c r="ABR517"/>
      <c r="ABS517"/>
      <c r="ABT517"/>
      <c r="ABU517"/>
      <c r="ABV517"/>
      <c r="ABW517"/>
      <c r="ABX517"/>
      <c r="ABY517"/>
      <c r="ABZ517"/>
      <c r="ACA517"/>
      <c r="ACB517"/>
      <c r="ACC517"/>
      <c r="ACD517"/>
      <c r="ACE517"/>
      <c r="ACF517"/>
      <c r="ACG517"/>
      <c r="ACH517"/>
      <c r="ACI517"/>
      <c r="ACJ517"/>
      <c r="ACK517"/>
      <c r="ACL517"/>
      <c r="ACM517"/>
      <c r="ACN517"/>
      <c r="ACO517"/>
      <c r="ACP517"/>
      <c r="ACQ517"/>
      <c r="ACR517"/>
      <c r="ACS517"/>
      <c r="ACT517"/>
      <c r="ACU517"/>
      <c r="ACV517"/>
      <c r="ACW517"/>
      <c r="ACX517"/>
      <c r="ACY517"/>
      <c r="ACZ517"/>
      <c r="ADA517"/>
      <c r="ADB517"/>
      <c r="ADC517"/>
      <c r="ADD517"/>
      <c r="ADE517"/>
      <c r="ADF517"/>
      <c r="ADG517"/>
      <c r="ADH517"/>
      <c r="ADI517"/>
      <c r="ADJ517"/>
      <c r="ADK517"/>
      <c r="ADL517"/>
      <c r="ADM517"/>
      <c r="ADN517"/>
      <c r="ADO517"/>
      <c r="ADP517"/>
      <c r="ADQ517"/>
      <c r="ADR517"/>
      <c r="ADS517"/>
      <c r="ADT517"/>
      <c r="ADU517"/>
      <c r="ADV517"/>
      <c r="ADW517"/>
      <c r="ADX517"/>
      <c r="ADY517"/>
      <c r="ADZ517"/>
      <c r="AEA517"/>
      <c r="AEB517"/>
      <c r="AEC517"/>
      <c r="AED517"/>
      <c r="AEE517"/>
      <c r="AEF517"/>
      <c r="AEG517"/>
      <c r="AEH517"/>
      <c r="AEI517"/>
      <c r="AEJ517"/>
      <c r="AEK517"/>
      <c r="AEL517"/>
      <c r="AEM517"/>
      <c r="AEN517"/>
      <c r="AEO517"/>
      <c r="AEP517"/>
      <c r="AEQ517"/>
      <c r="AER517"/>
      <c r="AES517"/>
      <c r="AET517"/>
      <c r="AEU517"/>
      <c r="AEV517"/>
      <c r="AEW517"/>
      <c r="AEX517"/>
      <c r="AEY517"/>
      <c r="AEZ517"/>
      <c r="AFA517"/>
      <c r="AFB517"/>
      <c r="AFC517"/>
      <c r="AFD517"/>
      <c r="AFE517"/>
      <c r="AFF517"/>
      <c r="AFG517"/>
      <c r="AFH517"/>
      <c r="AFI517"/>
      <c r="AFJ517"/>
      <c r="AFK517"/>
      <c r="AFL517"/>
      <c r="AFM517"/>
      <c r="AFN517"/>
      <c r="AFO517"/>
      <c r="AFP517"/>
      <c r="AFQ517"/>
      <c r="AFR517"/>
      <c r="AFS517"/>
      <c r="AFT517"/>
      <c r="AFU517"/>
      <c r="AFV517"/>
      <c r="AFW517"/>
      <c r="AFX517"/>
      <c r="AFY517"/>
      <c r="AFZ517"/>
      <c r="AGA517"/>
      <c r="AGB517"/>
      <c r="AGC517"/>
      <c r="AGD517"/>
      <c r="AGE517"/>
      <c r="AGF517"/>
      <c r="AGG517"/>
      <c r="AGH517"/>
      <c r="AGI517"/>
      <c r="AGJ517"/>
      <c r="AGK517"/>
      <c r="AGL517"/>
      <c r="AGM517"/>
      <c r="AGN517"/>
      <c r="AGO517"/>
      <c r="AGP517"/>
      <c r="AGQ517"/>
      <c r="AGR517"/>
      <c r="AGS517"/>
      <c r="AGT517"/>
      <c r="AGU517"/>
      <c r="AGV517"/>
      <c r="AGW517"/>
      <c r="AGX517"/>
      <c r="AGY517"/>
      <c r="AGZ517"/>
      <c r="AHA517"/>
      <c r="AHB517"/>
      <c r="AHC517"/>
      <c r="AHD517"/>
      <c r="AHE517"/>
      <c r="AHF517"/>
      <c r="AHG517"/>
      <c r="AHH517"/>
      <c r="AHI517"/>
      <c r="AHJ517"/>
      <c r="AHK517"/>
      <c r="AHL517"/>
      <c r="AHM517"/>
      <c r="AHN517"/>
      <c r="AHO517"/>
      <c r="AHP517"/>
      <c r="AHQ517"/>
      <c r="AHR517"/>
      <c r="AHS517"/>
      <c r="AHT517"/>
      <c r="AHU517"/>
      <c r="AHV517"/>
      <c r="AHW517"/>
      <c r="AHX517"/>
      <c r="AHY517"/>
      <c r="AHZ517"/>
      <c r="AIA517"/>
      <c r="AIB517"/>
      <c r="AIC517"/>
      <c r="AID517"/>
      <c r="AIE517"/>
      <c r="AIF517"/>
      <c r="AIG517"/>
      <c r="AIH517"/>
      <c r="AII517"/>
      <c r="AIJ517"/>
      <c r="AIK517"/>
      <c r="AIL517"/>
      <c r="AIM517"/>
      <c r="AIN517"/>
      <c r="AIO517"/>
      <c r="AIP517"/>
      <c r="AIQ517"/>
      <c r="AIR517"/>
      <c r="AIS517"/>
      <c r="AIT517"/>
      <c r="AIU517"/>
      <c r="AIV517"/>
      <c r="AIW517"/>
      <c r="AIX517"/>
      <c r="AIY517"/>
      <c r="AIZ517"/>
      <c r="AJA517"/>
      <c r="AJB517"/>
      <c r="AJC517"/>
      <c r="AJD517"/>
      <c r="AJE517"/>
      <c r="AJF517"/>
      <c r="AJG517"/>
      <c r="AJH517"/>
      <c r="AJI517"/>
      <c r="AJJ517"/>
      <c r="AJK517"/>
      <c r="AJL517"/>
      <c r="AJM517"/>
      <c r="AJN517"/>
      <c r="AJO517"/>
      <c r="AJP517"/>
      <c r="AJQ517"/>
      <c r="AJR517"/>
      <c r="AJS517"/>
      <c r="AJT517"/>
      <c r="AJU517"/>
      <c r="AJV517"/>
      <c r="AJW517"/>
      <c r="AJX517"/>
      <c r="AJY517"/>
      <c r="AJZ517"/>
      <c r="AKA517"/>
      <c r="AKB517"/>
      <c r="AKC517"/>
      <c r="AKD517"/>
      <c r="AKE517"/>
      <c r="AKF517"/>
      <c r="AKG517"/>
      <c r="AKH517"/>
      <c r="AKI517"/>
      <c r="AKJ517"/>
      <c r="AKK517"/>
      <c r="AKL517"/>
      <c r="AKM517"/>
      <c r="AKN517"/>
      <c r="AKO517"/>
      <c r="AKP517"/>
      <c r="AKQ517"/>
      <c r="AKR517"/>
      <c r="AKS517"/>
      <c r="AKT517"/>
      <c r="AKU517"/>
      <c r="AKV517"/>
      <c r="AKW517"/>
      <c r="AKX517"/>
      <c r="AKY517"/>
      <c r="AKZ517"/>
      <c r="ALA517"/>
      <c r="ALB517"/>
      <c r="ALC517"/>
      <c r="ALD517"/>
      <c r="ALE517"/>
      <c r="ALF517"/>
      <c r="ALG517"/>
      <c r="ALH517"/>
      <c r="ALI517"/>
      <c r="ALJ517"/>
      <c r="ALK517"/>
      <c r="ALL517"/>
      <c r="ALM517"/>
      <c r="ALN517"/>
      <c r="ALO517"/>
      <c r="ALP517"/>
      <c r="ALQ517"/>
      <c r="ALR517"/>
      <c r="ALS517"/>
      <c r="ALT517"/>
      <c r="ALU517"/>
      <c r="ALV517"/>
      <c r="ALW517"/>
      <c r="ALX517"/>
      <c r="ALY517"/>
      <c r="ALZ517"/>
      <c r="AMA517"/>
      <c r="AMB517"/>
      <c r="AMC517"/>
      <c r="AMD517"/>
      <c r="AME517"/>
      <c r="AMF517"/>
      <c r="AMG517"/>
      <c r="AMH517"/>
      <c r="AMI517"/>
      <c r="AMJ517"/>
    </row>
    <row r="518" spans="1:1024" ht="27.6">
      <c r="A518" s="14" t="s">
        <v>501</v>
      </c>
      <c r="B518" s="14">
        <v>599016</v>
      </c>
      <c r="C518" s="14" t="s">
        <v>839</v>
      </c>
      <c r="D518" s="29"/>
      <c r="E518" s="1">
        <v>0</v>
      </c>
      <c r="F518" s="14">
        <v>0</v>
      </c>
      <c r="G518" s="30">
        <f t="shared" si="27"/>
        <v>0</v>
      </c>
      <c r="H518" s="14">
        <f t="shared" si="26"/>
        <v>0</v>
      </c>
      <c r="I518" s="11">
        <f t="shared" si="28"/>
        <v>0</v>
      </c>
      <c r="J518" s="11">
        <f>SUMIF(Oeffentlichkeitsarbeit!$D:$D,$B518,Oeffentlichkeitsarbeit!$F:$F)</f>
        <v>0</v>
      </c>
      <c r="K518" s="11">
        <f>COUNTIF(Fairteiler!$D:$D,$B518)*1/2</f>
        <v>0</v>
      </c>
      <c r="L518" s="11">
        <f>COUNTIF('NP-Betrieb'!D:D,$B518)*1/3</f>
        <v>0</v>
      </c>
      <c r="M518" s="11">
        <f>COUNTIF(Fairteilungen!$D:$D,$B518)*3/4</f>
        <v>0</v>
      </c>
      <c r="N518" s="11">
        <f>COUNTIF(Anlieferung!D:D,$B518)*1/2</f>
        <v>0</v>
      </c>
      <c r="O518" s="11">
        <f>COUNTIF(Probeabholungen!B:B,$B518)*1/3</f>
        <v>0</v>
      </c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  <c r="AZ518" s="11"/>
      <c r="BA518" s="11"/>
      <c r="BB518" s="11"/>
      <c r="BC518" s="11"/>
      <c r="BD518" s="11"/>
      <c r="BE518" s="11"/>
      <c r="BF518" s="11"/>
      <c r="BG518" s="11"/>
      <c r="BH518" s="11"/>
      <c r="BI518" s="11"/>
      <c r="BJ518" s="11"/>
      <c r="BK518" s="11"/>
      <c r="BL518" s="11"/>
      <c r="BM518" s="11"/>
      <c r="BN518" s="11"/>
      <c r="BO518" s="11"/>
      <c r="BP518" s="11"/>
      <c r="BQ518" s="11"/>
      <c r="BR518" s="11"/>
      <c r="BS518" s="11"/>
      <c r="BT518" s="11"/>
      <c r="BU518" s="11"/>
      <c r="BV518" s="11"/>
      <c r="BW518" s="11"/>
      <c r="BX518" s="11"/>
      <c r="BY518" s="11"/>
      <c r="BZ518" s="11"/>
      <c r="CA518" s="11"/>
      <c r="CB518" s="11"/>
      <c r="CC518" s="11"/>
      <c r="CD518" s="11"/>
      <c r="CE518" s="11"/>
      <c r="CF518" s="11"/>
      <c r="CG518" s="11"/>
      <c r="CH518" s="11"/>
      <c r="CI518" s="11"/>
      <c r="CJ518" s="11"/>
      <c r="CK518" s="11"/>
      <c r="CL518" s="11"/>
      <c r="CM518" s="11"/>
      <c r="CN518" s="11"/>
      <c r="CO518" s="11"/>
      <c r="CP518" s="11"/>
      <c r="CQ518" s="11"/>
      <c r="CR518" s="11"/>
      <c r="CS518" s="11"/>
      <c r="CT518" s="11"/>
      <c r="CU518" s="11"/>
      <c r="CV518" s="11"/>
      <c r="CW518" s="11"/>
      <c r="CX518" s="11"/>
      <c r="CY518" s="11"/>
      <c r="CZ518" s="11"/>
      <c r="DA518" s="11"/>
      <c r="DB518" s="11"/>
      <c r="DC518" s="11"/>
      <c r="DD518" s="11"/>
      <c r="DE518" s="11"/>
      <c r="DF518" s="11"/>
      <c r="DG518" s="11"/>
      <c r="DH518" s="11"/>
      <c r="DI518" s="11"/>
      <c r="DJ518" s="11"/>
      <c r="DK518" s="11"/>
      <c r="DL518" s="11"/>
      <c r="DM518" s="11"/>
      <c r="DN518" s="11"/>
      <c r="DO518" s="11"/>
      <c r="DP518" s="11"/>
      <c r="DQ518" s="11"/>
      <c r="DR518" s="11"/>
      <c r="DS518" s="11"/>
      <c r="DT518" s="11"/>
      <c r="DU518" s="11"/>
      <c r="DV518" s="11"/>
      <c r="DW518" s="11"/>
      <c r="DX518" s="11"/>
      <c r="DY518" s="11"/>
      <c r="DZ518" s="11"/>
      <c r="EA518" s="11"/>
      <c r="EB518" s="11"/>
      <c r="EC518" s="11"/>
      <c r="ED518" s="11"/>
      <c r="EE518" s="11"/>
      <c r="EF518" s="11"/>
      <c r="EG518" s="11"/>
      <c r="EH518" s="11"/>
      <c r="EI518" s="11"/>
      <c r="EJ518" s="11"/>
      <c r="EK518" s="11"/>
      <c r="EL518" s="11"/>
      <c r="EM518" s="11"/>
      <c r="EN518" s="11"/>
      <c r="EO518" s="11"/>
      <c r="EP518" s="11"/>
      <c r="EQ518" s="11"/>
      <c r="ER518" s="11"/>
      <c r="ES518" s="11"/>
      <c r="ET518" s="11"/>
      <c r="EU518" s="11"/>
      <c r="EV518" s="11"/>
      <c r="EW518" s="11"/>
      <c r="EX518" s="11"/>
      <c r="EY518" s="11"/>
      <c r="EZ518" s="11"/>
      <c r="FA518" s="11"/>
      <c r="FB518" s="11"/>
      <c r="FC518" s="11"/>
      <c r="FD518" s="11"/>
      <c r="FE518" s="11"/>
      <c r="FF518" s="11"/>
      <c r="FG518" s="11"/>
      <c r="FH518" s="11"/>
      <c r="FI518" s="11"/>
      <c r="FJ518" s="11"/>
      <c r="FK518" s="11"/>
      <c r="FL518" s="11"/>
      <c r="FM518" s="11"/>
      <c r="FN518" s="11"/>
      <c r="FO518" s="11"/>
      <c r="FP518" s="11"/>
      <c r="FQ518" s="11"/>
      <c r="FR518" s="11"/>
      <c r="FS518" s="11"/>
      <c r="FT518" s="11"/>
      <c r="FU518" s="11"/>
      <c r="FV518" s="11"/>
      <c r="FW518" s="11"/>
      <c r="FX518" s="11"/>
      <c r="FY518" s="11"/>
      <c r="FZ518" s="11"/>
      <c r="GA518" s="11"/>
      <c r="GB518" s="11"/>
      <c r="GC518" s="11"/>
      <c r="GD518" s="11"/>
      <c r="GE518" s="11"/>
      <c r="GF518" s="11"/>
      <c r="GG518" s="11"/>
      <c r="GH518" s="11"/>
      <c r="GI518" s="11"/>
      <c r="GJ518" s="11"/>
      <c r="GK518" s="11"/>
      <c r="GL518" s="11"/>
      <c r="GM518" s="11"/>
      <c r="GN518" s="11"/>
      <c r="GO518" s="11"/>
      <c r="GP518" s="11"/>
      <c r="GQ518" s="11"/>
      <c r="GR518" s="11"/>
      <c r="GS518" s="11"/>
      <c r="GT518" s="11"/>
      <c r="GU518" s="11"/>
      <c r="GV518" s="11"/>
      <c r="GW518" s="11"/>
      <c r="GX518" s="11"/>
      <c r="GY518" s="11"/>
      <c r="GZ518" s="11"/>
      <c r="HA518" s="11"/>
      <c r="HB518" s="11"/>
      <c r="HC518" s="11"/>
      <c r="HD518" s="11"/>
      <c r="HE518" s="11"/>
      <c r="HF518" s="11"/>
      <c r="HG518" s="11"/>
      <c r="HH518" s="11"/>
      <c r="HI518" s="11"/>
      <c r="HJ518" s="11"/>
      <c r="HK518" s="11"/>
      <c r="HL518" s="11"/>
      <c r="HM518" s="11"/>
      <c r="HN518" s="11"/>
      <c r="HO518" s="11"/>
      <c r="HP518" s="11"/>
      <c r="HQ518" s="11"/>
      <c r="HR518" s="11"/>
      <c r="HS518" s="11"/>
      <c r="HT518" s="11"/>
      <c r="HU518" s="11"/>
      <c r="HV518" s="11"/>
      <c r="HW518" s="11"/>
      <c r="HX518" s="11"/>
      <c r="HY518" s="11"/>
      <c r="HZ518" s="11"/>
      <c r="IA518" s="11"/>
      <c r="IB518" s="11"/>
      <c r="IC518" s="11"/>
      <c r="ID518" s="11"/>
      <c r="IE518" s="11"/>
      <c r="IF518" s="11"/>
      <c r="IG518" s="11"/>
      <c r="IH518" s="11"/>
      <c r="II518" s="11"/>
      <c r="IJ518" s="11"/>
      <c r="IK518" s="11"/>
      <c r="IL518" s="11"/>
      <c r="IM518" s="11"/>
      <c r="IN518" s="11"/>
      <c r="IO518" s="11"/>
      <c r="IP518" s="11"/>
      <c r="IQ518" s="11"/>
      <c r="IR518" s="11"/>
      <c r="IS518" s="11"/>
      <c r="IT518" s="11"/>
      <c r="IU518" s="11"/>
      <c r="IV518" s="11"/>
      <c r="IW518" s="11"/>
      <c r="IX518" s="11"/>
      <c r="IY518" s="11"/>
      <c r="IZ518" s="11"/>
      <c r="JA518" s="11"/>
      <c r="JB518" s="11"/>
      <c r="JC518" s="11"/>
      <c r="JD518" s="11"/>
      <c r="JE518" s="11"/>
      <c r="JF518" s="11"/>
      <c r="JG518" s="11"/>
      <c r="JH518" s="11"/>
      <c r="JI518" s="11"/>
      <c r="JJ518" s="11"/>
      <c r="JK518" s="11"/>
      <c r="JL518" s="11"/>
      <c r="JM518" s="11"/>
      <c r="JN518" s="11"/>
      <c r="JO518" s="11"/>
      <c r="JP518" s="11"/>
      <c r="JQ518" s="11"/>
      <c r="JR518" s="11"/>
      <c r="JS518" s="11"/>
      <c r="JT518" s="11"/>
      <c r="JU518" s="11"/>
      <c r="JV518" s="11"/>
      <c r="JW518" s="11"/>
      <c r="JX518" s="11"/>
      <c r="JY518" s="11"/>
      <c r="JZ518" s="11"/>
      <c r="KA518" s="11"/>
      <c r="KB518" s="11"/>
      <c r="KC518" s="11"/>
      <c r="KD518" s="11"/>
      <c r="KE518" s="11"/>
      <c r="KF518" s="11"/>
      <c r="KG518" s="11"/>
      <c r="KH518" s="11"/>
      <c r="KI518" s="11"/>
      <c r="KJ518" s="11"/>
      <c r="KK518" s="11"/>
      <c r="KL518" s="11"/>
      <c r="KM518" s="11"/>
      <c r="KN518" s="11"/>
      <c r="KO518" s="11"/>
      <c r="KP518" s="11"/>
      <c r="KQ518" s="11"/>
      <c r="KR518" s="11"/>
      <c r="KS518" s="11"/>
      <c r="KT518" s="11"/>
      <c r="KU518" s="11"/>
      <c r="KV518" s="11"/>
      <c r="KW518" s="11"/>
      <c r="KX518" s="11"/>
      <c r="KY518" s="11"/>
      <c r="KZ518" s="11"/>
      <c r="LA518" s="11"/>
      <c r="LB518" s="11"/>
      <c r="LC518" s="11"/>
      <c r="LD518" s="11"/>
      <c r="LE518" s="11"/>
      <c r="LF518" s="11"/>
      <c r="LG518" s="11"/>
      <c r="LH518" s="11"/>
      <c r="LI518" s="11"/>
      <c r="LJ518" s="11"/>
      <c r="LK518" s="11"/>
      <c r="LL518" s="11"/>
      <c r="LM518" s="11"/>
      <c r="LN518" s="11"/>
      <c r="LO518" s="11"/>
      <c r="LP518" s="11"/>
      <c r="LQ518" s="11"/>
      <c r="LR518" s="11"/>
      <c r="LS518" s="11"/>
      <c r="LT518" s="11"/>
      <c r="LU518" s="11"/>
      <c r="LV518" s="11"/>
      <c r="LW518" s="11"/>
      <c r="LX518" s="11"/>
      <c r="LY518" s="11"/>
      <c r="LZ518" s="11"/>
      <c r="MA518" s="11"/>
      <c r="MB518" s="11"/>
      <c r="MC518" s="11"/>
      <c r="MD518" s="11"/>
      <c r="ME518" s="11"/>
      <c r="MF518" s="11"/>
      <c r="MG518" s="11"/>
      <c r="MH518" s="11"/>
      <c r="MI518" s="11"/>
      <c r="MJ518" s="11"/>
      <c r="MK518" s="11"/>
      <c r="ML518" s="11"/>
      <c r="MM518" s="11"/>
      <c r="MN518" s="11"/>
      <c r="MO518" s="11"/>
      <c r="MP518" s="11"/>
      <c r="MQ518" s="11"/>
      <c r="MR518" s="11"/>
      <c r="MS518" s="11"/>
      <c r="MT518" s="11"/>
      <c r="MU518" s="11"/>
      <c r="MV518" s="11"/>
      <c r="MW518" s="11"/>
      <c r="MX518" s="11"/>
      <c r="MY518" s="11"/>
      <c r="MZ518" s="11"/>
      <c r="NA518" s="11"/>
      <c r="NB518" s="11"/>
      <c r="NC518" s="11"/>
      <c r="ND518" s="11"/>
      <c r="NE518" s="11"/>
      <c r="NF518" s="11"/>
      <c r="NG518" s="11"/>
      <c r="NH518" s="11"/>
      <c r="NI518" s="11"/>
      <c r="NJ518" s="11"/>
      <c r="NK518" s="11"/>
      <c r="NL518" s="11"/>
      <c r="NM518" s="11"/>
      <c r="NN518" s="11"/>
      <c r="NO518" s="11"/>
      <c r="NP518" s="11"/>
      <c r="NQ518" s="11"/>
      <c r="NR518" s="11"/>
      <c r="NS518" s="11"/>
      <c r="NT518" s="11"/>
      <c r="NU518" s="11"/>
      <c r="NV518" s="11"/>
      <c r="NW518" s="11"/>
      <c r="NX518" s="11"/>
      <c r="NY518" s="11"/>
      <c r="NZ518" s="11"/>
      <c r="OA518" s="11"/>
      <c r="OB518" s="11"/>
      <c r="OC518" s="11"/>
      <c r="OD518" s="11"/>
      <c r="OE518" s="11"/>
      <c r="OF518" s="11"/>
      <c r="OG518" s="11"/>
      <c r="OH518" s="11"/>
      <c r="OI518" s="11"/>
      <c r="OJ518" s="11"/>
      <c r="OK518" s="11"/>
      <c r="OL518" s="11"/>
      <c r="OM518" s="11"/>
      <c r="ON518" s="11"/>
      <c r="OO518" s="11"/>
      <c r="OP518" s="11"/>
      <c r="OQ518" s="11"/>
      <c r="OR518" s="11"/>
      <c r="OS518" s="11"/>
      <c r="OT518" s="11"/>
      <c r="OU518" s="11"/>
      <c r="OV518" s="11"/>
      <c r="OW518" s="11"/>
      <c r="OX518" s="11"/>
      <c r="OY518" s="11"/>
      <c r="OZ518" s="11"/>
      <c r="PA518" s="11"/>
      <c r="PB518" s="11"/>
      <c r="PC518" s="11"/>
      <c r="PD518" s="11"/>
      <c r="PE518" s="11"/>
      <c r="PF518" s="11"/>
      <c r="PG518" s="11"/>
      <c r="PH518" s="11"/>
      <c r="PI518" s="11"/>
      <c r="PJ518" s="11"/>
      <c r="PK518" s="11"/>
      <c r="PL518" s="11"/>
      <c r="PM518" s="11"/>
      <c r="PN518" s="11"/>
      <c r="PO518" s="11"/>
      <c r="PP518" s="11"/>
      <c r="PQ518" s="11"/>
      <c r="PR518" s="11"/>
      <c r="PS518" s="11"/>
      <c r="PT518" s="11"/>
      <c r="PU518" s="11"/>
      <c r="PV518" s="11"/>
      <c r="PW518" s="11"/>
      <c r="PX518" s="11"/>
      <c r="PY518" s="11"/>
      <c r="PZ518" s="11"/>
      <c r="QA518" s="11"/>
      <c r="QB518" s="11"/>
      <c r="QC518" s="11"/>
      <c r="QD518" s="11"/>
      <c r="QE518" s="11"/>
      <c r="QF518" s="11"/>
      <c r="QG518" s="11"/>
      <c r="QH518" s="11"/>
      <c r="QI518" s="11"/>
      <c r="QJ518" s="11"/>
      <c r="QK518" s="11"/>
      <c r="QL518" s="11"/>
      <c r="QM518" s="11"/>
      <c r="QN518" s="11"/>
      <c r="QO518" s="11"/>
      <c r="QP518" s="11"/>
      <c r="QQ518" s="11"/>
      <c r="QR518" s="11"/>
      <c r="QS518" s="11"/>
      <c r="QT518" s="11"/>
      <c r="QU518" s="11"/>
      <c r="QV518" s="11"/>
      <c r="QW518" s="11"/>
      <c r="QX518" s="11"/>
      <c r="QY518" s="11"/>
      <c r="QZ518" s="11"/>
      <c r="RA518" s="11"/>
      <c r="RB518" s="11"/>
      <c r="RC518" s="11"/>
      <c r="RD518" s="11"/>
      <c r="RE518" s="11"/>
      <c r="RF518" s="11"/>
      <c r="RG518" s="11"/>
      <c r="RH518" s="11"/>
      <c r="RI518" s="11"/>
      <c r="RJ518" s="11"/>
      <c r="RK518" s="11"/>
      <c r="RL518" s="11"/>
      <c r="RM518" s="11"/>
      <c r="RN518" s="11"/>
      <c r="RO518" s="11"/>
      <c r="RP518" s="11"/>
      <c r="RQ518" s="11"/>
      <c r="RR518" s="11"/>
      <c r="RS518" s="11"/>
      <c r="RT518" s="11"/>
      <c r="RU518" s="11"/>
      <c r="RV518" s="11"/>
      <c r="RW518" s="11"/>
      <c r="RX518" s="11"/>
      <c r="RY518" s="11"/>
      <c r="RZ518" s="11"/>
      <c r="SA518" s="11"/>
      <c r="SB518" s="11"/>
      <c r="SC518" s="11"/>
      <c r="SD518" s="11"/>
      <c r="SE518" s="11"/>
      <c r="SF518" s="11"/>
      <c r="SG518" s="11"/>
      <c r="SH518" s="11"/>
      <c r="SI518" s="11"/>
      <c r="SJ518" s="11"/>
      <c r="SK518" s="11"/>
      <c r="SL518" s="11"/>
      <c r="SM518" s="11"/>
      <c r="SN518" s="11"/>
      <c r="SO518" s="11"/>
      <c r="SP518" s="11"/>
      <c r="SQ518" s="11"/>
      <c r="SR518" s="11"/>
      <c r="SS518" s="11"/>
      <c r="ST518" s="11"/>
      <c r="SU518" s="11"/>
      <c r="SV518" s="11"/>
      <c r="SW518" s="11"/>
      <c r="SX518" s="11"/>
      <c r="SY518" s="11"/>
      <c r="SZ518" s="11"/>
      <c r="TA518" s="11"/>
      <c r="TB518" s="11"/>
      <c r="TC518" s="11"/>
      <c r="TD518" s="11"/>
      <c r="TE518" s="11"/>
      <c r="TF518" s="11"/>
      <c r="TG518" s="11"/>
      <c r="TH518" s="11"/>
      <c r="TI518" s="11"/>
      <c r="TJ518" s="11"/>
      <c r="TK518" s="11"/>
      <c r="TL518" s="11"/>
      <c r="TM518" s="11"/>
      <c r="TN518" s="11"/>
      <c r="TO518" s="11"/>
      <c r="TP518" s="11"/>
      <c r="TQ518" s="11"/>
      <c r="TR518" s="11"/>
      <c r="TS518" s="11"/>
      <c r="TT518" s="11"/>
      <c r="TU518" s="11"/>
      <c r="TV518" s="11"/>
      <c r="TW518" s="11"/>
      <c r="TX518" s="11"/>
      <c r="TY518" s="11"/>
      <c r="TZ518" s="11"/>
      <c r="UA518" s="11"/>
      <c r="UB518" s="11"/>
      <c r="UC518" s="11"/>
      <c r="UD518" s="11"/>
      <c r="UE518" s="11"/>
      <c r="UF518" s="11"/>
      <c r="UG518" s="11"/>
      <c r="UH518" s="11"/>
      <c r="UI518" s="11"/>
      <c r="UJ518" s="11"/>
      <c r="UK518" s="11"/>
      <c r="UL518" s="11"/>
      <c r="UM518" s="11"/>
      <c r="UN518" s="11"/>
      <c r="UO518" s="11"/>
      <c r="UP518" s="11"/>
      <c r="UQ518" s="11"/>
      <c r="UR518" s="11"/>
      <c r="US518" s="11"/>
      <c r="UT518" s="11"/>
      <c r="UU518" s="11"/>
      <c r="UV518" s="11"/>
      <c r="UW518" s="11"/>
      <c r="UX518" s="11"/>
      <c r="UY518" s="11"/>
      <c r="UZ518" s="11"/>
      <c r="VA518" s="11"/>
      <c r="VB518" s="11"/>
      <c r="VC518" s="11"/>
      <c r="VD518" s="11"/>
      <c r="VE518" s="11"/>
      <c r="VF518" s="11"/>
      <c r="VG518" s="11"/>
      <c r="VH518" s="11"/>
      <c r="VI518" s="11"/>
      <c r="VJ518" s="11"/>
      <c r="VK518" s="11"/>
      <c r="VL518" s="11"/>
      <c r="VM518" s="11"/>
      <c r="VN518" s="11"/>
      <c r="VO518" s="11"/>
      <c r="VP518" s="11"/>
      <c r="VQ518" s="11"/>
      <c r="VR518" s="11"/>
      <c r="VS518" s="11"/>
      <c r="VT518" s="11"/>
      <c r="VU518" s="11"/>
      <c r="VV518" s="11"/>
      <c r="VW518" s="11"/>
      <c r="VX518" s="11"/>
      <c r="VY518" s="11"/>
      <c r="VZ518" s="11"/>
      <c r="WA518" s="11"/>
      <c r="WB518" s="11"/>
      <c r="WC518" s="11"/>
      <c r="WD518" s="11"/>
      <c r="WE518" s="11"/>
      <c r="WF518" s="11"/>
      <c r="WG518" s="11"/>
      <c r="WH518" s="11"/>
      <c r="WI518" s="11"/>
      <c r="WJ518" s="11"/>
      <c r="WK518" s="11"/>
      <c r="WL518" s="11"/>
      <c r="WM518" s="11"/>
      <c r="WN518" s="11"/>
      <c r="WO518" s="11"/>
      <c r="WP518" s="11"/>
      <c r="WQ518" s="11"/>
      <c r="WR518" s="11"/>
      <c r="WS518" s="11"/>
      <c r="WT518" s="11"/>
      <c r="WU518" s="11"/>
      <c r="WV518" s="11"/>
      <c r="WW518" s="11"/>
      <c r="WX518" s="11"/>
      <c r="WY518" s="11"/>
      <c r="WZ518" s="11"/>
      <c r="XA518" s="11"/>
      <c r="XB518" s="11"/>
      <c r="XC518" s="11"/>
      <c r="XD518" s="11"/>
      <c r="XE518" s="11"/>
      <c r="XF518" s="11"/>
      <c r="XG518" s="11"/>
      <c r="XH518" s="11"/>
      <c r="XI518" s="11"/>
      <c r="XJ518" s="11"/>
      <c r="XK518" s="11"/>
      <c r="XL518" s="11"/>
      <c r="XM518" s="11"/>
      <c r="XN518" s="11"/>
      <c r="XO518" s="11"/>
      <c r="XP518" s="11"/>
      <c r="XQ518" s="11"/>
      <c r="XR518" s="11"/>
      <c r="XS518" s="11"/>
      <c r="XT518" s="11"/>
      <c r="XU518" s="11"/>
      <c r="XV518" s="11"/>
      <c r="XW518" s="11"/>
      <c r="XX518" s="11"/>
      <c r="XY518" s="11"/>
      <c r="XZ518" s="11"/>
      <c r="YA518" s="11"/>
      <c r="YB518" s="11"/>
      <c r="YC518" s="11"/>
      <c r="YD518" s="11"/>
      <c r="YE518" s="11"/>
      <c r="YF518" s="11"/>
      <c r="YG518" s="11"/>
      <c r="YH518" s="11"/>
      <c r="YI518" s="11"/>
      <c r="YJ518" s="11"/>
      <c r="YK518" s="11"/>
      <c r="YL518" s="11"/>
      <c r="YM518" s="11"/>
      <c r="YN518" s="11"/>
      <c r="YO518" s="11"/>
      <c r="YP518" s="11"/>
      <c r="YQ518" s="11"/>
      <c r="YR518" s="11"/>
      <c r="YS518" s="11"/>
      <c r="YT518" s="11"/>
      <c r="YU518" s="11"/>
      <c r="YV518" s="11"/>
      <c r="YW518" s="11"/>
      <c r="YX518" s="11"/>
      <c r="YY518" s="11"/>
      <c r="YZ518" s="11"/>
      <c r="ZA518" s="11"/>
      <c r="ZB518" s="11"/>
      <c r="ZC518" s="11"/>
      <c r="ZD518" s="11"/>
      <c r="ZE518" s="11"/>
      <c r="ZF518" s="11"/>
      <c r="ZG518" s="11"/>
      <c r="ZH518" s="11"/>
      <c r="ZI518" s="11"/>
      <c r="ZJ518" s="11"/>
      <c r="ZK518" s="11"/>
      <c r="ZL518" s="11"/>
      <c r="ZM518" s="11"/>
      <c r="ZN518" s="11"/>
      <c r="ZO518" s="11"/>
      <c r="ZP518" s="11"/>
      <c r="ZQ518" s="11"/>
      <c r="ZR518" s="11"/>
      <c r="ZS518" s="11"/>
      <c r="ZT518" s="11"/>
      <c r="ZU518" s="11"/>
      <c r="ZV518" s="11"/>
      <c r="ZW518" s="11"/>
      <c r="ZX518" s="11"/>
      <c r="ZY518" s="11"/>
      <c r="ZZ518" s="11"/>
      <c r="AAA518" s="11"/>
      <c r="AAB518" s="11"/>
      <c r="AAC518" s="11"/>
      <c r="AAD518" s="11"/>
      <c r="AAE518" s="11"/>
      <c r="AAF518" s="11"/>
      <c r="AAG518" s="11"/>
      <c r="AAH518" s="11"/>
      <c r="AAI518" s="11"/>
      <c r="AAJ518" s="11"/>
      <c r="AAK518" s="11"/>
      <c r="AAL518" s="11"/>
      <c r="AAM518" s="11"/>
      <c r="AAN518" s="11"/>
      <c r="AAO518" s="11"/>
      <c r="AAP518" s="11"/>
      <c r="AAQ518" s="11"/>
      <c r="AAR518" s="11"/>
      <c r="AAS518" s="11"/>
      <c r="AAT518" s="11"/>
      <c r="AAU518" s="11"/>
      <c r="AAV518" s="11"/>
      <c r="AAW518" s="11"/>
      <c r="AAX518" s="11"/>
      <c r="AAY518" s="11"/>
      <c r="AAZ518" s="11"/>
      <c r="ABA518" s="11"/>
      <c r="ABB518" s="11"/>
      <c r="ABC518" s="11"/>
      <c r="ABD518" s="11"/>
      <c r="ABE518" s="11"/>
      <c r="ABF518" s="11"/>
      <c r="ABG518" s="11"/>
      <c r="ABH518" s="11"/>
      <c r="ABI518" s="11"/>
      <c r="ABJ518" s="11"/>
      <c r="ABK518" s="11"/>
      <c r="ABL518" s="11"/>
      <c r="ABM518" s="11"/>
      <c r="ABN518" s="11"/>
      <c r="ABO518" s="11"/>
      <c r="ABP518" s="11"/>
      <c r="ABQ518" s="11"/>
      <c r="ABR518" s="11"/>
      <c r="ABS518" s="11"/>
      <c r="ABT518" s="11"/>
      <c r="ABU518" s="11"/>
      <c r="ABV518" s="11"/>
      <c r="ABW518" s="11"/>
      <c r="ABX518" s="11"/>
      <c r="ABY518" s="11"/>
      <c r="ABZ518" s="11"/>
      <c r="ACA518" s="11"/>
      <c r="ACB518" s="11"/>
      <c r="ACC518" s="11"/>
      <c r="ACD518" s="11"/>
      <c r="ACE518" s="11"/>
      <c r="ACF518" s="11"/>
      <c r="ACG518" s="11"/>
      <c r="ACH518" s="11"/>
      <c r="ACI518" s="11"/>
      <c r="ACJ518" s="11"/>
      <c r="ACK518" s="11"/>
      <c r="ACL518" s="11"/>
      <c r="ACM518" s="11"/>
      <c r="ACN518" s="11"/>
      <c r="ACO518" s="11"/>
      <c r="ACP518" s="11"/>
      <c r="ACQ518" s="11"/>
      <c r="ACR518" s="11"/>
      <c r="ACS518" s="11"/>
      <c r="ACT518" s="11"/>
      <c r="ACU518" s="11"/>
      <c r="ACV518" s="11"/>
      <c r="ACW518" s="11"/>
      <c r="ACX518" s="11"/>
      <c r="ACY518" s="11"/>
      <c r="ACZ518" s="11"/>
      <c r="ADA518" s="11"/>
      <c r="ADB518" s="11"/>
      <c r="ADC518" s="11"/>
      <c r="ADD518" s="11"/>
      <c r="ADE518" s="11"/>
      <c r="ADF518" s="11"/>
      <c r="ADG518" s="11"/>
      <c r="ADH518" s="11"/>
      <c r="ADI518" s="11"/>
      <c r="ADJ518" s="11"/>
      <c r="ADK518" s="11"/>
      <c r="ADL518" s="11"/>
      <c r="ADM518" s="11"/>
      <c r="ADN518" s="11"/>
      <c r="ADO518" s="11"/>
      <c r="ADP518" s="11"/>
      <c r="ADQ518" s="11"/>
      <c r="ADR518" s="11"/>
      <c r="ADS518" s="11"/>
      <c r="ADT518" s="11"/>
      <c r="ADU518" s="11"/>
      <c r="ADV518" s="11"/>
      <c r="ADW518" s="11"/>
      <c r="ADX518" s="11"/>
      <c r="ADY518" s="11"/>
      <c r="ADZ518" s="11"/>
      <c r="AEA518" s="11"/>
      <c r="AEB518" s="11"/>
      <c r="AEC518" s="11"/>
      <c r="AED518" s="11"/>
      <c r="AEE518" s="11"/>
      <c r="AEF518" s="11"/>
      <c r="AEG518" s="11"/>
      <c r="AEH518" s="11"/>
      <c r="AEI518" s="11"/>
      <c r="AEJ518" s="11"/>
      <c r="AEK518" s="11"/>
      <c r="AEL518" s="11"/>
      <c r="AEM518" s="11"/>
      <c r="AEN518" s="11"/>
      <c r="AEO518" s="11"/>
      <c r="AEP518" s="11"/>
      <c r="AEQ518" s="11"/>
      <c r="AER518" s="11"/>
      <c r="AES518" s="11"/>
      <c r="AET518" s="11"/>
      <c r="AEU518" s="11"/>
      <c r="AEV518" s="11"/>
      <c r="AEW518" s="11"/>
      <c r="AEX518" s="11"/>
      <c r="AEY518" s="11"/>
      <c r="AEZ518" s="11"/>
      <c r="AFA518" s="11"/>
      <c r="AFB518" s="11"/>
      <c r="AFC518" s="11"/>
      <c r="AFD518" s="11"/>
      <c r="AFE518" s="11"/>
      <c r="AFF518" s="11"/>
      <c r="AFG518" s="11"/>
      <c r="AFH518" s="11"/>
      <c r="AFI518" s="11"/>
      <c r="AFJ518" s="11"/>
      <c r="AFK518" s="11"/>
      <c r="AFL518" s="11"/>
      <c r="AFM518" s="11"/>
      <c r="AFN518" s="11"/>
      <c r="AFO518" s="11"/>
      <c r="AFP518" s="11"/>
      <c r="AFQ518" s="11"/>
      <c r="AFR518" s="11"/>
      <c r="AFS518" s="11"/>
      <c r="AFT518" s="11"/>
      <c r="AFU518" s="11"/>
      <c r="AFV518" s="11"/>
      <c r="AFW518" s="11"/>
      <c r="AFX518" s="11"/>
      <c r="AFY518" s="11"/>
      <c r="AFZ518" s="11"/>
      <c r="AGA518" s="11"/>
      <c r="AGB518" s="11"/>
      <c r="AGC518" s="11"/>
      <c r="AGD518" s="11"/>
      <c r="AGE518" s="11"/>
      <c r="AGF518" s="11"/>
      <c r="AGG518" s="11"/>
      <c r="AGH518" s="11"/>
      <c r="AGI518" s="11"/>
      <c r="AGJ518" s="11"/>
      <c r="AGK518" s="11"/>
      <c r="AGL518" s="11"/>
      <c r="AGM518" s="11"/>
      <c r="AGN518" s="11"/>
      <c r="AGO518" s="11"/>
      <c r="AGP518" s="11"/>
      <c r="AGQ518" s="11"/>
      <c r="AGR518" s="11"/>
      <c r="AGS518" s="11"/>
      <c r="AGT518" s="11"/>
      <c r="AGU518" s="11"/>
      <c r="AGV518" s="11"/>
      <c r="AGW518" s="11"/>
      <c r="AGX518" s="11"/>
      <c r="AGY518" s="11"/>
      <c r="AGZ518" s="11"/>
      <c r="AHA518" s="11"/>
      <c r="AHB518" s="11"/>
      <c r="AHC518" s="11"/>
      <c r="AHD518" s="11"/>
      <c r="AHE518" s="11"/>
      <c r="AHF518" s="11"/>
      <c r="AHG518" s="11"/>
      <c r="AHH518" s="11"/>
      <c r="AHI518" s="11"/>
      <c r="AHJ518" s="11"/>
      <c r="AHK518" s="11"/>
      <c r="AHL518" s="11"/>
      <c r="AHM518" s="11"/>
      <c r="AHN518" s="11"/>
      <c r="AHO518" s="11"/>
      <c r="AHP518" s="11"/>
      <c r="AHQ518" s="11"/>
      <c r="AHR518" s="11"/>
      <c r="AHS518" s="11"/>
      <c r="AHT518" s="11"/>
      <c r="AHU518" s="11"/>
      <c r="AHV518" s="11"/>
      <c r="AHW518" s="11"/>
      <c r="AHX518" s="11"/>
      <c r="AHY518" s="11"/>
      <c r="AHZ518" s="11"/>
      <c r="AIA518" s="11"/>
      <c r="AIB518" s="11"/>
      <c r="AIC518" s="11"/>
      <c r="AID518" s="11"/>
      <c r="AIE518" s="11"/>
      <c r="AIF518" s="11"/>
      <c r="AIG518" s="11"/>
      <c r="AIH518" s="11"/>
      <c r="AII518" s="11"/>
      <c r="AIJ518" s="11"/>
      <c r="AIK518" s="11"/>
      <c r="AIL518" s="11"/>
      <c r="AIM518" s="11"/>
      <c r="AIN518" s="11"/>
      <c r="AIO518" s="11"/>
      <c r="AIP518" s="11"/>
      <c r="AIQ518" s="11"/>
      <c r="AIR518" s="11"/>
      <c r="AIS518" s="11"/>
      <c r="AIT518" s="11"/>
      <c r="AIU518" s="11"/>
      <c r="AIV518" s="11"/>
      <c r="AIW518" s="11"/>
      <c r="AIX518" s="11"/>
      <c r="AIY518" s="11"/>
      <c r="AIZ518" s="11"/>
      <c r="AJA518" s="11"/>
      <c r="AJB518" s="11"/>
      <c r="AJC518" s="11"/>
      <c r="AJD518" s="11"/>
      <c r="AJE518" s="11"/>
      <c r="AJF518" s="11"/>
      <c r="AJG518" s="11"/>
      <c r="AJH518" s="11"/>
      <c r="AJI518" s="11"/>
      <c r="AJJ518" s="11"/>
      <c r="AJK518" s="11"/>
      <c r="AJL518" s="11"/>
      <c r="AJM518" s="11"/>
      <c r="AJN518" s="11"/>
      <c r="AJO518" s="11"/>
      <c r="AJP518" s="11"/>
      <c r="AJQ518" s="11"/>
      <c r="AJR518" s="11"/>
      <c r="AJS518" s="11"/>
      <c r="AJT518" s="11"/>
      <c r="AJU518" s="11"/>
      <c r="AJV518" s="11"/>
      <c r="AJW518" s="11"/>
      <c r="AJX518" s="11"/>
      <c r="AJY518" s="11"/>
      <c r="AJZ518" s="11"/>
      <c r="AKA518" s="11"/>
      <c r="AKB518" s="11"/>
      <c r="AKC518" s="11"/>
      <c r="AKD518" s="11"/>
      <c r="AKE518" s="11"/>
      <c r="AKF518" s="11"/>
      <c r="AKG518" s="11"/>
      <c r="AKH518" s="11"/>
      <c r="AKI518" s="11"/>
      <c r="AKJ518" s="11"/>
      <c r="AKK518" s="11"/>
      <c r="AKL518" s="11"/>
      <c r="AKM518" s="11"/>
      <c r="AKN518" s="11"/>
      <c r="AKO518" s="11"/>
      <c r="AKP518" s="11"/>
      <c r="AKQ518" s="11"/>
      <c r="AKR518" s="11"/>
      <c r="AKS518" s="11"/>
      <c r="AKT518" s="11"/>
      <c r="AKU518" s="11"/>
      <c r="AKV518" s="11"/>
      <c r="AKW518" s="11"/>
      <c r="AKX518" s="11"/>
      <c r="AKY518" s="11"/>
      <c r="AKZ518" s="11"/>
      <c r="ALA518" s="11"/>
      <c r="ALB518" s="11"/>
      <c r="ALC518" s="11"/>
      <c r="ALD518" s="11"/>
      <c r="ALE518" s="11"/>
      <c r="ALF518" s="11"/>
      <c r="ALG518" s="11"/>
      <c r="ALH518" s="11"/>
      <c r="ALI518" s="11"/>
      <c r="ALJ518" s="11"/>
      <c r="ALK518" s="11"/>
      <c r="ALL518" s="11"/>
      <c r="ALM518" s="11"/>
      <c r="ALN518" s="11"/>
      <c r="ALO518" s="11"/>
      <c r="ALP518" s="11"/>
      <c r="ALQ518" s="11"/>
      <c r="ALR518" s="11"/>
      <c r="ALS518" s="11"/>
      <c r="ALT518" s="11"/>
      <c r="ALU518" s="11"/>
      <c r="ALV518" s="11"/>
      <c r="ALW518" s="11"/>
      <c r="ALX518" s="11"/>
      <c r="ALY518" s="11"/>
      <c r="ALZ518" s="11"/>
      <c r="AMA518" s="11"/>
      <c r="AMB518" s="11"/>
      <c r="AMC518" s="11"/>
      <c r="AMD518" s="11"/>
      <c r="AME518" s="11"/>
      <c r="AMF518" s="11"/>
      <c r="AMG518" s="11"/>
      <c r="AMH518" s="11"/>
      <c r="AMI518" s="11"/>
      <c r="AMJ518" s="11"/>
    </row>
    <row r="519" spans="1:1024" ht="41.4">
      <c r="A519" s="8" t="s">
        <v>502</v>
      </c>
      <c r="B519" s="8">
        <v>366558</v>
      </c>
      <c r="D519" s="29">
        <v>45308</v>
      </c>
      <c r="E519" s="1">
        <v>0</v>
      </c>
      <c r="F519" s="8">
        <v>6</v>
      </c>
      <c r="G519" s="30">
        <f t="shared" si="27"/>
        <v>3.6666666666666665</v>
      </c>
      <c r="H519" s="8">
        <f t="shared" si="26"/>
        <v>2.3333333333333335</v>
      </c>
      <c r="I519">
        <f t="shared" si="28"/>
        <v>2.3333333333333335</v>
      </c>
      <c r="J519">
        <f>SUMIF(Oeffentlichkeitsarbeit!$D:$D,$B519,Oeffentlichkeitsarbeit!$F:$F)</f>
        <v>0</v>
      </c>
      <c r="K519">
        <f>COUNTIF(Fairteiler!$D:$D,$B519)*1/2</f>
        <v>0</v>
      </c>
      <c r="L519">
        <f>COUNTIF('NP-Betrieb'!D:D,$B519)*1/3</f>
        <v>2.3333333333333335</v>
      </c>
      <c r="M519">
        <f>COUNTIF(Fairteilungen!$D:$D,$B519)*3/4</f>
        <v>0</v>
      </c>
      <c r="N519">
        <f>COUNTIF(Anlieferung!D:D,$B519)*1/2</f>
        <v>0</v>
      </c>
      <c r="O519">
        <f>COUNTIF(Probeabholungen!B:B,$B519)*1/3</f>
        <v>0</v>
      </c>
    </row>
    <row r="520" spans="1:1024" ht="27.6">
      <c r="A520" s="8" t="s">
        <v>503</v>
      </c>
      <c r="B520" s="8">
        <v>449352</v>
      </c>
      <c r="C520" s="8"/>
      <c r="D520" s="29"/>
      <c r="E520" s="1">
        <v>0</v>
      </c>
      <c r="F520" s="8">
        <v>6</v>
      </c>
      <c r="G520" s="30">
        <f t="shared" si="27"/>
        <v>5.333333333333333</v>
      </c>
      <c r="H520" s="8">
        <f t="shared" si="26"/>
        <v>0.66666666666666663</v>
      </c>
      <c r="I520">
        <f t="shared" si="28"/>
        <v>0.66666666666666663</v>
      </c>
      <c r="J520">
        <f>SUMIF(Oeffentlichkeitsarbeit!$D:$D,$B520,Oeffentlichkeitsarbeit!$F:$F)</f>
        <v>0</v>
      </c>
      <c r="K520">
        <f>COUNTIF(Fairteiler!$D:$D,$B520)*1/2</f>
        <v>0</v>
      </c>
      <c r="L520">
        <f>COUNTIF('NP-Betrieb'!D:D,$B520)*1/3</f>
        <v>0.66666666666666663</v>
      </c>
      <c r="M520">
        <f>COUNTIF(Fairteilungen!$D:$D,$B520)*3/4</f>
        <v>0</v>
      </c>
      <c r="N520">
        <f>COUNTIF(Anlieferung!D:D,$B520)*1/2</f>
        <v>0</v>
      </c>
      <c r="O520">
        <f>COUNTIF(Probeabholungen!B:B,$B520)*1/3</f>
        <v>0</v>
      </c>
    </row>
    <row r="521" spans="1:1024" ht="27.6">
      <c r="A521" s="8" t="s">
        <v>504</v>
      </c>
      <c r="B521" s="8">
        <v>635305</v>
      </c>
      <c r="D521" s="24">
        <v>45495</v>
      </c>
      <c r="E521" s="1">
        <v>0</v>
      </c>
      <c r="F521" s="8">
        <v>6</v>
      </c>
      <c r="G521" s="30">
        <f t="shared" si="27"/>
        <v>-2.3333333333333339</v>
      </c>
      <c r="H521" s="8">
        <f t="shared" si="26"/>
        <v>8.3333333333333339</v>
      </c>
      <c r="I521">
        <f t="shared" si="28"/>
        <v>8.3333333333333339</v>
      </c>
      <c r="J521">
        <f>SUMIF(Oeffentlichkeitsarbeit!$D:$D,$B521,Oeffentlichkeitsarbeit!$F:$F)</f>
        <v>0</v>
      </c>
      <c r="K521">
        <f>COUNTIF(Fairteiler!$D:$D,$B521)*1/2</f>
        <v>7</v>
      </c>
      <c r="L521">
        <f>COUNTIF('NP-Betrieb'!D:D,$B521)*1/3</f>
        <v>1.3333333333333333</v>
      </c>
      <c r="M521">
        <f>COUNTIF(Fairteilungen!$D:$D,$B521)*3/4</f>
        <v>0</v>
      </c>
      <c r="N521">
        <f>COUNTIF(Anlieferung!D:D,$B521)*1/2</f>
        <v>0</v>
      </c>
      <c r="O521">
        <f>COUNTIF(Probeabholungen!B:B,$B521)*1/3</f>
        <v>0</v>
      </c>
    </row>
    <row r="522" spans="1:1024" ht="27.6">
      <c r="A522" s="8" t="s">
        <v>505</v>
      </c>
      <c r="B522" s="8">
        <v>726889</v>
      </c>
      <c r="D522" s="29">
        <v>45058</v>
      </c>
      <c r="E522" s="1">
        <v>0</v>
      </c>
      <c r="F522" s="8">
        <v>6</v>
      </c>
      <c r="G522" s="30">
        <f t="shared" si="27"/>
        <v>-1.166666666666667</v>
      </c>
      <c r="H522" s="8">
        <f t="shared" si="26"/>
        <v>7.166666666666667</v>
      </c>
      <c r="I522">
        <f t="shared" si="28"/>
        <v>7.166666666666667</v>
      </c>
      <c r="J522">
        <f>SUMIF(Oeffentlichkeitsarbeit!$D:$D,$B522,Oeffentlichkeitsarbeit!$F:$F)</f>
        <v>0</v>
      </c>
      <c r="K522">
        <f>COUNTIF(Fairteiler!$D:$D,$B522)*1/2</f>
        <v>5.5</v>
      </c>
      <c r="L522">
        <f>COUNTIF('NP-Betrieb'!D:D,$B522)*1/3</f>
        <v>1.6666666666666667</v>
      </c>
      <c r="M522">
        <f>COUNTIF(Fairteilungen!$D:$D,$B522)*3/4</f>
        <v>0</v>
      </c>
      <c r="N522">
        <f>COUNTIF(Anlieferung!D:D,$B522)*1/2</f>
        <v>0</v>
      </c>
      <c r="O522">
        <f>COUNTIF(Probeabholungen!B:B,$B522)*1/3</f>
        <v>0</v>
      </c>
    </row>
    <row r="523" spans="1:1024" ht="27.6">
      <c r="A523" s="8" t="s">
        <v>506</v>
      </c>
      <c r="B523" s="8">
        <v>378310</v>
      </c>
      <c r="C523" s="11"/>
      <c r="D523" s="29"/>
      <c r="E523" s="1">
        <v>0</v>
      </c>
      <c r="F523" s="8">
        <v>6</v>
      </c>
      <c r="G523" s="30">
        <f t="shared" si="27"/>
        <v>4.666666666666667</v>
      </c>
      <c r="H523" s="8">
        <f t="shared" si="26"/>
        <v>1.3333333333333333</v>
      </c>
      <c r="I523" s="11">
        <f t="shared" si="28"/>
        <v>1.3333333333333333</v>
      </c>
      <c r="J523" s="11">
        <f>SUMIF(Oeffentlichkeitsarbeit!$D:$D,$B523,Oeffentlichkeitsarbeit!$F:$F)</f>
        <v>0</v>
      </c>
      <c r="K523" s="11">
        <f>COUNTIF(Fairteiler!$D:$D,$B523)*1/2</f>
        <v>0</v>
      </c>
      <c r="L523" s="11">
        <f>COUNTIF('NP-Betrieb'!D:D,$B523)*1/3</f>
        <v>1.3333333333333333</v>
      </c>
      <c r="M523" s="11">
        <f>COUNTIF(Fairteilungen!$D:$D,$B523)*3/4</f>
        <v>0</v>
      </c>
      <c r="N523" s="11">
        <f>COUNTIF(Anlieferung!D:D,$B523)*1/2</f>
        <v>0</v>
      </c>
      <c r="O523" s="11">
        <f>COUNTIF(Probeabholungen!B:B,$B523)*1/3</f>
        <v>0</v>
      </c>
    </row>
    <row r="524" spans="1:1024" ht="27.6">
      <c r="A524" s="8" t="s">
        <v>507</v>
      </c>
      <c r="B524" s="8">
        <v>206131</v>
      </c>
      <c r="D524" s="29"/>
      <c r="E524" s="1">
        <v>11</v>
      </c>
      <c r="F524" s="8">
        <v>6</v>
      </c>
      <c r="G524" s="30">
        <f t="shared" si="27"/>
        <v>17</v>
      </c>
      <c r="H524" s="8">
        <f t="shared" si="26"/>
        <v>-11</v>
      </c>
      <c r="I524">
        <f t="shared" si="28"/>
        <v>0</v>
      </c>
      <c r="J524">
        <f>SUMIF(Oeffentlichkeitsarbeit!$D:$D,$B524,Oeffentlichkeitsarbeit!$F:$F)</f>
        <v>0</v>
      </c>
      <c r="K524">
        <f>COUNTIF(Fairteiler!$D:$D,$B524)*1/2</f>
        <v>0</v>
      </c>
      <c r="L524">
        <f>COUNTIF('NP-Betrieb'!D:D,$B524)*1/3</f>
        <v>0</v>
      </c>
      <c r="M524">
        <f>COUNTIF(Fairteilungen!$D:$D,$B524)*3/4</f>
        <v>0</v>
      </c>
      <c r="N524">
        <f>COUNTIF(Anlieferung!D:D,$B524)*1/2</f>
        <v>0</v>
      </c>
      <c r="O524">
        <f>COUNTIF(Probeabholungen!B:B,$B524)*1/3</f>
        <v>0</v>
      </c>
    </row>
    <row r="525" spans="1:1024" ht="27.6">
      <c r="A525" s="8" t="s">
        <v>508</v>
      </c>
      <c r="B525" s="8">
        <v>232264</v>
      </c>
      <c r="D525" s="29"/>
      <c r="E525" s="1">
        <v>11.0033333333333</v>
      </c>
      <c r="F525" s="8">
        <v>6</v>
      </c>
      <c r="G525" s="30">
        <f t="shared" si="27"/>
        <v>17.003333333333302</v>
      </c>
      <c r="H525" s="8">
        <f t="shared" si="26"/>
        <v>-11.0033333333333</v>
      </c>
      <c r="I525">
        <f t="shared" si="28"/>
        <v>0</v>
      </c>
      <c r="J525">
        <f>SUMIF(Oeffentlichkeitsarbeit!$D:$D,$B525,Oeffentlichkeitsarbeit!$F:$F)</f>
        <v>0</v>
      </c>
      <c r="K525">
        <f>COUNTIF(Fairteiler!$D:$D,$B525)*1/2</f>
        <v>0</v>
      </c>
      <c r="L525">
        <f>COUNTIF('NP-Betrieb'!D:D,$B525)*1/3</f>
        <v>0</v>
      </c>
      <c r="M525">
        <f>COUNTIF(Fairteilungen!$D:$D,$B525)*3/4</f>
        <v>0</v>
      </c>
      <c r="N525">
        <f>COUNTIF(Anlieferung!D:D,$B525)*1/2</f>
        <v>0</v>
      </c>
      <c r="O525">
        <f>COUNTIF(Probeabholungen!B:B,$B525)*1/3</f>
        <v>0</v>
      </c>
    </row>
    <row r="526" spans="1:1024">
      <c r="A526" s="8" t="s">
        <v>509</v>
      </c>
      <c r="B526" s="8">
        <v>604888</v>
      </c>
      <c r="D526" s="29"/>
      <c r="E526" s="1">
        <v>0</v>
      </c>
      <c r="F526" s="8">
        <v>6</v>
      </c>
      <c r="G526" s="30">
        <f t="shared" si="27"/>
        <v>5.333333333333333</v>
      </c>
      <c r="H526" s="8">
        <f t="shared" si="26"/>
        <v>0.66666666666666663</v>
      </c>
      <c r="I526">
        <f t="shared" si="28"/>
        <v>0.66666666666666663</v>
      </c>
      <c r="J526">
        <f>SUMIF(Oeffentlichkeitsarbeit!$D:$D,$B526,Oeffentlichkeitsarbeit!$F:$F)</f>
        <v>0</v>
      </c>
      <c r="K526">
        <f>COUNTIF(Fairteiler!$D:$D,$B526)*1/2</f>
        <v>0</v>
      </c>
      <c r="L526">
        <f>COUNTIF('NP-Betrieb'!D:D,$B526)*1/3</f>
        <v>0.66666666666666663</v>
      </c>
      <c r="M526">
        <f>COUNTIF(Fairteilungen!$D:$D,$B526)*3/4</f>
        <v>0</v>
      </c>
      <c r="N526">
        <f>COUNTIF(Anlieferung!D:D,$B526)*1/2</f>
        <v>0</v>
      </c>
      <c r="O526">
        <f>COUNTIF(Probeabholungen!B:B,$B526)*1/3</f>
        <v>0</v>
      </c>
    </row>
    <row r="527" spans="1:1024">
      <c r="A527" s="8" t="s">
        <v>863</v>
      </c>
      <c r="B527" s="8">
        <v>996594</v>
      </c>
      <c r="D527" s="24">
        <v>46077</v>
      </c>
      <c r="E527">
        <v>0</v>
      </c>
      <c r="F527">
        <v>5</v>
      </c>
      <c r="G527" s="30">
        <f t="shared" si="27"/>
        <v>5</v>
      </c>
      <c r="H527" s="8">
        <f t="shared" si="26"/>
        <v>0</v>
      </c>
      <c r="I527">
        <f t="shared" si="28"/>
        <v>0</v>
      </c>
      <c r="J527">
        <f>SUMIF(Oeffentlichkeitsarbeit!$D:$D,$B527,Oeffentlichkeitsarbeit!$F:$F)</f>
        <v>0</v>
      </c>
      <c r="K527">
        <f>COUNTIF(Fairteiler!$D:$D,$B527)*1/2</f>
        <v>0</v>
      </c>
      <c r="L527">
        <f>COUNTIF('NP-Betrieb'!D:D,$B527)*1/3</f>
        <v>0</v>
      </c>
      <c r="M527">
        <f>COUNTIF(Fairteilungen!$D:$D,$B527)*3/4</f>
        <v>0</v>
      </c>
      <c r="N527">
        <f>COUNTIF(Anlieferung!D:D,$B527)*1/2</f>
        <v>0</v>
      </c>
      <c r="O527">
        <f>COUNTIF(Probeabholungen!B:B,$B527)*1/3</f>
        <v>0</v>
      </c>
    </row>
    <row r="528" spans="1:1024" ht="27.6">
      <c r="A528" s="8" t="s">
        <v>510</v>
      </c>
      <c r="B528" s="8">
        <v>199321</v>
      </c>
      <c r="D528" s="29">
        <v>45056</v>
      </c>
      <c r="E528" s="1">
        <v>15.67</v>
      </c>
      <c r="F528" s="8">
        <v>6</v>
      </c>
      <c r="G528" s="30">
        <f t="shared" si="27"/>
        <v>21.67</v>
      </c>
      <c r="H528" s="8">
        <f t="shared" si="26"/>
        <v>-15.67</v>
      </c>
      <c r="I528">
        <f t="shared" si="28"/>
        <v>0</v>
      </c>
      <c r="J528">
        <f>SUMIF(Oeffentlichkeitsarbeit!$D:$D,$B528,Oeffentlichkeitsarbeit!$F:$F)</f>
        <v>0</v>
      </c>
      <c r="K528">
        <f>COUNTIF(Fairteiler!$D:$D,$B528)*1/2</f>
        <v>0</v>
      </c>
      <c r="L528">
        <f>COUNTIF('NP-Betrieb'!D:D,$B528)*1/3</f>
        <v>0</v>
      </c>
      <c r="M528">
        <f>COUNTIF(Fairteilungen!$D:$D,$B528)*3/4</f>
        <v>0</v>
      </c>
      <c r="N528">
        <f>COUNTIF(Anlieferung!D:D,$B528)*1/2</f>
        <v>0</v>
      </c>
      <c r="O528">
        <f>COUNTIF(Probeabholungen!B:B,$B528)*1/3</f>
        <v>0</v>
      </c>
    </row>
    <row r="529" spans="1:1024" ht="27.6">
      <c r="A529" s="8" t="s">
        <v>511</v>
      </c>
      <c r="B529" s="8">
        <v>437593</v>
      </c>
      <c r="D529" s="29">
        <v>45149</v>
      </c>
      <c r="E529" s="1">
        <v>10.3333333333333</v>
      </c>
      <c r="F529" s="8">
        <v>6</v>
      </c>
      <c r="G529" s="30">
        <f t="shared" si="27"/>
        <v>16.3333333333333</v>
      </c>
      <c r="H529" s="8">
        <f t="shared" si="26"/>
        <v>-10.3333333333333</v>
      </c>
      <c r="I529">
        <f t="shared" si="28"/>
        <v>0</v>
      </c>
      <c r="J529">
        <f>SUMIF(Oeffentlichkeitsarbeit!$D:$D,$B529,Oeffentlichkeitsarbeit!$F:$F)</f>
        <v>0</v>
      </c>
      <c r="K529">
        <f>COUNTIF(Fairteiler!$D:$D,$B529)*1/2</f>
        <v>0</v>
      </c>
      <c r="L529">
        <f>COUNTIF('NP-Betrieb'!D:D,$B529)*1/3</f>
        <v>0</v>
      </c>
      <c r="M529">
        <f>COUNTIF(Fairteilungen!$D:$D,$B529)*3/4</f>
        <v>0</v>
      </c>
      <c r="N529">
        <f>COUNTIF(Anlieferung!D:D,$B529)*1/2</f>
        <v>0</v>
      </c>
      <c r="O529">
        <f>COUNTIF(Probeabholungen!B:B,$B529)*1/3</f>
        <v>0</v>
      </c>
    </row>
    <row r="530" spans="1:1024" ht="27.6">
      <c r="A530" s="8" t="s">
        <v>512</v>
      </c>
      <c r="B530" s="8">
        <v>482778</v>
      </c>
      <c r="D530" s="29"/>
      <c r="E530" s="1">
        <v>0</v>
      </c>
      <c r="F530" s="8">
        <v>6</v>
      </c>
      <c r="G530" s="30">
        <f t="shared" si="27"/>
        <v>3</v>
      </c>
      <c r="H530" s="8">
        <f t="shared" si="26"/>
        <v>3</v>
      </c>
      <c r="I530">
        <f t="shared" si="28"/>
        <v>3</v>
      </c>
      <c r="J530">
        <f>SUMIF(Oeffentlichkeitsarbeit!$D:$D,$B530,Oeffentlichkeitsarbeit!$F:$F)</f>
        <v>0</v>
      </c>
      <c r="K530">
        <f>COUNTIF(Fairteiler!$D:$D,$B530)*1/2</f>
        <v>2</v>
      </c>
      <c r="L530">
        <f>COUNTIF('NP-Betrieb'!D:D,$B530)*1/3</f>
        <v>1</v>
      </c>
      <c r="M530">
        <f>COUNTIF(Fairteilungen!$D:$D,$B530)*3/4</f>
        <v>0</v>
      </c>
      <c r="N530">
        <f>COUNTIF(Anlieferung!D:D,$B530)*1/2</f>
        <v>0</v>
      </c>
      <c r="O530">
        <f>COUNTIF(Probeabholungen!B:B,$B530)*1/3</f>
        <v>0</v>
      </c>
    </row>
    <row r="531" spans="1:1024" ht="27.6">
      <c r="A531" s="8" t="s">
        <v>513</v>
      </c>
      <c r="B531" s="8">
        <v>914365</v>
      </c>
      <c r="D531" s="24">
        <v>45799</v>
      </c>
      <c r="E531" s="1">
        <v>2.8333333333333299</v>
      </c>
      <c r="F531">
        <v>6</v>
      </c>
      <c r="G531" s="30">
        <f t="shared" si="27"/>
        <v>5.8333333333333304</v>
      </c>
      <c r="H531" s="8">
        <f t="shared" si="26"/>
        <v>0.16666666666667007</v>
      </c>
      <c r="I531">
        <f t="shared" si="28"/>
        <v>3</v>
      </c>
      <c r="J531">
        <f>SUMIF(Oeffentlichkeitsarbeit!$D:$D,$B531,Oeffentlichkeitsarbeit!$F:$F)</f>
        <v>0</v>
      </c>
      <c r="K531">
        <f>COUNTIF(Fairteiler!$D:$D,$B531)*1/2</f>
        <v>0</v>
      </c>
      <c r="L531">
        <f>COUNTIF('NP-Betrieb'!D:D,$B531)*1/3</f>
        <v>2</v>
      </c>
      <c r="M531">
        <f>COUNTIF(Fairteilungen!$D:$D,$B531)*3/4</f>
        <v>0</v>
      </c>
      <c r="N531">
        <f>COUNTIF(Anlieferung!D:D,$B531)*1/2</f>
        <v>1</v>
      </c>
      <c r="O531">
        <f>COUNTIF(Probeabholungen!B:B,$B531)*1/3</f>
        <v>0</v>
      </c>
    </row>
    <row r="532" spans="1:1024" ht="27.6">
      <c r="A532" s="8" t="s">
        <v>514</v>
      </c>
      <c r="B532" s="8">
        <v>836658</v>
      </c>
      <c r="D532" s="29">
        <v>45404</v>
      </c>
      <c r="E532" s="1">
        <v>0</v>
      </c>
      <c r="F532" s="8">
        <v>6</v>
      </c>
      <c r="G532" s="30">
        <f t="shared" si="27"/>
        <v>3.5</v>
      </c>
      <c r="H532" s="8">
        <f t="shared" si="26"/>
        <v>2.5</v>
      </c>
      <c r="I532">
        <f t="shared" si="28"/>
        <v>2.5</v>
      </c>
      <c r="J532">
        <f>SUMIF(Oeffentlichkeitsarbeit!$D:$D,$B532,Oeffentlichkeitsarbeit!$F:$F)</f>
        <v>0</v>
      </c>
      <c r="K532">
        <f>COUNTIF(Fairteiler!$D:$D,$B532)*1/2</f>
        <v>2.5</v>
      </c>
      <c r="L532">
        <f>COUNTIF('NP-Betrieb'!D:D,$B532)*1/3</f>
        <v>0</v>
      </c>
      <c r="M532">
        <f>COUNTIF(Fairteilungen!$D:$D,$B532)*3/4</f>
        <v>0</v>
      </c>
      <c r="N532">
        <f>COUNTIF(Anlieferung!D:D,$B532)*1/2</f>
        <v>0</v>
      </c>
      <c r="O532">
        <f>COUNTIF(Probeabholungen!B:B,$B532)*1/3</f>
        <v>0</v>
      </c>
    </row>
    <row r="533" spans="1:1024" ht="27.6">
      <c r="A533" s="8" t="s">
        <v>515</v>
      </c>
      <c r="B533" s="8">
        <v>801788</v>
      </c>
      <c r="C533" t="s">
        <v>864</v>
      </c>
      <c r="D533" s="24">
        <v>45771</v>
      </c>
      <c r="E533" s="1">
        <v>0</v>
      </c>
      <c r="F533">
        <v>6</v>
      </c>
      <c r="G533" s="30">
        <f t="shared" si="27"/>
        <v>4.333333333333333</v>
      </c>
      <c r="H533" s="8">
        <f t="shared" si="26"/>
        <v>1.6666666666666667</v>
      </c>
      <c r="I533">
        <f t="shared" si="28"/>
        <v>1.6666666666666667</v>
      </c>
      <c r="J533">
        <f>SUMIF(Oeffentlichkeitsarbeit!$D:$D,$B533,Oeffentlichkeitsarbeit!$F:$F)</f>
        <v>0</v>
      </c>
      <c r="K533">
        <f>COUNTIF(Fairteiler!$D:$D,$B533)*1/2</f>
        <v>0</v>
      </c>
      <c r="L533">
        <f>COUNTIF('NP-Betrieb'!D:D,$B533)*1/3</f>
        <v>1.6666666666666667</v>
      </c>
      <c r="M533">
        <f>COUNTIF(Fairteilungen!$D:$D,$B533)*3/4</f>
        <v>0</v>
      </c>
      <c r="N533">
        <f>COUNTIF(Anlieferung!D:D,$B533)*1/2</f>
        <v>0</v>
      </c>
      <c r="O533">
        <f>COUNTIF(Probeabholungen!B:B,$B533)*1/3</f>
        <v>0</v>
      </c>
    </row>
    <row r="534" spans="1:1024" ht="27.6">
      <c r="A534" s="8" t="s">
        <v>516</v>
      </c>
      <c r="B534" s="8">
        <v>314692</v>
      </c>
      <c r="D534" s="29"/>
      <c r="E534" s="1">
        <v>11</v>
      </c>
      <c r="F534" s="8">
        <v>6</v>
      </c>
      <c r="G534" s="30">
        <f t="shared" si="27"/>
        <v>3</v>
      </c>
      <c r="H534" s="8">
        <f t="shared" si="26"/>
        <v>3</v>
      </c>
      <c r="I534">
        <f t="shared" si="28"/>
        <v>14</v>
      </c>
      <c r="J534">
        <f>SUMIF(Oeffentlichkeitsarbeit!$D:$D,$B534,Oeffentlichkeitsarbeit!$F:$F)</f>
        <v>0</v>
      </c>
      <c r="K534">
        <f>COUNTIF(Fairteiler!$D:$D,$B534)*1/2</f>
        <v>0</v>
      </c>
      <c r="L534">
        <f>COUNTIF('NP-Betrieb'!D:D,$B534)*1/3</f>
        <v>14</v>
      </c>
      <c r="M534">
        <f>COUNTIF(Fairteilungen!$D:$D,$B534)*3/4</f>
        <v>0</v>
      </c>
      <c r="N534">
        <f>COUNTIF(Anlieferung!D:D,$B534)*1/2</f>
        <v>0</v>
      </c>
      <c r="O534">
        <f>COUNTIF(Probeabholungen!B:B,$B534)*1/3</f>
        <v>0</v>
      </c>
    </row>
    <row r="535" spans="1:1024" ht="27.6">
      <c r="A535" s="8" t="s">
        <v>517</v>
      </c>
      <c r="B535" s="8">
        <v>869668</v>
      </c>
      <c r="D535" s="24">
        <v>45594</v>
      </c>
      <c r="E535" s="1">
        <v>0</v>
      </c>
      <c r="F535" s="8">
        <v>6</v>
      </c>
      <c r="G535" s="30">
        <f t="shared" si="27"/>
        <v>-0.16666666666666696</v>
      </c>
      <c r="H535" s="8">
        <f t="shared" si="26"/>
        <v>6.166666666666667</v>
      </c>
      <c r="I535">
        <f t="shared" si="28"/>
        <v>6.166666666666667</v>
      </c>
      <c r="J535">
        <f>SUMIF(Oeffentlichkeitsarbeit!$D:$D,$B535,Oeffentlichkeitsarbeit!$F:$F)</f>
        <v>0</v>
      </c>
      <c r="K535">
        <f>COUNTIF(Fairteiler!$D:$D,$B535)*1/2</f>
        <v>0</v>
      </c>
      <c r="L535">
        <f>COUNTIF('NP-Betrieb'!D:D,$B535)*1/3</f>
        <v>4.666666666666667</v>
      </c>
      <c r="M535">
        <f>COUNTIF(Fairteilungen!$D:$D,$B535)*3/4</f>
        <v>0</v>
      </c>
      <c r="N535">
        <f>COUNTIF(Anlieferung!D:D,$B535)*1/2</f>
        <v>1.5</v>
      </c>
      <c r="O535">
        <f>COUNTIF(Probeabholungen!B:B,$B535)*1/3</f>
        <v>0</v>
      </c>
    </row>
    <row r="536" spans="1:1024">
      <c r="A536" s="8" t="s">
        <v>518</v>
      </c>
      <c r="B536" s="8">
        <v>636064</v>
      </c>
      <c r="D536" s="29"/>
      <c r="E536" s="1">
        <v>0</v>
      </c>
      <c r="F536" s="8">
        <v>6</v>
      </c>
      <c r="G536" s="30">
        <f t="shared" si="27"/>
        <v>3.8333333333333335</v>
      </c>
      <c r="H536" s="8">
        <f t="shared" si="26"/>
        <v>2.1666666666666665</v>
      </c>
      <c r="I536">
        <f t="shared" si="28"/>
        <v>2.1666666666666665</v>
      </c>
      <c r="J536">
        <f>SUMIF(Oeffentlichkeitsarbeit!$D:$D,$B536,Oeffentlichkeitsarbeit!$F:$F)</f>
        <v>0</v>
      </c>
      <c r="K536">
        <f>COUNTIF(Fairteiler!$D:$D,$B536)*1/2</f>
        <v>0.5</v>
      </c>
      <c r="L536">
        <f>COUNTIF('NP-Betrieb'!D:D,$B536)*1/3</f>
        <v>0.66666666666666663</v>
      </c>
      <c r="M536">
        <f>COUNTIF(Fairteilungen!$D:$D,$B536)*3/4</f>
        <v>0</v>
      </c>
      <c r="N536">
        <f>COUNTIF(Anlieferung!D:D,$B536)*1/2</f>
        <v>0</v>
      </c>
      <c r="O536">
        <f>COUNTIF(Probeabholungen!B:B,$B536)*1/3</f>
        <v>1</v>
      </c>
    </row>
    <row r="537" spans="1:1024" ht="27.6">
      <c r="A537" s="8" t="s">
        <v>519</v>
      </c>
      <c r="B537" s="8">
        <v>810133</v>
      </c>
      <c r="D537" s="24">
        <v>45771</v>
      </c>
      <c r="E537" s="1">
        <v>3.6666666666666701</v>
      </c>
      <c r="F537">
        <v>6</v>
      </c>
      <c r="G537" s="30">
        <f t="shared" si="27"/>
        <v>9.6666666666666696</v>
      </c>
      <c r="H537" s="8">
        <f t="shared" si="26"/>
        <v>-3.6666666666666701</v>
      </c>
      <c r="I537">
        <f t="shared" si="28"/>
        <v>0</v>
      </c>
      <c r="J537">
        <f>SUMIF(Oeffentlichkeitsarbeit!$D:$D,$B537,Oeffentlichkeitsarbeit!$F:$F)</f>
        <v>0</v>
      </c>
      <c r="K537">
        <f>COUNTIF(Fairteiler!$D:$D,$B537)*1/2</f>
        <v>0</v>
      </c>
      <c r="L537">
        <f>COUNTIF('NP-Betrieb'!D:D,$B537)*1/3</f>
        <v>0</v>
      </c>
      <c r="M537">
        <f>COUNTIF(Fairteilungen!$D:$D,$B537)*3/4</f>
        <v>0</v>
      </c>
      <c r="N537">
        <f>COUNTIF(Anlieferung!D:D,$B537)*1/2</f>
        <v>0</v>
      </c>
      <c r="O537">
        <f>COUNTIF(Probeabholungen!B:B,$B537)*1/3</f>
        <v>0</v>
      </c>
    </row>
    <row r="538" spans="1:1024">
      <c r="A538" s="8" t="s">
        <v>520</v>
      </c>
      <c r="B538" s="8">
        <v>672078</v>
      </c>
      <c r="C538" s="11"/>
      <c r="D538" s="29">
        <v>45105</v>
      </c>
      <c r="E538" s="1">
        <v>7.34</v>
      </c>
      <c r="F538" s="8">
        <v>6</v>
      </c>
      <c r="G538" s="30">
        <f t="shared" si="27"/>
        <v>13.34</v>
      </c>
      <c r="H538" s="8">
        <f t="shared" si="26"/>
        <v>-7.34</v>
      </c>
      <c r="I538" s="11">
        <f t="shared" si="28"/>
        <v>0</v>
      </c>
      <c r="J538" s="11">
        <f>SUMIF(Oeffentlichkeitsarbeit!$D:$D,$B538,Oeffentlichkeitsarbeit!$F:$F)</f>
        <v>0</v>
      </c>
      <c r="K538" s="11">
        <f>COUNTIF(Fairteiler!$D:$D,$B538)*1/2</f>
        <v>0</v>
      </c>
      <c r="L538" s="11">
        <f>COUNTIF('NP-Betrieb'!D:D,$B538)*1/3</f>
        <v>0</v>
      </c>
      <c r="M538" s="11">
        <f>COUNTIF(Fairteilungen!$D:$D,$B538)*3/4</f>
        <v>0</v>
      </c>
      <c r="N538" s="11">
        <f>COUNTIF(Anlieferung!D:D,$B538)*1/2</f>
        <v>0</v>
      </c>
      <c r="O538" s="11">
        <f>COUNTIF(Probeabholungen!B:B,$B538)*1/3</f>
        <v>0</v>
      </c>
    </row>
    <row r="539" spans="1:1024" s="45" customFormat="1" ht="27.6">
      <c r="A539" s="8" t="s">
        <v>521</v>
      </c>
      <c r="B539" s="8">
        <v>398483</v>
      </c>
      <c r="C539"/>
      <c r="D539" s="29"/>
      <c r="E539" s="1">
        <v>0</v>
      </c>
      <c r="F539" s="8">
        <v>6</v>
      </c>
      <c r="G539" s="30">
        <f t="shared" si="27"/>
        <v>4.5</v>
      </c>
      <c r="H539" s="8">
        <f t="shared" si="26"/>
        <v>1.5</v>
      </c>
      <c r="I539">
        <f t="shared" si="28"/>
        <v>1.5</v>
      </c>
      <c r="J539">
        <f>SUMIF(Oeffentlichkeitsarbeit!$D:$D,$B539,Oeffentlichkeitsarbeit!$F:$F)</f>
        <v>0</v>
      </c>
      <c r="K539">
        <f>COUNTIF(Fairteiler!$D:$D,$B539)*1/2</f>
        <v>1.5</v>
      </c>
      <c r="L539">
        <f>COUNTIF('NP-Betrieb'!D:D,$B539)*1/3</f>
        <v>0</v>
      </c>
      <c r="M539">
        <f>COUNTIF(Fairteilungen!$D:$D,$B539)*3/4</f>
        <v>0</v>
      </c>
      <c r="N539">
        <f>COUNTIF(Anlieferung!D:D,$B539)*1/2</f>
        <v>0</v>
      </c>
      <c r="O539">
        <f>COUNTIF(Probeabholungen!B:B,$B539)*1/3</f>
        <v>0</v>
      </c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  <c r="BR539"/>
      <c r="BS539"/>
      <c r="BT539"/>
      <c r="BU539"/>
      <c r="BV539"/>
      <c r="BW539"/>
      <c r="BX539"/>
      <c r="BY539"/>
      <c r="BZ539"/>
      <c r="CA539"/>
      <c r="CB539"/>
      <c r="CC539"/>
      <c r="CD539"/>
      <c r="CE539"/>
      <c r="CF539"/>
      <c r="CG539"/>
      <c r="CH539"/>
      <c r="CI539"/>
      <c r="CJ539"/>
      <c r="CK539"/>
      <c r="CL539"/>
      <c r="CM539"/>
      <c r="CN539"/>
      <c r="CO539"/>
      <c r="CP539"/>
      <c r="CQ539"/>
      <c r="CR539"/>
      <c r="CS539"/>
      <c r="CT539"/>
      <c r="CU539"/>
      <c r="CV539"/>
      <c r="CW539"/>
      <c r="CX539"/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/>
      <c r="DM539"/>
      <c r="DN539"/>
      <c r="DO539"/>
      <c r="DP539"/>
      <c r="DQ539"/>
      <c r="DR539"/>
      <c r="DS539"/>
      <c r="DT539"/>
      <c r="DU539"/>
      <c r="DV539"/>
      <c r="DW539"/>
      <c r="DX539"/>
      <c r="DY539"/>
      <c r="DZ539"/>
      <c r="EA539"/>
      <c r="EB539"/>
      <c r="EC539"/>
      <c r="ED539"/>
      <c r="EE539"/>
      <c r="EF539"/>
      <c r="EG539"/>
      <c r="EH539"/>
      <c r="EI539"/>
      <c r="EJ539"/>
      <c r="EK539"/>
      <c r="EL539"/>
      <c r="EM539"/>
      <c r="EN539"/>
      <c r="EO539"/>
      <c r="EP539"/>
      <c r="EQ539"/>
      <c r="ER539"/>
      <c r="ES539"/>
      <c r="ET539"/>
      <c r="EU539"/>
      <c r="EV539"/>
      <c r="EW539"/>
      <c r="EX539"/>
      <c r="EY539"/>
      <c r="EZ539"/>
      <c r="FA539"/>
      <c r="FB539"/>
      <c r="FC539"/>
      <c r="FD539"/>
      <c r="FE539"/>
      <c r="FF539"/>
      <c r="FG539"/>
      <c r="FH539"/>
      <c r="FI539"/>
      <c r="FJ539"/>
      <c r="FK539"/>
      <c r="FL539"/>
      <c r="FM539"/>
      <c r="FN539"/>
      <c r="FO539"/>
      <c r="FP539"/>
      <c r="FQ539"/>
      <c r="FR539"/>
      <c r="FS539"/>
      <c r="FT539"/>
      <c r="FU539"/>
      <c r="FV539"/>
      <c r="FW539"/>
      <c r="FX539"/>
      <c r="FY539"/>
      <c r="FZ539"/>
      <c r="GA539"/>
      <c r="GB539"/>
      <c r="GC539"/>
      <c r="GD539"/>
      <c r="GE539"/>
      <c r="GF539"/>
      <c r="GG539"/>
      <c r="GH539"/>
      <c r="GI539"/>
      <c r="GJ539"/>
      <c r="GK539"/>
      <c r="GL539"/>
      <c r="GM539"/>
      <c r="GN539"/>
      <c r="GO539"/>
      <c r="GP539"/>
      <c r="GQ539"/>
      <c r="GR539"/>
      <c r="GS539"/>
      <c r="GT539"/>
      <c r="GU539"/>
      <c r="GV539"/>
      <c r="GW539"/>
      <c r="GX539"/>
      <c r="GY539"/>
      <c r="GZ539"/>
      <c r="HA539"/>
      <c r="HB539"/>
      <c r="HC539"/>
      <c r="HD539"/>
      <c r="HE539"/>
      <c r="HF539"/>
      <c r="HG539"/>
      <c r="HH539"/>
      <c r="HI539"/>
      <c r="HJ539"/>
      <c r="HK539"/>
      <c r="HL539"/>
      <c r="HM539"/>
      <c r="HN539"/>
      <c r="HO539"/>
      <c r="HP539"/>
      <c r="HQ539"/>
      <c r="HR539"/>
      <c r="HS539"/>
      <c r="HT539"/>
      <c r="HU539"/>
      <c r="HV539"/>
      <c r="HW539"/>
      <c r="HX539"/>
      <c r="HY539"/>
      <c r="HZ539"/>
      <c r="IA539"/>
      <c r="IB539"/>
      <c r="IC539"/>
      <c r="ID539"/>
      <c r="IE539"/>
      <c r="IF539"/>
      <c r="IG539"/>
      <c r="IH539"/>
      <c r="II539"/>
      <c r="IJ539"/>
      <c r="IK539"/>
      <c r="IL539"/>
      <c r="IM539"/>
      <c r="IN539"/>
      <c r="IO539"/>
      <c r="IP539"/>
      <c r="IQ539"/>
      <c r="IR539"/>
      <c r="IS539"/>
      <c r="IT539"/>
      <c r="IU539"/>
      <c r="IV539"/>
      <c r="IW539"/>
      <c r="IX539"/>
      <c r="IY539"/>
      <c r="IZ539"/>
      <c r="JA539"/>
      <c r="JB539"/>
      <c r="JC539"/>
      <c r="JD539"/>
      <c r="JE539"/>
      <c r="JF539"/>
      <c r="JG539"/>
      <c r="JH539"/>
      <c r="JI539"/>
      <c r="JJ539"/>
      <c r="JK539"/>
      <c r="JL539"/>
      <c r="JM539"/>
      <c r="JN539"/>
      <c r="JO539"/>
      <c r="JP539"/>
      <c r="JQ539"/>
      <c r="JR539"/>
      <c r="JS539"/>
      <c r="JT539"/>
      <c r="JU539"/>
      <c r="JV539"/>
      <c r="JW539"/>
      <c r="JX539"/>
      <c r="JY539"/>
      <c r="JZ539"/>
      <c r="KA539"/>
      <c r="KB539"/>
      <c r="KC539"/>
      <c r="KD539"/>
      <c r="KE539"/>
      <c r="KF539"/>
      <c r="KG539"/>
      <c r="KH539"/>
      <c r="KI539"/>
      <c r="KJ539"/>
      <c r="KK539"/>
      <c r="KL539"/>
      <c r="KM539"/>
      <c r="KN539"/>
      <c r="KO539"/>
      <c r="KP539"/>
      <c r="KQ539"/>
      <c r="KR539"/>
      <c r="KS539"/>
      <c r="KT539"/>
      <c r="KU539"/>
      <c r="KV539"/>
      <c r="KW539"/>
      <c r="KX539"/>
      <c r="KY539"/>
      <c r="KZ539"/>
      <c r="LA539"/>
      <c r="LB539"/>
      <c r="LC539"/>
      <c r="LD539"/>
      <c r="LE539"/>
      <c r="LF539"/>
      <c r="LG539"/>
      <c r="LH539"/>
      <c r="LI539"/>
      <c r="LJ539"/>
      <c r="LK539"/>
      <c r="LL539"/>
      <c r="LM539"/>
      <c r="LN539"/>
      <c r="LO539"/>
      <c r="LP539"/>
      <c r="LQ539"/>
      <c r="LR539"/>
      <c r="LS539"/>
      <c r="LT539"/>
      <c r="LU539"/>
      <c r="LV539"/>
      <c r="LW539"/>
      <c r="LX539"/>
      <c r="LY539"/>
      <c r="LZ539"/>
      <c r="MA539"/>
      <c r="MB539"/>
      <c r="MC539"/>
      <c r="MD539"/>
      <c r="ME539"/>
      <c r="MF539"/>
      <c r="MG539"/>
      <c r="MH539"/>
      <c r="MI539"/>
      <c r="MJ539"/>
      <c r="MK539"/>
      <c r="ML539"/>
      <c r="MM539"/>
      <c r="MN539"/>
      <c r="MO539"/>
      <c r="MP539"/>
      <c r="MQ539"/>
      <c r="MR539"/>
      <c r="MS539"/>
      <c r="MT539"/>
      <c r="MU539"/>
      <c r="MV539"/>
      <c r="MW539"/>
      <c r="MX539"/>
      <c r="MY539"/>
      <c r="MZ539"/>
      <c r="NA539"/>
      <c r="NB539"/>
      <c r="NC539"/>
      <c r="ND539"/>
      <c r="NE539"/>
      <c r="NF539"/>
      <c r="NG539"/>
      <c r="NH539"/>
      <c r="NI539"/>
      <c r="NJ539"/>
      <c r="NK539"/>
      <c r="NL539"/>
      <c r="NM539"/>
      <c r="NN539"/>
      <c r="NO539"/>
      <c r="NP539"/>
      <c r="NQ539"/>
      <c r="NR539"/>
      <c r="NS539"/>
      <c r="NT539"/>
      <c r="NU539"/>
      <c r="NV539"/>
      <c r="NW539"/>
      <c r="NX539"/>
      <c r="NY539"/>
      <c r="NZ539"/>
      <c r="OA539"/>
      <c r="OB539"/>
      <c r="OC539"/>
      <c r="OD539"/>
      <c r="OE539"/>
      <c r="OF539"/>
      <c r="OG539"/>
      <c r="OH539"/>
      <c r="OI539"/>
      <c r="OJ539"/>
      <c r="OK539"/>
      <c r="OL539"/>
      <c r="OM539"/>
      <c r="ON539"/>
      <c r="OO539"/>
      <c r="OP539"/>
      <c r="OQ539"/>
      <c r="OR539"/>
      <c r="OS539"/>
      <c r="OT539"/>
      <c r="OU539"/>
      <c r="OV539"/>
      <c r="OW539"/>
      <c r="OX539"/>
      <c r="OY539"/>
      <c r="OZ539"/>
      <c r="PA539"/>
      <c r="PB539"/>
      <c r="PC539"/>
      <c r="PD539"/>
      <c r="PE539"/>
      <c r="PF539"/>
      <c r="PG539"/>
      <c r="PH539"/>
      <c r="PI539"/>
      <c r="PJ539"/>
      <c r="PK539"/>
      <c r="PL539"/>
      <c r="PM539"/>
      <c r="PN539"/>
      <c r="PO539"/>
      <c r="PP539"/>
      <c r="PQ539"/>
      <c r="PR539"/>
      <c r="PS539"/>
      <c r="PT539"/>
      <c r="PU539"/>
      <c r="PV539"/>
      <c r="PW539"/>
      <c r="PX539"/>
      <c r="PY539"/>
      <c r="PZ539"/>
      <c r="QA539"/>
      <c r="QB539"/>
      <c r="QC539"/>
      <c r="QD539"/>
      <c r="QE539"/>
      <c r="QF539"/>
      <c r="QG539"/>
      <c r="QH539"/>
      <c r="QI539"/>
      <c r="QJ539"/>
      <c r="QK539"/>
      <c r="QL539"/>
      <c r="QM539"/>
      <c r="QN539"/>
      <c r="QO539"/>
      <c r="QP539"/>
      <c r="QQ539"/>
      <c r="QR539"/>
      <c r="QS539"/>
      <c r="QT539"/>
      <c r="QU539"/>
      <c r="QV539"/>
      <c r="QW539"/>
      <c r="QX539"/>
      <c r="QY539"/>
      <c r="QZ539"/>
      <c r="RA539"/>
      <c r="RB539"/>
      <c r="RC539"/>
      <c r="RD539"/>
      <c r="RE539"/>
      <c r="RF539"/>
      <c r="RG539"/>
      <c r="RH539"/>
      <c r="RI539"/>
      <c r="RJ539"/>
      <c r="RK539"/>
      <c r="RL539"/>
      <c r="RM539"/>
      <c r="RN539"/>
      <c r="RO539"/>
      <c r="RP539"/>
      <c r="RQ539"/>
      <c r="RR539"/>
      <c r="RS539"/>
      <c r="RT539"/>
      <c r="RU539"/>
      <c r="RV539"/>
      <c r="RW539"/>
      <c r="RX539"/>
      <c r="RY539"/>
      <c r="RZ539"/>
      <c r="SA539"/>
      <c r="SB539"/>
      <c r="SC539"/>
      <c r="SD539"/>
      <c r="SE539"/>
      <c r="SF539"/>
      <c r="SG539"/>
      <c r="SH539"/>
      <c r="SI539"/>
      <c r="SJ539"/>
      <c r="SK539"/>
      <c r="SL539"/>
      <c r="SM539"/>
      <c r="SN539"/>
      <c r="SO539"/>
      <c r="SP539"/>
      <c r="SQ539"/>
      <c r="SR539"/>
      <c r="SS539"/>
      <c r="ST539"/>
      <c r="SU539"/>
      <c r="SV539"/>
      <c r="SW539"/>
      <c r="SX539"/>
      <c r="SY539"/>
      <c r="SZ539"/>
      <c r="TA539"/>
      <c r="TB539"/>
      <c r="TC539"/>
      <c r="TD539"/>
      <c r="TE539"/>
      <c r="TF539"/>
      <c r="TG539"/>
      <c r="TH539"/>
      <c r="TI539"/>
      <c r="TJ539"/>
      <c r="TK539"/>
      <c r="TL539"/>
      <c r="TM539"/>
      <c r="TN539"/>
      <c r="TO539"/>
      <c r="TP539"/>
      <c r="TQ539"/>
      <c r="TR539"/>
      <c r="TS539"/>
      <c r="TT539"/>
      <c r="TU539"/>
      <c r="TV539"/>
      <c r="TW539"/>
      <c r="TX539"/>
      <c r="TY539"/>
      <c r="TZ539"/>
      <c r="UA539"/>
      <c r="UB539"/>
      <c r="UC539"/>
      <c r="UD539"/>
      <c r="UE539"/>
      <c r="UF539"/>
      <c r="UG539"/>
      <c r="UH539"/>
      <c r="UI539"/>
      <c r="UJ539"/>
      <c r="UK539"/>
      <c r="UL539"/>
      <c r="UM539"/>
      <c r="UN539"/>
      <c r="UO539"/>
      <c r="UP539"/>
      <c r="UQ539"/>
      <c r="UR539"/>
      <c r="US539"/>
      <c r="UT539"/>
      <c r="UU539"/>
      <c r="UV539"/>
      <c r="UW539"/>
      <c r="UX539"/>
      <c r="UY539"/>
      <c r="UZ539"/>
      <c r="VA539"/>
      <c r="VB539"/>
      <c r="VC539"/>
      <c r="VD539"/>
      <c r="VE539"/>
      <c r="VF539"/>
      <c r="VG539"/>
      <c r="VH539"/>
      <c r="VI539"/>
      <c r="VJ539"/>
      <c r="VK539"/>
      <c r="VL539"/>
      <c r="VM539"/>
      <c r="VN539"/>
      <c r="VO539"/>
      <c r="VP539"/>
      <c r="VQ539"/>
      <c r="VR539"/>
      <c r="VS539"/>
      <c r="VT539"/>
      <c r="VU539"/>
      <c r="VV539"/>
      <c r="VW539"/>
      <c r="VX539"/>
      <c r="VY539"/>
      <c r="VZ539"/>
      <c r="WA539"/>
      <c r="WB539"/>
      <c r="WC539"/>
      <c r="WD539"/>
      <c r="WE539"/>
      <c r="WF539"/>
      <c r="WG539"/>
      <c r="WH539"/>
      <c r="WI539"/>
      <c r="WJ539"/>
      <c r="WK539"/>
      <c r="WL539"/>
      <c r="WM539"/>
      <c r="WN539"/>
      <c r="WO539"/>
      <c r="WP539"/>
      <c r="WQ539"/>
      <c r="WR539"/>
      <c r="WS539"/>
      <c r="WT539"/>
      <c r="WU539"/>
      <c r="WV539"/>
      <c r="WW539"/>
      <c r="WX539"/>
      <c r="WY539"/>
      <c r="WZ539"/>
      <c r="XA539"/>
      <c r="XB539"/>
      <c r="XC539"/>
      <c r="XD539"/>
      <c r="XE539"/>
      <c r="XF539"/>
      <c r="XG539"/>
      <c r="XH539"/>
      <c r="XI539"/>
      <c r="XJ539"/>
      <c r="XK539"/>
      <c r="XL539"/>
      <c r="XM539"/>
      <c r="XN539"/>
      <c r="XO539"/>
      <c r="XP539"/>
      <c r="XQ539"/>
      <c r="XR539"/>
      <c r="XS539"/>
      <c r="XT539"/>
      <c r="XU539"/>
      <c r="XV539"/>
      <c r="XW539"/>
      <c r="XX539"/>
      <c r="XY539"/>
      <c r="XZ539"/>
      <c r="YA539"/>
      <c r="YB539"/>
      <c r="YC539"/>
      <c r="YD539"/>
      <c r="YE539"/>
      <c r="YF539"/>
      <c r="YG539"/>
      <c r="YH539"/>
      <c r="YI539"/>
      <c r="YJ539"/>
      <c r="YK539"/>
      <c r="YL539"/>
      <c r="YM539"/>
      <c r="YN539"/>
      <c r="YO539"/>
      <c r="YP539"/>
      <c r="YQ539"/>
      <c r="YR539"/>
      <c r="YS539"/>
      <c r="YT539"/>
      <c r="YU539"/>
      <c r="YV539"/>
      <c r="YW539"/>
      <c r="YX539"/>
      <c r="YY539"/>
      <c r="YZ539"/>
      <c r="ZA539"/>
      <c r="ZB539"/>
      <c r="ZC539"/>
      <c r="ZD539"/>
      <c r="ZE539"/>
      <c r="ZF539"/>
      <c r="ZG539"/>
      <c r="ZH539"/>
      <c r="ZI539"/>
      <c r="ZJ539"/>
      <c r="ZK539"/>
      <c r="ZL539"/>
      <c r="ZM539"/>
      <c r="ZN539"/>
      <c r="ZO539"/>
      <c r="ZP539"/>
      <c r="ZQ539"/>
      <c r="ZR539"/>
      <c r="ZS539"/>
      <c r="ZT539"/>
      <c r="ZU539"/>
      <c r="ZV539"/>
      <c r="ZW539"/>
      <c r="ZX539"/>
      <c r="ZY539"/>
      <c r="ZZ539"/>
      <c r="AAA539"/>
      <c r="AAB539"/>
      <c r="AAC539"/>
      <c r="AAD539"/>
      <c r="AAE539"/>
      <c r="AAF539"/>
      <c r="AAG539"/>
      <c r="AAH539"/>
      <c r="AAI539"/>
      <c r="AAJ539"/>
      <c r="AAK539"/>
      <c r="AAL539"/>
      <c r="AAM539"/>
      <c r="AAN539"/>
      <c r="AAO539"/>
      <c r="AAP539"/>
      <c r="AAQ539"/>
      <c r="AAR539"/>
      <c r="AAS539"/>
      <c r="AAT539"/>
      <c r="AAU539"/>
      <c r="AAV539"/>
      <c r="AAW539"/>
      <c r="AAX539"/>
      <c r="AAY539"/>
      <c r="AAZ539"/>
      <c r="ABA539"/>
      <c r="ABB539"/>
      <c r="ABC539"/>
      <c r="ABD539"/>
      <c r="ABE539"/>
      <c r="ABF539"/>
      <c r="ABG539"/>
      <c r="ABH539"/>
      <c r="ABI539"/>
      <c r="ABJ539"/>
      <c r="ABK539"/>
      <c r="ABL539"/>
      <c r="ABM539"/>
      <c r="ABN539"/>
      <c r="ABO539"/>
      <c r="ABP539"/>
      <c r="ABQ539"/>
      <c r="ABR539"/>
      <c r="ABS539"/>
      <c r="ABT539"/>
      <c r="ABU539"/>
      <c r="ABV539"/>
      <c r="ABW539"/>
      <c r="ABX539"/>
      <c r="ABY539"/>
      <c r="ABZ539"/>
      <c r="ACA539"/>
      <c r="ACB539"/>
      <c r="ACC539"/>
      <c r="ACD539"/>
      <c r="ACE539"/>
      <c r="ACF539"/>
      <c r="ACG539"/>
      <c r="ACH539"/>
      <c r="ACI539"/>
      <c r="ACJ539"/>
      <c r="ACK539"/>
      <c r="ACL539"/>
      <c r="ACM539"/>
      <c r="ACN539"/>
      <c r="ACO539"/>
      <c r="ACP539"/>
      <c r="ACQ539"/>
      <c r="ACR539"/>
      <c r="ACS539"/>
      <c r="ACT539"/>
      <c r="ACU539"/>
      <c r="ACV539"/>
      <c r="ACW539"/>
      <c r="ACX539"/>
      <c r="ACY539"/>
      <c r="ACZ539"/>
      <c r="ADA539"/>
      <c r="ADB539"/>
      <c r="ADC539"/>
      <c r="ADD539"/>
      <c r="ADE539"/>
      <c r="ADF539"/>
      <c r="ADG539"/>
      <c r="ADH539"/>
      <c r="ADI539"/>
      <c r="ADJ539"/>
      <c r="ADK539"/>
      <c r="ADL539"/>
      <c r="ADM539"/>
      <c r="ADN539"/>
      <c r="ADO539"/>
      <c r="ADP539"/>
      <c r="ADQ539"/>
      <c r="ADR539"/>
      <c r="ADS539"/>
      <c r="ADT539"/>
      <c r="ADU539"/>
      <c r="ADV539"/>
      <c r="ADW539"/>
      <c r="ADX539"/>
      <c r="ADY539"/>
      <c r="ADZ539"/>
      <c r="AEA539"/>
      <c r="AEB539"/>
      <c r="AEC539"/>
      <c r="AED539"/>
      <c r="AEE539"/>
      <c r="AEF539"/>
      <c r="AEG539"/>
      <c r="AEH539"/>
      <c r="AEI539"/>
      <c r="AEJ539"/>
      <c r="AEK539"/>
      <c r="AEL539"/>
      <c r="AEM539"/>
      <c r="AEN539"/>
      <c r="AEO539"/>
      <c r="AEP539"/>
      <c r="AEQ539"/>
      <c r="AER539"/>
      <c r="AES539"/>
      <c r="AET539"/>
      <c r="AEU539"/>
      <c r="AEV539"/>
      <c r="AEW539"/>
      <c r="AEX539"/>
      <c r="AEY539"/>
      <c r="AEZ539"/>
      <c r="AFA539"/>
      <c r="AFB539"/>
      <c r="AFC539"/>
      <c r="AFD539"/>
      <c r="AFE539"/>
      <c r="AFF539"/>
      <c r="AFG539"/>
      <c r="AFH539"/>
      <c r="AFI539"/>
      <c r="AFJ539"/>
      <c r="AFK539"/>
      <c r="AFL539"/>
      <c r="AFM539"/>
      <c r="AFN539"/>
      <c r="AFO539"/>
      <c r="AFP539"/>
      <c r="AFQ539"/>
      <c r="AFR539"/>
      <c r="AFS539"/>
      <c r="AFT539"/>
      <c r="AFU539"/>
      <c r="AFV539"/>
      <c r="AFW539"/>
      <c r="AFX539"/>
      <c r="AFY539"/>
      <c r="AFZ539"/>
      <c r="AGA539"/>
      <c r="AGB539"/>
      <c r="AGC539"/>
      <c r="AGD539"/>
      <c r="AGE539"/>
      <c r="AGF539"/>
      <c r="AGG539"/>
      <c r="AGH539"/>
      <c r="AGI539"/>
      <c r="AGJ539"/>
      <c r="AGK539"/>
      <c r="AGL539"/>
      <c r="AGM539"/>
      <c r="AGN539"/>
      <c r="AGO539"/>
      <c r="AGP539"/>
      <c r="AGQ539"/>
      <c r="AGR539"/>
      <c r="AGS539"/>
      <c r="AGT539"/>
      <c r="AGU539"/>
      <c r="AGV539"/>
      <c r="AGW539"/>
      <c r="AGX539"/>
      <c r="AGY539"/>
      <c r="AGZ539"/>
      <c r="AHA539"/>
      <c r="AHB539"/>
      <c r="AHC539"/>
      <c r="AHD539"/>
      <c r="AHE539"/>
      <c r="AHF539"/>
      <c r="AHG539"/>
      <c r="AHH539"/>
      <c r="AHI539"/>
      <c r="AHJ539"/>
      <c r="AHK539"/>
      <c r="AHL539"/>
      <c r="AHM539"/>
      <c r="AHN539"/>
      <c r="AHO539"/>
      <c r="AHP539"/>
      <c r="AHQ539"/>
      <c r="AHR539"/>
      <c r="AHS539"/>
      <c r="AHT539"/>
      <c r="AHU539"/>
      <c r="AHV539"/>
      <c r="AHW539"/>
      <c r="AHX539"/>
      <c r="AHY539"/>
      <c r="AHZ539"/>
      <c r="AIA539"/>
      <c r="AIB539"/>
      <c r="AIC539"/>
      <c r="AID539"/>
      <c r="AIE539"/>
      <c r="AIF539"/>
      <c r="AIG539"/>
      <c r="AIH539"/>
      <c r="AII539"/>
      <c r="AIJ539"/>
      <c r="AIK539"/>
      <c r="AIL539"/>
      <c r="AIM539"/>
      <c r="AIN539"/>
      <c r="AIO539"/>
      <c r="AIP539"/>
      <c r="AIQ539"/>
      <c r="AIR539"/>
      <c r="AIS539"/>
      <c r="AIT539"/>
      <c r="AIU539"/>
      <c r="AIV539"/>
      <c r="AIW539"/>
      <c r="AIX539"/>
      <c r="AIY539"/>
      <c r="AIZ539"/>
      <c r="AJA539"/>
      <c r="AJB539"/>
      <c r="AJC539"/>
      <c r="AJD539"/>
      <c r="AJE539"/>
      <c r="AJF539"/>
      <c r="AJG539"/>
      <c r="AJH539"/>
      <c r="AJI539"/>
      <c r="AJJ539"/>
      <c r="AJK539"/>
      <c r="AJL539"/>
      <c r="AJM539"/>
      <c r="AJN539"/>
      <c r="AJO539"/>
      <c r="AJP539"/>
      <c r="AJQ539"/>
      <c r="AJR539"/>
      <c r="AJS539"/>
      <c r="AJT539"/>
      <c r="AJU539"/>
      <c r="AJV539"/>
      <c r="AJW539"/>
      <c r="AJX539"/>
      <c r="AJY539"/>
      <c r="AJZ539"/>
      <c r="AKA539"/>
      <c r="AKB539"/>
      <c r="AKC539"/>
      <c r="AKD539"/>
      <c r="AKE539"/>
      <c r="AKF539"/>
      <c r="AKG539"/>
      <c r="AKH539"/>
      <c r="AKI539"/>
      <c r="AKJ539"/>
      <c r="AKK539"/>
      <c r="AKL539"/>
      <c r="AKM539"/>
      <c r="AKN539"/>
      <c r="AKO539"/>
      <c r="AKP539"/>
      <c r="AKQ539"/>
      <c r="AKR539"/>
      <c r="AKS539"/>
      <c r="AKT539"/>
      <c r="AKU539"/>
      <c r="AKV539"/>
      <c r="AKW539"/>
      <c r="AKX539"/>
      <c r="AKY539"/>
      <c r="AKZ539"/>
      <c r="ALA539"/>
      <c r="ALB539"/>
      <c r="ALC539"/>
      <c r="ALD539"/>
      <c r="ALE539"/>
      <c r="ALF539"/>
      <c r="ALG539"/>
      <c r="ALH539"/>
      <c r="ALI539"/>
      <c r="ALJ539"/>
      <c r="ALK539"/>
      <c r="ALL539"/>
      <c r="ALM539"/>
      <c r="ALN539"/>
      <c r="ALO539"/>
      <c r="ALP539"/>
      <c r="ALQ539"/>
      <c r="ALR539"/>
      <c r="ALS539"/>
      <c r="ALT539"/>
      <c r="ALU539"/>
      <c r="ALV539"/>
      <c r="ALW539"/>
      <c r="ALX539"/>
      <c r="ALY539"/>
      <c r="ALZ539"/>
      <c r="AMA539"/>
      <c r="AMB539"/>
      <c r="AMC539"/>
      <c r="AMD539"/>
      <c r="AME539"/>
      <c r="AMF539"/>
      <c r="AMG539"/>
      <c r="AMH539"/>
      <c r="AMI539"/>
      <c r="AMJ539"/>
    </row>
    <row r="540" spans="1:1024" ht="27.6">
      <c r="A540" s="14" t="s">
        <v>522</v>
      </c>
      <c r="B540" s="14">
        <v>523551</v>
      </c>
      <c r="C540" s="14" t="s">
        <v>839</v>
      </c>
      <c r="D540" s="29"/>
      <c r="E540" s="1">
        <v>0</v>
      </c>
      <c r="F540" s="14">
        <v>0</v>
      </c>
      <c r="G540" s="30">
        <f t="shared" si="27"/>
        <v>-0.33333333333333331</v>
      </c>
      <c r="H540" s="14">
        <f t="shared" ref="H540:H603" si="29">I540-E540</f>
        <v>0.33333333333333331</v>
      </c>
      <c r="I540" s="11">
        <f t="shared" si="28"/>
        <v>0.33333333333333331</v>
      </c>
      <c r="J540" s="11">
        <f>SUMIF(Oeffentlichkeitsarbeit!$D:$D,$B540,Oeffentlichkeitsarbeit!$F:$F)</f>
        <v>0</v>
      </c>
      <c r="K540" s="11">
        <f>COUNTIF(Fairteiler!$D:$D,$B540)*1/2</f>
        <v>0</v>
      </c>
      <c r="L540" s="11">
        <f>COUNTIF('NP-Betrieb'!D:D,$B540)*1/3</f>
        <v>0.33333333333333331</v>
      </c>
      <c r="M540" s="11">
        <f>COUNTIF(Fairteilungen!$D:$D,$B540)*3/4</f>
        <v>0</v>
      </c>
      <c r="N540" s="11">
        <f>COUNTIF(Anlieferung!D:D,$B540)*1/2</f>
        <v>0</v>
      </c>
      <c r="O540" s="11">
        <f>COUNTIF(Probeabholungen!B:B,$B540)*1/3</f>
        <v>0</v>
      </c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  <c r="AC540" s="45"/>
      <c r="AD540" s="45"/>
      <c r="AE540" s="45"/>
      <c r="AF540" s="45"/>
      <c r="AG540" s="45"/>
      <c r="AH540" s="45"/>
      <c r="AI540" s="45"/>
      <c r="AJ540" s="45"/>
      <c r="AK540" s="45"/>
      <c r="AL540" s="45"/>
      <c r="AM540" s="45"/>
      <c r="AN540" s="45"/>
      <c r="AO540" s="45"/>
      <c r="AP540" s="45"/>
      <c r="AQ540" s="45"/>
      <c r="AR540" s="45"/>
      <c r="AS540" s="45"/>
      <c r="AT540" s="45"/>
      <c r="AU540" s="45"/>
      <c r="AV540" s="45"/>
      <c r="AW540" s="45"/>
      <c r="AX540" s="45"/>
      <c r="AY540" s="45"/>
      <c r="AZ540" s="45"/>
      <c r="BA540" s="45"/>
      <c r="BB540" s="45"/>
      <c r="BC540" s="45"/>
      <c r="BD540" s="45"/>
      <c r="BE540" s="45"/>
      <c r="BF540" s="45"/>
      <c r="BG540" s="45"/>
      <c r="BH540" s="45"/>
      <c r="BI540" s="45"/>
      <c r="BJ540" s="45"/>
      <c r="BK540" s="45"/>
      <c r="BL540" s="45"/>
      <c r="BM540" s="45"/>
      <c r="BN540" s="45"/>
      <c r="BO540" s="45"/>
      <c r="BP540" s="45"/>
      <c r="BQ540" s="45"/>
      <c r="BR540" s="45"/>
      <c r="BS540" s="45"/>
      <c r="BT540" s="45"/>
      <c r="BU540" s="45"/>
      <c r="BV540" s="45"/>
      <c r="BW540" s="45"/>
      <c r="BX540" s="45"/>
      <c r="BY540" s="45"/>
      <c r="BZ540" s="45"/>
      <c r="CA540" s="45"/>
      <c r="CB540" s="45"/>
      <c r="CC540" s="45"/>
      <c r="CD540" s="45"/>
      <c r="CE540" s="45"/>
      <c r="CF540" s="45"/>
      <c r="CG540" s="45"/>
      <c r="CH540" s="45"/>
      <c r="CI540" s="45"/>
      <c r="CJ540" s="45"/>
      <c r="CK540" s="45"/>
      <c r="CL540" s="45"/>
      <c r="CM540" s="45"/>
      <c r="CN540" s="45"/>
      <c r="CO540" s="45"/>
      <c r="CP540" s="45"/>
      <c r="CQ540" s="45"/>
      <c r="CR540" s="45"/>
      <c r="CS540" s="45"/>
      <c r="CT540" s="45"/>
      <c r="CU540" s="45"/>
      <c r="CV540" s="45"/>
      <c r="CW540" s="45"/>
      <c r="CX540" s="45"/>
      <c r="CY540" s="45"/>
      <c r="CZ540" s="45"/>
      <c r="DA540" s="45"/>
      <c r="DB540" s="45"/>
      <c r="DC540" s="45"/>
      <c r="DD540" s="45"/>
      <c r="DE540" s="45"/>
      <c r="DF540" s="45"/>
      <c r="DG540" s="45"/>
      <c r="DH540" s="45"/>
      <c r="DI540" s="45"/>
      <c r="DJ540" s="45"/>
      <c r="DK540" s="45"/>
      <c r="DL540" s="45"/>
      <c r="DM540" s="45"/>
      <c r="DN540" s="45"/>
      <c r="DO540" s="45"/>
      <c r="DP540" s="45"/>
      <c r="DQ540" s="45"/>
      <c r="DR540" s="45"/>
      <c r="DS540" s="45"/>
      <c r="DT540" s="45"/>
      <c r="DU540" s="45"/>
      <c r="DV540" s="45"/>
      <c r="DW540" s="45"/>
      <c r="DX540" s="45"/>
      <c r="DY540" s="45"/>
      <c r="DZ540" s="45"/>
      <c r="EA540" s="45"/>
      <c r="EB540" s="45"/>
      <c r="EC540" s="45"/>
      <c r="ED540" s="45"/>
      <c r="EE540" s="45"/>
      <c r="EF540" s="45"/>
      <c r="EG540" s="45"/>
      <c r="EH540" s="45"/>
      <c r="EI540" s="45"/>
      <c r="EJ540" s="45"/>
      <c r="EK540" s="45"/>
      <c r="EL540" s="45"/>
      <c r="EM540" s="45"/>
      <c r="EN540" s="45"/>
      <c r="EO540" s="45"/>
      <c r="EP540" s="45"/>
      <c r="EQ540" s="45"/>
      <c r="ER540" s="45"/>
      <c r="ES540" s="45"/>
      <c r="ET540" s="45"/>
      <c r="EU540" s="45"/>
      <c r="EV540" s="45"/>
      <c r="EW540" s="45"/>
      <c r="EX540" s="45"/>
      <c r="EY540" s="45"/>
      <c r="EZ540" s="45"/>
      <c r="FA540" s="45"/>
      <c r="FB540" s="45"/>
      <c r="FC540" s="45"/>
      <c r="FD540" s="45"/>
      <c r="FE540" s="45"/>
      <c r="FF540" s="45"/>
      <c r="FG540" s="45"/>
      <c r="FH540" s="45"/>
      <c r="FI540" s="45"/>
      <c r="FJ540" s="45"/>
      <c r="FK540" s="45"/>
      <c r="FL540" s="45"/>
      <c r="FM540" s="45"/>
      <c r="FN540" s="45"/>
      <c r="FO540" s="45"/>
      <c r="FP540" s="45"/>
      <c r="FQ540" s="45"/>
      <c r="FR540" s="45"/>
      <c r="FS540" s="45"/>
      <c r="FT540" s="45"/>
      <c r="FU540" s="45"/>
      <c r="FV540" s="45"/>
      <c r="FW540" s="45"/>
      <c r="FX540" s="45"/>
      <c r="FY540" s="45"/>
      <c r="FZ540" s="45"/>
      <c r="GA540" s="45"/>
      <c r="GB540" s="45"/>
      <c r="GC540" s="45"/>
      <c r="GD540" s="45"/>
      <c r="GE540" s="45"/>
      <c r="GF540" s="45"/>
      <c r="GG540" s="45"/>
      <c r="GH540" s="45"/>
      <c r="GI540" s="45"/>
      <c r="GJ540" s="45"/>
      <c r="GK540" s="45"/>
      <c r="GL540" s="45"/>
      <c r="GM540" s="45"/>
      <c r="GN540" s="45"/>
      <c r="GO540" s="45"/>
      <c r="GP540" s="45"/>
      <c r="GQ540" s="45"/>
      <c r="GR540" s="45"/>
      <c r="GS540" s="45"/>
      <c r="GT540" s="45"/>
      <c r="GU540" s="45"/>
      <c r="GV540" s="45"/>
      <c r="GW540" s="45"/>
      <c r="GX540" s="45"/>
      <c r="GY540" s="45"/>
      <c r="GZ540" s="45"/>
      <c r="HA540" s="45"/>
      <c r="HB540" s="45"/>
      <c r="HC540" s="45"/>
      <c r="HD540" s="45"/>
      <c r="HE540" s="45"/>
      <c r="HF540" s="45"/>
      <c r="HG540" s="45"/>
      <c r="HH540" s="45"/>
      <c r="HI540" s="45"/>
      <c r="HJ540" s="45"/>
      <c r="HK540" s="45"/>
      <c r="HL540" s="45"/>
      <c r="HM540" s="45"/>
      <c r="HN540" s="45"/>
      <c r="HO540" s="45"/>
      <c r="HP540" s="45"/>
      <c r="HQ540" s="45"/>
      <c r="HR540" s="45"/>
      <c r="HS540" s="45"/>
      <c r="HT540" s="45"/>
      <c r="HU540" s="45"/>
      <c r="HV540" s="45"/>
      <c r="HW540" s="45"/>
      <c r="HX540" s="45"/>
      <c r="HY540" s="45"/>
      <c r="HZ540" s="45"/>
      <c r="IA540" s="45"/>
      <c r="IB540" s="45"/>
      <c r="IC540" s="45"/>
      <c r="ID540" s="45"/>
      <c r="IE540" s="45"/>
      <c r="IF540" s="45"/>
      <c r="IG540" s="45"/>
      <c r="IH540" s="45"/>
      <c r="II540" s="45"/>
      <c r="IJ540" s="45"/>
      <c r="IK540" s="45"/>
      <c r="IL540" s="45"/>
      <c r="IM540" s="45"/>
      <c r="IN540" s="45"/>
      <c r="IO540" s="45"/>
      <c r="IP540" s="45"/>
      <c r="IQ540" s="45"/>
      <c r="IR540" s="45"/>
      <c r="IS540" s="45"/>
      <c r="IT540" s="45"/>
      <c r="IU540" s="45"/>
      <c r="IV540" s="45"/>
      <c r="IW540" s="45"/>
      <c r="IX540" s="45"/>
      <c r="IY540" s="45"/>
      <c r="IZ540" s="45"/>
      <c r="JA540" s="45"/>
      <c r="JB540" s="45"/>
      <c r="JC540" s="45"/>
      <c r="JD540" s="45"/>
      <c r="JE540" s="45"/>
      <c r="JF540" s="45"/>
      <c r="JG540" s="45"/>
      <c r="JH540" s="45"/>
      <c r="JI540" s="45"/>
      <c r="JJ540" s="45"/>
      <c r="JK540" s="45"/>
      <c r="JL540" s="45"/>
      <c r="JM540" s="45"/>
      <c r="JN540" s="45"/>
      <c r="JO540" s="45"/>
      <c r="JP540" s="45"/>
      <c r="JQ540" s="45"/>
      <c r="JR540" s="45"/>
      <c r="JS540" s="45"/>
      <c r="JT540" s="45"/>
      <c r="JU540" s="45"/>
      <c r="JV540" s="45"/>
      <c r="JW540" s="45"/>
      <c r="JX540" s="45"/>
      <c r="JY540" s="45"/>
      <c r="JZ540" s="45"/>
      <c r="KA540" s="45"/>
      <c r="KB540" s="45"/>
      <c r="KC540" s="45"/>
      <c r="KD540" s="45"/>
      <c r="KE540" s="45"/>
      <c r="KF540" s="45"/>
      <c r="KG540" s="45"/>
      <c r="KH540" s="45"/>
      <c r="KI540" s="45"/>
      <c r="KJ540" s="45"/>
      <c r="KK540" s="45"/>
      <c r="KL540" s="45"/>
      <c r="KM540" s="45"/>
      <c r="KN540" s="45"/>
      <c r="KO540" s="45"/>
      <c r="KP540" s="45"/>
      <c r="KQ540" s="45"/>
      <c r="KR540" s="45"/>
      <c r="KS540" s="45"/>
      <c r="KT540" s="45"/>
      <c r="KU540" s="45"/>
      <c r="KV540" s="45"/>
      <c r="KW540" s="45"/>
      <c r="KX540" s="45"/>
      <c r="KY540" s="45"/>
      <c r="KZ540" s="45"/>
      <c r="LA540" s="45"/>
      <c r="LB540" s="45"/>
      <c r="LC540" s="45"/>
      <c r="LD540" s="45"/>
      <c r="LE540" s="45"/>
      <c r="LF540" s="45"/>
      <c r="LG540" s="45"/>
      <c r="LH540" s="45"/>
      <c r="LI540" s="45"/>
      <c r="LJ540" s="45"/>
      <c r="LK540" s="45"/>
      <c r="LL540" s="45"/>
      <c r="LM540" s="45"/>
      <c r="LN540" s="45"/>
      <c r="LO540" s="45"/>
      <c r="LP540" s="45"/>
      <c r="LQ540" s="45"/>
      <c r="LR540" s="45"/>
      <c r="LS540" s="45"/>
      <c r="LT540" s="45"/>
      <c r="LU540" s="45"/>
      <c r="LV540" s="45"/>
      <c r="LW540" s="45"/>
      <c r="LX540" s="45"/>
      <c r="LY540" s="45"/>
      <c r="LZ540" s="45"/>
      <c r="MA540" s="45"/>
      <c r="MB540" s="45"/>
      <c r="MC540" s="45"/>
      <c r="MD540" s="45"/>
      <c r="ME540" s="45"/>
      <c r="MF540" s="45"/>
      <c r="MG540" s="45"/>
      <c r="MH540" s="45"/>
      <c r="MI540" s="45"/>
      <c r="MJ540" s="45"/>
      <c r="MK540" s="45"/>
      <c r="ML540" s="45"/>
      <c r="MM540" s="45"/>
      <c r="MN540" s="45"/>
      <c r="MO540" s="45"/>
      <c r="MP540" s="45"/>
      <c r="MQ540" s="45"/>
      <c r="MR540" s="45"/>
      <c r="MS540" s="45"/>
      <c r="MT540" s="45"/>
      <c r="MU540" s="45"/>
      <c r="MV540" s="45"/>
      <c r="MW540" s="45"/>
      <c r="MX540" s="45"/>
      <c r="MY540" s="45"/>
      <c r="MZ540" s="45"/>
      <c r="NA540" s="45"/>
      <c r="NB540" s="45"/>
      <c r="NC540" s="45"/>
      <c r="ND540" s="45"/>
      <c r="NE540" s="45"/>
      <c r="NF540" s="45"/>
      <c r="NG540" s="45"/>
      <c r="NH540" s="45"/>
      <c r="NI540" s="45"/>
      <c r="NJ540" s="45"/>
      <c r="NK540" s="45"/>
      <c r="NL540" s="45"/>
      <c r="NM540" s="45"/>
      <c r="NN540" s="45"/>
      <c r="NO540" s="45"/>
      <c r="NP540" s="45"/>
      <c r="NQ540" s="45"/>
      <c r="NR540" s="45"/>
      <c r="NS540" s="45"/>
      <c r="NT540" s="45"/>
      <c r="NU540" s="45"/>
      <c r="NV540" s="45"/>
      <c r="NW540" s="45"/>
      <c r="NX540" s="45"/>
      <c r="NY540" s="45"/>
      <c r="NZ540" s="45"/>
      <c r="OA540" s="45"/>
      <c r="OB540" s="45"/>
      <c r="OC540" s="45"/>
      <c r="OD540" s="45"/>
      <c r="OE540" s="45"/>
      <c r="OF540" s="45"/>
      <c r="OG540" s="45"/>
      <c r="OH540" s="45"/>
      <c r="OI540" s="45"/>
      <c r="OJ540" s="45"/>
      <c r="OK540" s="45"/>
      <c r="OL540" s="45"/>
      <c r="OM540" s="45"/>
      <c r="ON540" s="45"/>
      <c r="OO540" s="45"/>
      <c r="OP540" s="45"/>
      <c r="OQ540" s="45"/>
      <c r="OR540" s="45"/>
      <c r="OS540" s="45"/>
      <c r="OT540" s="45"/>
      <c r="OU540" s="45"/>
      <c r="OV540" s="45"/>
      <c r="OW540" s="45"/>
      <c r="OX540" s="45"/>
      <c r="OY540" s="45"/>
      <c r="OZ540" s="45"/>
      <c r="PA540" s="45"/>
      <c r="PB540" s="45"/>
      <c r="PC540" s="45"/>
      <c r="PD540" s="45"/>
      <c r="PE540" s="45"/>
      <c r="PF540" s="45"/>
      <c r="PG540" s="45"/>
      <c r="PH540" s="45"/>
      <c r="PI540" s="45"/>
      <c r="PJ540" s="45"/>
      <c r="PK540" s="45"/>
      <c r="PL540" s="45"/>
      <c r="PM540" s="45"/>
      <c r="PN540" s="45"/>
      <c r="PO540" s="45"/>
      <c r="PP540" s="45"/>
      <c r="PQ540" s="45"/>
      <c r="PR540" s="45"/>
      <c r="PS540" s="45"/>
      <c r="PT540" s="45"/>
      <c r="PU540" s="45"/>
      <c r="PV540" s="45"/>
      <c r="PW540" s="45"/>
      <c r="PX540" s="45"/>
      <c r="PY540" s="45"/>
      <c r="PZ540" s="45"/>
      <c r="QA540" s="45"/>
      <c r="QB540" s="45"/>
      <c r="QC540" s="45"/>
      <c r="QD540" s="45"/>
      <c r="QE540" s="45"/>
      <c r="QF540" s="45"/>
      <c r="QG540" s="45"/>
      <c r="QH540" s="45"/>
      <c r="QI540" s="45"/>
      <c r="QJ540" s="45"/>
      <c r="QK540" s="45"/>
      <c r="QL540" s="45"/>
      <c r="QM540" s="45"/>
      <c r="QN540" s="45"/>
      <c r="QO540" s="45"/>
      <c r="QP540" s="45"/>
      <c r="QQ540" s="45"/>
      <c r="QR540" s="45"/>
      <c r="QS540" s="45"/>
      <c r="QT540" s="45"/>
      <c r="QU540" s="45"/>
      <c r="QV540" s="45"/>
      <c r="QW540" s="45"/>
      <c r="QX540" s="45"/>
      <c r="QY540" s="45"/>
      <c r="QZ540" s="45"/>
      <c r="RA540" s="45"/>
      <c r="RB540" s="45"/>
      <c r="RC540" s="45"/>
      <c r="RD540" s="45"/>
      <c r="RE540" s="45"/>
      <c r="RF540" s="45"/>
      <c r="RG540" s="45"/>
      <c r="RH540" s="45"/>
      <c r="RI540" s="45"/>
      <c r="RJ540" s="45"/>
      <c r="RK540" s="45"/>
      <c r="RL540" s="45"/>
      <c r="RM540" s="45"/>
      <c r="RN540" s="45"/>
      <c r="RO540" s="45"/>
      <c r="RP540" s="45"/>
      <c r="RQ540" s="45"/>
      <c r="RR540" s="45"/>
      <c r="RS540" s="45"/>
      <c r="RT540" s="45"/>
      <c r="RU540" s="45"/>
      <c r="RV540" s="45"/>
      <c r="RW540" s="45"/>
      <c r="RX540" s="45"/>
      <c r="RY540" s="45"/>
      <c r="RZ540" s="45"/>
      <c r="SA540" s="45"/>
      <c r="SB540" s="45"/>
      <c r="SC540" s="45"/>
      <c r="SD540" s="45"/>
      <c r="SE540" s="45"/>
      <c r="SF540" s="45"/>
      <c r="SG540" s="45"/>
      <c r="SH540" s="45"/>
      <c r="SI540" s="45"/>
      <c r="SJ540" s="45"/>
      <c r="SK540" s="45"/>
      <c r="SL540" s="45"/>
      <c r="SM540" s="45"/>
      <c r="SN540" s="45"/>
      <c r="SO540" s="45"/>
      <c r="SP540" s="45"/>
      <c r="SQ540" s="45"/>
      <c r="SR540" s="45"/>
      <c r="SS540" s="45"/>
      <c r="ST540" s="45"/>
      <c r="SU540" s="45"/>
      <c r="SV540" s="45"/>
      <c r="SW540" s="45"/>
      <c r="SX540" s="45"/>
      <c r="SY540" s="45"/>
      <c r="SZ540" s="45"/>
      <c r="TA540" s="45"/>
      <c r="TB540" s="45"/>
      <c r="TC540" s="45"/>
      <c r="TD540" s="45"/>
      <c r="TE540" s="45"/>
      <c r="TF540" s="45"/>
      <c r="TG540" s="45"/>
      <c r="TH540" s="45"/>
      <c r="TI540" s="45"/>
      <c r="TJ540" s="45"/>
      <c r="TK540" s="45"/>
      <c r="TL540" s="45"/>
      <c r="TM540" s="45"/>
      <c r="TN540" s="45"/>
      <c r="TO540" s="45"/>
      <c r="TP540" s="45"/>
      <c r="TQ540" s="45"/>
      <c r="TR540" s="45"/>
      <c r="TS540" s="45"/>
      <c r="TT540" s="45"/>
      <c r="TU540" s="45"/>
      <c r="TV540" s="45"/>
      <c r="TW540" s="45"/>
      <c r="TX540" s="45"/>
      <c r="TY540" s="45"/>
      <c r="TZ540" s="45"/>
      <c r="UA540" s="45"/>
      <c r="UB540" s="45"/>
      <c r="UC540" s="45"/>
      <c r="UD540" s="45"/>
      <c r="UE540" s="45"/>
      <c r="UF540" s="45"/>
      <c r="UG540" s="45"/>
      <c r="UH540" s="45"/>
      <c r="UI540" s="45"/>
      <c r="UJ540" s="45"/>
      <c r="UK540" s="45"/>
      <c r="UL540" s="45"/>
      <c r="UM540" s="45"/>
      <c r="UN540" s="45"/>
      <c r="UO540" s="45"/>
      <c r="UP540" s="45"/>
      <c r="UQ540" s="45"/>
      <c r="UR540" s="45"/>
      <c r="US540" s="45"/>
      <c r="UT540" s="45"/>
      <c r="UU540" s="45"/>
      <c r="UV540" s="45"/>
      <c r="UW540" s="45"/>
      <c r="UX540" s="45"/>
      <c r="UY540" s="45"/>
      <c r="UZ540" s="45"/>
      <c r="VA540" s="45"/>
      <c r="VB540" s="45"/>
      <c r="VC540" s="45"/>
      <c r="VD540" s="45"/>
      <c r="VE540" s="45"/>
      <c r="VF540" s="45"/>
      <c r="VG540" s="45"/>
      <c r="VH540" s="45"/>
      <c r="VI540" s="45"/>
      <c r="VJ540" s="45"/>
      <c r="VK540" s="45"/>
      <c r="VL540" s="45"/>
      <c r="VM540" s="45"/>
      <c r="VN540" s="45"/>
      <c r="VO540" s="45"/>
      <c r="VP540" s="45"/>
      <c r="VQ540" s="45"/>
      <c r="VR540" s="45"/>
      <c r="VS540" s="45"/>
      <c r="VT540" s="45"/>
      <c r="VU540" s="45"/>
      <c r="VV540" s="45"/>
      <c r="VW540" s="45"/>
      <c r="VX540" s="45"/>
      <c r="VY540" s="45"/>
      <c r="VZ540" s="45"/>
      <c r="WA540" s="45"/>
      <c r="WB540" s="45"/>
      <c r="WC540" s="45"/>
      <c r="WD540" s="45"/>
      <c r="WE540" s="45"/>
      <c r="WF540" s="45"/>
      <c r="WG540" s="45"/>
      <c r="WH540" s="45"/>
      <c r="WI540" s="45"/>
      <c r="WJ540" s="45"/>
      <c r="WK540" s="45"/>
      <c r="WL540" s="45"/>
      <c r="WM540" s="45"/>
      <c r="WN540" s="45"/>
      <c r="WO540" s="45"/>
      <c r="WP540" s="45"/>
      <c r="WQ540" s="45"/>
      <c r="WR540" s="45"/>
      <c r="WS540" s="45"/>
      <c r="WT540" s="45"/>
      <c r="WU540" s="45"/>
      <c r="WV540" s="45"/>
      <c r="WW540" s="45"/>
      <c r="WX540" s="45"/>
      <c r="WY540" s="45"/>
      <c r="WZ540" s="45"/>
      <c r="XA540" s="45"/>
      <c r="XB540" s="45"/>
      <c r="XC540" s="45"/>
      <c r="XD540" s="45"/>
      <c r="XE540" s="45"/>
      <c r="XF540" s="45"/>
      <c r="XG540" s="45"/>
      <c r="XH540" s="45"/>
      <c r="XI540" s="45"/>
      <c r="XJ540" s="45"/>
      <c r="XK540" s="45"/>
      <c r="XL540" s="45"/>
      <c r="XM540" s="45"/>
      <c r="XN540" s="45"/>
      <c r="XO540" s="45"/>
      <c r="XP540" s="45"/>
      <c r="XQ540" s="45"/>
      <c r="XR540" s="45"/>
      <c r="XS540" s="45"/>
      <c r="XT540" s="45"/>
      <c r="XU540" s="45"/>
      <c r="XV540" s="45"/>
      <c r="XW540" s="45"/>
      <c r="XX540" s="45"/>
      <c r="XY540" s="45"/>
      <c r="XZ540" s="45"/>
      <c r="YA540" s="45"/>
      <c r="YB540" s="45"/>
      <c r="YC540" s="45"/>
      <c r="YD540" s="45"/>
      <c r="YE540" s="45"/>
      <c r="YF540" s="45"/>
      <c r="YG540" s="45"/>
      <c r="YH540" s="45"/>
      <c r="YI540" s="45"/>
      <c r="YJ540" s="45"/>
      <c r="YK540" s="45"/>
      <c r="YL540" s="45"/>
      <c r="YM540" s="45"/>
      <c r="YN540" s="45"/>
      <c r="YO540" s="45"/>
      <c r="YP540" s="45"/>
      <c r="YQ540" s="45"/>
      <c r="YR540" s="45"/>
      <c r="YS540" s="45"/>
      <c r="YT540" s="45"/>
      <c r="YU540" s="45"/>
      <c r="YV540" s="45"/>
      <c r="YW540" s="45"/>
      <c r="YX540" s="45"/>
      <c r="YY540" s="45"/>
      <c r="YZ540" s="45"/>
      <c r="ZA540" s="45"/>
      <c r="ZB540" s="45"/>
      <c r="ZC540" s="45"/>
      <c r="ZD540" s="45"/>
      <c r="ZE540" s="45"/>
      <c r="ZF540" s="45"/>
      <c r="ZG540" s="45"/>
      <c r="ZH540" s="45"/>
      <c r="ZI540" s="45"/>
      <c r="ZJ540" s="45"/>
      <c r="ZK540" s="45"/>
      <c r="ZL540" s="45"/>
      <c r="ZM540" s="45"/>
      <c r="ZN540" s="45"/>
      <c r="ZO540" s="45"/>
      <c r="ZP540" s="45"/>
      <c r="ZQ540" s="45"/>
      <c r="ZR540" s="45"/>
      <c r="ZS540" s="45"/>
      <c r="ZT540" s="45"/>
      <c r="ZU540" s="45"/>
      <c r="ZV540" s="45"/>
      <c r="ZW540" s="45"/>
      <c r="ZX540" s="45"/>
      <c r="ZY540" s="45"/>
      <c r="ZZ540" s="45"/>
      <c r="AAA540" s="45"/>
      <c r="AAB540" s="45"/>
      <c r="AAC540" s="45"/>
      <c r="AAD540" s="45"/>
      <c r="AAE540" s="45"/>
      <c r="AAF540" s="45"/>
      <c r="AAG540" s="45"/>
      <c r="AAH540" s="45"/>
      <c r="AAI540" s="45"/>
      <c r="AAJ540" s="45"/>
      <c r="AAK540" s="45"/>
      <c r="AAL540" s="45"/>
      <c r="AAM540" s="45"/>
      <c r="AAN540" s="45"/>
      <c r="AAO540" s="45"/>
      <c r="AAP540" s="45"/>
      <c r="AAQ540" s="45"/>
      <c r="AAR540" s="45"/>
      <c r="AAS540" s="45"/>
      <c r="AAT540" s="45"/>
      <c r="AAU540" s="45"/>
      <c r="AAV540" s="45"/>
      <c r="AAW540" s="45"/>
      <c r="AAX540" s="45"/>
      <c r="AAY540" s="45"/>
      <c r="AAZ540" s="45"/>
      <c r="ABA540" s="45"/>
      <c r="ABB540" s="45"/>
      <c r="ABC540" s="45"/>
      <c r="ABD540" s="45"/>
      <c r="ABE540" s="45"/>
      <c r="ABF540" s="45"/>
      <c r="ABG540" s="45"/>
      <c r="ABH540" s="45"/>
      <c r="ABI540" s="45"/>
      <c r="ABJ540" s="45"/>
      <c r="ABK540" s="45"/>
      <c r="ABL540" s="45"/>
      <c r="ABM540" s="45"/>
      <c r="ABN540" s="45"/>
      <c r="ABO540" s="45"/>
      <c r="ABP540" s="45"/>
      <c r="ABQ540" s="45"/>
      <c r="ABR540" s="45"/>
      <c r="ABS540" s="45"/>
      <c r="ABT540" s="45"/>
      <c r="ABU540" s="45"/>
      <c r="ABV540" s="45"/>
      <c r="ABW540" s="45"/>
      <c r="ABX540" s="45"/>
      <c r="ABY540" s="45"/>
      <c r="ABZ540" s="45"/>
      <c r="ACA540" s="45"/>
      <c r="ACB540" s="45"/>
      <c r="ACC540" s="45"/>
      <c r="ACD540" s="45"/>
      <c r="ACE540" s="45"/>
      <c r="ACF540" s="45"/>
      <c r="ACG540" s="45"/>
      <c r="ACH540" s="45"/>
      <c r="ACI540" s="45"/>
      <c r="ACJ540" s="45"/>
      <c r="ACK540" s="45"/>
      <c r="ACL540" s="45"/>
      <c r="ACM540" s="45"/>
      <c r="ACN540" s="45"/>
      <c r="ACO540" s="45"/>
      <c r="ACP540" s="45"/>
      <c r="ACQ540" s="45"/>
      <c r="ACR540" s="45"/>
      <c r="ACS540" s="45"/>
      <c r="ACT540" s="45"/>
      <c r="ACU540" s="45"/>
      <c r="ACV540" s="45"/>
      <c r="ACW540" s="45"/>
      <c r="ACX540" s="45"/>
      <c r="ACY540" s="45"/>
      <c r="ACZ540" s="45"/>
      <c r="ADA540" s="45"/>
      <c r="ADB540" s="45"/>
      <c r="ADC540" s="45"/>
      <c r="ADD540" s="45"/>
      <c r="ADE540" s="45"/>
      <c r="ADF540" s="45"/>
      <c r="ADG540" s="45"/>
      <c r="ADH540" s="45"/>
      <c r="ADI540" s="45"/>
      <c r="ADJ540" s="45"/>
      <c r="ADK540" s="45"/>
      <c r="ADL540" s="45"/>
      <c r="ADM540" s="45"/>
      <c r="ADN540" s="45"/>
      <c r="ADO540" s="45"/>
      <c r="ADP540" s="45"/>
      <c r="ADQ540" s="45"/>
      <c r="ADR540" s="45"/>
      <c r="ADS540" s="45"/>
      <c r="ADT540" s="45"/>
      <c r="ADU540" s="45"/>
      <c r="ADV540" s="45"/>
      <c r="ADW540" s="45"/>
      <c r="ADX540" s="45"/>
      <c r="ADY540" s="45"/>
      <c r="ADZ540" s="45"/>
      <c r="AEA540" s="45"/>
      <c r="AEB540" s="45"/>
      <c r="AEC540" s="45"/>
      <c r="AED540" s="45"/>
      <c r="AEE540" s="45"/>
      <c r="AEF540" s="45"/>
      <c r="AEG540" s="45"/>
      <c r="AEH540" s="45"/>
      <c r="AEI540" s="45"/>
      <c r="AEJ540" s="45"/>
      <c r="AEK540" s="45"/>
      <c r="AEL540" s="45"/>
      <c r="AEM540" s="45"/>
      <c r="AEN540" s="45"/>
      <c r="AEO540" s="45"/>
      <c r="AEP540" s="45"/>
      <c r="AEQ540" s="45"/>
      <c r="AER540" s="45"/>
      <c r="AES540" s="45"/>
      <c r="AET540" s="45"/>
      <c r="AEU540" s="45"/>
      <c r="AEV540" s="45"/>
      <c r="AEW540" s="45"/>
      <c r="AEX540" s="45"/>
      <c r="AEY540" s="45"/>
      <c r="AEZ540" s="45"/>
      <c r="AFA540" s="45"/>
      <c r="AFB540" s="45"/>
      <c r="AFC540" s="45"/>
      <c r="AFD540" s="45"/>
      <c r="AFE540" s="45"/>
      <c r="AFF540" s="45"/>
      <c r="AFG540" s="45"/>
      <c r="AFH540" s="45"/>
      <c r="AFI540" s="45"/>
      <c r="AFJ540" s="45"/>
      <c r="AFK540" s="45"/>
      <c r="AFL540" s="45"/>
      <c r="AFM540" s="45"/>
      <c r="AFN540" s="45"/>
      <c r="AFO540" s="45"/>
      <c r="AFP540" s="45"/>
      <c r="AFQ540" s="45"/>
      <c r="AFR540" s="45"/>
      <c r="AFS540" s="45"/>
      <c r="AFT540" s="45"/>
      <c r="AFU540" s="45"/>
      <c r="AFV540" s="45"/>
      <c r="AFW540" s="45"/>
      <c r="AFX540" s="45"/>
      <c r="AFY540" s="45"/>
      <c r="AFZ540" s="45"/>
      <c r="AGA540" s="45"/>
      <c r="AGB540" s="45"/>
      <c r="AGC540" s="45"/>
      <c r="AGD540" s="45"/>
      <c r="AGE540" s="45"/>
      <c r="AGF540" s="45"/>
      <c r="AGG540" s="45"/>
      <c r="AGH540" s="45"/>
      <c r="AGI540" s="45"/>
      <c r="AGJ540" s="45"/>
      <c r="AGK540" s="45"/>
      <c r="AGL540" s="45"/>
      <c r="AGM540" s="45"/>
      <c r="AGN540" s="45"/>
      <c r="AGO540" s="45"/>
      <c r="AGP540" s="45"/>
      <c r="AGQ540" s="45"/>
      <c r="AGR540" s="45"/>
      <c r="AGS540" s="45"/>
      <c r="AGT540" s="45"/>
      <c r="AGU540" s="45"/>
      <c r="AGV540" s="45"/>
      <c r="AGW540" s="45"/>
      <c r="AGX540" s="45"/>
      <c r="AGY540" s="45"/>
      <c r="AGZ540" s="45"/>
      <c r="AHA540" s="45"/>
      <c r="AHB540" s="45"/>
      <c r="AHC540" s="45"/>
      <c r="AHD540" s="45"/>
      <c r="AHE540" s="45"/>
      <c r="AHF540" s="45"/>
      <c r="AHG540" s="45"/>
      <c r="AHH540" s="45"/>
      <c r="AHI540" s="45"/>
      <c r="AHJ540" s="45"/>
      <c r="AHK540" s="45"/>
      <c r="AHL540" s="45"/>
      <c r="AHM540" s="45"/>
      <c r="AHN540" s="45"/>
      <c r="AHO540" s="45"/>
      <c r="AHP540" s="45"/>
      <c r="AHQ540" s="45"/>
      <c r="AHR540" s="45"/>
      <c r="AHS540" s="45"/>
      <c r="AHT540" s="45"/>
      <c r="AHU540" s="45"/>
      <c r="AHV540" s="45"/>
      <c r="AHW540" s="45"/>
      <c r="AHX540" s="45"/>
      <c r="AHY540" s="45"/>
      <c r="AHZ540" s="45"/>
      <c r="AIA540" s="45"/>
      <c r="AIB540" s="45"/>
      <c r="AIC540" s="45"/>
      <c r="AID540" s="45"/>
      <c r="AIE540" s="45"/>
      <c r="AIF540" s="45"/>
      <c r="AIG540" s="45"/>
      <c r="AIH540" s="45"/>
      <c r="AII540" s="45"/>
      <c r="AIJ540" s="45"/>
      <c r="AIK540" s="45"/>
      <c r="AIL540" s="45"/>
      <c r="AIM540" s="45"/>
      <c r="AIN540" s="45"/>
      <c r="AIO540" s="45"/>
      <c r="AIP540" s="45"/>
      <c r="AIQ540" s="45"/>
      <c r="AIR540" s="45"/>
      <c r="AIS540" s="45"/>
      <c r="AIT540" s="45"/>
      <c r="AIU540" s="45"/>
      <c r="AIV540" s="45"/>
      <c r="AIW540" s="45"/>
      <c r="AIX540" s="45"/>
      <c r="AIY540" s="45"/>
      <c r="AIZ540" s="45"/>
      <c r="AJA540" s="45"/>
      <c r="AJB540" s="45"/>
      <c r="AJC540" s="45"/>
      <c r="AJD540" s="45"/>
      <c r="AJE540" s="45"/>
      <c r="AJF540" s="45"/>
      <c r="AJG540" s="45"/>
      <c r="AJH540" s="45"/>
      <c r="AJI540" s="45"/>
      <c r="AJJ540" s="45"/>
      <c r="AJK540" s="45"/>
      <c r="AJL540" s="45"/>
      <c r="AJM540" s="45"/>
      <c r="AJN540" s="45"/>
      <c r="AJO540" s="45"/>
      <c r="AJP540" s="45"/>
      <c r="AJQ540" s="45"/>
      <c r="AJR540" s="45"/>
      <c r="AJS540" s="45"/>
      <c r="AJT540" s="45"/>
      <c r="AJU540" s="45"/>
      <c r="AJV540" s="45"/>
      <c r="AJW540" s="45"/>
      <c r="AJX540" s="45"/>
      <c r="AJY540" s="45"/>
      <c r="AJZ540" s="45"/>
      <c r="AKA540" s="45"/>
      <c r="AKB540" s="45"/>
      <c r="AKC540" s="45"/>
      <c r="AKD540" s="45"/>
      <c r="AKE540" s="45"/>
      <c r="AKF540" s="45"/>
      <c r="AKG540" s="45"/>
      <c r="AKH540" s="45"/>
      <c r="AKI540" s="45"/>
      <c r="AKJ540" s="45"/>
      <c r="AKK540" s="45"/>
      <c r="AKL540" s="45"/>
      <c r="AKM540" s="45"/>
      <c r="AKN540" s="45"/>
      <c r="AKO540" s="45"/>
      <c r="AKP540" s="45"/>
      <c r="AKQ540" s="45"/>
      <c r="AKR540" s="45"/>
      <c r="AKS540" s="45"/>
      <c r="AKT540" s="45"/>
      <c r="AKU540" s="45"/>
      <c r="AKV540" s="45"/>
      <c r="AKW540" s="45"/>
      <c r="AKX540" s="45"/>
      <c r="AKY540" s="45"/>
      <c r="AKZ540" s="45"/>
      <c r="ALA540" s="45"/>
      <c r="ALB540" s="45"/>
      <c r="ALC540" s="45"/>
      <c r="ALD540" s="45"/>
      <c r="ALE540" s="45"/>
      <c r="ALF540" s="45"/>
      <c r="ALG540" s="45"/>
      <c r="ALH540" s="45"/>
      <c r="ALI540" s="45"/>
      <c r="ALJ540" s="45"/>
      <c r="ALK540" s="45"/>
      <c r="ALL540" s="45"/>
      <c r="ALM540" s="45"/>
      <c r="ALN540" s="45"/>
      <c r="ALO540" s="45"/>
      <c r="ALP540" s="45"/>
      <c r="ALQ540" s="45"/>
      <c r="ALR540" s="45"/>
      <c r="ALS540" s="45"/>
      <c r="ALT540" s="45"/>
      <c r="ALU540" s="45"/>
      <c r="ALV540" s="45"/>
      <c r="ALW540" s="45"/>
      <c r="ALX540" s="45"/>
      <c r="ALY540" s="45"/>
      <c r="ALZ540" s="45"/>
      <c r="AMA540" s="45"/>
      <c r="AMB540" s="45"/>
      <c r="AMC540" s="45"/>
      <c r="AMD540" s="45"/>
      <c r="AME540" s="45"/>
      <c r="AMF540" s="45"/>
      <c r="AMG540" s="45"/>
      <c r="AMH540" s="45"/>
      <c r="AMI540" s="45"/>
      <c r="AMJ540" s="45"/>
    </row>
    <row r="541" spans="1:1024">
      <c r="A541" s="8" t="s">
        <v>523</v>
      </c>
      <c r="B541" s="8">
        <v>703541</v>
      </c>
      <c r="D541" s="29"/>
      <c r="E541" s="1">
        <v>0</v>
      </c>
      <c r="F541" s="8">
        <v>6</v>
      </c>
      <c r="G541" s="30">
        <f t="shared" si="27"/>
        <v>3.5</v>
      </c>
      <c r="H541" s="8">
        <f t="shared" si="29"/>
        <v>2.5</v>
      </c>
      <c r="I541">
        <f t="shared" si="28"/>
        <v>2.5</v>
      </c>
      <c r="J541">
        <f>SUMIF(Oeffentlichkeitsarbeit!$D:$D,$B541,Oeffentlichkeitsarbeit!$F:$F)</f>
        <v>0</v>
      </c>
      <c r="K541">
        <f>COUNTIF(Fairteiler!$D:$D,$B541)*1/2</f>
        <v>0</v>
      </c>
      <c r="L541">
        <f>COUNTIF('NP-Betrieb'!D:D,$B541)*1/3</f>
        <v>2</v>
      </c>
      <c r="M541">
        <f>COUNTIF(Fairteilungen!$D:$D,$B541)*3/4</f>
        <v>0</v>
      </c>
      <c r="N541">
        <f>COUNTIF(Anlieferung!D:D,$B541)*1/2</f>
        <v>0.5</v>
      </c>
      <c r="O541">
        <f>COUNTIF(Probeabholungen!B:B,$B541)*1/3</f>
        <v>0</v>
      </c>
    </row>
    <row r="542" spans="1:1024" ht="27.6">
      <c r="A542" s="14" t="s">
        <v>524</v>
      </c>
      <c r="B542" s="14">
        <v>676235</v>
      </c>
      <c r="C542" s="14" t="s">
        <v>839</v>
      </c>
      <c r="D542" s="29">
        <v>45183</v>
      </c>
      <c r="E542" s="1">
        <v>0</v>
      </c>
      <c r="F542" s="14">
        <v>0</v>
      </c>
      <c r="G542" s="30">
        <f t="shared" si="27"/>
        <v>-2.3333333333333335</v>
      </c>
      <c r="H542" s="14">
        <f t="shared" si="29"/>
        <v>2.3333333333333335</v>
      </c>
      <c r="I542">
        <f t="shared" si="28"/>
        <v>2.3333333333333335</v>
      </c>
      <c r="J542">
        <f>SUMIF(Oeffentlichkeitsarbeit!$D:$D,$B542,Oeffentlichkeitsarbeit!$F:$F)</f>
        <v>0</v>
      </c>
      <c r="K542">
        <f>COUNTIF(Fairteiler!$D:$D,$B542)*1/2</f>
        <v>0</v>
      </c>
      <c r="L542">
        <f>COUNTIF('NP-Betrieb'!D:D,$B542)*1/3</f>
        <v>2.3333333333333335</v>
      </c>
      <c r="M542">
        <f>COUNTIF(Fairteilungen!$D:$D,$B542)*3/4</f>
        <v>0</v>
      </c>
      <c r="N542">
        <f>COUNTIF(Anlieferung!D:D,$B542)*1/2</f>
        <v>0</v>
      </c>
      <c r="O542">
        <f>COUNTIF(Probeabholungen!B:B,$B542)*1/3</f>
        <v>0</v>
      </c>
    </row>
    <row r="543" spans="1:1024" ht="27.6">
      <c r="A543" s="8" t="s">
        <v>525</v>
      </c>
      <c r="B543" s="8">
        <v>470624</v>
      </c>
      <c r="D543" s="37">
        <v>45680</v>
      </c>
      <c r="E543" s="1">
        <v>0</v>
      </c>
      <c r="F543">
        <v>6</v>
      </c>
      <c r="G543" s="30">
        <f t="shared" si="27"/>
        <v>2.1666666666666665</v>
      </c>
      <c r="H543" s="8">
        <f t="shared" si="29"/>
        <v>3.8333333333333335</v>
      </c>
      <c r="I543">
        <f t="shared" si="28"/>
        <v>3.8333333333333335</v>
      </c>
      <c r="J543">
        <f>SUMIF(Oeffentlichkeitsarbeit!$D:$D,$B543,Oeffentlichkeitsarbeit!$F:$F)</f>
        <v>0</v>
      </c>
      <c r="K543">
        <f>COUNTIF(Fairteiler!$D:$D,$B543)*1/2</f>
        <v>0.5</v>
      </c>
      <c r="L543">
        <f>COUNTIF('NP-Betrieb'!D:D,$B543)*1/3</f>
        <v>3.3333333333333335</v>
      </c>
      <c r="M543">
        <f>COUNTIF(Fairteilungen!$D:$D,$B543)*3/4</f>
        <v>0</v>
      </c>
      <c r="N543">
        <f>COUNTIF(Anlieferung!D:D,$B543)*1/2</f>
        <v>0</v>
      </c>
      <c r="O543">
        <f>COUNTIF(Probeabholungen!B:B,$B543)*1/3</f>
        <v>0</v>
      </c>
    </row>
    <row r="544" spans="1:1024">
      <c r="A544" s="8" t="s">
        <v>526</v>
      </c>
      <c r="B544" s="8">
        <v>568489</v>
      </c>
      <c r="D544" s="29"/>
      <c r="E544" s="1">
        <v>0</v>
      </c>
      <c r="F544" s="8">
        <v>6</v>
      </c>
      <c r="G544" s="30">
        <f t="shared" si="27"/>
        <v>5.333333333333333</v>
      </c>
      <c r="H544" s="8">
        <f t="shared" si="29"/>
        <v>0.66666666666666663</v>
      </c>
      <c r="I544">
        <f t="shared" si="28"/>
        <v>0.66666666666666663</v>
      </c>
      <c r="J544">
        <f>SUMIF(Oeffentlichkeitsarbeit!$D:$D,$B544,Oeffentlichkeitsarbeit!$F:$F)</f>
        <v>0</v>
      </c>
      <c r="K544">
        <f>COUNTIF(Fairteiler!$D:$D,$B544)*1/2</f>
        <v>0</v>
      </c>
      <c r="L544">
        <f>COUNTIF('NP-Betrieb'!D:D,$B544)*1/3</f>
        <v>0.66666666666666663</v>
      </c>
      <c r="M544">
        <f>COUNTIF(Fairteilungen!$D:$D,$B544)*3/4</f>
        <v>0</v>
      </c>
      <c r="N544">
        <f>COUNTIF(Anlieferung!D:D,$B544)*1/2</f>
        <v>0</v>
      </c>
      <c r="O544">
        <f>COUNTIF(Probeabholungen!B:B,$B544)*1/3</f>
        <v>0</v>
      </c>
    </row>
    <row r="545" spans="1:1024" ht="27.6">
      <c r="A545" s="8" t="s">
        <v>527</v>
      </c>
      <c r="B545" s="8">
        <v>547872</v>
      </c>
      <c r="C545" s="45"/>
      <c r="D545" s="29"/>
      <c r="E545" s="1">
        <v>0</v>
      </c>
      <c r="F545" s="8">
        <v>6</v>
      </c>
      <c r="G545" s="30">
        <f t="shared" si="27"/>
        <v>4.666666666666667</v>
      </c>
      <c r="H545" s="8">
        <f t="shared" si="29"/>
        <v>1.3333333333333333</v>
      </c>
      <c r="I545" s="45">
        <f t="shared" si="28"/>
        <v>1.3333333333333333</v>
      </c>
      <c r="J545" s="45">
        <f>SUMIF(Oeffentlichkeitsarbeit!$D:$D,$B545,Oeffentlichkeitsarbeit!$F:$F)</f>
        <v>0</v>
      </c>
      <c r="K545" s="45">
        <f>COUNTIF(Fairteiler!$D:$D,$B545)*1/2</f>
        <v>0</v>
      </c>
      <c r="L545" s="45">
        <f>COUNTIF('NP-Betrieb'!D:D,$B545)*1/3</f>
        <v>1.3333333333333333</v>
      </c>
      <c r="M545" s="45">
        <f>COUNTIF(Fairteilungen!$D:$D,$B545)*3/4</f>
        <v>0</v>
      </c>
      <c r="N545" s="45">
        <f>COUNTIF(Anlieferung!D:D,$B545)*1/2</f>
        <v>0</v>
      </c>
      <c r="O545" s="45">
        <f>COUNTIF(Probeabholungen!B:B,$B545)*1/3</f>
        <v>0</v>
      </c>
    </row>
    <row r="546" spans="1:1024" ht="27.6">
      <c r="A546" s="8" t="s">
        <v>528</v>
      </c>
      <c r="B546">
        <v>843420</v>
      </c>
      <c r="D546" s="24">
        <v>45474</v>
      </c>
      <c r="E546" s="1">
        <v>8</v>
      </c>
      <c r="F546" s="8">
        <v>6</v>
      </c>
      <c r="G546" s="30">
        <f t="shared" si="27"/>
        <v>14</v>
      </c>
      <c r="H546" s="8">
        <f t="shared" si="29"/>
        <v>-8</v>
      </c>
      <c r="I546">
        <f t="shared" si="28"/>
        <v>0</v>
      </c>
      <c r="J546">
        <f>SUMIF(Oeffentlichkeitsarbeit!$D:$D,$B546,Oeffentlichkeitsarbeit!$F:$F)</f>
        <v>0</v>
      </c>
      <c r="K546">
        <f>COUNTIF(Fairteiler!$D:$D,$B546)*1/2</f>
        <v>0</v>
      </c>
      <c r="L546">
        <f>COUNTIF('NP-Betrieb'!D:D,$B546)*1/3</f>
        <v>0</v>
      </c>
      <c r="M546">
        <f>COUNTIF(Fairteilungen!$D:$D,$B546)*3/4</f>
        <v>0</v>
      </c>
      <c r="N546">
        <f>COUNTIF(Anlieferung!D:D,$B546)*1/2</f>
        <v>0</v>
      </c>
      <c r="O546">
        <f>COUNTIF(Probeabholungen!B:B,$B546)*1/3</f>
        <v>0</v>
      </c>
    </row>
    <row r="547" spans="1:1024" ht="27.6">
      <c r="A547" s="8" t="s">
        <v>529</v>
      </c>
      <c r="B547" s="8">
        <v>215276</v>
      </c>
      <c r="C547" s="8"/>
      <c r="D547" s="29"/>
      <c r="E547" s="1">
        <v>0</v>
      </c>
      <c r="F547" s="8">
        <v>6</v>
      </c>
      <c r="G547" s="30">
        <f t="shared" si="27"/>
        <v>5</v>
      </c>
      <c r="H547" s="8">
        <f t="shared" si="29"/>
        <v>1</v>
      </c>
      <c r="I547">
        <f t="shared" si="28"/>
        <v>1</v>
      </c>
      <c r="J547">
        <f>SUMIF(Oeffentlichkeitsarbeit!$D:$D,$B547,Oeffentlichkeitsarbeit!$F:$F)</f>
        <v>0</v>
      </c>
      <c r="K547">
        <f>COUNTIF(Fairteiler!$D:$D,$B547)*1/2</f>
        <v>0</v>
      </c>
      <c r="L547">
        <f>COUNTIF('NP-Betrieb'!D:D,$B547)*1/3</f>
        <v>1</v>
      </c>
      <c r="M547">
        <f>COUNTIF(Fairteilungen!$D:$D,$B547)*3/4</f>
        <v>0</v>
      </c>
      <c r="N547">
        <f>COUNTIF(Anlieferung!D:D,$B547)*1/2</f>
        <v>0</v>
      </c>
      <c r="O547">
        <f>COUNTIF(Probeabholungen!B:B,$B547)*1/3</f>
        <v>0</v>
      </c>
    </row>
    <row r="548" spans="1:1024" ht="27.6">
      <c r="A548" s="8" t="s">
        <v>530</v>
      </c>
      <c r="B548" s="8">
        <v>271227</v>
      </c>
      <c r="D548" s="29"/>
      <c r="E548" s="1">
        <v>12</v>
      </c>
      <c r="F548" s="8">
        <v>6</v>
      </c>
      <c r="G548" s="30">
        <f t="shared" si="27"/>
        <v>18</v>
      </c>
      <c r="H548" s="8">
        <f t="shared" si="29"/>
        <v>-12</v>
      </c>
      <c r="I548">
        <f t="shared" si="28"/>
        <v>0</v>
      </c>
      <c r="J548">
        <f>SUMIF(Oeffentlichkeitsarbeit!$D:$D,$B548,Oeffentlichkeitsarbeit!$F:$F)</f>
        <v>0</v>
      </c>
      <c r="K548">
        <f>COUNTIF(Fairteiler!$D:$D,$B548)*1/2</f>
        <v>0</v>
      </c>
      <c r="L548">
        <f>COUNTIF('NP-Betrieb'!D:D,$B548)*1/3</f>
        <v>0</v>
      </c>
      <c r="M548">
        <f>COUNTIF(Fairteilungen!$D:$D,$B548)*3/4</f>
        <v>0</v>
      </c>
      <c r="N548">
        <f>COUNTIF(Anlieferung!D:D,$B548)*1/2</f>
        <v>0</v>
      </c>
      <c r="O548">
        <f>COUNTIF(Probeabholungen!B:B,$B548)*1/3</f>
        <v>0</v>
      </c>
    </row>
    <row r="549" spans="1:1024">
      <c r="A549" t="s">
        <v>531</v>
      </c>
      <c r="B549">
        <v>904226</v>
      </c>
      <c r="D549" s="24">
        <v>45720</v>
      </c>
      <c r="E549" s="1">
        <v>0</v>
      </c>
      <c r="F549">
        <v>6</v>
      </c>
      <c r="G549" s="30">
        <f t="shared" si="27"/>
        <v>6</v>
      </c>
      <c r="H549" s="8">
        <f t="shared" si="29"/>
        <v>0</v>
      </c>
      <c r="I549">
        <f t="shared" si="28"/>
        <v>0</v>
      </c>
      <c r="J549">
        <f>SUMIF(Oeffentlichkeitsarbeit!$D:$D,$B549,Oeffentlichkeitsarbeit!$F:$F)</f>
        <v>0</v>
      </c>
      <c r="K549">
        <f>COUNTIF(Fairteiler!$D:$D,$B549)*1/2</f>
        <v>0</v>
      </c>
      <c r="L549">
        <f>COUNTIF('NP-Betrieb'!D:D,$B549)*1/3</f>
        <v>0</v>
      </c>
      <c r="M549">
        <f>COUNTIF(Fairteilungen!$D:$D,$B549)*3/4</f>
        <v>0</v>
      </c>
      <c r="N549">
        <f>COUNTIF(Anlieferung!D:D,$B549)*1/2</f>
        <v>0</v>
      </c>
      <c r="O549">
        <f>COUNTIF(Probeabholungen!B:B,$B549)*1/3</f>
        <v>0</v>
      </c>
    </row>
    <row r="550" spans="1:1024">
      <c r="A550" s="8" t="s">
        <v>532</v>
      </c>
      <c r="B550" s="8">
        <v>392247</v>
      </c>
      <c r="C550" s="8"/>
      <c r="D550" s="29"/>
      <c r="E550" s="1">
        <v>0.33333333333333298</v>
      </c>
      <c r="F550" s="8">
        <v>6</v>
      </c>
      <c r="G550" s="30">
        <f t="shared" si="27"/>
        <v>5.333333333333333</v>
      </c>
      <c r="H550" s="8">
        <f t="shared" si="29"/>
        <v>0.66666666666666696</v>
      </c>
      <c r="I550">
        <f t="shared" si="28"/>
        <v>1</v>
      </c>
      <c r="J550">
        <f>SUMIF(Oeffentlichkeitsarbeit!$D:$D,$B550,Oeffentlichkeitsarbeit!$F:$F)</f>
        <v>0</v>
      </c>
      <c r="K550">
        <f>COUNTIF(Fairteiler!$D:$D,$B550)*1/2</f>
        <v>0</v>
      </c>
      <c r="L550">
        <f>COUNTIF('NP-Betrieb'!D:D,$B550)*1/3</f>
        <v>1</v>
      </c>
      <c r="M550">
        <f>COUNTIF(Fairteilungen!$D:$D,$B550)*3/4</f>
        <v>0</v>
      </c>
      <c r="N550">
        <f>COUNTIF(Anlieferung!D:D,$B550)*1/2</f>
        <v>0</v>
      </c>
      <c r="O550">
        <f>COUNTIF(Probeabholungen!B:B,$B550)*1/3</f>
        <v>0</v>
      </c>
    </row>
    <row r="551" spans="1:1024" ht="27.6">
      <c r="A551" s="8" t="s">
        <v>533</v>
      </c>
      <c r="B551" s="8">
        <v>101826</v>
      </c>
      <c r="D551" s="29"/>
      <c r="E551" s="1">
        <v>6</v>
      </c>
      <c r="F551" s="8">
        <v>6</v>
      </c>
      <c r="G551" s="30">
        <f t="shared" si="27"/>
        <v>12</v>
      </c>
      <c r="H551" s="8">
        <f t="shared" si="29"/>
        <v>-6</v>
      </c>
      <c r="I551">
        <f t="shared" si="28"/>
        <v>0</v>
      </c>
      <c r="J551">
        <f>SUMIF(Oeffentlichkeitsarbeit!$D:$D,$B551,Oeffentlichkeitsarbeit!$F:$F)</f>
        <v>0</v>
      </c>
      <c r="K551">
        <f>COUNTIF(Fairteiler!$D:$D,$B551)*1/2</f>
        <v>0</v>
      </c>
      <c r="L551">
        <f>COUNTIF('NP-Betrieb'!D:D,$B551)*1/3</f>
        <v>0</v>
      </c>
      <c r="M551">
        <f>COUNTIF(Fairteilungen!$D:$D,$B551)*3/4</f>
        <v>0</v>
      </c>
      <c r="N551">
        <f>COUNTIF(Anlieferung!D:D,$B551)*1/2</f>
        <v>0</v>
      </c>
      <c r="O551">
        <f>COUNTIF(Probeabholungen!B:B,$B551)*1/3</f>
        <v>0</v>
      </c>
    </row>
    <row r="552" spans="1:1024" ht="27.6">
      <c r="A552" s="8" t="s">
        <v>534</v>
      </c>
      <c r="B552" s="8">
        <v>348209</v>
      </c>
      <c r="D552" s="29"/>
      <c r="E552" s="1">
        <v>0</v>
      </c>
      <c r="F552" s="8">
        <v>6</v>
      </c>
      <c r="G552" s="30">
        <f t="shared" si="27"/>
        <v>2.6666666666666665</v>
      </c>
      <c r="H552" s="8">
        <f t="shared" si="29"/>
        <v>3.3333333333333335</v>
      </c>
      <c r="I552">
        <f t="shared" si="28"/>
        <v>3.3333333333333335</v>
      </c>
      <c r="J552">
        <f>SUMIF(Oeffentlichkeitsarbeit!$D:$D,$B552,Oeffentlichkeitsarbeit!$F:$F)</f>
        <v>0</v>
      </c>
      <c r="K552">
        <f>COUNTIF(Fairteiler!$D:$D,$B552)*1/2</f>
        <v>3</v>
      </c>
      <c r="L552">
        <f>COUNTIF('NP-Betrieb'!D:D,$B552)*1/3</f>
        <v>0.33333333333333331</v>
      </c>
      <c r="M552">
        <f>COUNTIF(Fairteilungen!$D:$D,$B552)*3/4</f>
        <v>0</v>
      </c>
      <c r="N552">
        <f>COUNTIF(Anlieferung!D:D,$B552)*1/2</f>
        <v>0</v>
      </c>
      <c r="O552">
        <f>COUNTIF(Probeabholungen!B:B,$B552)*1/3</f>
        <v>0</v>
      </c>
    </row>
    <row r="553" spans="1:1024" ht="27.6">
      <c r="A553" s="8" t="s">
        <v>535</v>
      </c>
      <c r="B553" s="8">
        <v>681494</v>
      </c>
      <c r="D553" s="29"/>
      <c r="E553" s="1">
        <v>0.5</v>
      </c>
      <c r="F553" s="8">
        <v>6</v>
      </c>
      <c r="G553" s="30">
        <f t="shared" si="27"/>
        <v>2.6666666666666665</v>
      </c>
      <c r="H553" s="8">
        <f t="shared" si="29"/>
        <v>3.3333333333333335</v>
      </c>
      <c r="I553">
        <f t="shared" si="28"/>
        <v>3.8333333333333335</v>
      </c>
      <c r="J553">
        <f>SUMIF(Oeffentlichkeitsarbeit!$D:$D,$B553,Oeffentlichkeitsarbeit!$F:$F)</f>
        <v>0</v>
      </c>
      <c r="K553">
        <f>COUNTIF(Fairteiler!$D:$D,$B553)*1/2</f>
        <v>0.5</v>
      </c>
      <c r="L553">
        <f>COUNTIF('NP-Betrieb'!D:D,$B553)*1/3</f>
        <v>3.3333333333333335</v>
      </c>
      <c r="M553">
        <f>COUNTIF(Fairteilungen!$D:$D,$B553)*3/4</f>
        <v>0</v>
      </c>
      <c r="N553">
        <f>COUNTIF(Anlieferung!D:D,$B553)*1/2</f>
        <v>0</v>
      </c>
      <c r="O553">
        <f>COUNTIF(Probeabholungen!B:B,$B553)*1/3</f>
        <v>0</v>
      </c>
    </row>
    <row r="554" spans="1:1024" ht="27.6">
      <c r="A554" s="8" t="s">
        <v>536</v>
      </c>
      <c r="B554" s="8">
        <v>575012</v>
      </c>
      <c r="D554" s="29"/>
      <c r="E554" s="1">
        <v>0</v>
      </c>
      <c r="F554" s="8">
        <v>6</v>
      </c>
      <c r="G554" s="30">
        <f t="shared" si="27"/>
        <v>6</v>
      </c>
      <c r="H554" s="8">
        <f t="shared" si="29"/>
        <v>0</v>
      </c>
      <c r="I554">
        <f t="shared" si="28"/>
        <v>0</v>
      </c>
      <c r="J554">
        <f>SUMIF(Oeffentlichkeitsarbeit!$D:$D,$B554,Oeffentlichkeitsarbeit!$F:$F)</f>
        <v>0</v>
      </c>
      <c r="K554">
        <f>COUNTIF(Fairteiler!$D:$D,$B554)*1/2</f>
        <v>0</v>
      </c>
      <c r="L554">
        <f>COUNTIF('NP-Betrieb'!D:D,$B554)*1/3</f>
        <v>0</v>
      </c>
      <c r="M554">
        <f>COUNTIF(Fairteilungen!$D:$D,$B554)*3/4</f>
        <v>0</v>
      </c>
      <c r="N554">
        <f>COUNTIF(Anlieferung!D:D,$B554)*1/2</f>
        <v>0</v>
      </c>
      <c r="O554">
        <f>COUNTIF(Probeabholungen!B:B,$B554)*1/3</f>
        <v>0</v>
      </c>
    </row>
    <row r="555" spans="1:1024" ht="27.6">
      <c r="A555" s="8" t="s">
        <v>537</v>
      </c>
      <c r="B555" s="8">
        <v>325702</v>
      </c>
      <c r="D555" s="29"/>
      <c r="E555" s="1">
        <v>12</v>
      </c>
      <c r="F555" s="8">
        <v>6</v>
      </c>
      <c r="G555" s="30">
        <f t="shared" si="27"/>
        <v>18</v>
      </c>
      <c r="H555" s="8">
        <f t="shared" si="29"/>
        <v>-12</v>
      </c>
      <c r="I555">
        <f t="shared" si="28"/>
        <v>0</v>
      </c>
      <c r="J555">
        <f>SUMIF(Oeffentlichkeitsarbeit!$D:$D,$B555,Oeffentlichkeitsarbeit!$F:$F)</f>
        <v>0</v>
      </c>
      <c r="K555">
        <f>COUNTIF(Fairteiler!$D:$D,$B555)*1/2</f>
        <v>0</v>
      </c>
      <c r="L555">
        <f>COUNTIF('NP-Betrieb'!D:D,$B555)*1/3</f>
        <v>0</v>
      </c>
      <c r="M555">
        <f>COUNTIF(Fairteilungen!$D:$D,$B555)*3/4</f>
        <v>0</v>
      </c>
      <c r="N555">
        <f>COUNTIF(Anlieferung!D:D,$B555)*1/2</f>
        <v>0</v>
      </c>
      <c r="O555">
        <f>COUNTIF(Probeabholungen!B:B,$B555)*1/3</f>
        <v>0</v>
      </c>
    </row>
    <row r="556" spans="1:1024" ht="27.6">
      <c r="A556" s="8" t="s">
        <v>538</v>
      </c>
      <c r="B556" s="8">
        <v>788129</v>
      </c>
      <c r="D556" s="29"/>
      <c r="E556" s="1">
        <v>0</v>
      </c>
      <c r="F556" s="8">
        <v>6</v>
      </c>
      <c r="G556" s="30">
        <f t="shared" si="27"/>
        <v>5.333333333333333</v>
      </c>
      <c r="H556" s="8">
        <f t="shared" si="29"/>
        <v>0.66666666666666663</v>
      </c>
      <c r="I556">
        <f t="shared" si="28"/>
        <v>0.66666666666666663</v>
      </c>
      <c r="J556">
        <f>SUMIF(Oeffentlichkeitsarbeit!$D:$D,$B556,Oeffentlichkeitsarbeit!$F:$F)</f>
        <v>0</v>
      </c>
      <c r="K556">
        <f>COUNTIF(Fairteiler!$D:$D,$B556)*1/2</f>
        <v>0</v>
      </c>
      <c r="L556">
        <f>COUNTIF('NP-Betrieb'!D:D,$B556)*1/3</f>
        <v>0.66666666666666663</v>
      </c>
      <c r="M556">
        <f>COUNTIF(Fairteilungen!$D:$D,$B556)*3/4</f>
        <v>0</v>
      </c>
      <c r="N556">
        <f>COUNTIF(Anlieferung!D:D,$B556)*1/2</f>
        <v>0</v>
      </c>
      <c r="O556">
        <f>COUNTIF(Probeabholungen!B:B,$B556)*1/3</f>
        <v>0</v>
      </c>
    </row>
    <row r="557" spans="1:1024" s="31" customFormat="1">
      <c r="A557" s="8" t="s">
        <v>539</v>
      </c>
      <c r="B557" s="8">
        <v>140992</v>
      </c>
      <c r="C557"/>
      <c r="D557" s="29"/>
      <c r="E557" s="1">
        <v>11.6666666666667</v>
      </c>
      <c r="F557" s="8">
        <v>6</v>
      </c>
      <c r="G557" s="30">
        <f t="shared" si="27"/>
        <v>17.6666666666667</v>
      </c>
      <c r="H557" s="8">
        <f t="shared" si="29"/>
        <v>-11.6666666666667</v>
      </c>
      <c r="I557">
        <f t="shared" si="28"/>
        <v>0</v>
      </c>
      <c r="J557">
        <f>SUMIF(Oeffentlichkeitsarbeit!$D:$D,$B557,Oeffentlichkeitsarbeit!$F:$F)</f>
        <v>0</v>
      </c>
      <c r="K557">
        <f>COUNTIF(Fairteiler!$D:$D,$B557)*1/2</f>
        <v>0</v>
      </c>
      <c r="L557">
        <f>COUNTIF('NP-Betrieb'!D:D,$B557)*1/3</f>
        <v>0</v>
      </c>
      <c r="M557">
        <f>COUNTIF(Fairteilungen!$D:$D,$B557)*3/4</f>
        <v>0</v>
      </c>
      <c r="N557">
        <f>COUNTIF(Anlieferung!D:D,$B557)*1/2</f>
        <v>0</v>
      </c>
      <c r="O557">
        <f>COUNTIF(Probeabholungen!B:B,$B557)*1/3</f>
        <v>0</v>
      </c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  <c r="BR557"/>
      <c r="BS557"/>
      <c r="BT557"/>
      <c r="BU557"/>
      <c r="BV557"/>
      <c r="BW557"/>
      <c r="BX557"/>
      <c r="BY557"/>
      <c r="BZ557"/>
      <c r="CA557"/>
      <c r="CB557"/>
      <c r="CC557"/>
      <c r="CD557"/>
      <c r="CE557"/>
      <c r="CF557"/>
      <c r="CG557"/>
      <c r="CH557"/>
      <c r="CI557"/>
      <c r="CJ557"/>
      <c r="CK557"/>
      <c r="CL557"/>
      <c r="CM557"/>
      <c r="CN557"/>
      <c r="CO557"/>
      <c r="CP557"/>
      <c r="CQ557"/>
      <c r="CR557"/>
      <c r="CS557"/>
      <c r="CT557"/>
      <c r="CU557"/>
      <c r="CV557"/>
      <c r="CW557"/>
      <c r="CX557"/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/>
      <c r="DN557"/>
      <c r="DO557"/>
      <c r="DP557"/>
      <c r="DQ557"/>
      <c r="DR557"/>
      <c r="DS557"/>
      <c r="DT557"/>
      <c r="DU557"/>
      <c r="DV557"/>
      <c r="DW557"/>
      <c r="DX557"/>
      <c r="DY557"/>
      <c r="DZ557"/>
      <c r="EA557"/>
      <c r="EB557"/>
      <c r="EC557"/>
      <c r="ED557"/>
      <c r="EE557"/>
      <c r="EF557"/>
      <c r="EG557"/>
      <c r="EH557"/>
      <c r="EI557"/>
      <c r="EJ557"/>
      <c r="EK557"/>
      <c r="EL557"/>
      <c r="EM557"/>
      <c r="EN557"/>
      <c r="EO557"/>
      <c r="EP557"/>
      <c r="EQ557"/>
      <c r="ER557"/>
      <c r="ES557"/>
      <c r="ET557"/>
      <c r="EU557"/>
      <c r="EV557"/>
      <c r="EW557"/>
      <c r="EX557"/>
      <c r="EY557"/>
      <c r="EZ557"/>
      <c r="FA557"/>
      <c r="FB557"/>
      <c r="FC557"/>
      <c r="FD557"/>
      <c r="FE557"/>
      <c r="FF557"/>
      <c r="FG557"/>
      <c r="FH557"/>
      <c r="FI557"/>
      <c r="FJ557"/>
      <c r="FK557"/>
      <c r="FL557"/>
      <c r="FM557"/>
      <c r="FN557"/>
      <c r="FO557"/>
      <c r="FP557"/>
      <c r="FQ557"/>
      <c r="FR557"/>
      <c r="FS557"/>
      <c r="FT557"/>
      <c r="FU557"/>
      <c r="FV557"/>
      <c r="FW557"/>
      <c r="FX557"/>
      <c r="FY557"/>
      <c r="FZ557"/>
      <c r="GA557"/>
      <c r="GB557"/>
      <c r="GC557"/>
      <c r="GD557"/>
      <c r="GE557"/>
      <c r="GF557"/>
      <c r="GG557"/>
      <c r="GH557"/>
      <c r="GI557"/>
      <c r="GJ557"/>
      <c r="GK557"/>
      <c r="GL557"/>
      <c r="GM557"/>
      <c r="GN557"/>
      <c r="GO557"/>
      <c r="GP557"/>
      <c r="GQ557"/>
      <c r="GR557"/>
      <c r="GS557"/>
      <c r="GT557"/>
      <c r="GU557"/>
      <c r="GV557"/>
      <c r="GW557"/>
      <c r="GX557"/>
      <c r="GY557"/>
      <c r="GZ557"/>
      <c r="HA557"/>
      <c r="HB557"/>
      <c r="HC557"/>
      <c r="HD557"/>
      <c r="HE557"/>
      <c r="HF557"/>
      <c r="HG557"/>
      <c r="HH557"/>
      <c r="HI557"/>
      <c r="HJ557"/>
      <c r="HK557"/>
      <c r="HL557"/>
      <c r="HM557"/>
      <c r="HN557"/>
      <c r="HO557"/>
      <c r="HP557"/>
      <c r="HQ557"/>
      <c r="HR557"/>
      <c r="HS557"/>
      <c r="HT557"/>
      <c r="HU557"/>
      <c r="HV557"/>
      <c r="HW557"/>
      <c r="HX557"/>
      <c r="HY557"/>
      <c r="HZ557"/>
      <c r="IA557"/>
      <c r="IB557"/>
      <c r="IC557"/>
      <c r="ID557"/>
      <c r="IE557"/>
      <c r="IF557"/>
      <c r="IG557"/>
      <c r="IH557"/>
      <c r="II557"/>
      <c r="IJ557"/>
      <c r="IK557"/>
      <c r="IL557"/>
      <c r="IM557"/>
      <c r="IN557"/>
      <c r="IO557"/>
      <c r="IP557"/>
      <c r="IQ557"/>
      <c r="IR557"/>
      <c r="IS557"/>
      <c r="IT557"/>
      <c r="IU557"/>
      <c r="IV557"/>
      <c r="IW557"/>
      <c r="IX557"/>
      <c r="IY557"/>
      <c r="IZ557"/>
      <c r="JA557"/>
      <c r="JB557"/>
      <c r="JC557"/>
      <c r="JD557"/>
      <c r="JE557"/>
      <c r="JF557"/>
      <c r="JG557"/>
      <c r="JH557"/>
      <c r="JI557"/>
      <c r="JJ557"/>
      <c r="JK557"/>
      <c r="JL557"/>
      <c r="JM557"/>
      <c r="JN557"/>
      <c r="JO557"/>
      <c r="JP557"/>
      <c r="JQ557"/>
      <c r="JR557"/>
      <c r="JS557"/>
      <c r="JT557"/>
      <c r="JU557"/>
      <c r="JV557"/>
      <c r="JW557"/>
      <c r="JX557"/>
      <c r="JY557"/>
      <c r="JZ557"/>
      <c r="KA557"/>
      <c r="KB557"/>
      <c r="KC557"/>
      <c r="KD557"/>
      <c r="KE557"/>
      <c r="KF557"/>
      <c r="KG557"/>
      <c r="KH557"/>
      <c r="KI557"/>
      <c r="KJ557"/>
      <c r="KK557"/>
      <c r="KL557"/>
      <c r="KM557"/>
      <c r="KN557"/>
      <c r="KO557"/>
      <c r="KP557"/>
      <c r="KQ557"/>
      <c r="KR557"/>
      <c r="KS557"/>
      <c r="KT557"/>
      <c r="KU557"/>
      <c r="KV557"/>
      <c r="KW557"/>
      <c r="KX557"/>
      <c r="KY557"/>
      <c r="KZ557"/>
      <c r="LA557"/>
      <c r="LB557"/>
      <c r="LC557"/>
      <c r="LD557"/>
      <c r="LE557"/>
      <c r="LF557"/>
      <c r="LG557"/>
      <c r="LH557"/>
      <c r="LI557"/>
      <c r="LJ557"/>
      <c r="LK557"/>
      <c r="LL557"/>
      <c r="LM557"/>
      <c r="LN557"/>
      <c r="LO557"/>
      <c r="LP557"/>
      <c r="LQ557"/>
      <c r="LR557"/>
      <c r="LS557"/>
      <c r="LT557"/>
      <c r="LU557"/>
      <c r="LV557"/>
      <c r="LW557"/>
      <c r="LX557"/>
      <c r="LY557"/>
      <c r="LZ557"/>
      <c r="MA557"/>
      <c r="MB557"/>
      <c r="MC557"/>
      <c r="MD557"/>
      <c r="ME557"/>
      <c r="MF557"/>
      <c r="MG557"/>
      <c r="MH557"/>
      <c r="MI557"/>
      <c r="MJ557"/>
      <c r="MK557"/>
      <c r="ML557"/>
      <c r="MM557"/>
      <c r="MN557"/>
      <c r="MO557"/>
      <c r="MP557"/>
      <c r="MQ557"/>
      <c r="MR557"/>
      <c r="MS557"/>
      <c r="MT557"/>
      <c r="MU557"/>
      <c r="MV557"/>
      <c r="MW557"/>
      <c r="MX557"/>
      <c r="MY557"/>
      <c r="MZ557"/>
      <c r="NA557"/>
      <c r="NB557"/>
      <c r="NC557"/>
      <c r="ND557"/>
      <c r="NE557"/>
      <c r="NF557"/>
      <c r="NG557"/>
      <c r="NH557"/>
      <c r="NI557"/>
      <c r="NJ557"/>
      <c r="NK557"/>
      <c r="NL557"/>
      <c r="NM557"/>
      <c r="NN557"/>
      <c r="NO557"/>
      <c r="NP557"/>
      <c r="NQ557"/>
      <c r="NR557"/>
      <c r="NS557"/>
      <c r="NT557"/>
      <c r="NU557"/>
      <c r="NV557"/>
      <c r="NW557"/>
      <c r="NX557"/>
      <c r="NY557"/>
      <c r="NZ557"/>
      <c r="OA557"/>
      <c r="OB557"/>
      <c r="OC557"/>
      <c r="OD557"/>
      <c r="OE557"/>
      <c r="OF557"/>
      <c r="OG557"/>
      <c r="OH557"/>
      <c r="OI557"/>
      <c r="OJ557"/>
      <c r="OK557"/>
      <c r="OL557"/>
      <c r="OM557"/>
      <c r="ON557"/>
      <c r="OO557"/>
      <c r="OP557"/>
      <c r="OQ557"/>
      <c r="OR557"/>
      <c r="OS557"/>
      <c r="OT557"/>
      <c r="OU557"/>
      <c r="OV557"/>
      <c r="OW557"/>
      <c r="OX557"/>
      <c r="OY557"/>
      <c r="OZ557"/>
      <c r="PA557"/>
      <c r="PB557"/>
      <c r="PC557"/>
      <c r="PD557"/>
      <c r="PE557"/>
      <c r="PF557"/>
      <c r="PG557"/>
      <c r="PH557"/>
      <c r="PI557"/>
      <c r="PJ557"/>
      <c r="PK557"/>
      <c r="PL557"/>
      <c r="PM557"/>
      <c r="PN557"/>
      <c r="PO557"/>
      <c r="PP557"/>
      <c r="PQ557"/>
      <c r="PR557"/>
      <c r="PS557"/>
      <c r="PT557"/>
      <c r="PU557"/>
      <c r="PV557"/>
      <c r="PW557"/>
      <c r="PX557"/>
      <c r="PY557"/>
      <c r="PZ557"/>
      <c r="QA557"/>
      <c r="QB557"/>
      <c r="QC557"/>
      <c r="QD557"/>
      <c r="QE557"/>
      <c r="QF557"/>
      <c r="QG557"/>
      <c r="QH557"/>
      <c r="QI557"/>
      <c r="QJ557"/>
      <c r="QK557"/>
      <c r="QL557"/>
      <c r="QM557"/>
      <c r="QN557"/>
      <c r="QO557"/>
      <c r="QP557"/>
      <c r="QQ557"/>
      <c r="QR557"/>
      <c r="QS557"/>
      <c r="QT557"/>
      <c r="QU557"/>
      <c r="QV557"/>
      <c r="QW557"/>
      <c r="QX557"/>
      <c r="QY557"/>
      <c r="QZ557"/>
      <c r="RA557"/>
      <c r="RB557"/>
      <c r="RC557"/>
      <c r="RD557"/>
      <c r="RE557"/>
      <c r="RF557"/>
      <c r="RG557"/>
      <c r="RH557"/>
      <c r="RI557"/>
      <c r="RJ557"/>
      <c r="RK557"/>
      <c r="RL557"/>
      <c r="RM557"/>
      <c r="RN557"/>
      <c r="RO557"/>
      <c r="RP557"/>
      <c r="RQ557"/>
      <c r="RR557"/>
      <c r="RS557"/>
      <c r="RT557"/>
      <c r="RU557"/>
      <c r="RV557"/>
      <c r="RW557"/>
      <c r="RX557"/>
      <c r="RY557"/>
      <c r="RZ557"/>
      <c r="SA557"/>
      <c r="SB557"/>
      <c r="SC557"/>
      <c r="SD557"/>
      <c r="SE557"/>
      <c r="SF557"/>
      <c r="SG557"/>
      <c r="SH557"/>
      <c r="SI557"/>
      <c r="SJ557"/>
      <c r="SK557"/>
      <c r="SL557"/>
      <c r="SM557"/>
      <c r="SN557"/>
      <c r="SO557"/>
      <c r="SP557"/>
      <c r="SQ557"/>
      <c r="SR557"/>
      <c r="SS557"/>
      <c r="ST557"/>
      <c r="SU557"/>
      <c r="SV557"/>
      <c r="SW557"/>
      <c r="SX557"/>
      <c r="SY557"/>
      <c r="SZ557"/>
      <c r="TA557"/>
      <c r="TB557"/>
      <c r="TC557"/>
      <c r="TD557"/>
      <c r="TE557"/>
      <c r="TF557"/>
      <c r="TG557"/>
      <c r="TH557"/>
      <c r="TI557"/>
      <c r="TJ557"/>
      <c r="TK557"/>
      <c r="TL557"/>
      <c r="TM557"/>
      <c r="TN557"/>
      <c r="TO557"/>
      <c r="TP557"/>
      <c r="TQ557"/>
      <c r="TR557"/>
      <c r="TS557"/>
      <c r="TT557"/>
      <c r="TU557"/>
      <c r="TV557"/>
      <c r="TW557"/>
      <c r="TX557"/>
      <c r="TY557"/>
      <c r="TZ557"/>
      <c r="UA557"/>
      <c r="UB557"/>
      <c r="UC557"/>
      <c r="UD557"/>
      <c r="UE557"/>
      <c r="UF557"/>
      <c r="UG557"/>
      <c r="UH557"/>
      <c r="UI557"/>
      <c r="UJ557"/>
      <c r="UK557"/>
      <c r="UL557"/>
      <c r="UM557"/>
      <c r="UN557"/>
      <c r="UO557"/>
      <c r="UP557"/>
      <c r="UQ557"/>
      <c r="UR557"/>
      <c r="US557"/>
      <c r="UT557"/>
      <c r="UU557"/>
      <c r="UV557"/>
      <c r="UW557"/>
      <c r="UX557"/>
      <c r="UY557"/>
      <c r="UZ557"/>
      <c r="VA557"/>
      <c r="VB557"/>
      <c r="VC557"/>
      <c r="VD557"/>
      <c r="VE557"/>
      <c r="VF557"/>
      <c r="VG557"/>
      <c r="VH557"/>
      <c r="VI557"/>
      <c r="VJ557"/>
      <c r="VK557"/>
      <c r="VL557"/>
      <c r="VM557"/>
      <c r="VN557"/>
      <c r="VO557"/>
      <c r="VP557"/>
      <c r="VQ557"/>
      <c r="VR557"/>
      <c r="VS557"/>
      <c r="VT557"/>
      <c r="VU557"/>
      <c r="VV557"/>
      <c r="VW557"/>
      <c r="VX557"/>
      <c r="VY557"/>
      <c r="VZ557"/>
      <c r="WA557"/>
      <c r="WB557"/>
      <c r="WC557"/>
      <c r="WD557"/>
      <c r="WE557"/>
      <c r="WF557"/>
      <c r="WG557"/>
      <c r="WH557"/>
      <c r="WI557"/>
      <c r="WJ557"/>
      <c r="WK557"/>
      <c r="WL557"/>
      <c r="WM557"/>
      <c r="WN557"/>
      <c r="WO557"/>
      <c r="WP557"/>
      <c r="WQ557"/>
      <c r="WR557"/>
      <c r="WS557"/>
      <c r="WT557"/>
      <c r="WU557"/>
      <c r="WV557"/>
      <c r="WW557"/>
      <c r="WX557"/>
      <c r="WY557"/>
      <c r="WZ557"/>
      <c r="XA557"/>
      <c r="XB557"/>
      <c r="XC557"/>
      <c r="XD557"/>
      <c r="XE557"/>
      <c r="XF557"/>
      <c r="XG557"/>
      <c r="XH557"/>
      <c r="XI557"/>
      <c r="XJ557"/>
      <c r="XK557"/>
      <c r="XL557"/>
      <c r="XM557"/>
      <c r="XN557"/>
      <c r="XO557"/>
      <c r="XP557"/>
      <c r="XQ557"/>
      <c r="XR557"/>
      <c r="XS557"/>
      <c r="XT557"/>
      <c r="XU557"/>
      <c r="XV557"/>
      <c r="XW557"/>
      <c r="XX557"/>
      <c r="XY557"/>
      <c r="XZ557"/>
      <c r="YA557"/>
      <c r="YB557"/>
      <c r="YC557"/>
      <c r="YD557"/>
      <c r="YE557"/>
      <c r="YF557"/>
      <c r="YG557"/>
      <c r="YH557"/>
      <c r="YI557"/>
      <c r="YJ557"/>
      <c r="YK557"/>
      <c r="YL557"/>
      <c r="YM557"/>
      <c r="YN557"/>
      <c r="YO557"/>
      <c r="YP557"/>
      <c r="YQ557"/>
      <c r="YR557"/>
      <c r="YS557"/>
      <c r="YT557"/>
      <c r="YU557"/>
      <c r="YV557"/>
      <c r="YW557"/>
      <c r="YX557"/>
      <c r="YY557"/>
      <c r="YZ557"/>
      <c r="ZA557"/>
      <c r="ZB557"/>
      <c r="ZC557"/>
      <c r="ZD557"/>
      <c r="ZE557"/>
      <c r="ZF557"/>
      <c r="ZG557"/>
      <c r="ZH557"/>
      <c r="ZI557"/>
      <c r="ZJ557"/>
      <c r="ZK557"/>
      <c r="ZL557"/>
      <c r="ZM557"/>
      <c r="ZN557"/>
      <c r="ZO557"/>
      <c r="ZP557"/>
      <c r="ZQ557"/>
      <c r="ZR557"/>
      <c r="ZS557"/>
      <c r="ZT557"/>
      <c r="ZU557"/>
      <c r="ZV557"/>
      <c r="ZW557"/>
      <c r="ZX557"/>
      <c r="ZY557"/>
      <c r="ZZ557"/>
      <c r="AAA557"/>
      <c r="AAB557"/>
      <c r="AAC557"/>
      <c r="AAD557"/>
      <c r="AAE557"/>
      <c r="AAF557"/>
      <c r="AAG557"/>
      <c r="AAH557"/>
      <c r="AAI557"/>
      <c r="AAJ557"/>
      <c r="AAK557"/>
      <c r="AAL557"/>
      <c r="AAM557"/>
      <c r="AAN557"/>
      <c r="AAO557"/>
      <c r="AAP557"/>
      <c r="AAQ557"/>
      <c r="AAR557"/>
      <c r="AAS557"/>
      <c r="AAT557"/>
      <c r="AAU557"/>
      <c r="AAV557"/>
      <c r="AAW557"/>
      <c r="AAX557"/>
      <c r="AAY557"/>
      <c r="AAZ557"/>
      <c r="ABA557"/>
      <c r="ABB557"/>
      <c r="ABC557"/>
      <c r="ABD557"/>
      <c r="ABE557"/>
      <c r="ABF557"/>
      <c r="ABG557"/>
      <c r="ABH557"/>
      <c r="ABI557"/>
      <c r="ABJ557"/>
      <c r="ABK557"/>
      <c r="ABL557"/>
      <c r="ABM557"/>
      <c r="ABN557"/>
      <c r="ABO557"/>
      <c r="ABP557"/>
      <c r="ABQ557"/>
      <c r="ABR557"/>
      <c r="ABS557"/>
      <c r="ABT557"/>
      <c r="ABU557"/>
      <c r="ABV557"/>
      <c r="ABW557"/>
      <c r="ABX557"/>
      <c r="ABY557"/>
      <c r="ABZ557"/>
      <c r="ACA557"/>
      <c r="ACB557"/>
      <c r="ACC557"/>
      <c r="ACD557"/>
      <c r="ACE557"/>
      <c r="ACF557"/>
      <c r="ACG557"/>
      <c r="ACH557"/>
      <c r="ACI557"/>
      <c r="ACJ557"/>
      <c r="ACK557"/>
      <c r="ACL557"/>
      <c r="ACM557"/>
      <c r="ACN557"/>
      <c r="ACO557"/>
      <c r="ACP557"/>
      <c r="ACQ557"/>
      <c r="ACR557"/>
      <c r="ACS557"/>
      <c r="ACT557"/>
      <c r="ACU557"/>
      <c r="ACV557"/>
      <c r="ACW557"/>
      <c r="ACX557"/>
      <c r="ACY557"/>
      <c r="ACZ557"/>
      <c r="ADA557"/>
      <c r="ADB557"/>
      <c r="ADC557"/>
      <c r="ADD557"/>
      <c r="ADE557"/>
      <c r="ADF557"/>
      <c r="ADG557"/>
      <c r="ADH557"/>
      <c r="ADI557"/>
      <c r="ADJ557"/>
      <c r="ADK557"/>
      <c r="ADL557"/>
      <c r="ADM557"/>
      <c r="ADN557"/>
      <c r="ADO557"/>
      <c r="ADP557"/>
      <c r="ADQ557"/>
      <c r="ADR557"/>
      <c r="ADS557"/>
      <c r="ADT557"/>
      <c r="ADU557"/>
      <c r="ADV557"/>
      <c r="ADW557"/>
      <c r="ADX557"/>
      <c r="ADY557"/>
      <c r="ADZ557"/>
      <c r="AEA557"/>
      <c r="AEB557"/>
      <c r="AEC557"/>
      <c r="AED557"/>
      <c r="AEE557"/>
      <c r="AEF557"/>
      <c r="AEG557"/>
      <c r="AEH557"/>
      <c r="AEI557"/>
      <c r="AEJ557"/>
      <c r="AEK557"/>
      <c r="AEL557"/>
      <c r="AEM557"/>
      <c r="AEN557"/>
      <c r="AEO557"/>
      <c r="AEP557"/>
      <c r="AEQ557"/>
      <c r="AER557"/>
      <c r="AES557"/>
      <c r="AET557"/>
      <c r="AEU557"/>
      <c r="AEV557"/>
      <c r="AEW557"/>
      <c r="AEX557"/>
      <c r="AEY557"/>
      <c r="AEZ557"/>
      <c r="AFA557"/>
      <c r="AFB557"/>
      <c r="AFC557"/>
      <c r="AFD557"/>
      <c r="AFE557"/>
      <c r="AFF557"/>
      <c r="AFG557"/>
      <c r="AFH557"/>
      <c r="AFI557"/>
      <c r="AFJ557"/>
      <c r="AFK557"/>
      <c r="AFL557"/>
      <c r="AFM557"/>
      <c r="AFN557"/>
      <c r="AFO557"/>
      <c r="AFP557"/>
      <c r="AFQ557"/>
      <c r="AFR557"/>
      <c r="AFS557"/>
      <c r="AFT557"/>
      <c r="AFU557"/>
      <c r="AFV557"/>
      <c r="AFW557"/>
      <c r="AFX557"/>
      <c r="AFY557"/>
      <c r="AFZ557"/>
      <c r="AGA557"/>
      <c r="AGB557"/>
      <c r="AGC557"/>
      <c r="AGD557"/>
      <c r="AGE557"/>
      <c r="AGF557"/>
      <c r="AGG557"/>
      <c r="AGH557"/>
      <c r="AGI557"/>
      <c r="AGJ557"/>
      <c r="AGK557"/>
      <c r="AGL557"/>
      <c r="AGM557"/>
      <c r="AGN557"/>
      <c r="AGO557"/>
      <c r="AGP557"/>
      <c r="AGQ557"/>
      <c r="AGR557"/>
      <c r="AGS557"/>
      <c r="AGT557"/>
      <c r="AGU557"/>
      <c r="AGV557"/>
      <c r="AGW557"/>
      <c r="AGX557"/>
      <c r="AGY557"/>
      <c r="AGZ557"/>
      <c r="AHA557"/>
      <c r="AHB557"/>
      <c r="AHC557"/>
      <c r="AHD557"/>
      <c r="AHE557"/>
      <c r="AHF557"/>
      <c r="AHG557"/>
      <c r="AHH557"/>
      <c r="AHI557"/>
      <c r="AHJ557"/>
      <c r="AHK557"/>
      <c r="AHL557"/>
      <c r="AHM557"/>
      <c r="AHN557"/>
      <c r="AHO557"/>
      <c r="AHP557"/>
      <c r="AHQ557"/>
      <c r="AHR557"/>
      <c r="AHS557"/>
      <c r="AHT557"/>
      <c r="AHU557"/>
      <c r="AHV557"/>
      <c r="AHW557"/>
      <c r="AHX557"/>
      <c r="AHY557"/>
      <c r="AHZ557"/>
      <c r="AIA557"/>
      <c r="AIB557"/>
      <c r="AIC557"/>
      <c r="AID557"/>
      <c r="AIE557"/>
      <c r="AIF557"/>
      <c r="AIG557"/>
      <c r="AIH557"/>
      <c r="AII557"/>
      <c r="AIJ557"/>
      <c r="AIK557"/>
      <c r="AIL557"/>
      <c r="AIM557"/>
      <c r="AIN557"/>
      <c r="AIO557"/>
      <c r="AIP557"/>
      <c r="AIQ557"/>
      <c r="AIR557"/>
      <c r="AIS557"/>
      <c r="AIT557"/>
      <c r="AIU557"/>
      <c r="AIV557"/>
      <c r="AIW557"/>
      <c r="AIX557"/>
      <c r="AIY557"/>
      <c r="AIZ557"/>
      <c r="AJA557"/>
      <c r="AJB557"/>
      <c r="AJC557"/>
      <c r="AJD557"/>
      <c r="AJE557"/>
      <c r="AJF557"/>
      <c r="AJG557"/>
      <c r="AJH557"/>
      <c r="AJI557"/>
      <c r="AJJ557"/>
      <c r="AJK557"/>
      <c r="AJL557"/>
      <c r="AJM557"/>
      <c r="AJN557"/>
      <c r="AJO557"/>
      <c r="AJP557"/>
      <c r="AJQ557"/>
      <c r="AJR557"/>
      <c r="AJS557"/>
      <c r="AJT557"/>
      <c r="AJU557"/>
      <c r="AJV557"/>
      <c r="AJW557"/>
      <c r="AJX557"/>
      <c r="AJY557"/>
      <c r="AJZ557"/>
      <c r="AKA557"/>
      <c r="AKB557"/>
      <c r="AKC557"/>
      <c r="AKD557"/>
      <c r="AKE557"/>
      <c r="AKF557"/>
      <c r="AKG557"/>
      <c r="AKH557"/>
      <c r="AKI557"/>
      <c r="AKJ557"/>
      <c r="AKK557"/>
      <c r="AKL557"/>
      <c r="AKM557"/>
      <c r="AKN557"/>
      <c r="AKO557"/>
      <c r="AKP557"/>
      <c r="AKQ557"/>
      <c r="AKR557"/>
      <c r="AKS557"/>
      <c r="AKT557"/>
      <c r="AKU557"/>
      <c r="AKV557"/>
      <c r="AKW557"/>
      <c r="AKX557"/>
      <c r="AKY557"/>
      <c r="AKZ557"/>
      <c r="ALA557"/>
      <c r="ALB557"/>
      <c r="ALC557"/>
      <c r="ALD557"/>
      <c r="ALE557"/>
      <c r="ALF557"/>
      <c r="ALG557"/>
      <c r="ALH557"/>
      <c r="ALI557"/>
      <c r="ALJ557"/>
      <c r="ALK557"/>
      <c r="ALL557"/>
      <c r="ALM557"/>
      <c r="ALN557"/>
      <c r="ALO557"/>
      <c r="ALP557"/>
      <c r="ALQ557"/>
      <c r="ALR557"/>
      <c r="ALS557"/>
      <c r="ALT557"/>
      <c r="ALU557"/>
      <c r="ALV557"/>
      <c r="ALW557"/>
      <c r="ALX557"/>
      <c r="ALY557"/>
      <c r="ALZ557"/>
      <c r="AMA557"/>
      <c r="AMB557"/>
      <c r="AMC557"/>
      <c r="AMD557"/>
      <c r="AME557"/>
      <c r="AMF557"/>
      <c r="AMG557"/>
      <c r="AMH557"/>
      <c r="AMI557"/>
      <c r="AMJ557"/>
    </row>
    <row r="558" spans="1:1024" ht="27.6">
      <c r="A558" s="8" t="s">
        <v>540</v>
      </c>
      <c r="B558" s="8">
        <v>664390</v>
      </c>
      <c r="D558" s="29"/>
      <c r="E558" s="1">
        <v>13.3366666666667</v>
      </c>
      <c r="F558" s="8">
        <v>6</v>
      </c>
      <c r="G558" s="30">
        <f t="shared" si="27"/>
        <v>19.336666666666702</v>
      </c>
      <c r="H558" s="8">
        <f t="shared" si="29"/>
        <v>-13.3366666666667</v>
      </c>
      <c r="I558">
        <f t="shared" si="28"/>
        <v>0</v>
      </c>
      <c r="J558">
        <f>SUMIF(Oeffentlichkeitsarbeit!$D:$D,$B558,Oeffentlichkeitsarbeit!$F:$F)</f>
        <v>0</v>
      </c>
      <c r="K558">
        <f>COUNTIF(Fairteiler!$D:$D,$B558)*1/2</f>
        <v>0</v>
      </c>
      <c r="L558">
        <f>COUNTIF('NP-Betrieb'!D:D,$B558)*1/3</f>
        <v>0</v>
      </c>
      <c r="M558">
        <f>COUNTIF(Fairteilungen!$D:$D,$B558)*3/4</f>
        <v>0</v>
      </c>
      <c r="N558">
        <f>COUNTIF(Anlieferung!D:D,$B558)*1/2</f>
        <v>0</v>
      </c>
      <c r="O558">
        <f>COUNTIF(Probeabholungen!B:B,$B558)*1/3</f>
        <v>0</v>
      </c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  <c r="AM558" s="31"/>
      <c r="AN558" s="31"/>
      <c r="AO558" s="31"/>
      <c r="AP558" s="31"/>
      <c r="AQ558" s="31"/>
      <c r="AR558" s="31"/>
      <c r="AS558" s="31"/>
      <c r="AT558" s="31"/>
      <c r="AU558" s="31"/>
      <c r="AV558" s="31"/>
      <c r="AW558" s="31"/>
      <c r="AX558" s="31"/>
      <c r="AY558" s="31"/>
      <c r="AZ558" s="31"/>
      <c r="BA558" s="31"/>
      <c r="BB558" s="31"/>
      <c r="BC558" s="31"/>
      <c r="BD558" s="31"/>
      <c r="BE558" s="31"/>
      <c r="BF558" s="31"/>
      <c r="BG558" s="31"/>
      <c r="BH558" s="31"/>
      <c r="BI558" s="31"/>
      <c r="BJ558" s="31"/>
      <c r="BK558" s="31"/>
      <c r="BL558" s="31"/>
      <c r="BM558" s="31"/>
      <c r="BN558" s="31"/>
      <c r="BO558" s="31"/>
      <c r="BP558" s="31"/>
      <c r="BQ558" s="31"/>
      <c r="BR558" s="31"/>
      <c r="BS558" s="31"/>
      <c r="BT558" s="31"/>
      <c r="BU558" s="31"/>
      <c r="BV558" s="31"/>
      <c r="BW558" s="31"/>
      <c r="BX558" s="31"/>
      <c r="BY558" s="31"/>
      <c r="BZ558" s="31"/>
      <c r="CA558" s="31"/>
      <c r="CB558" s="31"/>
      <c r="CC558" s="31"/>
      <c r="CD558" s="31"/>
      <c r="CE558" s="31"/>
      <c r="CF558" s="31"/>
      <c r="CG558" s="31"/>
      <c r="CH558" s="31"/>
      <c r="CI558" s="31"/>
      <c r="CJ558" s="31"/>
      <c r="CK558" s="31"/>
      <c r="CL558" s="31"/>
      <c r="CM558" s="31"/>
      <c r="CN558" s="31"/>
      <c r="CO558" s="31"/>
      <c r="CP558" s="31"/>
      <c r="CQ558" s="31"/>
      <c r="CR558" s="31"/>
      <c r="CS558" s="31"/>
      <c r="CT558" s="31"/>
      <c r="CU558" s="31"/>
      <c r="CV558" s="31"/>
      <c r="CW558" s="31"/>
      <c r="CX558" s="31"/>
      <c r="CY558" s="31"/>
      <c r="CZ558" s="31"/>
      <c r="DA558" s="31"/>
      <c r="DB558" s="31"/>
      <c r="DC558" s="31"/>
      <c r="DD558" s="31"/>
      <c r="DE558" s="31"/>
      <c r="DF558" s="31"/>
      <c r="DG558" s="31"/>
      <c r="DH558" s="31"/>
      <c r="DI558" s="31"/>
      <c r="DJ558" s="31"/>
      <c r="DK558" s="31"/>
      <c r="DL558" s="31"/>
      <c r="DM558" s="31"/>
      <c r="DN558" s="31"/>
      <c r="DO558" s="31"/>
      <c r="DP558" s="31"/>
      <c r="DQ558" s="31"/>
      <c r="DR558" s="31"/>
      <c r="DS558" s="31"/>
      <c r="DT558" s="31"/>
      <c r="DU558" s="31"/>
      <c r="DV558" s="31"/>
      <c r="DW558" s="31"/>
      <c r="DX558" s="31"/>
      <c r="DY558" s="31"/>
      <c r="DZ558" s="31"/>
      <c r="EA558" s="31"/>
      <c r="EB558" s="31"/>
      <c r="EC558" s="31"/>
      <c r="ED558" s="31"/>
      <c r="EE558" s="31"/>
      <c r="EF558" s="31"/>
      <c r="EG558" s="31"/>
      <c r="EH558" s="31"/>
      <c r="EI558" s="31"/>
      <c r="EJ558" s="31"/>
      <c r="EK558" s="31"/>
      <c r="EL558" s="31"/>
      <c r="EM558" s="31"/>
      <c r="EN558" s="31"/>
      <c r="EO558" s="31"/>
      <c r="EP558" s="31"/>
      <c r="EQ558" s="31"/>
      <c r="ER558" s="31"/>
      <c r="ES558" s="31"/>
      <c r="ET558" s="31"/>
      <c r="EU558" s="31"/>
      <c r="EV558" s="31"/>
      <c r="EW558" s="31"/>
      <c r="EX558" s="31"/>
      <c r="EY558" s="31"/>
      <c r="EZ558" s="31"/>
      <c r="FA558" s="31"/>
      <c r="FB558" s="31"/>
      <c r="FC558" s="31"/>
      <c r="FD558" s="31"/>
      <c r="FE558" s="31"/>
      <c r="FF558" s="31"/>
      <c r="FG558" s="31"/>
      <c r="FH558" s="31"/>
      <c r="FI558" s="31"/>
      <c r="FJ558" s="31"/>
      <c r="FK558" s="31"/>
      <c r="FL558" s="31"/>
      <c r="FM558" s="31"/>
      <c r="FN558" s="31"/>
      <c r="FO558" s="31"/>
      <c r="FP558" s="31"/>
      <c r="FQ558" s="31"/>
      <c r="FR558" s="31"/>
      <c r="FS558" s="31"/>
      <c r="FT558" s="31"/>
      <c r="FU558" s="31"/>
      <c r="FV558" s="31"/>
      <c r="FW558" s="31"/>
      <c r="FX558" s="31"/>
      <c r="FY558" s="31"/>
      <c r="FZ558" s="31"/>
      <c r="GA558" s="31"/>
      <c r="GB558" s="31"/>
      <c r="GC558" s="31"/>
      <c r="GD558" s="31"/>
      <c r="GE558" s="31"/>
      <c r="GF558" s="31"/>
      <c r="GG558" s="31"/>
      <c r="GH558" s="31"/>
      <c r="GI558" s="31"/>
      <c r="GJ558" s="31"/>
      <c r="GK558" s="31"/>
      <c r="GL558" s="31"/>
      <c r="GM558" s="31"/>
      <c r="GN558" s="31"/>
      <c r="GO558" s="31"/>
      <c r="GP558" s="31"/>
      <c r="GQ558" s="31"/>
      <c r="GR558" s="31"/>
      <c r="GS558" s="31"/>
      <c r="GT558" s="31"/>
      <c r="GU558" s="31"/>
      <c r="GV558" s="31"/>
      <c r="GW558" s="31"/>
      <c r="GX558" s="31"/>
      <c r="GY558" s="31"/>
      <c r="GZ558" s="31"/>
      <c r="HA558" s="31"/>
      <c r="HB558" s="31"/>
      <c r="HC558" s="31"/>
      <c r="HD558" s="31"/>
      <c r="HE558" s="31"/>
      <c r="HF558" s="31"/>
      <c r="HG558" s="31"/>
      <c r="HH558" s="31"/>
      <c r="HI558" s="31"/>
      <c r="HJ558" s="31"/>
      <c r="HK558" s="31"/>
      <c r="HL558" s="31"/>
      <c r="HM558" s="31"/>
      <c r="HN558" s="31"/>
      <c r="HO558" s="31"/>
      <c r="HP558" s="31"/>
      <c r="HQ558" s="31"/>
      <c r="HR558" s="31"/>
      <c r="HS558" s="31"/>
      <c r="HT558" s="31"/>
      <c r="HU558" s="31"/>
      <c r="HV558" s="31"/>
      <c r="HW558" s="31"/>
      <c r="HX558" s="31"/>
      <c r="HY558" s="31"/>
      <c r="HZ558" s="31"/>
      <c r="IA558" s="31"/>
      <c r="IB558" s="31"/>
      <c r="IC558" s="31"/>
      <c r="ID558" s="31"/>
      <c r="IE558" s="31"/>
      <c r="IF558" s="31"/>
      <c r="IG558" s="31"/>
      <c r="IH558" s="31"/>
      <c r="II558" s="31"/>
      <c r="IJ558" s="31"/>
      <c r="IK558" s="31"/>
      <c r="IL558" s="31"/>
      <c r="IM558" s="31"/>
      <c r="IN558" s="31"/>
      <c r="IO558" s="31"/>
      <c r="IP558" s="31"/>
      <c r="IQ558" s="31"/>
      <c r="IR558" s="31"/>
      <c r="IS558" s="31"/>
      <c r="IT558" s="31"/>
      <c r="IU558" s="31"/>
      <c r="IV558" s="31"/>
      <c r="IW558" s="31"/>
      <c r="IX558" s="31"/>
      <c r="IY558" s="31"/>
      <c r="IZ558" s="31"/>
      <c r="JA558" s="31"/>
      <c r="JB558" s="31"/>
      <c r="JC558" s="31"/>
      <c r="JD558" s="31"/>
      <c r="JE558" s="31"/>
      <c r="JF558" s="31"/>
      <c r="JG558" s="31"/>
      <c r="JH558" s="31"/>
      <c r="JI558" s="31"/>
      <c r="JJ558" s="31"/>
      <c r="JK558" s="31"/>
      <c r="JL558" s="31"/>
      <c r="JM558" s="31"/>
      <c r="JN558" s="31"/>
      <c r="JO558" s="31"/>
      <c r="JP558" s="31"/>
      <c r="JQ558" s="31"/>
      <c r="JR558" s="31"/>
      <c r="JS558" s="31"/>
      <c r="JT558" s="31"/>
      <c r="JU558" s="31"/>
      <c r="JV558" s="31"/>
      <c r="JW558" s="31"/>
      <c r="JX558" s="31"/>
      <c r="JY558" s="31"/>
      <c r="JZ558" s="31"/>
      <c r="KA558" s="31"/>
      <c r="KB558" s="31"/>
      <c r="KC558" s="31"/>
      <c r="KD558" s="31"/>
      <c r="KE558" s="31"/>
      <c r="KF558" s="31"/>
      <c r="KG558" s="31"/>
      <c r="KH558" s="31"/>
      <c r="KI558" s="31"/>
      <c r="KJ558" s="31"/>
      <c r="KK558" s="31"/>
      <c r="KL558" s="31"/>
      <c r="KM558" s="31"/>
      <c r="KN558" s="31"/>
      <c r="KO558" s="31"/>
      <c r="KP558" s="31"/>
      <c r="KQ558" s="31"/>
      <c r="KR558" s="31"/>
      <c r="KS558" s="31"/>
      <c r="KT558" s="31"/>
      <c r="KU558" s="31"/>
      <c r="KV558" s="31"/>
      <c r="KW558" s="31"/>
      <c r="KX558" s="31"/>
      <c r="KY558" s="31"/>
      <c r="KZ558" s="31"/>
      <c r="LA558" s="31"/>
      <c r="LB558" s="31"/>
      <c r="LC558" s="31"/>
      <c r="LD558" s="31"/>
      <c r="LE558" s="31"/>
      <c r="LF558" s="31"/>
      <c r="LG558" s="31"/>
      <c r="LH558" s="31"/>
      <c r="LI558" s="31"/>
      <c r="LJ558" s="31"/>
      <c r="LK558" s="31"/>
      <c r="LL558" s="31"/>
      <c r="LM558" s="31"/>
      <c r="LN558" s="31"/>
      <c r="LO558" s="31"/>
      <c r="LP558" s="31"/>
      <c r="LQ558" s="31"/>
      <c r="LR558" s="31"/>
      <c r="LS558" s="31"/>
      <c r="LT558" s="31"/>
      <c r="LU558" s="31"/>
      <c r="LV558" s="31"/>
      <c r="LW558" s="31"/>
      <c r="LX558" s="31"/>
      <c r="LY558" s="31"/>
      <c r="LZ558" s="31"/>
      <c r="MA558" s="31"/>
      <c r="MB558" s="31"/>
      <c r="MC558" s="31"/>
      <c r="MD558" s="31"/>
      <c r="ME558" s="31"/>
      <c r="MF558" s="31"/>
      <c r="MG558" s="31"/>
      <c r="MH558" s="31"/>
      <c r="MI558" s="31"/>
      <c r="MJ558" s="31"/>
      <c r="MK558" s="31"/>
      <c r="ML558" s="31"/>
      <c r="MM558" s="31"/>
      <c r="MN558" s="31"/>
      <c r="MO558" s="31"/>
      <c r="MP558" s="31"/>
      <c r="MQ558" s="31"/>
      <c r="MR558" s="31"/>
      <c r="MS558" s="31"/>
      <c r="MT558" s="31"/>
      <c r="MU558" s="31"/>
      <c r="MV558" s="31"/>
      <c r="MW558" s="31"/>
      <c r="MX558" s="31"/>
      <c r="MY558" s="31"/>
      <c r="MZ558" s="31"/>
      <c r="NA558" s="31"/>
      <c r="NB558" s="31"/>
      <c r="NC558" s="31"/>
      <c r="ND558" s="31"/>
      <c r="NE558" s="31"/>
      <c r="NF558" s="31"/>
      <c r="NG558" s="31"/>
      <c r="NH558" s="31"/>
      <c r="NI558" s="31"/>
      <c r="NJ558" s="31"/>
      <c r="NK558" s="31"/>
      <c r="NL558" s="31"/>
      <c r="NM558" s="31"/>
      <c r="NN558" s="31"/>
      <c r="NO558" s="31"/>
      <c r="NP558" s="31"/>
      <c r="NQ558" s="31"/>
      <c r="NR558" s="31"/>
      <c r="NS558" s="31"/>
      <c r="NT558" s="31"/>
      <c r="NU558" s="31"/>
      <c r="NV558" s="31"/>
      <c r="NW558" s="31"/>
      <c r="NX558" s="31"/>
      <c r="NY558" s="31"/>
      <c r="NZ558" s="31"/>
      <c r="OA558" s="31"/>
      <c r="OB558" s="31"/>
      <c r="OC558" s="31"/>
      <c r="OD558" s="31"/>
      <c r="OE558" s="31"/>
      <c r="OF558" s="31"/>
      <c r="OG558" s="31"/>
      <c r="OH558" s="31"/>
      <c r="OI558" s="31"/>
      <c r="OJ558" s="31"/>
      <c r="OK558" s="31"/>
      <c r="OL558" s="31"/>
      <c r="OM558" s="31"/>
      <c r="ON558" s="31"/>
      <c r="OO558" s="31"/>
      <c r="OP558" s="31"/>
      <c r="OQ558" s="31"/>
      <c r="OR558" s="31"/>
      <c r="OS558" s="31"/>
      <c r="OT558" s="31"/>
      <c r="OU558" s="31"/>
      <c r="OV558" s="31"/>
      <c r="OW558" s="31"/>
      <c r="OX558" s="31"/>
      <c r="OY558" s="31"/>
      <c r="OZ558" s="31"/>
      <c r="PA558" s="31"/>
      <c r="PB558" s="31"/>
      <c r="PC558" s="31"/>
      <c r="PD558" s="31"/>
      <c r="PE558" s="31"/>
      <c r="PF558" s="31"/>
      <c r="PG558" s="31"/>
      <c r="PH558" s="31"/>
      <c r="PI558" s="31"/>
      <c r="PJ558" s="31"/>
      <c r="PK558" s="31"/>
      <c r="PL558" s="31"/>
      <c r="PM558" s="31"/>
      <c r="PN558" s="31"/>
      <c r="PO558" s="31"/>
      <c r="PP558" s="31"/>
      <c r="PQ558" s="31"/>
      <c r="PR558" s="31"/>
      <c r="PS558" s="31"/>
      <c r="PT558" s="31"/>
      <c r="PU558" s="31"/>
      <c r="PV558" s="31"/>
      <c r="PW558" s="31"/>
      <c r="PX558" s="31"/>
      <c r="PY558" s="31"/>
      <c r="PZ558" s="31"/>
      <c r="QA558" s="31"/>
      <c r="QB558" s="31"/>
      <c r="QC558" s="31"/>
      <c r="QD558" s="31"/>
      <c r="QE558" s="31"/>
      <c r="QF558" s="31"/>
      <c r="QG558" s="31"/>
      <c r="QH558" s="31"/>
      <c r="QI558" s="31"/>
      <c r="QJ558" s="31"/>
      <c r="QK558" s="31"/>
      <c r="QL558" s="31"/>
      <c r="QM558" s="31"/>
      <c r="QN558" s="31"/>
      <c r="QO558" s="31"/>
      <c r="QP558" s="31"/>
      <c r="QQ558" s="31"/>
      <c r="QR558" s="31"/>
      <c r="QS558" s="31"/>
      <c r="QT558" s="31"/>
      <c r="QU558" s="31"/>
      <c r="QV558" s="31"/>
      <c r="QW558" s="31"/>
      <c r="QX558" s="31"/>
      <c r="QY558" s="31"/>
      <c r="QZ558" s="31"/>
      <c r="RA558" s="31"/>
      <c r="RB558" s="31"/>
      <c r="RC558" s="31"/>
      <c r="RD558" s="31"/>
      <c r="RE558" s="31"/>
      <c r="RF558" s="31"/>
      <c r="RG558" s="31"/>
      <c r="RH558" s="31"/>
      <c r="RI558" s="31"/>
      <c r="RJ558" s="31"/>
      <c r="RK558" s="31"/>
      <c r="RL558" s="31"/>
      <c r="RM558" s="31"/>
      <c r="RN558" s="31"/>
      <c r="RO558" s="31"/>
      <c r="RP558" s="31"/>
      <c r="RQ558" s="31"/>
      <c r="RR558" s="31"/>
      <c r="RS558" s="31"/>
      <c r="RT558" s="31"/>
      <c r="RU558" s="31"/>
      <c r="RV558" s="31"/>
      <c r="RW558" s="31"/>
      <c r="RX558" s="31"/>
      <c r="RY558" s="31"/>
      <c r="RZ558" s="31"/>
      <c r="SA558" s="31"/>
      <c r="SB558" s="31"/>
      <c r="SC558" s="31"/>
      <c r="SD558" s="31"/>
      <c r="SE558" s="31"/>
      <c r="SF558" s="31"/>
      <c r="SG558" s="31"/>
      <c r="SH558" s="31"/>
      <c r="SI558" s="31"/>
      <c r="SJ558" s="31"/>
      <c r="SK558" s="31"/>
      <c r="SL558" s="31"/>
      <c r="SM558" s="31"/>
      <c r="SN558" s="31"/>
      <c r="SO558" s="31"/>
      <c r="SP558" s="31"/>
      <c r="SQ558" s="31"/>
      <c r="SR558" s="31"/>
      <c r="SS558" s="31"/>
      <c r="ST558" s="31"/>
      <c r="SU558" s="31"/>
      <c r="SV558" s="31"/>
      <c r="SW558" s="31"/>
      <c r="SX558" s="31"/>
      <c r="SY558" s="31"/>
      <c r="SZ558" s="31"/>
      <c r="TA558" s="31"/>
      <c r="TB558" s="31"/>
      <c r="TC558" s="31"/>
      <c r="TD558" s="31"/>
      <c r="TE558" s="31"/>
      <c r="TF558" s="31"/>
      <c r="TG558" s="31"/>
      <c r="TH558" s="31"/>
      <c r="TI558" s="31"/>
      <c r="TJ558" s="31"/>
      <c r="TK558" s="31"/>
      <c r="TL558" s="31"/>
      <c r="TM558" s="31"/>
      <c r="TN558" s="31"/>
      <c r="TO558" s="31"/>
      <c r="TP558" s="31"/>
      <c r="TQ558" s="31"/>
      <c r="TR558" s="31"/>
      <c r="TS558" s="31"/>
      <c r="TT558" s="31"/>
      <c r="TU558" s="31"/>
      <c r="TV558" s="31"/>
      <c r="TW558" s="31"/>
      <c r="TX558" s="31"/>
      <c r="TY558" s="31"/>
      <c r="TZ558" s="31"/>
      <c r="UA558" s="31"/>
      <c r="UB558" s="31"/>
      <c r="UC558" s="31"/>
      <c r="UD558" s="31"/>
      <c r="UE558" s="31"/>
      <c r="UF558" s="31"/>
      <c r="UG558" s="31"/>
      <c r="UH558" s="31"/>
      <c r="UI558" s="31"/>
      <c r="UJ558" s="31"/>
      <c r="UK558" s="31"/>
      <c r="UL558" s="31"/>
      <c r="UM558" s="31"/>
      <c r="UN558" s="31"/>
      <c r="UO558" s="31"/>
      <c r="UP558" s="31"/>
      <c r="UQ558" s="31"/>
      <c r="UR558" s="31"/>
      <c r="US558" s="31"/>
      <c r="UT558" s="31"/>
      <c r="UU558" s="31"/>
      <c r="UV558" s="31"/>
      <c r="UW558" s="31"/>
      <c r="UX558" s="31"/>
      <c r="UY558" s="31"/>
      <c r="UZ558" s="31"/>
      <c r="VA558" s="31"/>
      <c r="VB558" s="31"/>
      <c r="VC558" s="31"/>
      <c r="VD558" s="31"/>
      <c r="VE558" s="31"/>
      <c r="VF558" s="31"/>
      <c r="VG558" s="31"/>
      <c r="VH558" s="31"/>
      <c r="VI558" s="31"/>
      <c r="VJ558" s="31"/>
      <c r="VK558" s="31"/>
      <c r="VL558" s="31"/>
      <c r="VM558" s="31"/>
      <c r="VN558" s="31"/>
      <c r="VO558" s="31"/>
      <c r="VP558" s="31"/>
      <c r="VQ558" s="31"/>
      <c r="VR558" s="31"/>
      <c r="VS558" s="31"/>
      <c r="VT558" s="31"/>
      <c r="VU558" s="31"/>
      <c r="VV558" s="31"/>
      <c r="VW558" s="31"/>
      <c r="VX558" s="31"/>
      <c r="VY558" s="31"/>
      <c r="VZ558" s="31"/>
      <c r="WA558" s="31"/>
      <c r="WB558" s="31"/>
      <c r="WC558" s="31"/>
      <c r="WD558" s="31"/>
      <c r="WE558" s="31"/>
      <c r="WF558" s="31"/>
      <c r="WG558" s="31"/>
      <c r="WH558" s="31"/>
      <c r="WI558" s="31"/>
      <c r="WJ558" s="31"/>
      <c r="WK558" s="31"/>
      <c r="WL558" s="31"/>
      <c r="WM558" s="31"/>
      <c r="WN558" s="31"/>
      <c r="WO558" s="31"/>
      <c r="WP558" s="31"/>
      <c r="WQ558" s="31"/>
      <c r="WR558" s="31"/>
      <c r="WS558" s="31"/>
      <c r="WT558" s="31"/>
      <c r="WU558" s="31"/>
      <c r="WV558" s="31"/>
      <c r="WW558" s="31"/>
      <c r="WX558" s="31"/>
      <c r="WY558" s="31"/>
      <c r="WZ558" s="31"/>
      <c r="XA558" s="31"/>
      <c r="XB558" s="31"/>
      <c r="XC558" s="31"/>
      <c r="XD558" s="31"/>
      <c r="XE558" s="31"/>
      <c r="XF558" s="31"/>
      <c r="XG558" s="31"/>
      <c r="XH558" s="31"/>
      <c r="XI558" s="31"/>
      <c r="XJ558" s="31"/>
      <c r="XK558" s="31"/>
      <c r="XL558" s="31"/>
      <c r="XM558" s="31"/>
      <c r="XN558" s="31"/>
      <c r="XO558" s="31"/>
      <c r="XP558" s="31"/>
      <c r="XQ558" s="31"/>
      <c r="XR558" s="31"/>
      <c r="XS558" s="31"/>
      <c r="XT558" s="31"/>
      <c r="XU558" s="31"/>
      <c r="XV558" s="31"/>
      <c r="XW558" s="31"/>
      <c r="XX558" s="31"/>
      <c r="XY558" s="31"/>
      <c r="XZ558" s="31"/>
      <c r="YA558" s="31"/>
      <c r="YB558" s="31"/>
      <c r="YC558" s="31"/>
      <c r="YD558" s="31"/>
      <c r="YE558" s="31"/>
      <c r="YF558" s="31"/>
      <c r="YG558" s="31"/>
      <c r="YH558" s="31"/>
      <c r="YI558" s="31"/>
      <c r="YJ558" s="31"/>
      <c r="YK558" s="31"/>
      <c r="YL558" s="31"/>
      <c r="YM558" s="31"/>
      <c r="YN558" s="31"/>
      <c r="YO558" s="31"/>
      <c r="YP558" s="31"/>
      <c r="YQ558" s="31"/>
      <c r="YR558" s="31"/>
      <c r="YS558" s="31"/>
      <c r="YT558" s="31"/>
      <c r="YU558" s="31"/>
      <c r="YV558" s="31"/>
      <c r="YW558" s="31"/>
      <c r="YX558" s="31"/>
      <c r="YY558" s="31"/>
      <c r="YZ558" s="31"/>
      <c r="ZA558" s="31"/>
      <c r="ZB558" s="31"/>
      <c r="ZC558" s="31"/>
      <c r="ZD558" s="31"/>
      <c r="ZE558" s="31"/>
      <c r="ZF558" s="31"/>
      <c r="ZG558" s="31"/>
      <c r="ZH558" s="31"/>
      <c r="ZI558" s="31"/>
      <c r="ZJ558" s="31"/>
      <c r="ZK558" s="31"/>
      <c r="ZL558" s="31"/>
      <c r="ZM558" s="31"/>
      <c r="ZN558" s="31"/>
      <c r="ZO558" s="31"/>
      <c r="ZP558" s="31"/>
      <c r="ZQ558" s="31"/>
      <c r="ZR558" s="31"/>
      <c r="ZS558" s="31"/>
      <c r="ZT558" s="31"/>
      <c r="ZU558" s="31"/>
      <c r="ZV558" s="31"/>
      <c r="ZW558" s="31"/>
      <c r="ZX558" s="31"/>
      <c r="ZY558" s="31"/>
      <c r="ZZ558" s="31"/>
      <c r="AAA558" s="31"/>
      <c r="AAB558" s="31"/>
      <c r="AAC558" s="31"/>
      <c r="AAD558" s="31"/>
      <c r="AAE558" s="31"/>
      <c r="AAF558" s="31"/>
      <c r="AAG558" s="31"/>
      <c r="AAH558" s="31"/>
      <c r="AAI558" s="31"/>
      <c r="AAJ558" s="31"/>
      <c r="AAK558" s="31"/>
      <c r="AAL558" s="31"/>
      <c r="AAM558" s="31"/>
      <c r="AAN558" s="31"/>
      <c r="AAO558" s="31"/>
      <c r="AAP558" s="31"/>
      <c r="AAQ558" s="31"/>
      <c r="AAR558" s="31"/>
      <c r="AAS558" s="31"/>
      <c r="AAT558" s="31"/>
      <c r="AAU558" s="31"/>
      <c r="AAV558" s="31"/>
      <c r="AAW558" s="31"/>
      <c r="AAX558" s="31"/>
      <c r="AAY558" s="31"/>
      <c r="AAZ558" s="31"/>
      <c r="ABA558" s="31"/>
      <c r="ABB558" s="31"/>
      <c r="ABC558" s="31"/>
      <c r="ABD558" s="31"/>
      <c r="ABE558" s="31"/>
      <c r="ABF558" s="31"/>
      <c r="ABG558" s="31"/>
      <c r="ABH558" s="31"/>
      <c r="ABI558" s="31"/>
      <c r="ABJ558" s="31"/>
      <c r="ABK558" s="31"/>
      <c r="ABL558" s="31"/>
      <c r="ABM558" s="31"/>
      <c r="ABN558" s="31"/>
      <c r="ABO558" s="31"/>
      <c r="ABP558" s="31"/>
      <c r="ABQ558" s="31"/>
      <c r="ABR558" s="31"/>
      <c r="ABS558" s="31"/>
      <c r="ABT558" s="31"/>
      <c r="ABU558" s="31"/>
      <c r="ABV558" s="31"/>
      <c r="ABW558" s="31"/>
      <c r="ABX558" s="31"/>
      <c r="ABY558" s="31"/>
      <c r="ABZ558" s="31"/>
      <c r="ACA558" s="31"/>
      <c r="ACB558" s="31"/>
      <c r="ACC558" s="31"/>
      <c r="ACD558" s="31"/>
      <c r="ACE558" s="31"/>
      <c r="ACF558" s="31"/>
      <c r="ACG558" s="31"/>
      <c r="ACH558" s="31"/>
      <c r="ACI558" s="31"/>
      <c r="ACJ558" s="31"/>
      <c r="ACK558" s="31"/>
      <c r="ACL558" s="31"/>
      <c r="ACM558" s="31"/>
      <c r="ACN558" s="31"/>
      <c r="ACO558" s="31"/>
      <c r="ACP558" s="31"/>
      <c r="ACQ558" s="31"/>
      <c r="ACR558" s="31"/>
      <c r="ACS558" s="31"/>
      <c r="ACT558" s="31"/>
      <c r="ACU558" s="31"/>
      <c r="ACV558" s="31"/>
      <c r="ACW558" s="31"/>
      <c r="ACX558" s="31"/>
      <c r="ACY558" s="31"/>
      <c r="ACZ558" s="31"/>
      <c r="ADA558" s="31"/>
      <c r="ADB558" s="31"/>
      <c r="ADC558" s="31"/>
      <c r="ADD558" s="31"/>
      <c r="ADE558" s="31"/>
      <c r="ADF558" s="31"/>
      <c r="ADG558" s="31"/>
      <c r="ADH558" s="31"/>
      <c r="ADI558" s="31"/>
      <c r="ADJ558" s="31"/>
      <c r="ADK558" s="31"/>
      <c r="ADL558" s="31"/>
      <c r="ADM558" s="31"/>
      <c r="ADN558" s="31"/>
      <c r="ADO558" s="31"/>
      <c r="ADP558" s="31"/>
      <c r="ADQ558" s="31"/>
      <c r="ADR558" s="31"/>
      <c r="ADS558" s="31"/>
      <c r="ADT558" s="31"/>
      <c r="ADU558" s="31"/>
      <c r="ADV558" s="31"/>
      <c r="ADW558" s="31"/>
      <c r="ADX558" s="31"/>
      <c r="ADY558" s="31"/>
      <c r="ADZ558" s="31"/>
      <c r="AEA558" s="31"/>
      <c r="AEB558" s="31"/>
      <c r="AEC558" s="31"/>
      <c r="AED558" s="31"/>
      <c r="AEE558" s="31"/>
      <c r="AEF558" s="31"/>
      <c r="AEG558" s="31"/>
      <c r="AEH558" s="31"/>
      <c r="AEI558" s="31"/>
      <c r="AEJ558" s="31"/>
      <c r="AEK558" s="31"/>
      <c r="AEL558" s="31"/>
      <c r="AEM558" s="31"/>
      <c r="AEN558" s="31"/>
      <c r="AEO558" s="31"/>
      <c r="AEP558" s="31"/>
      <c r="AEQ558" s="31"/>
      <c r="AER558" s="31"/>
      <c r="AES558" s="31"/>
      <c r="AET558" s="31"/>
      <c r="AEU558" s="31"/>
      <c r="AEV558" s="31"/>
      <c r="AEW558" s="31"/>
      <c r="AEX558" s="31"/>
      <c r="AEY558" s="31"/>
      <c r="AEZ558" s="31"/>
      <c r="AFA558" s="31"/>
      <c r="AFB558" s="31"/>
      <c r="AFC558" s="31"/>
      <c r="AFD558" s="31"/>
      <c r="AFE558" s="31"/>
      <c r="AFF558" s="31"/>
      <c r="AFG558" s="31"/>
      <c r="AFH558" s="31"/>
      <c r="AFI558" s="31"/>
      <c r="AFJ558" s="31"/>
      <c r="AFK558" s="31"/>
      <c r="AFL558" s="31"/>
      <c r="AFM558" s="31"/>
      <c r="AFN558" s="31"/>
      <c r="AFO558" s="31"/>
      <c r="AFP558" s="31"/>
      <c r="AFQ558" s="31"/>
      <c r="AFR558" s="31"/>
      <c r="AFS558" s="31"/>
      <c r="AFT558" s="31"/>
      <c r="AFU558" s="31"/>
      <c r="AFV558" s="31"/>
      <c r="AFW558" s="31"/>
      <c r="AFX558" s="31"/>
      <c r="AFY558" s="31"/>
      <c r="AFZ558" s="31"/>
      <c r="AGA558" s="31"/>
      <c r="AGB558" s="31"/>
      <c r="AGC558" s="31"/>
      <c r="AGD558" s="31"/>
      <c r="AGE558" s="31"/>
      <c r="AGF558" s="31"/>
      <c r="AGG558" s="31"/>
      <c r="AGH558" s="31"/>
      <c r="AGI558" s="31"/>
      <c r="AGJ558" s="31"/>
      <c r="AGK558" s="31"/>
      <c r="AGL558" s="31"/>
      <c r="AGM558" s="31"/>
      <c r="AGN558" s="31"/>
      <c r="AGO558" s="31"/>
      <c r="AGP558" s="31"/>
      <c r="AGQ558" s="31"/>
      <c r="AGR558" s="31"/>
      <c r="AGS558" s="31"/>
      <c r="AGT558" s="31"/>
      <c r="AGU558" s="31"/>
      <c r="AGV558" s="31"/>
      <c r="AGW558" s="31"/>
      <c r="AGX558" s="31"/>
      <c r="AGY558" s="31"/>
      <c r="AGZ558" s="31"/>
      <c r="AHA558" s="31"/>
      <c r="AHB558" s="31"/>
      <c r="AHC558" s="31"/>
      <c r="AHD558" s="31"/>
      <c r="AHE558" s="31"/>
      <c r="AHF558" s="31"/>
      <c r="AHG558" s="31"/>
      <c r="AHH558" s="31"/>
      <c r="AHI558" s="31"/>
      <c r="AHJ558" s="31"/>
      <c r="AHK558" s="31"/>
      <c r="AHL558" s="31"/>
      <c r="AHM558" s="31"/>
      <c r="AHN558" s="31"/>
      <c r="AHO558" s="31"/>
      <c r="AHP558" s="31"/>
      <c r="AHQ558" s="31"/>
      <c r="AHR558" s="31"/>
      <c r="AHS558" s="31"/>
      <c r="AHT558" s="31"/>
      <c r="AHU558" s="31"/>
      <c r="AHV558" s="31"/>
      <c r="AHW558" s="31"/>
      <c r="AHX558" s="31"/>
      <c r="AHY558" s="31"/>
      <c r="AHZ558" s="31"/>
      <c r="AIA558" s="31"/>
      <c r="AIB558" s="31"/>
      <c r="AIC558" s="31"/>
      <c r="AID558" s="31"/>
      <c r="AIE558" s="31"/>
      <c r="AIF558" s="31"/>
      <c r="AIG558" s="31"/>
      <c r="AIH558" s="31"/>
      <c r="AII558" s="31"/>
      <c r="AIJ558" s="31"/>
      <c r="AIK558" s="31"/>
      <c r="AIL558" s="31"/>
      <c r="AIM558" s="31"/>
      <c r="AIN558" s="31"/>
      <c r="AIO558" s="31"/>
      <c r="AIP558" s="31"/>
      <c r="AIQ558" s="31"/>
      <c r="AIR558" s="31"/>
      <c r="AIS558" s="31"/>
      <c r="AIT558" s="31"/>
      <c r="AIU558" s="31"/>
      <c r="AIV558" s="31"/>
      <c r="AIW558" s="31"/>
      <c r="AIX558" s="31"/>
      <c r="AIY558" s="31"/>
      <c r="AIZ558" s="31"/>
      <c r="AJA558" s="31"/>
      <c r="AJB558" s="31"/>
      <c r="AJC558" s="31"/>
      <c r="AJD558" s="31"/>
      <c r="AJE558" s="31"/>
      <c r="AJF558" s="31"/>
      <c r="AJG558" s="31"/>
      <c r="AJH558" s="31"/>
      <c r="AJI558" s="31"/>
      <c r="AJJ558" s="31"/>
      <c r="AJK558" s="31"/>
      <c r="AJL558" s="31"/>
      <c r="AJM558" s="31"/>
      <c r="AJN558" s="31"/>
      <c r="AJO558" s="31"/>
      <c r="AJP558" s="31"/>
      <c r="AJQ558" s="31"/>
      <c r="AJR558" s="31"/>
      <c r="AJS558" s="31"/>
      <c r="AJT558" s="31"/>
      <c r="AJU558" s="31"/>
      <c r="AJV558" s="31"/>
      <c r="AJW558" s="31"/>
      <c r="AJX558" s="31"/>
      <c r="AJY558" s="31"/>
      <c r="AJZ558" s="31"/>
      <c r="AKA558" s="31"/>
      <c r="AKB558" s="31"/>
      <c r="AKC558" s="31"/>
      <c r="AKD558" s="31"/>
      <c r="AKE558" s="31"/>
      <c r="AKF558" s="31"/>
      <c r="AKG558" s="31"/>
      <c r="AKH558" s="31"/>
      <c r="AKI558" s="31"/>
      <c r="AKJ558" s="31"/>
      <c r="AKK558" s="31"/>
      <c r="AKL558" s="31"/>
      <c r="AKM558" s="31"/>
      <c r="AKN558" s="31"/>
      <c r="AKO558" s="31"/>
      <c r="AKP558" s="31"/>
      <c r="AKQ558" s="31"/>
      <c r="AKR558" s="31"/>
      <c r="AKS558" s="31"/>
      <c r="AKT558" s="31"/>
      <c r="AKU558" s="31"/>
      <c r="AKV558" s="31"/>
      <c r="AKW558" s="31"/>
      <c r="AKX558" s="31"/>
      <c r="AKY558" s="31"/>
      <c r="AKZ558" s="31"/>
      <c r="ALA558" s="31"/>
      <c r="ALB558" s="31"/>
      <c r="ALC558" s="31"/>
      <c r="ALD558" s="31"/>
      <c r="ALE558" s="31"/>
      <c r="ALF558" s="31"/>
      <c r="ALG558" s="31"/>
      <c r="ALH558" s="31"/>
      <c r="ALI558" s="31"/>
      <c r="ALJ558" s="31"/>
      <c r="ALK558" s="31"/>
      <c r="ALL558" s="31"/>
      <c r="ALM558" s="31"/>
      <c r="ALN558" s="31"/>
      <c r="ALO558" s="31"/>
      <c r="ALP558" s="31"/>
      <c r="ALQ558" s="31"/>
      <c r="ALR558" s="31"/>
      <c r="ALS558" s="31"/>
      <c r="ALT558" s="31"/>
      <c r="ALU558" s="31"/>
      <c r="ALV558" s="31"/>
      <c r="ALW558" s="31"/>
      <c r="ALX558" s="31"/>
      <c r="ALY558" s="31"/>
      <c r="ALZ558" s="31"/>
      <c r="AMA558" s="31"/>
      <c r="AMB558" s="31"/>
      <c r="AMC558" s="31"/>
      <c r="AMD558" s="31"/>
      <c r="AME558" s="31"/>
      <c r="AMF558" s="31"/>
      <c r="AMG558" s="31"/>
      <c r="AMH558" s="31"/>
      <c r="AMI558" s="31"/>
      <c r="AMJ558" s="31"/>
    </row>
    <row r="559" spans="1:1024" ht="27.6">
      <c r="A559" s="8" t="s">
        <v>541</v>
      </c>
      <c r="B559" s="8">
        <v>801694</v>
      </c>
      <c r="D559" s="24">
        <v>45398</v>
      </c>
      <c r="E559" s="1">
        <v>0</v>
      </c>
      <c r="F559">
        <v>6</v>
      </c>
      <c r="G559" s="30">
        <f t="shared" si="27"/>
        <v>4.666666666666667</v>
      </c>
      <c r="H559" s="8">
        <f t="shared" si="29"/>
        <v>1.3333333333333333</v>
      </c>
      <c r="I559">
        <f t="shared" si="28"/>
        <v>1.3333333333333333</v>
      </c>
      <c r="J559">
        <f>SUMIF(Oeffentlichkeitsarbeit!$D:$D,$B559,Oeffentlichkeitsarbeit!$F:$F)</f>
        <v>0</v>
      </c>
      <c r="K559">
        <f>COUNTIF(Fairteiler!$D:$D,$B559)*1/2</f>
        <v>1</v>
      </c>
      <c r="L559">
        <f>COUNTIF('NP-Betrieb'!D:D,$B559)*1/3</f>
        <v>0.33333333333333331</v>
      </c>
      <c r="M559">
        <f>COUNTIF(Fairteilungen!$D:$D,$B559)*3/4</f>
        <v>0</v>
      </c>
      <c r="N559">
        <f>COUNTIF(Anlieferung!D:D,$B559)*1/2</f>
        <v>0</v>
      </c>
      <c r="O559">
        <f>COUNTIF(Probeabholungen!B:B,$B559)*1/3</f>
        <v>0</v>
      </c>
    </row>
    <row r="560" spans="1:1024" ht="41.4">
      <c r="A560" s="8" t="s">
        <v>542</v>
      </c>
      <c r="B560" s="8">
        <v>665034</v>
      </c>
      <c r="C560" s="45"/>
      <c r="D560" s="29"/>
      <c r="E560" s="1">
        <v>5.6666666666666696</v>
      </c>
      <c r="F560" s="8">
        <v>6</v>
      </c>
      <c r="G560" s="30">
        <f t="shared" si="27"/>
        <v>11.66666666666667</v>
      </c>
      <c r="H560" s="8">
        <f t="shared" si="29"/>
        <v>-5.6666666666666696</v>
      </c>
      <c r="I560" s="45">
        <f t="shared" si="28"/>
        <v>0</v>
      </c>
      <c r="J560" s="45">
        <f>SUMIF(Oeffentlichkeitsarbeit!$D:$D,$B560,Oeffentlichkeitsarbeit!$F:$F)</f>
        <v>0</v>
      </c>
      <c r="K560" s="45">
        <f>COUNTIF(Fairteiler!$D:$D,$B560)*1/2</f>
        <v>0</v>
      </c>
      <c r="L560" s="45">
        <f>COUNTIF('NP-Betrieb'!D:D,$B560)*1/3</f>
        <v>0</v>
      </c>
      <c r="M560" s="45">
        <f>COUNTIF(Fairteilungen!$D:$D,$B560)*3/4</f>
        <v>0</v>
      </c>
      <c r="N560" s="45">
        <f>COUNTIF(Anlieferung!D:D,$B560)*1/2</f>
        <v>0</v>
      </c>
      <c r="O560" s="45">
        <f>COUNTIF(Probeabholungen!B:B,$B560)*1/3</f>
        <v>0</v>
      </c>
    </row>
    <row r="561" spans="1:15" ht="41.4">
      <c r="A561" s="14" t="s">
        <v>543</v>
      </c>
      <c r="B561" s="14">
        <v>391348</v>
      </c>
      <c r="C561" s="14" t="s">
        <v>839</v>
      </c>
      <c r="D561" s="29"/>
      <c r="E561" s="1">
        <v>0</v>
      </c>
      <c r="F561" s="14">
        <v>0</v>
      </c>
      <c r="G561" s="30">
        <f t="shared" si="27"/>
        <v>-1.6666666666666667</v>
      </c>
      <c r="H561" s="14">
        <f t="shared" si="29"/>
        <v>1.6666666666666667</v>
      </c>
      <c r="I561" s="46">
        <f t="shared" si="28"/>
        <v>1.6666666666666667</v>
      </c>
      <c r="J561" s="46">
        <f>SUMIF(Oeffentlichkeitsarbeit!$D:$D,$B561,Oeffentlichkeitsarbeit!$F:$F)</f>
        <v>0</v>
      </c>
      <c r="K561" s="46">
        <f>COUNTIF(Fairteiler!$D:$D,$B561)*1/2</f>
        <v>0</v>
      </c>
      <c r="L561" s="46">
        <f>COUNTIF('NP-Betrieb'!D:D,$B561)*1/3</f>
        <v>1.6666666666666667</v>
      </c>
      <c r="M561" s="46">
        <f>COUNTIF(Fairteilungen!$D:$D,$B561)*3/4</f>
        <v>0</v>
      </c>
      <c r="N561" s="46">
        <f>COUNTIF(Anlieferung!D:D,$B561)*1/2</f>
        <v>0</v>
      </c>
      <c r="O561" s="46">
        <f>COUNTIF(Probeabholungen!B:B,$B561)*1/3</f>
        <v>0</v>
      </c>
    </row>
    <row r="562" spans="1:15" ht="27.6">
      <c r="A562" s="8" t="s">
        <v>544</v>
      </c>
      <c r="B562" s="8">
        <v>420519</v>
      </c>
      <c r="D562" s="29"/>
      <c r="E562" s="1">
        <v>0</v>
      </c>
      <c r="F562" s="8">
        <v>6</v>
      </c>
      <c r="G562" s="30">
        <f t="shared" si="27"/>
        <v>2.6666666666666665</v>
      </c>
      <c r="H562" s="8">
        <f t="shared" si="29"/>
        <v>3.3333333333333335</v>
      </c>
      <c r="I562">
        <f t="shared" si="28"/>
        <v>3.3333333333333335</v>
      </c>
      <c r="J562">
        <f>SUMIF(Oeffentlichkeitsarbeit!$D:$D,$B562,Oeffentlichkeitsarbeit!$F:$F)</f>
        <v>0</v>
      </c>
      <c r="K562">
        <f>COUNTIF(Fairteiler!$D:$D,$B562)*1/2</f>
        <v>0</v>
      </c>
      <c r="L562">
        <f>COUNTIF('NP-Betrieb'!D:D,$B562)*1/3</f>
        <v>3.3333333333333335</v>
      </c>
      <c r="M562">
        <f>COUNTIF(Fairteilungen!$D:$D,$B562)*3/4</f>
        <v>0</v>
      </c>
      <c r="N562">
        <f>COUNTIF(Anlieferung!D:D,$B562)*1/2</f>
        <v>0</v>
      </c>
      <c r="O562">
        <f>COUNTIF(Probeabholungen!B:B,$B562)*1/3</f>
        <v>0</v>
      </c>
    </row>
    <row r="563" spans="1:15" ht="27.6">
      <c r="A563" s="16" t="s">
        <v>545</v>
      </c>
      <c r="B563" s="16">
        <v>9212</v>
      </c>
      <c r="C563" s="16" t="s">
        <v>852</v>
      </c>
      <c r="D563" s="29"/>
      <c r="E563" s="1">
        <v>0</v>
      </c>
      <c r="F563" s="16">
        <v>0</v>
      </c>
      <c r="G563" s="30">
        <f t="shared" si="27"/>
        <v>0</v>
      </c>
      <c r="H563" s="16">
        <f t="shared" si="29"/>
        <v>0</v>
      </c>
      <c r="I563" s="45">
        <f t="shared" si="28"/>
        <v>0</v>
      </c>
      <c r="J563" s="45">
        <f>SUMIF(Oeffentlichkeitsarbeit!$D:$D,$B563,Oeffentlichkeitsarbeit!$F:$F)</f>
        <v>0</v>
      </c>
      <c r="K563" s="45">
        <f>COUNTIF(Fairteiler!$D:$D,$B563)*1/2</f>
        <v>0</v>
      </c>
      <c r="L563" s="45">
        <f>COUNTIF('NP-Betrieb'!D:D,$B563)*1/3</f>
        <v>0</v>
      </c>
      <c r="M563" s="45">
        <f>COUNTIF(Fairteilungen!$D:$D,$B563)*3/4</f>
        <v>0</v>
      </c>
      <c r="N563" s="45">
        <f>COUNTIF(Anlieferung!D:D,$B563)*1/2</f>
        <v>0</v>
      </c>
      <c r="O563" s="45">
        <f>COUNTIF(Probeabholungen!B:B,$B563)*1/3</f>
        <v>0</v>
      </c>
    </row>
    <row r="564" spans="1:15" ht="27.6">
      <c r="A564" s="8" t="s">
        <v>546</v>
      </c>
      <c r="B564" s="8">
        <v>567515</v>
      </c>
      <c r="D564" s="29"/>
      <c r="E564" s="1">
        <v>6.5833333333333304</v>
      </c>
      <c r="F564" s="8">
        <v>6</v>
      </c>
      <c r="G564" s="30">
        <f t="shared" si="27"/>
        <v>12.58333333333333</v>
      </c>
      <c r="H564" s="8">
        <f t="shared" si="29"/>
        <v>-6.5833333333333304</v>
      </c>
      <c r="I564">
        <f t="shared" si="28"/>
        <v>0</v>
      </c>
      <c r="J564">
        <f>SUMIF(Oeffentlichkeitsarbeit!$D:$D,$B564,Oeffentlichkeitsarbeit!$F:$F)</f>
        <v>0</v>
      </c>
      <c r="K564">
        <f>COUNTIF(Fairteiler!$D:$D,$B564)*1/2</f>
        <v>0</v>
      </c>
      <c r="L564">
        <f>COUNTIF('NP-Betrieb'!D:D,$B564)*1/3</f>
        <v>0</v>
      </c>
      <c r="M564">
        <f>COUNTIF(Fairteilungen!$D:$D,$B564)*3/4</f>
        <v>0</v>
      </c>
      <c r="N564">
        <f>COUNTIF(Anlieferung!D:D,$B564)*1/2</f>
        <v>0</v>
      </c>
      <c r="O564">
        <f>COUNTIF(Probeabholungen!B:B,$B564)*1/3</f>
        <v>0</v>
      </c>
    </row>
    <row r="565" spans="1:15" ht="27.6">
      <c r="A565" s="8" t="s">
        <v>547</v>
      </c>
      <c r="B565" s="8">
        <v>611676</v>
      </c>
      <c r="D565" s="29"/>
      <c r="E565" s="1">
        <v>0</v>
      </c>
      <c r="F565" s="8">
        <v>6</v>
      </c>
      <c r="G565" s="30">
        <f t="shared" si="27"/>
        <v>6</v>
      </c>
      <c r="H565" s="8">
        <f t="shared" si="29"/>
        <v>0</v>
      </c>
      <c r="I565">
        <f t="shared" si="28"/>
        <v>0</v>
      </c>
      <c r="J565">
        <f>SUMIF(Oeffentlichkeitsarbeit!$D:$D,$B565,Oeffentlichkeitsarbeit!$F:$F)</f>
        <v>0</v>
      </c>
      <c r="K565">
        <f>COUNTIF(Fairteiler!$D:$D,$B565)*1/2</f>
        <v>0</v>
      </c>
      <c r="L565">
        <f>COUNTIF('NP-Betrieb'!D:D,$B565)*1/3</f>
        <v>0</v>
      </c>
      <c r="M565">
        <f>COUNTIF(Fairteilungen!$D:$D,$B565)*3/4</f>
        <v>0</v>
      </c>
      <c r="N565">
        <f>COUNTIF(Anlieferung!D:D,$B565)*1/2</f>
        <v>0</v>
      </c>
      <c r="O565">
        <f>COUNTIF(Probeabholungen!B:B,$B565)*1/3</f>
        <v>0</v>
      </c>
    </row>
    <row r="566" spans="1:15">
      <c r="A566" s="8" t="s">
        <v>548</v>
      </c>
      <c r="B566" s="8">
        <v>136399</v>
      </c>
      <c r="D566" s="29">
        <v>45142</v>
      </c>
      <c r="E566" s="1">
        <v>14.5</v>
      </c>
      <c r="F566" s="8">
        <v>6</v>
      </c>
      <c r="G566" s="30">
        <f t="shared" si="27"/>
        <v>20.5</v>
      </c>
      <c r="H566" s="8">
        <f t="shared" si="29"/>
        <v>-14.5</v>
      </c>
      <c r="I566">
        <f t="shared" si="28"/>
        <v>0</v>
      </c>
      <c r="J566">
        <f>SUMIF(Oeffentlichkeitsarbeit!$D:$D,$B566,Oeffentlichkeitsarbeit!$F:$F)</f>
        <v>0</v>
      </c>
      <c r="K566">
        <f>COUNTIF(Fairteiler!$D:$D,$B566)*1/2</f>
        <v>0</v>
      </c>
      <c r="L566">
        <f>COUNTIF('NP-Betrieb'!D:D,$B566)*1/3</f>
        <v>0</v>
      </c>
      <c r="M566">
        <f>COUNTIF(Fairteilungen!$D:$D,$B566)*3/4</f>
        <v>0</v>
      </c>
      <c r="N566">
        <f>COUNTIF(Anlieferung!D:D,$B566)*1/2</f>
        <v>0</v>
      </c>
      <c r="O566">
        <f>COUNTIF(Probeabholungen!B:B,$B566)*1/3</f>
        <v>0</v>
      </c>
    </row>
    <row r="567" spans="1:15" ht="27.6">
      <c r="A567" s="8" t="s">
        <v>549</v>
      </c>
      <c r="B567" s="8">
        <v>789862</v>
      </c>
      <c r="D567" s="24">
        <v>45530</v>
      </c>
      <c r="E567" s="1">
        <v>0</v>
      </c>
      <c r="F567" s="8">
        <v>6</v>
      </c>
      <c r="G567" s="30">
        <f t="shared" si="27"/>
        <v>6</v>
      </c>
      <c r="H567" s="8">
        <f t="shared" si="29"/>
        <v>0</v>
      </c>
      <c r="I567">
        <f t="shared" si="28"/>
        <v>0</v>
      </c>
      <c r="J567">
        <f>SUMIF(Oeffentlichkeitsarbeit!$D:$D,$B567,Oeffentlichkeitsarbeit!$F:$F)</f>
        <v>0</v>
      </c>
      <c r="K567">
        <f>COUNTIF(Fairteiler!$D:$D,$B567)*1/2</f>
        <v>0</v>
      </c>
      <c r="L567">
        <f>COUNTIF('NP-Betrieb'!D:D,$B567)*1/3</f>
        <v>0</v>
      </c>
      <c r="M567">
        <f>COUNTIF(Fairteilungen!$D:$D,$B567)*3/4</f>
        <v>0</v>
      </c>
      <c r="N567">
        <f>COUNTIF(Anlieferung!D:D,$B567)*1/2</f>
        <v>0</v>
      </c>
      <c r="O567">
        <f>COUNTIF(Probeabholungen!B:B,$B567)*1/3</f>
        <v>0</v>
      </c>
    </row>
    <row r="568" spans="1:15" ht="27.6">
      <c r="A568" s="16" t="s">
        <v>550</v>
      </c>
      <c r="B568" s="16">
        <v>230752</v>
      </c>
      <c r="C568" s="16" t="s">
        <v>831</v>
      </c>
      <c r="D568" s="29"/>
      <c r="E568" s="1">
        <v>0</v>
      </c>
      <c r="F568" s="16">
        <v>0</v>
      </c>
      <c r="G568" s="30">
        <f t="shared" si="27"/>
        <v>-0.33333333333333331</v>
      </c>
      <c r="H568" s="16">
        <f t="shared" si="29"/>
        <v>0.33333333333333331</v>
      </c>
      <c r="I568">
        <f t="shared" si="28"/>
        <v>0.33333333333333331</v>
      </c>
      <c r="J568">
        <f>SUMIF(Oeffentlichkeitsarbeit!$D:$D,$B568,Oeffentlichkeitsarbeit!$F:$F)</f>
        <v>0</v>
      </c>
      <c r="K568">
        <f>COUNTIF(Fairteiler!$D:$D,$B568)*1/2</f>
        <v>0</v>
      </c>
      <c r="L568">
        <f>COUNTIF('NP-Betrieb'!D:D,$B568)*1/3</f>
        <v>0.33333333333333331</v>
      </c>
      <c r="M568">
        <f>COUNTIF(Fairteilungen!$D:$D,$B568)*3/4</f>
        <v>0</v>
      </c>
      <c r="N568">
        <f>COUNTIF(Anlieferung!D:D,$B568)*1/2</f>
        <v>0</v>
      </c>
      <c r="O568">
        <f>COUNTIF(Probeabholungen!B:B,$B568)*1/3</f>
        <v>0</v>
      </c>
    </row>
    <row r="569" spans="1:15" ht="27.6">
      <c r="A569" s="8" t="s">
        <v>551</v>
      </c>
      <c r="B569" s="8">
        <v>716693</v>
      </c>
      <c r="D569" s="29">
        <v>45264</v>
      </c>
      <c r="E569" s="1">
        <v>0.33333333333333298</v>
      </c>
      <c r="F569" s="8">
        <v>6</v>
      </c>
      <c r="G569" s="30">
        <f t="shared" si="27"/>
        <v>1.333333333333333</v>
      </c>
      <c r="H569" s="8">
        <f t="shared" si="29"/>
        <v>4.666666666666667</v>
      </c>
      <c r="I569">
        <f t="shared" si="28"/>
        <v>5</v>
      </c>
      <c r="J569">
        <f>SUMIF(Oeffentlichkeitsarbeit!$D:$D,$B569,Oeffentlichkeitsarbeit!$F:$F)</f>
        <v>0</v>
      </c>
      <c r="K569">
        <f>COUNTIF(Fairteiler!$D:$D,$B569)*1/2</f>
        <v>0</v>
      </c>
      <c r="L569">
        <f>COUNTIF('NP-Betrieb'!D:D,$B569)*1/3</f>
        <v>5</v>
      </c>
      <c r="M569">
        <f>COUNTIF(Fairteilungen!$D:$D,$B569)*3/4</f>
        <v>0</v>
      </c>
      <c r="N569">
        <f>COUNTIF(Anlieferung!D:D,$B569)*1/2</f>
        <v>0</v>
      </c>
      <c r="O569">
        <f>COUNTIF(Probeabholungen!B:B,$B569)*1/3</f>
        <v>0</v>
      </c>
    </row>
    <row r="570" spans="1:15" ht="27.6">
      <c r="A570" s="8" t="s">
        <v>552</v>
      </c>
      <c r="B570" s="8">
        <v>949052</v>
      </c>
      <c r="D570" s="24">
        <v>45985</v>
      </c>
      <c r="E570" s="1">
        <v>0</v>
      </c>
      <c r="F570">
        <v>6</v>
      </c>
      <c r="G570" s="30">
        <f t="shared" si="27"/>
        <v>5</v>
      </c>
      <c r="H570" s="8">
        <f t="shared" si="29"/>
        <v>1</v>
      </c>
      <c r="I570">
        <f t="shared" si="28"/>
        <v>1</v>
      </c>
      <c r="J570">
        <f>SUMIF(Oeffentlichkeitsarbeit!$D:$D,$B570,Oeffentlichkeitsarbeit!$F:$F)</f>
        <v>0</v>
      </c>
      <c r="K570">
        <f>COUNTIF(Fairteiler!$D:$D,$B570)*1/2</f>
        <v>0</v>
      </c>
      <c r="L570">
        <f>COUNTIF('NP-Betrieb'!D:D,$B570)*1/3</f>
        <v>1</v>
      </c>
      <c r="M570">
        <f>COUNTIF(Fairteilungen!$D:$D,$B570)*3/4</f>
        <v>0</v>
      </c>
      <c r="N570">
        <f>COUNTIF(Anlieferung!D:D,$B570)*1/2</f>
        <v>0</v>
      </c>
      <c r="O570">
        <f>COUNTIF(Probeabholungen!B:B,$B570)*1/3</f>
        <v>0</v>
      </c>
    </row>
    <row r="571" spans="1:15" ht="27.6">
      <c r="A571" s="8" t="s">
        <v>553</v>
      </c>
      <c r="B571" s="8">
        <v>120046</v>
      </c>
      <c r="D571" s="24">
        <v>45940</v>
      </c>
      <c r="E571" s="1">
        <v>0</v>
      </c>
      <c r="F571">
        <v>6</v>
      </c>
      <c r="G571" s="30">
        <f t="shared" si="27"/>
        <v>4.666666666666667</v>
      </c>
      <c r="H571" s="8">
        <f t="shared" si="29"/>
        <v>1.3333333333333333</v>
      </c>
      <c r="I571">
        <f t="shared" si="28"/>
        <v>1.3333333333333333</v>
      </c>
      <c r="J571">
        <f>SUMIF(Oeffentlichkeitsarbeit!$D:$D,$B571,Oeffentlichkeitsarbeit!$F:$F)</f>
        <v>0</v>
      </c>
      <c r="K571">
        <f>COUNTIF(Fairteiler!$D:$D,$B571)*1/2</f>
        <v>0</v>
      </c>
      <c r="L571">
        <f>COUNTIF('NP-Betrieb'!D:D,$B571)*1/3</f>
        <v>1.3333333333333333</v>
      </c>
      <c r="M571">
        <f>COUNTIF(Fairteilungen!$D:$D,$B571)*3/4</f>
        <v>0</v>
      </c>
      <c r="N571">
        <f>COUNTIF(Anlieferung!D:D,$B571)*1/2</f>
        <v>0</v>
      </c>
      <c r="O571">
        <f>COUNTIF(Probeabholungen!B:B,$B571)*1/3</f>
        <v>0</v>
      </c>
    </row>
    <row r="572" spans="1:15" ht="27.6">
      <c r="A572" s="8" t="s">
        <v>554</v>
      </c>
      <c r="B572" s="8">
        <v>452434</v>
      </c>
      <c r="D572" s="29"/>
      <c r="E572" s="1">
        <v>0</v>
      </c>
      <c r="F572" s="8">
        <v>6</v>
      </c>
      <c r="G572" s="30">
        <f t="shared" si="27"/>
        <v>3</v>
      </c>
      <c r="H572" s="8">
        <f t="shared" si="29"/>
        <v>3</v>
      </c>
      <c r="I572">
        <f t="shared" si="28"/>
        <v>3</v>
      </c>
      <c r="J572">
        <f>SUMIF(Oeffentlichkeitsarbeit!$D:$D,$B572,Oeffentlichkeitsarbeit!$F:$F)</f>
        <v>0</v>
      </c>
      <c r="K572">
        <f>COUNTIF(Fairteiler!$D:$D,$B572)*1/2</f>
        <v>2</v>
      </c>
      <c r="L572">
        <f>COUNTIF('NP-Betrieb'!D:D,$B572)*1/3</f>
        <v>1</v>
      </c>
      <c r="M572">
        <f>COUNTIF(Fairteilungen!$D:$D,$B572)*3/4</f>
        <v>0</v>
      </c>
      <c r="N572">
        <f>COUNTIF(Anlieferung!D:D,$B572)*1/2</f>
        <v>0</v>
      </c>
      <c r="O572">
        <f>COUNTIF(Probeabholungen!B:B,$B572)*1/3</f>
        <v>0</v>
      </c>
    </row>
    <row r="573" spans="1:15" ht="27.6">
      <c r="A573" s="16" t="s">
        <v>555</v>
      </c>
      <c r="B573" s="16">
        <v>499114</v>
      </c>
      <c r="C573" s="16" t="s">
        <v>831</v>
      </c>
      <c r="D573" s="29"/>
      <c r="E573" s="1">
        <v>0</v>
      </c>
      <c r="F573" s="16">
        <v>0</v>
      </c>
      <c r="G573" s="30">
        <f t="shared" si="27"/>
        <v>-1</v>
      </c>
      <c r="H573" s="16">
        <f t="shared" si="29"/>
        <v>1</v>
      </c>
      <c r="I573" s="45">
        <f t="shared" si="28"/>
        <v>1</v>
      </c>
      <c r="J573" s="45">
        <f>SUMIF(Oeffentlichkeitsarbeit!$D:$D,$B573,Oeffentlichkeitsarbeit!$F:$F)</f>
        <v>0</v>
      </c>
      <c r="K573" s="45">
        <f>COUNTIF(Fairteiler!$D:$D,$B573)*1/2</f>
        <v>0</v>
      </c>
      <c r="L573" s="45">
        <f>COUNTIF('NP-Betrieb'!D:D,$B573)*1/3</f>
        <v>1</v>
      </c>
      <c r="M573" s="45">
        <f>COUNTIF(Fairteilungen!$D:$D,$B573)*3/4</f>
        <v>0</v>
      </c>
      <c r="N573" s="45">
        <f>COUNTIF(Anlieferung!D:D,$B573)*1/2</f>
        <v>0</v>
      </c>
      <c r="O573" s="45">
        <f>COUNTIF(Probeabholungen!B:B,$B573)*1/3</f>
        <v>0</v>
      </c>
    </row>
    <row r="574" spans="1:15" ht="27.6">
      <c r="A574" s="15" t="s">
        <v>556</v>
      </c>
      <c r="B574" s="15">
        <v>626800</v>
      </c>
      <c r="C574" s="15" t="s">
        <v>833</v>
      </c>
      <c r="D574" s="29"/>
      <c r="E574" s="1">
        <v>0</v>
      </c>
      <c r="F574" s="15">
        <v>0</v>
      </c>
      <c r="G574" s="30">
        <f t="shared" si="27"/>
        <v>0</v>
      </c>
      <c r="H574" s="15">
        <f t="shared" si="29"/>
        <v>0</v>
      </c>
      <c r="I574" s="46">
        <f t="shared" si="28"/>
        <v>0</v>
      </c>
      <c r="J574" s="46">
        <f>SUMIF(Oeffentlichkeitsarbeit!$D:$D,$B574,Oeffentlichkeitsarbeit!$F:$F)</f>
        <v>0</v>
      </c>
      <c r="K574" s="46">
        <f>COUNTIF(Fairteiler!$D:$D,$B574)*1/2</f>
        <v>0</v>
      </c>
      <c r="L574">
        <f>COUNTIF('NP-Betrieb'!D:D,$B574)*1/3</f>
        <v>0</v>
      </c>
      <c r="M574" s="46">
        <f>COUNTIF(Fairteilungen!$D:$D,$B574)*3/4</f>
        <v>0</v>
      </c>
      <c r="N574" s="46">
        <f>COUNTIF(Anlieferung!D:D,$B574)*1/2</f>
        <v>0</v>
      </c>
      <c r="O574" s="46">
        <f>COUNTIF(Probeabholungen!B:B,$B574)*1/3</f>
        <v>0</v>
      </c>
    </row>
    <row r="575" spans="1:15" ht="41.4">
      <c r="A575" s="8" t="s">
        <v>557</v>
      </c>
      <c r="B575" s="8">
        <v>224398</v>
      </c>
      <c r="D575" s="29"/>
      <c r="E575" s="1">
        <v>0</v>
      </c>
      <c r="F575" s="8">
        <v>6</v>
      </c>
      <c r="G575" s="30">
        <f t="shared" si="27"/>
        <v>0</v>
      </c>
      <c r="H575" s="8">
        <f t="shared" si="29"/>
        <v>6</v>
      </c>
      <c r="I575">
        <f t="shared" si="28"/>
        <v>6</v>
      </c>
      <c r="J575">
        <f>SUMIF(Oeffentlichkeitsarbeit!$D:$D,$B575,Oeffentlichkeitsarbeit!$F:$F)</f>
        <v>0</v>
      </c>
      <c r="K575">
        <f>COUNTIF(Fairteiler!$D:$D,$B575)*1/2</f>
        <v>6</v>
      </c>
      <c r="L575">
        <f>COUNTIF('NP-Betrieb'!D:D,$B575)*1/3</f>
        <v>0</v>
      </c>
      <c r="M575">
        <f>COUNTIF(Fairteilungen!$D:$D,$B575)*3/4</f>
        <v>0</v>
      </c>
      <c r="N575">
        <f>COUNTIF(Anlieferung!D:D,$B575)*1/2</f>
        <v>0</v>
      </c>
      <c r="O575">
        <f>COUNTIF(Probeabholungen!B:B,$B575)*1/3</f>
        <v>0</v>
      </c>
    </row>
    <row r="576" spans="1:15" ht="27.6">
      <c r="A576" s="8" t="s">
        <v>558</v>
      </c>
      <c r="B576" s="8">
        <v>456761</v>
      </c>
      <c r="D576" s="29"/>
      <c r="E576" s="1">
        <v>0</v>
      </c>
      <c r="F576" s="8">
        <v>6</v>
      </c>
      <c r="G576" s="30">
        <f t="shared" si="27"/>
        <v>4.8333333333333339</v>
      </c>
      <c r="H576" s="8">
        <f t="shared" si="29"/>
        <v>1.1666666666666665</v>
      </c>
      <c r="I576">
        <f t="shared" si="28"/>
        <v>1.1666666666666665</v>
      </c>
      <c r="J576">
        <f>SUMIF(Oeffentlichkeitsarbeit!$D:$D,$B576,Oeffentlichkeitsarbeit!$F:$F)</f>
        <v>0</v>
      </c>
      <c r="K576">
        <f>COUNTIF(Fairteiler!$D:$D,$B576)*1/2</f>
        <v>0.5</v>
      </c>
      <c r="L576">
        <f>COUNTIF('NP-Betrieb'!D:D,$B576)*1/3</f>
        <v>0.66666666666666663</v>
      </c>
      <c r="M576">
        <f>COUNTIF(Fairteilungen!$D:$D,$B576)*3/4</f>
        <v>0</v>
      </c>
      <c r="N576">
        <f>COUNTIF(Anlieferung!D:D,$B576)*1/2</f>
        <v>0</v>
      </c>
      <c r="O576">
        <f>COUNTIF(Probeabholungen!B:B,$B576)*1/3</f>
        <v>0</v>
      </c>
    </row>
    <row r="577" spans="1:15" ht="27.6">
      <c r="A577" s="8" t="s">
        <v>559</v>
      </c>
      <c r="B577" s="8">
        <v>386296</v>
      </c>
      <c r="D577" s="29"/>
      <c r="E577" s="1">
        <v>15</v>
      </c>
      <c r="F577" s="8">
        <v>6</v>
      </c>
      <c r="G577" s="30">
        <f t="shared" si="27"/>
        <v>21</v>
      </c>
      <c r="H577" s="8">
        <f t="shared" si="29"/>
        <v>-15</v>
      </c>
      <c r="I577">
        <f t="shared" si="28"/>
        <v>0</v>
      </c>
      <c r="J577">
        <f>SUMIF(Oeffentlichkeitsarbeit!$D:$D,$B577,Oeffentlichkeitsarbeit!$F:$F)</f>
        <v>0</v>
      </c>
      <c r="K577">
        <f>COUNTIF(Fairteiler!$D:$D,$B577)*1/2</f>
        <v>0</v>
      </c>
      <c r="L577">
        <f>COUNTIF('NP-Betrieb'!D:D,$B577)*1/3</f>
        <v>0</v>
      </c>
      <c r="M577">
        <f>COUNTIF(Fairteilungen!$D:$D,$B577)*3/4</f>
        <v>0</v>
      </c>
      <c r="N577">
        <f>COUNTIF(Anlieferung!D:D,$B577)*1/2</f>
        <v>0</v>
      </c>
      <c r="O577">
        <f>COUNTIF(Probeabholungen!B:B,$B577)*1/3</f>
        <v>0</v>
      </c>
    </row>
    <row r="578" spans="1:15" ht="27.6">
      <c r="A578" s="8" t="s">
        <v>560</v>
      </c>
      <c r="B578" s="8">
        <v>302687</v>
      </c>
      <c r="C578" s="31"/>
      <c r="D578" s="29"/>
      <c r="E578" s="1">
        <v>0</v>
      </c>
      <c r="F578" s="8">
        <v>6</v>
      </c>
      <c r="G578" s="30">
        <f t="shared" ref="G578:G641" si="30">F578-H578</f>
        <v>2.6666666666666665</v>
      </c>
      <c r="H578" s="8">
        <f t="shared" si="29"/>
        <v>3.3333333333333335</v>
      </c>
      <c r="I578" s="31">
        <f t="shared" ref="I578:I641" si="31">SUM(J578:O578)</f>
        <v>3.3333333333333335</v>
      </c>
      <c r="J578" s="31">
        <f>SUMIF(Oeffentlichkeitsarbeit!$D:$D,$B578,Oeffentlichkeitsarbeit!$F:$F)</f>
        <v>0</v>
      </c>
      <c r="K578" s="31">
        <f>COUNTIF(Fairteiler!$D:$D,$B578)*1/2</f>
        <v>0</v>
      </c>
      <c r="L578" s="31">
        <f>COUNTIF('NP-Betrieb'!D:D,$B578)*1/3</f>
        <v>3.3333333333333335</v>
      </c>
      <c r="M578" s="31">
        <f>COUNTIF(Fairteilungen!$D:$D,$B578)*3/4</f>
        <v>0</v>
      </c>
      <c r="N578" s="31">
        <f>COUNTIF(Anlieferung!D:D,$B578)*1/2</f>
        <v>0</v>
      </c>
      <c r="O578" s="31">
        <f>COUNTIF(Probeabholungen!B:B,$B578)*1/3</f>
        <v>0</v>
      </c>
    </row>
    <row r="579" spans="1:15" ht="27.6">
      <c r="A579" s="8" t="s">
        <v>561</v>
      </c>
      <c r="B579" s="8">
        <v>644118</v>
      </c>
      <c r="D579" s="29"/>
      <c r="E579" s="1">
        <v>11</v>
      </c>
      <c r="F579" s="8">
        <v>6</v>
      </c>
      <c r="G579" s="30">
        <f t="shared" si="30"/>
        <v>17</v>
      </c>
      <c r="H579" s="8">
        <f t="shared" si="29"/>
        <v>-11</v>
      </c>
      <c r="I579">
        <f t="shared" si="31"/>
        <v>0</v>
      </c>
      <c r="J579">
        <f>SUMIF(Oeffentlichkeitsarbeit!$D:$D,$B579,Oeffentlichkeitsarbeit!$F:$F)</f>
        <v>0</v>
      </c>
      <c r="K579">
        <f>COUNTIF(Fairteiler!$D:$D,$B579)*1/2</f>
        <v>0</v>
      </c>
      <c r="L579">
        <f>COUNTIF('NP-Betrieb'!D:D,$B579)*1/3</f>
        <v>0</v>
      </c>
      <c r="M579">
        <f>COUNTIF(Fairteilungen!$D:$D,$B579)*3/4</f>
        <v>0</v>
      </c>
      <c r="N579">
        <f>COUNTIF(Anlieferung!D:D,$B579)*1/2</f>
        <v>0</v>
      </c>
      <c r="O579">
        <f>COUNTIF(Probeabholungen!B:B,$B579)*1/3</f>
        <v>0</v>
      </c>
    </row>
    <row r="580" spans="1:15" ht="27.6">
      <c r="A580" s="16" t="s">
        <v>562</v>
      </c>
      <c r="B580" s="16">
        <v>266063</v>
      </c>
      <c r="C580" s="16" t="s">
        <v>831</v>
      </c>
      <c r="D580" s="29"/>
      <c r="E580" s="1">
        <v>0</v>
      </c>
      <c r="F580" s="16">
        <v>0</v>
      </c>
      <c r="G580" s="30">
        <f t="shared" si="30"/>
        <v>0</v>
      </c>
      <c r="H580" s="16">
        <f t="shared" si="29"/>
        <v>0</v>
      </c>
      <c r="I580" s="45">
        <f t="shared" si="31"/>
        <v>0</v>
      </c>
      <c r="J580" s="45">
        <f>SUMIF(Oeffentlichkeitsarbeit!$D:$D,$B580,Oeffentlichkeitsarbeit!$F:$F)</f>
        <v>0</v>
      </c>
      <c r="K580" s="45">
        <f>COUNTIF(Fairteiler!$D:$D,$B580)*1/2</f>
        <v>0</v>
      </c>
      <c r="L580" s="45">
        <f>COUNTIF('NP-Betrieb'!D:D,$B580)*1/3</f>
        <v>0</v>
      </c>
      <c r="M580" s="45">
        <f>COUNTIF(Fairteilungen!$D:$D,$B580)*3/4</f>
        <v>0</v>
      </c>
      <c r="N580" s="45">
        <f>COUNTIF(Anlieferung!D:D,$B580)*1/2</f>
        <v>0</v>
      </c>
      <c r="O580" s="45">
        <f>COUNTIF(Probeabholungen!B:B,$B580)*1/3</f>
        <v>0</v>
      </c>
    </row>
    <row r="581" spans="1:15" ht="27.6">
      <c r="A581" s="8" t="s">
        <v>563</v>
      </c>
      <c r="B581" s="8">
        <v>690619</v>
      </c>
      <c r="C581" s="8"/>
      <c r="D581" s="29"/>
      <c r="E581" s="1">
        <v>0</v>
      </c>
      <c r="F581" s="8">
        <v>6</v>
      </c>
      <c r="G581" s="30">
        <f t="shared" si="30"/>
        <v>4.5</v>
      </c>
      <c r="H581" s="8">
        <f t="shared" si="29"/>
        <v>1.5</v>
      </c>
      <c r="I581">
        <f t="shared" si="31"/>
        <v>1.5</v>
      </c>
      <c r="J581">
        <f>SUMIF(Oeffentlichkeitsarbeit!$D:$D,$B581,Oeffentlichkeitsarbeit!$F:$F)</f>
        <v>0</v>
      </c>
      <c r="K581">
        <f>COUNTIF(Fairteiler!$D:$D,$B581)*1/2</f>
        <v>1.5</v>
      </c>
      <c r="L581">
        <f>COUNTIF('NP-Betrieb'!D:D,$B581)*1/3</f>
        <v>0</v>
      </c>
      <c r="M581">
        <f>COUNTIF(Fairteilungen!$D:$D,$B581)*3/4</f>
        <v>0</v>
      </c>
      <c r="N581">
        <f>COUNTIF(Anlieferung!D:D,$B581)*1/2</f>
        <v>0</v>
      </c>
      <c r="O581">
        <f>COUNTIF(Probeabholungen!B:B,$B581)*1/3</f>
        <v>0</v>
      </c>
    </row>
    <row r="582" spans="1:15" ht="27.6">
      <c r="A582" s="8" t="s">
        <v>564</v>
      </c>
      <c r="B582" s="8">
        <v>786898</v>
      </c>
      <c r="D582" s="29">
        <v>45308</v>
      </c>
      <c r="E582" s="1">
        <v>4.3333333333333304</v>
      </c>
      <c r="F582" s="8">
        <v>6</v>
      </c>
      <c r="G582" s="30">
        <f t="shared" si="30"/>
        <v>10.33333333333333</v>
      </c>
      <c r="H582" s="8">
        <f t="shared" si="29"/>
        <v>-4.3333333333333304</v>
      </c>
      <c r="I582">
        <f t="shared" si="31"/>
        <v>0</v>
      </c>
      <c r="J582">
        <f>SUMIF(Oeffentlichkeitsarbeit!$D:$D,$B582,Oeffentlichkeitsarbeit!$F:$F)</f>
        <v>0</v>
      </c>
      <c r="K582">
        <f>COUNTIF(Fairteiler!$D:$D,$B582)*1/2</f>
        <v>0</v>
      </c>
      <c r="L582">
        <f>COUNTIF('NP-Betrieb'!D:D,$B582)*1/3</f>
        <v>0</v>
      </c>
      <c r="M582">
        <f>COUNTIF(Fairteilungen!$D:$D,$B582)*3/4</f>
        <v>0</v>
      </c>
      <c r="N582">
        <f>COUNTIF(Anlieferung!D:D,$B582)*1/2</f>
        <v>0</v>
      </c>
      <c r="O582">
        <f>COUNTIF(Probeabholungen!B:B,$B582)*1/3</f>
        <v>0</v>
      </c>
    </row>
    <row r="583" spans="1:15" ht="27.6">
      <c r="A583" s="8" t="s">
        <v>565</v>
      </c>
      <c r="B583" s="8">
        <v>761495</v>
      </c>
      <c r="C583" s="45"/>
      <c r="D583" s="29">
        <v>45117</v>
      </c>
      <c r="E583" s="1">
        <v>0</v>
      </c>
      <c r="F583" s="8">
        <v>6</v>
      </c>
      <c r="G583" s="30">
        <f t="shared" si="30"/>
        <v>0.5</v>
      </c>
      <c r="H583" s="8">
        <f t="shared" si="29"/>
        <v>5.5</v>
      </c>
      <c r="I583" s="45">
        <f t="shared" si="31"/>
        <v>5.5</v>
      </c>
      <c r="J583" s="45">
        <f>SUMIF(Oeffentlichkeitsarbeit!$D:$D,$B583,Oeffentlichkeitsarbeit!$F:$F)</f>
        <v>0</v>
      </c>
      <c r="K583" s="45">
        <f>COUNTIF(Fairteiler!$D:$D,$B583)*1/2</f>
        <v>5.5</v>
      </c>
      <c r="L583">
        <f>COUNTIF('NP-Betrieb'!D:D,$B583)*1/3</f>
        <v>0</v>
      </c>
      <c r="M583" s="45">
        <f>COUNTIF(Fairteilungen!$D:$D,$B583)*3/4</f>
        <v>0</v>
      </c>
      <c r="N583" s="45">
        <f>COUNTIF(Anlieferung!D:D,$B583)*1/2</f>
        <v>0</v>
      </c>
      <c r="O583" s="45">
        <f>COUNTIF(Probeabholungen!B:B,$B583)*1/3</f>
        <v>0</v>
      </c>
    </row>
    <row r="584" spans="1:15" ht="41.4">
      <c r="A584" s="8" t="s">
        <v>566</v>
      </c>
      <c r="B584" s="8">
        <v>264548</v>
      </c>
      <c r="D584" s="24">
        <v>45826</v>
      </c>
      <c r="E584" s="1">
        <v>3</v>
      </c>
      <c r="F584">
        <v>6</v>
      </c>
      <c r="G584" s="30">
        <f t="shared" si="30"/>
        <v>9</v>
      </c>
      <c r="H584" s="8">
        <f t="shared" si="29"/>
        <v>-3</v>
      </c>
      <c r="I584">
        <f t="shared" si="31"/>
        <v>0</v>
      </c>
      <c r="J584">
        <f>SUMIF(Oeffentlichkeitsarbeit!$D:$D,$B584,Oeffentlichkeitsarbeit!$F:$F)</f>
        <v>0</v>
      </c>
      <c r="K584">
        <f>COUNTIF(Fairteiler!$D:$D,$B584)*1/2</f>
        <v>0</v>
      </c>
      <c r="L584">
        <f>COUNTIF('NP-Betrieb'!D:D,$B584)*1/3</f>
        <v>0</v>
      </c>
      <c r="M584">
        <f>COUNTIF(Fairteilungen!$D:$D,$B584)*3/4</f>
        <v>0</v>
      </c>
      <c r="N584">
        <f>COUNTIF(Anlieferung!D:D,$B584)*1/2</f>
        <v>0</v>
      </c>
      <c r="O584">
        <f>COUNTIF(Probeabholungen!B:B,$B584)*1/3</f>
        <v>0</v>
      </c>
    </row>
    <row r="585" spans="1:15" ht="27.6">
      <c r="A585" s="8" t="s">
        <v>567</v>
      </c>
      <c r="B585" s="8">
        <v>756063</v>
      </c>
      <c r="D585" s="29">
        <v>45245</v>
      </c>
      <c r="E585" s="1">
        <v>8.1666666666666696</v>
      </c>
      <c r="F585" s="8">
        <v>6</v>
      </c>
      <c r="G585" s="30">
        <f t="shared" si="30"/>
        <v>14.16666666666667</v>
      </c>
      <c r="H585" s="8">
        <f t="shared" si="29"/>
        <v>-8.1666666666666696</v>
      </c>
      <c r="I585">
        <f t="shared" si="31"/>
        <v>0</v>
      </c>
      <c r="J585">
        <f>SUMIF(Oeffentlichkeitsarbeit!$D:$D,$B585,Oeffentlichkeitsarbeit!$F:$F)</f>
        <v>0</v>
      </c>
      <c r="K585">
        <f>COUNTIF(Fairteiler!$D:$D,$B585)*1/2</f>
        <v>0</v>
      </c>
      <c r="L585">
        <f>COUNTIF('NP-Betrieb'!D:D,$B585)*1/3</f>
        <v>0</v>
      </c>
      <c r="M585">
        <f>COUNTIF(Fairteilungen!$D:$D,$B585)*3/4</f>
        <v>0</v>
      </c>
      <c r="N585">
        <f>COUNTIF(Anlieferung!D:D,$B585)*1/2</f>
        <v>0</v>
      </c>
      <c r="O585">
        <f>COUNTIF(Probeabholungen!B:B,$B585)*1/3</f>
        <v>0</v>
      </c>
    </row>
    <row r="586" spans="1:15" ht="27.6">
      <c r="A586" s="16" t="s">
        <v>568</v>
      </c>
      <c r="B586" s="16">
        <v>524315</v>
      </c>
      <c r="C586" s="16" t="s">
        <v>831</v>
      </c>
      <c r="D586" s="29"/>
      <c r="E586" s="1">
        <v>0</v>
      </c>
      <c r="F586" s="16">
        <v>0</v>
      </c>
      <c r="G586" s="30">
        <f t="shared" si="30"/>
        <v>-2</v>
      </c>
      <c r="H586" s="16">
        <f t="shared" si="29"/>
        <v>2</v>
      </c>
      <c r="I586" s="31">
        <f t="shared" si="31"/>
        <v>2</v>
      </c>
      <c r="J586" s="31">
        <f>SUMIF(Oeffentlichkeitsarbeit!$D:$D,$B586,Oeffentlichkeitsarbeit!$F:$F)</f>
        <v>0</v>
      </c>
      <c r="K586" s="31">
        <f>COUNTIF(Fairteiler!$D:$D,$B586)*1/2</f>
        <v>0</v>
      </c>
      <c r="L586" s="31">
        <f>COUNTIF('NP-Betrieb'!D:D,$B586)*1/3</f>
        <v>2</v>
      </c>
      <c r="M586" s="31">
        <f>COUNTIF(Fairteilungen!$D:$D,$B586)*3/4</f>
        <v>0</v>
      </c>
      <c r="N586" s="31">
        <f>COUNTIF(Anlieferung!D:D,$B586)*1/2</f>
        <v>0</v>
      </c>
      <c r="O586" s="31">
        <f>COUNTIF(Probeabholungen!B:B,$B586)*1/3</f>
        <v>0</v>
      </c>
    </row>
    <row r="587" spans="1:15" ht="15">
      <c r="A587" s="20" t="s">
        <v>569</v>
      </c>
      <c r="B587" s="21">
        <v>329106</v>
      </c>
      <c r="D587" s="29"/>
      <c r="E587" s="1">
        <v>4.0033333333333401</v>
      </c>
      <c r="F587" s="8">
        <v>6</v>
      </c>
      <c r="G587" s="30">
        <f t="shared" si="30"/>
        <v>10.003333333333341</v>
      </c>
      <c r="H587" s="8">
        <f t="shared" si="29"/>
        <v>-4.0033333333333401</v>
      </c>
      <c r="I587">
        <f t="shared" si="31"/>
        <v>0</v>
      </c>
      <c r="J587">
        <f>SUMIF(Oeffentlichkeitsarbeit!$D:$D,$B587,Oeffentlichkeitsarbeit!$F:$F)</f>
        <v>0</v>
      </c>
      <c r="K587">
        <f>COUNTIF(Fairteiler!$D:$D,$B587)*1/2</f>
        <v>0</v>
      </c>
      <c r="L587">
        <f>COUNTIF('NP-Betrieb'!D:D,$B587)*1/3</f>
        <v>0</v>
      </c>
      <c r="M587">
        <f>COUNTIF(Fairteilungen!$D:$D,$B587)*3/4</f>
        <v>0</v>
      </c>
      <c r="N587">
        <f>COUNTIF(Anlieferung!D:D,$B587)*1/2</f>
        <v>0</v>
      </c>
      <c r="O587">
        <f>COUNTIF(Probeabholungen!B:B,$B587)*1/3</f>
        <v>0</v>
      </c>
    </row>
    <row r="588" spans="1:15" ht="27.6">
      <c r="A588" s="8" t="s">
        <v>570</v>
      </c>
      <c r="B588" s="8">
        <v>717385</v>
      </c>
      <c r="D588" s="29"/>
      <c r="E588" s="1">
        <v>0</v>
      </c>
      <c r="F588" s="8">
        <v>6</v>
      </c>
      <c r="G588" s="30">
        <f t="shared" si="30"/>
        <v>3</v>
      </c>
      <c r="H588" s="8">
        <f t="shared" si="29"/>
        <v>3</v>
      </c>
      <c r="I588">
        <f t="shared" si="31"/>
        <v>3</v>
      </c>
      <c r="J588">
        <f>SUMIF(Oeffentlichkeitsarbeit!$D:$D,$B588,Oeffentlichkeitsarbeit!$F:$F)</f>
        <v>0</v>
      </c>
      <c r="K588">
        <f>COUNTIF(Fairteiler!$D:$D,$B588)*1/2</f>
        <v>3</v>
      </c>
      <c r="L588">
        <f>COUNTIF('NP-Betrieb'!D:D,$B588)*1/3</f>
        <v>0</v>
      </c>
      <c r="M588">
        <f>COUNTIF(Fairteilungen!$D:$D,$B588)*3/4</f>
        <v>0</v>
      </c>
      <c r="N588">
        <f>COUNTIF(Anlieferung!D:D,$B588)*1/2</f>
        <v>0</v>
      </c>
      <c r="O588">
        <f>COUNTIF(Probeabholungen!B:B,$B588)*1/3</f>
        <v>0</v>
      </c>
    </row>
    <row r="589" spans="1:15" ht="27.6">
      <c r="A589" s="8" t="s">
        <v>571</v>
      </c>
      <c r="B589" s="8">
        <v>775465</v>
      </c>
      <c r="D589" s="24">
        <v>45441</v>
      </c>
      <c r="E589" s="1">
        <v>0</v>
      </c>
      <c r="F589" s="8">
        <v>6</v>
      </c>
      <c r="G589" s="30">
        <f t="shared" si="30"/>
        <v>4.166666666666667</v>
      </c>
      <c r="H589" s="8">
        <f t="shared" si="29"/>
        <v>1.8333333333333333</v>
      </c>
      <c r="I589">
        <f t="shared" si="31"/>
        <v>1.8333333333333333</v>
      </c>
      <c r="J589">
        <f>SUMIF(Oeffentlichkeitsarbeit!$D:$D,$B589,Oeffentlichkeitsarbeit!$F:$F)</f>
        <v>0</v>
      </c>
      <c r="K589">
        <f>COUNTIF(Fairteiler!$D:$D,$B589)*1/2</f>
        <v>0.5</v>
      </c>
      <c r="L589">
        <f>COUNTIF('NP-Betrieb'!D:D,$B589)*1/3</f>
        <v>1.3333333333333333</v>
      </c>
      <c r="M589">
        <f>COUNTIF(Fairteilungen!$D:$D,$B589)*3/4</f>
        <v>0</v>
      </c>
      <c r="N589">
        <f>COUNTIF(Anlieferung!D:D,$B589)*1/2</f>
        <v>0</v>
      </c>
      <c r="O589">
        <f>COUNTIF(Probeabholungen!B:B,$B589)*1/3</f>
        <v>0</v>
      </c>
    </row>
    <row r="590" spans="1:15" ht="27.6">
      <c r="A590" s="8" t="s">
        <v>572</v>
      </c>
      <c r="B590" s="8">
        <v>500961</v>
      </c>
      <c r="D590" s="29"/>
      <c r="E590" s="1">
        <v>0</v>
      </c>
      <c r="F590" s="8">
        <v>6</v>
      </c>
      <c r="G590" s="30">
        <f t="shared" si="30"/>
        <v>3.8333333333333335</v>
      </c>
      <c r="H590" s="8">
        <f t="shared" si="29"/>
        <v>2.1666666666666665</v>
      </c>
      <c r="I590">
        <f t="shared" si="31"/>
        <v>2.1666666666666665</v>
      </c>
      <c r="J590">
        <f>SUMIF(Oeffentlichkeitsarbeit!$D:$D,$B590,Oeffentlichkeitsarbeit!$F:$F)</f>
        <v>0</v>
      </c>
      <c r="K590">
        <f>COUNTIF(Fairteiler!$D:$D,$B590)*1/2</f>
        <v>0</v>
      </c>
      <c r="L590">
        <f>COUNTIF('NP-Betrieb'!D:D,$B590)*1/3</f>
        <v>0.66666666666666663</v>
      </c>
      <c r="M590">
        <f>COUNTIF(Fairteilungen!$D:$D,$B590)*3/4</f>
        <v>0</v>
      </c>
      <c r="N590">
        <f>COUNTIF(Anlieferung!D:D,$B590)*1/2</f>
        <v>1.5</v>
      </c>
      <c r="O590">
        <f>COUNTIF(Probeabholungen!B:B,$B590)*1/3</f>
        <v>0</v>
      </c>
    </row>
    <row r="591" spans="1:15">
      <c r="A591" s="8" t="s">
        <v>573</v>
      </c>
      <c r="B591">
        <v>843011</v>
      </c>
      <c r="D591" s="24">
        <v>45689</v>
      </c>
      <c r="E591" s="1">
        <v>0</v>
      </c>
      <c r="F591">
        <v>6</v>
      </c>
      <c r="G591" s="30">
        <f t="shared" si="30"/>
        <v>6</v>
      </c>
      <c r="H591" s="8">
        <f t="shared" si="29"/>
        <v>0</v>
      </c>
      <c r="I591">
        <f t="shared" si="31"/>
        <v>0</v>
      </c>
      <c r="J591">
        <f>SUMIF(Oeffentlichkeitsarbeit!$D:$D,$B591,Oeffentlichkeitsarbeit!$F:$F)</f>
        <v>0</v>
      </c>
      <c r="K591">
        <f>COUNTIF(Fairteiler!$D:$D,$B591)*1/2</f>
        <v>0</v>
      </c>
      <c r="L591">
        <f>COUNTIF('NP-Betrieb'!D:D,$B591)*1/3</f>
        <v>0</v>
      </c>
      <c r="M591">
        <f>COUNTIF(Fairteilungen!$D:$D,$B591)*3/4</f>
        <v>0</v>
      </c>
      <c r="N591">
        <f>COUNTIF(Anlieferung!D:D,$B591)*1/2</f>
        <v>0</v>
      </c>
      <c r="O591">
        <f>COUNTIF(Probeabholungen!B:B,$B591)*1/3</f>
        <v>0</v>
      </c>
    </row>
    <row r="592" spans="1:15" ht="27.6">
      <c r="A592" s="8" t="s">
        <v>574</v>
      </c>
      <c r="B592" s="8">
        <v>550416</v>
      </c>
      <c r="C592" s="8"/>
      <c r="D592" s="29"/>
      <c r="E592" s="1">
        <v>11.34</v>
      </c>
      <c r="F592" s="8">
        <v>6</v>
      </c>
      <c r="G592" s="30">
        <f t="shared" si="30"/>
        <v>17.34</v>
      </c>
      <c r="H592" s="8">
        <f t="shared" si="29"/>
        <v>-11.34</v>
      </c>
      <c r="I592">
        <f t="shared" si="31"/>
        <v>0</v>
      </c>
      <c r="J592">
        <f>SUMIF(Oeffentlichkeitsarbeit!$D:$D,$B592,Oeffentlichkeitsarbeit!$F:$F)</f>
        <v>0</v>
      </c>
      <c r="K592">
        <f>COUNTIF(Fairteiler!$D:$D,$B592)*1/2</f>
        <v>0</v>
      </c>
      <c r="L592">
        <f>COUNTIF('NP-Betrieb'!D:D,$B592)*1/3</f>
        <v>0</v>
      </c>
      <c r="M592">
        <f>COUNTIF(Fairteilungen!$D:$D,$B592)*3/4</f>
        <v>0</v>
      </c>
      <c r="N592">
        <f>COUNTIF(Anlieferung!D:D,$B592)*1/2</f>
        <v>0</v>
      </c>
      <c r="O592">
        <f>COUNTIF(Probeabholungen!B:B,$B592)*1/3</f>
        <v>0</v>
      </c>
    </row>
    <row r="593" spans="1:1024" ht="27.6">
      <c r="A593" s="8" t="s">
        <v>575</v>
      </c>
      <c r="B593" s="8">
        <v>315468</v>
      </c>
      <c r="D593" s="29"/>
      <c r="E593" s="1">
        <v>0</v>
      </c>
      <c r="F593" s="8">
        <v>6</v>
      </c>
      <c r="G593" s="30">
        <f t="shared" si="30"/>
        <v>5.666666666666667</v>
      </c>
      <c r="H593" s="8">
        <f t="shared" si="29"/>
        <v>0.33333333333333331</v>
      </c>
      <c r="I593">
        <f t="shared" si="31"/>
        <v>0.33333333333333331</v>
      </c>
      <c r="J593">
        <f>SUMIF(Oeffentlichkeitsarbeit!$D:$D,$B593,Oeffentlichkeitsarbeit!$F:$F)</f>
        <v>0</v>
      </c>
      <c r="K593">
        <f>COUNTIF(Fairteiler!$D:$D,$B593)*1/2</f>
        <v>0</v>
      </c>
      <c r="L593">
        <f>COUNTIF('NP-Betrieb'!D:D,$B593)*1/3</f>
        <v>0.33333333333333331</v>
      </c>
      <c r="M593">
        <f>COUNTIF(Fairteilungen!$D:$D,$B593)*3/4</f>
        <v>0</v>
      </c>
      <c r="N593">
        <f>COUNTIF(Anlieferung!D:D,$B593)*1/2</f>
        <v>0</v>
      </c>
      <c r="O593">
        <f>COUNTIF(Probeabholungen!B:B,$B593)*1/3</f>
        <v>0</v>
      </c>
    </row>
    <row r="594" spans="1:1024" ht="27.6">
      <c r="A594" s="16" t="s">
        <v>576</v>
      </c>
      <c r="B594" s="16">
        <v>216772</v>
      </c>
      <c r="C594" s="16" t="s">
        <v>831</v>
      </c>
      <c r="D594" s="29"/>
      <c r="E594" s="1">
        <v>0</v>
      </c>
      <c r="F594" s="16">
        <v>0</v>
      </c>
      <c r="G594" s="30">
        <f t="shared" si="30"/>
        <v>-0.66666666666666663</v>
      </c>
      <c r="H594" s="16">
        <f t="shared" si="29"/>
        <v>0.66666666666666663</v>
      </c>
      <c r="I594" s="11">
        <f t="shared" si="31"/>
        <v>0.66666666666666663</v>
      </c>
      <c r="J594" s="11">
        <f>SUMIF(Oeffentlichkeitsarbeit!$D:$D,$B594,Oeffentlichkeitsarbeit!$F:$F)</f>
        <v>0</v>
      </c>
      <c r="K594" s="11">
        <f>COUNTIF(Fairteiler!$D:$D,$B594)*1/2</f>
        <v>0</v>
      </c>
      <c r="L594" s="11">
        <f>COUNTIF('NP-Betrieb'!D:D,$B594)*1/3</f>
        <v>0.66666666666666663</v>
      </c>
      <c r="M594" s="11">
        <f>COUNTIF(Fairteilungen!$D:$D,$B594)*3/4</f>
        <v>0</v>
      </c>
      <c r="N594" s="11">
        <f>COUNTIF(Anlieferung!D:D,$B594)*1/2</f>
        <v>0</v>
      </c>
      <c r="O594" s="11">
        <f>COUNTIF(Probeabholungen!B:B,$B594)*1/3</f>
        <v>0</v>
      </c>
    </row>
    <row r="595" spans="1:1024" ht="27.6">
      <c r="A595" s="16" t="s">
        <v>577</v>
      </c>
      <c r="B595" s="16">
        <v>302414</v>
      </c>
      <c r="C595" s="31" t="s">
        <v>865</v>
      </c>
      <c r="D595" s="32"/>
      <c r="E595" s="1">
        <v>0</v>
      </c>
      <c r="F595" s="16">
        <v>3</v>
      </c>
      <c r="G595" s="33">
        <f t="shared" si="30"/>
        <v>-8.3333333333333321</v>
      </c>
      <c r="H595" s="16">
        <f t="shared" si="29"/>
        <v>11.333333333333332</v>
      </c>
      <c r="I595" s="31">
        <f t="shared" si="31"/>
        <v>11.333333333333332</v>
      </c>
      <c r="J595" s="31">
        <f>SUMIF(Oeffentlichkeitsarbeit!$D:$D,$B595,Oeffentlichkeitsarbeit!$F:$F)</f>
        <v>4.5</v>
      </c>
      <c r="K595" s="31">
        <f>COUNTIF(Fairteiler!$D:$D,$B595)*1/2</f>
        <v>0</v>
      </c>
      <c r="L595" s="31">
        <f>COUNTIF('NP-Betrieb'!D:D,$B595)*1/3</f>
        <v>1.3333333333333333</v>
      </c>
      <c r="M595" s="31">
        <f>COUNTIF(Fairteilungen!$D:$D,$B595)*3/4</f>
        <v>0</v>
      </c>
      <c r="N595" s="31">
        <f>COUNTIF(Anlieferung!D:D,$B595)*1/2</f>
        <v>5.5</v>
      </c>
      <c r="O595" s="31">
        <f>COUNTIF(Probeabholungen!B:B,$B595)*1/3</f>
        <v>0</v>
      </c>
    </row>
    <row r="596" spans="1:1024" ht="27.6">
      <c r="A596" s="8" t="s">
        <v>578</v>
      </c>
      <c r="B596" s="8">
        <v>141147</v>
      </c>
      <c r="D596" s="29"/>
      <c r="E596" s="1">
        <v>1.6666666666666701</v>
      </c>
      <c r="F596" s="8">
        <v>6</v>
      </c>
      <c r="G596" s="30">
        <f t="shared" si="30"/>
        <v>7.6666666666666696</v>
      </c>
      <c r="H596" s="8">
        <f t="shared" si="29"/>
        <v>-1.6666666666666701</v>
      </c>
      <c r="I596">
        <f t="shared" si="31"/>
        <v>0</v>
      </c>
      <c r="J596">
        <f>SUMIF(Oeffentlichkeitsarbeit!$D:$D,$B596,Oeffentlichkeitsarbeit!$F:$F)</f>
        <v>0</v>
      </c>
      <c r="K596">
        <f>COUNTIF(Fairteiler!$D:$D,$B596)*1/2</f>
        <v>0</v>
      </c>
      <c r="L596">
        <f>COUNTIF('NP-Betrieb'!D:D,$B596)*1/3</f>
        <v>0</v>
      </c>
      <c r="M596">
        <f>COUNTIF(Fairteilungen!$D:$D,$B596)*3/4</f>
        <v>0</v>
      </c>
      <c r="N596">
        <f>COUNTIF(Anlieferung!D:D,$B596)*1/2</f>
        <v>0</v>
      </c>
      <c r="O596">
        <f>COUNTIF(Probeabholungen!B:B,$B596)*1/3</f>
        <v>0</v>
      </c>
    </row>
    <row r="597" spans="1:1024" ht="27.6">
      <c r="A597" s="14" t="s">
        <v>579</v>
      </c>
      <c r="B597" s="14">
        <v>626186</v>
      </c>
      <c r="C597" s="14" t="s">
        <v>839</v>
      </c>
      <c r="D597" s="29"/>
      <c r="E597" s="1">
        <v>0</v>
      </c>
      <c r="F597" s="14">
        <v>0</v>
      </c>
      <c r="G597" s="30">
        <f t="shared" si="30"/>
        <v>-0.33333333333333331</v>
      </c>
      <c r="H597" s="14">
        <f t="shared" si="29"/>
        <v>0.33333333333333331</v>
      </c>
      <c r="I597" s="11">
        <f t="shared" si="31"/>
        <v>0.33333333333333331</v>
      </c>
      <c r="J597" s="11">
        <f>SUMIF(Oeffentlichkeitsarbeit!$D:$D,$B597,Oeffentlichkeitsarbeit!$F:$F)</f>
        <v>0</v>
      </c>
      <c r="K597" s="11">
        <f>COUNTIF(Fairteiler!$D:$D,$B597)*1/2</f>
        <v>0</v>
      </c>
      <c r="L597" s="11">
        <f>COUNTIF('NP-Betrieb'!D:D,$B597)*1/3</f>
        <v>0.33333333333333331</v>
      </c>
      <c r="M597" s="11">
        <f>COUNTIF(Fairteilungen!$D:$D,$B597)*3/4</f>
        <v>0</v>
      </c>
      <c r="N597" s="11">
        <f>COUNTIF(Anlieferung!D:D,$B597)*1/2</f>
        <v>0</v>
      </c>
      <c r="O597" s="11">
        <f>COUNTIF(Probeabholungen!B:B,$B597)*1/3</f>
        <v>0</v>
      </c>
    </row>
    <row r="598" spans="1:1024" ht="27.6">
      <c r="A598" s="14" t="s">
        <v>580</v>
      </c>
      <c r="B598" s="14">
        <v>183984</v>
      </c>
      <c r="C598" s="14" t="s">
        <v>839</v>
      </c>
      <c r="D598" s="29"/>
      <c r="E598" s="1">
        <v>0</v>
      </c>
      <c r="F598" s="14">
        <v>0</v>
      </c>
      <c r="G598" s="30">
        <f t="shared" si="30"/>
        <v>-1</v>
      </c>
      <c r="H598" s="14">
        <f t="shared" si="29"/>
        <v>1</v>
      </c>
      <c r="I598" s="11">
        <f t="shared" si="31"/>
        <v>1</v>
      </c>
      <c r="J598" s="11">
        <f>SUMIF(Oeffentlichkeitsarbeit!$D:$D,$B598,Oeffentlichkeitsarbeit!$F:$F)</f>
        <v>0</v>
      </c>
      <c r="K598" s="11">
        <f>COUNTIF(Fairteiler!$D:$D,$B598)*1/2</f>
        <v>0</v>
      </c>
      <c r="L598" s="11">
        <f>COUNTIF('NP-Betrieb'!D:D,$B598)*1/3</f>
        <v>1</v>
      </c>
      <c r="M598" s="11">
        <f>COUNTIF(Fairteilungen!$D:$D,$B598)*3/4</f>
        <v>0</v>
      </c>
      <c r="N598" s="11">
        <f>COUNTIF(Anlieferung!D:D,$B598)*1/2</f>
        <v>0</v>
      </c>
      <c r="O598" s="11">
        <f>COUNTIF(Probeabholungen!B:B,$B598)*1/3</f>
        <v>0</v>
      </c>
    </row>
    <row r="599" spans="1:1024" ht="27.6">
      <c r="A599" s="14" t="s">
        <v>581</v>
      </c>
      <c r="B599" s="14">
        <v>588433</v>
      </c>
      <c r="C599" s="14" t="s">
        <v>839</v>
      </c>
      <c r="D599" s="29"/>
      <c r="E599" s="1">
        <v>0</v>
      </c>
      <c r="F599" s="14">
        <v>0</v>
      </c>
      <c r="G599" s="30">
        <f t="shared" si="30"/>
        <v>-1</v>
      </c>
      <c r="H599" s="14">
        <f t="shared" si="29"/>
        <v>1</v>
      </c>
      <c r="I599">
        <f t="shared" si="31"/>
        <v>1</v>
      </c>
      <c r="J599">
        <f>SUMIF(Oeffentlichkeitsarbeit!$D:$D,$B599,Oeffentlichkeitsarbeit!$F:$F)</f>
        <v>0</v>
      </c>
      <c r="K599">
        <f>COUNTIF(Fairteiler!$D:$D,$B599)*1/2</f>
        <v>0</v>
      </c>
      <c r="L599">
        <f>COUNTIF('NP-Betrieb'!D:D,$B599)*1/3</f>
        <v>1</v>
      </c>
      <c r="M599">
        <f>COUNTIF(Fairteilungen!$D:$D,$B599)*3/4</f>
        <v>0</v>
      </c>
      <c r="N599">
        <f>COUNTIF(Anlieferung!D:D,$B599)*1/2</f>
        <v>0</v>
      </c>
      <c r="O599">
        <f>COUNTIF(Probeabholungen!B:B,$B599)*1/3</f>
        <v>0</v>
      </c>
    </row>
    <row r="600" spans="1:1024" ht="27.6">
      <c r="A600" s="8" t="s">
        <v>582</v>
      </c>
      <c r="B600" s="8">
        <v>518980</v>
      </c>
      <c r="D600" s="29"/>
      <c r="E600" s="1">
        <v>2</v>
      </c>
      <c r="F600" s="8">
        <v>6</v>
      </c>
      <c r="G600" s="30">
        <f t="shared" si="30"/>
        <v>3.666666666666667</v>
      </c>
      <c r="H600" s="8">
        <f t="shared" si="29"/>
        <v>2.333333333333333</v>
      </c>
      <c r="I600">
        <f t="shared" si="31"/>
        <v>4.333333333333333</v>
      </c>
      <c r="J600">
        <f>SUMIF(Oeffentlichkeitsarbeit!$D:$D,$B600,Oeffentlichkeitsarbeit!$F:$F)</f>
        <v>0</v>
      </c>
      <c r="K600">
        <f>COUNTIF(Fairteiler!$D:$D,$B600)*1/2</f>
        <v>0</v>
      </c>
      <c r="L600">
        <f>COUNTIF('NP-Betrieb'!D:D,$B600)*1/3</f>
        <v>4.333333333333333</v>
      </c>
      <c r="M600">
        <f>COUNTIF(Fairteilungen!$D:$D,$B600)*3/4</f>
        <v>0</v>
      </c>
      <c r="N600">
        <f>COUNTIF(Anlieferung!D:D,$B600)*1/2</f>
        <v>0</v>
      </c>
      <c r="O600">
        <f>COUNTIF(Probeabholungen!B:B,$B600)*1/3</f>
        <v>0</v>
      </c>
    </row>
    <row r="601" spans="1:1024" ht="27.6">
      <c r="A601" s="8" t="s">
        <v>583</v>
      </c>
      <c r="B601" s="8">
        <v>866328</v>
      </c>
      <c r="D601" s="24">
        <v>45531</v>
      </c>
      <c r="E601" s="1">
        <v>0</v>
      </c>
      <c r="F601" s="8">
        <v>6</v>
      </c>
      <c r="G601" s="30">
        <f t="shared" si="30"/>
        <v>0.66666666666666696</v>
      </c>
      <c r="H601" s="8">
        <f t="shared" si="29"/>
        <v>5.333333333333333</v>
      </c>
      <c r="I601">
        <f t="shared" si="31"/>
        <v>5.333333333333333</v>
      </c>
      <c r="J601">
        <f>SUMIF(Oeffentlichkeitsarbeit!$D:$D,$B601,Oeffentlichkeitsarbeit!$F:$F)</f>
        <v>0</v>
      </c>
      <c r="K601">
        <f>COUNTIF(Fairteiler!$D:$D,$B601)*1/2</f>
        <v>0</v>
      </c>
      <c r="L601">
        <f>COUNTIF('NP-Betrieb'!D:D,$B601)*1/3</f>
        <v>5.333333333333333</v>
      </c>
      <c r="M601">
        <f>COUNTIF(Fairteilungen!$D:$D,$B601)*3/4</f>
        <v>0</v>
      </c>
      <c r="N601">
        <f>COUNTIF(Anlieferung!D:D,$B601)*1/2</f>
        <v>0</v>
      </c>
      <c r="O601">
        <f>COUNTIF(Probeabholungen!B:B,$B601)*1/3</f>
        <v>0</v>
      </c>
    </row>
    <row r="602" spans="1:1024" ht="27.6">
      <c r="A602" s="8" t="s">
        <v>584</v>
      </c>
      <c r="B602" s="8">
        <v>628110</v>
      </c>
      <c r="D602" s="24">
        <v>45845</v>
      </c>
      <c r="E602" s="1">
        <v>0</v>
      </c>
      <c r="F602">
        <v>6</v>
      </c>
      <c r="G602" s="30">
        <f t="shared" si="30"/>
        <v>2.6666666666666665</v>
      </c>
      <c r="H602" s="8">
        <f t="shared" si="29"/>
        <v>3.3333333333333335</v>
      </c>
      <c r="I602">
        <f t="shared" si="31"/>
        <v>3.3333333333333335</v>
      </c>
      <c r="J602">
        <f>SUMIF(Oeffentlichkeitsarbeit!$D:$D,$B602,Oeffentlichkeitsarbeit!$F:$F)</f>
        <v>0</v>
      </c>
      <c r="K602">
        <f>COUNTIF(Fairteiler!$D:$D,$B602)*1/2</f>
        <v>0</v>
      </c>
      <c r="L602">
        <f>COUNTIF('NP-Betrieb'!D:D,$B602)*1/3</f>
        <v>3.3333333333333335</v>
      </c>
      <c r="M602">
        <f>COUNTIF(Fairteilungen!$D:$D,$B602)*3/4</f>
        <v>0</v>
      </c>
      <c r="N602">
        <f>COUNTIF(Anlieferung!D:D,$B602)*1/2</f>
        <v>0</v>
      </c>
      <c r="O602">
        <f>COUNTIF(Probeabholungen!B:B,$B602)*1/3</f>
        <v>0</v>
      </c>
    </row>
    <row r="603" spans="1:1024" s="44" customFormat="1" ht="27.6">
      <c r="A603" s="8" t="s">
        <v>585</v>
      </c>
      <c r="B603" s="8">
        <v>563528</v>
      </c>
      <c r="C603"/>
      <c r="D603" s="29"/>
      <c r="E603" s="1">
        <v>9.6733333333333391</v>
      </c>
      <c r="F603" s="8">
        <v>6</v>
      </c>
      <c r="G603" s="30">
        <f t="shared" si="30"/>
        <v>15.673333333333339</v>
      </c>
      <c r="H603" s="8">
        <f t="shared" si="29"/>
        <v>-9.6733333333333391</v>
      </c>
      <c r="I603">
        <f t="shared" si="31"/>
        <v>0</v>
      </c>
      <c r="J603">
        <f>SUMIF(Oeffentlichkeitsarbeit!$D:$D,$B603,Oeffentlichkeitsarbeit!$F:$F)</f>
        <v>0</v>
      </c>
      <c r="K603">
        <f>COUNTIF(Fairteiler!$D:$D,$B603)*1/2</f>
        <v>0</v>
      </c>
      <c r="L603">
        <f>COUNTIF('NP-Betrieb'!D:D,$B603)*1/3</f>
        <v>0</v>
      </c>
      <c r="M603">
        <f>COUNTIF(Fairteilungen!$D:$D,$B603)*3/4</f>
        <v>0</v>
      </c>
      <c r="N603">
        <f>COUNTIF(Anlieferung!D:D,$B603)*1/2</f>
        <v>0</v>
      </c>
      <c r="O603">
        <f>COUNTIF(Probeabholungen!B:B,$B603)*1/3</f>
        <v>0</v>
      </c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  <c r="BR603"/>
      <c r="BS603"/>
      <c r="BT603"/>
      <c r="BU603"/>
      <c r="BV603"/>
      <c r="BW603"/>
      <c r="BX603"/>
      <c r="BY603"/>
      <c r="BZ603"/>
      <c r="CA603"/>
      <c r="CB603"/>
      <c r="CC603"/>
      <c r="CD603"/>
      <c r="CE603"/>
      <c r="CF603"/>
      <c r="CG603"/>
      <c r="CH603"/>
      <c r="CI603"/>
      <c r="CJ603"/>
      <c r="CK603"/>
      <c r="CL603"/>
      <c r="CM603"/>
      <c r="CN603"/>
      <c r="CO603"/>
      <c r="CP603"/>
      <c r="CQ603"/>
      <c r="CR603"/>
      <c r="CS603"/>
      <c r="CT603"/>
      <c r="CU603"/>
      <c r="CV603"/>
      <c r="CW603"/>
      <c r="CX603"/>
      <c r="CY603"/>
      <c r="CZ603"/>
      <c r="DA603"/>
      <c r="DB603"/>
      <c r="DC603"/>
      <c r="DD603"/>
      <c r="DE603"/>
      <c r="DF603"/>
      <c r="DG603"/>
      <c r="DH603"/>
      <c r="DI603"/>
      <c r="DJ603"/>
      <c r="DK603"/>
      <c r="DL603"/>
      <c r="DM603"/>
      <c r="DN603"/>
      <c r="DO603"/>
      <c r="DP603"/>
      <c r="DQ603"/>
      <c r="DR603"/>
      <c r="DS603"/>
      <c r="DT603"/>
      <c r="DU603"/>
      <c r="DV603"/>
      <c r="DW603"/>
      <c r="DX603"/>
      <c r="DY603"/>
      <c r="DZ603"/>
      <c r="EA603"/>
      <c r="EB603"/>
      <c r="EC603"/>
      <c r="ED603"/>
      <c r="EE603"/>
      <c r="EF603"/>
      <c r="EG603"/>
      <c r="EH603"/>
      <c r="EI603"/>
      <c r="EJ603"/>
      <c r="EK603"/>
      <c r="EL603"/>
      <c r="EM603"/>
      <c r="EN603"/>
      <c r="EO603"/>
      <c r="EP603"/>
      <c r="EQ603"/>
      <c r="ER603"/>
      <c r="ES603"/>
      <c r="ET603"/>
      <c r="EU603"/>
      <c r="EV603"/>
      <c r="EW603"/>
      <c r="EX603"/>
      <c r="EY603"/>
      <c r="EZ603"/>
      <c r="FA603"/>
      <c r="FB603"/>
      <c r="FC603"/>
      <c r="FD603"/>
      <c r="FE603"/>
      <c r="FF603"/>
      <c r="FG603"/>
      <c r="FH603"/>
      <c r="FI603"/>
      <c r="FJ603"/>
      <c r="FK603"/>
      <c r="FL603"/>
      <c r="FM603"/>
      <c r="FN603"/>
      <c r="FO603"/>
      <c r="FP603"/>
      <c r="FQ603"/>
      <c r="FR603"/>
      <c r="FS603"/>
      <c r="FT603"/>
      <c r="FU603"/>
      <c r="FV603"/>
      <c r="FW603"/>
      <c r="FX603"/>
      <c r="FY603"/>
      <c r="FZ603"/>
      <c r="GA603"/>
      <c r="GB603"/>
      <c r="GC603"/>
      <c r="GD603"/>
      <c r="GE603"/>
      <c r="GF603"/>
      <c r="GG603"/>
      <c r="GH603"/>
      <c r="GI603"/>
      <c r="GJ603"/>
      <c r="GK603"/>
      <c r="GL603"/>
      <c r="GM603"/>
      <c r="GN603"/>
      <c r="GO603"/>
      <c r="GP603"/>
      <c r="GQ603"/>
      <c r="GR603"/>
      <c r="GS603"/>
      <c r="GT603"/>
      <c r="GU603"/>
      <c r="GV603"/>
      <c r="GW603"/>
      <c r="GX603"/>
      <c r="GY603"/>
      <c r="GZ603"/>
      <c r="HA603"/>
      <c r="HB603"/>
      <c r="HC603"/>
      <c r="HD603"/>
      <c r="HE603"/>
      <c r="HF603"/>
      <c r="HG603"/>
      <c r="HH603"/>
      <c r="HI603"/>
      <c r="HJ603"/>
      <c r="HK603"/>
      <c r="HL603"/>
      <c r="HM603"/>
      <c r="HN603"/>
      <c r="HO603"/>
      <c r="HP603"/>
      <c r="HQ603"/>
      <c r="HR603"/>
      <c r="HS603"/>
      <c r="HT603"/>
      <c r="HU603"/>
      <c r="HV603"/>
      <c r="HW603"/>
      <c r="HX603"/>
      <c r="HY603"/>
      <c r="HZ603"/>
      <c r="IA603"/>
      <c r="IB603"/>
      <c r="IC603"/>
      <c r="ID603"/>
      <c r="IE603"/>
      <c r="IF603"/>
      <c r="IG603"/>
      <c r="IH603"/>
      <c r="II603"/>
      <c r="IJ603"/>
      <c r="IK603"/>
      <c r="IL603"/>
      <c r="IM603"/>
      <c r="IN603"/>
      <c r="IO603"/>
      <c r="IP603"/>
      <c r="IQ603"/>
      <c r="IR603"/>
      <c r="IS603"/>
      <c r="IT603"/>
      <c r="IU603"/>
      <c r="IV603"/>
      <c r="IW603"/>
      <c r="IX603"/>
      <c r="IY603"/>
      <c r="IZ603"/>
      <c r="JA603"/>
      <c r="JB603"/>
      <c r="JC603"/>
      <c r="JD603"/>
      <c r="JE603"/>
      <c r="JF603"/>
      <c r="JG603"/>
      <c r="JH603"/>
      <c r="JI603"/>
      <c r="JJ603"/>
      <c r="JK603"/>
      <c r="JL603"/>
      <c r="JM603"/>
      <c r="JN603"/>
      <c r="JO603"/>
      <c r="JP603"/>
      <c r="JQ603"/>
      <c r="JR603"/>
      <c r="JS603"/>
      <c r="JT603"/>
      <c r="JU603"/>
      <c r="JV603"/>
      <c r="JW603"/>
      <c r="JX603"/>
      <c r="JY603"/>
      <c r="JZ603"/>
      <c r="KA603"/>
      <c r="KB603"/>
      <c r="KC603"/>
      <c r="KD603"/>
      <c r="KE603"/>
      <c r="KF603"/>
      <c r="KG603"/>
      <c r="KH603"/>
      <c r="KI603"/>
      <c r="KJ603"/>
      <c r="KK603"/>
      <c r="KL603"/>
      <c r="KM603"/>
      <c r="KN603"/>
      <c r="KO603"/>
      <c r="KP603"/>
      <c r="KQ603"/>
      <c r="KR603"/>
      <c r="KS603"/>
      <c r="KT603"/>
      <c r="KU603"/>
      <c r="KV603"/>
      <c r="KW603"/>
      <c r="KX603"/>
      <c r="KY603"/>
      <c r="KZ603"/>
      <c r="LA603"/>
      <c r="LB603"/>
      <c r="LC603"/>
      <c r="LD603"/>
      <c r="LE603"/>
      <c r="LF603"/>
      <c r="LG603"/>
      <c r="LH603"/>
      <c r="LI603"/>
      <c r="LJ603"/>
      <c r="LK603"/>
      <c r="LL603"/>
      <c r="LM603"/>
      <c r="LN603"/>
      <c r="LO603"/>
      <c r="LP603"/>
      <c r="LQ603"/>
      <c r="LR603"/>
      <c r="LS603"/>
      <c r="LT603"/>
      <c r="LU603"/>
      <c r="LV603"/>
      <c r="LW603"/>
      <c r="LX603"/>
      <c r="LY603"/>
      <c r="LZ603"/>
      <c r="MA603"/>
      <c r="MB603"/>
      <c r="MC603"/>
      <c r="MD603"/>
      <c r="ME603"/>
      <c r="MF603"/>
      <c r="MG603"/>
      <c r="MH603"/>
      <c r="MI603"/>
      <c r="MJ603"/>
      <c r="MK603"/>
      <c r="ML603"/>
      <c r="MM603"/>
      <c r="MN603"/>
      <c r="MO603"/>
      <c r="MP603"/>
      <c r="MQ603"/>
      <c r="MR603"/>
      <c r="MS603"/>
      <c r="MT603"/>
      <c r="MU603"/>
      <c r="MV603"/>
      <c r="MW603"/>
      <c r="MX603"/>
      <c r="MY603"/>
      <c r="MZ603"/>
      <c r="NA603"/>
      <c r="NB603"/>
      <c r="NC603"/>
      <c r="ND603"/>
      <c r="NE603"/>
      <c r="NF603"/>
      <c r="NG603"/>
      <c r="NH603"/>
      <c r="NI603"/>
      <c r="NJ603"/>
      <c r="NK603"/>
      <c r="NL603"/>
      <c r="NM603"/>
      <c r="NN603"/>
      <c r="NO603"/>
      <c r="NP603"/>
      <c r="NQ603"/>
      <c r="NR603"/>
      <c r="NS603"/>
      <c r="NT603"/>
      <c r="NU603"/>
      <c r="NV603"/>
      <c r="NW603"/>
      <c r="NX603"/>
      <c r="NY603"/>
      <c r="NZ603"/>
      <c r="OA603"/>
      <c r="OB603"/>
      <c r="OC603"/>
      <c r="OD603"/>
      <c r="OE603"/>
      <c r="OF603"/>
      <c r="OG603"/>
      <c r="OH603"/>
      <c r="OI603"/>
      <c r="OJ603"/>
      <c r="OK603"/>
      <c r="OL603"/>
      <c r="OM603"/>
      <c r="ON603"/>
      <c r="OO603"/>
      <c r="OP603"/>
      <c r="OQ603"/>
      <c r="OR603"/>
      <c r="OS603"/>
      <c r="OT603"/>
      <c r="OU603"/>
      <c r="OV603"/>
      <c r="OW603"/>
      <c r="OX603"/>
      <c r="OY603"/>
      <c r="OZ603"/>
      <c r="PA603"/>
      <c r="PB603"/>
      <c r="PC603"/>
      <c r="PD603"/>
      <c r="PE603"/>
      <c r="PF603"/>
      <c r="PG603"/>
      <c r="PH603"/>
      <c r="PI603"/>
      <c r="PJ603"/>
      <c r="PK603"/>
      <c r="PL603"/>
      <c r="PM603"/>
      <c r="PN603"/>
      <c r="PO603"/>
      <c r="PP603"/>
      <c r="PQ603"/>
      <c r="PR603"/>
      <c r="PS603"/>
      <c r="PT603"/>
      <c r="PU603"/>
      <c r="PV603"/>
      <c r="PW603"/>
      <c r="PX603"/>
      <c r="PY603"/>
      <c r="PZ603"/>
      <c r="QA603"/>
      <c r="QB603"/>
      <c r="QC603"/>
      <c r="QD603"/>
      <c r="QE603"/>
      <c r="QF603"/>
      <c r="QG603"/>
      <c r="QH603"/>
      <c r="QI603"/>
      <c r="QJ603"/>
      <c r="QK603"/>
      <c r="QL603"/>
      <c r="QM603"/>
      <c r="QN603"/>
      <c r="QO603"/>
      <c r="QP603"/>
      <c r="QQ603"/>
      <c r="QR603"/>
      <c r="QS603"/>
      <c r="QT603"/>
      <c r="QU603"/>
      <c r="QV603"/>
      <c r="QW603"/>
      <c r="QX603"/>
      <c r="QY603"/>
      <c r="QZ603"/>
      <c r="RA603"/>
      <c r="RB603"/>
      <c r="RC603"/>
      <c r="RD603"/>
      <c r="RE603"/>
      <c r="RF603"/>
      <c r="RG603"/>
      <c r="RH603"/>
      <c r="RI603"/>
      <c r="RJ603"/>
      <c r="RK603"/>
      <c r="RL603"/>
      <c r="RM603"/>
      <c r="RN603"/>
      <c r="RO603"/>
      <c r="RP603"/>
      <c r="RQ603"/>
      <c r="RR603"/>
      <c r="RS603"/>
      <c r="RT603"/>
      <c r="RU603"/>
      <c r="RV603"/>
      <c r="RW603"/>
      <c r="RX603"/>
      <c r="RY603"/>
      <c r="RZ603"/>
      <c r="SA603"/>
      <c r="SB603"/>
      <c r="SC603"/>
      <c r="SD603"/>
      <c r="SE603"/>
      <c r="SF603"/>
      <c r="SG603"/>
      <c r="SH603"/>
      <c r="SI603"/>
      <c r="SJ603"/>
      <c r="SK603"/>
      <c r="SL603"/>
      <c r="SM603"/>
      <c r="SN603"/>
      <c r="SO603"/>
      <c r="SP603"/>
      <c r="SQ603"/>
      <c r="SR603"/>
      <c r="SS603"/>
      <c r="ST603"/>
      <c r="SU603"/>
      <c r="SV603"/>
      <c r="SW603"/>
      <c r="SX603"/>
      <c r="SY603"/>
      <c r="SZ603"/>
      <c r="TA603"/>
      <c r="TB603"/>
      <c r="TC603"/>
      <c r="TD603"/>
      <c r="TE603"/>
      <c r="TF603"/>
      <c r="TG603"/>
      <c r="TH603"/>
      <c r="TI603"/>
      <c r="TJ603"/>
      <c r="TK603"/>
      <c r="TL603"/>
      <c r="TM603"/>
      <c r="TN603"/>
      <c r="TO603"/>
      <c r="TP603"/>
      <c r="TQ603"/>
      <c r="TR603"/>
      <c r="TS603"/>
      <c r="TT603"/>
      <c r="TU603"/>
      <c r="TV603"/>
      <c r="TW603"/>
      <c r="TX603"/>
      <c r="TY603"/>
      <c r="TZ603"/>
      <c r="UA603"/>
      <c r="UB603"/>
      <c r="UC603"/>
      <c r="UD603"/>
      <c r="UE603"/>
      <c r="UF603"/>
      <c r="UG603"/>
      <c r="UH603"/>
      <c r="UI603"/>
      <c r="UJ603"/>
      <c r="UK603"/>
      <c r="UL603"/>
      <c r="UM603"/>
      <c r="UN603"/>
      <c r="UO603"/>
      <c r="UP603"/>
      <c r="UQ603"/>
      <c r="UR603"/>
      <c r="US603"/>
      <c r="UT603"/>
      <c r="UU603"/>
      <c r="UV603"/>
      <c r="UW603"/>
      <c r="UX603"/>
      <c r="UY603"/>
      <c r="UZ603"/>
      <c r="VA603"/>
      <c r="VB603"/>
      <c r="VC603"/>
      <c r="VD603"/>
      <c r="VE603"/>
      <c r="VF603"/>
      <c r="VG603"/>
      <c r="VH603"/>
      <c r="VI603"/>
      <c r="VJ603"/>
      <c r="VK603"/>
      <c r="VL603"/>
      <c r="VM603"/>
      <c r="VN603"/>
      <c r="VO603"/>
      <c r="VP603"/>
      <c r="VQ603"/>
      <c r="VR603"/>
      <c r="VS603"/>
      <c r="VT603"/>
      <c r="VU603"/>
      <c r="VV603"/>
      <c r="VW603"/>
      <c r="VX603"/>
      <c r="VY603"/>
      <c r="VZ603"/>
      <c r="WA603"/>
      <c r="WB603"/>
      <c r="WC603"/>
      <c r="WD603"/>
      <c r="WE603"/>
      <c r="WF603"/>
      <c r="WG603"/>
      <c r="WH603"/>
      <c r="WI603"/>
      <c r="WJ603"/>
      <c r="WK603"/>
      <c r="WL603"/>
      <c r="WM603"/>
      <c r="WN603"/>
      <c r="WO603"/>
      <c r="WP603"/>
      <c r="WQ603"/>
      <c r="WR603"/>
      <c r="WS603"/>
      <c r="WT603"/>
      <c r="WU603"/>
      <c r="WV603"/>
      <c r="WW603"/>
      <c r="WX603"/>
      <c r="WY603"/>
      <c r="WZ603"/>
      <c r="XA603"/>
      <c r="XB603"/>
      <c r="XC603"/>
      <c r="XD603"/>
      <c r="XE603"/>
      <c r="XF603"/>
      <c r="XG603"/>
      <c r="XH603"/>
      <c r="XI603"/>
      <c r="XJ603"/>
      <c r="XK603"/>
      <c r="XL603"/>
      <c r="XM603"/>
      <c r="XN603"/>
      <c r="XO603"/>
      <c r="XP603"/>
      <c r="XQ603"/>
      <c r="XR603"/>
      <c r="XS603"/>
      <c r="XT603"/>
      <c r="XU603"/>
      <c r="XV603"/>
      <c r="XW603"/>
      <c r="XX603"/>
      <c r="XY603"/>
      <c r="XZ603"/>
      <c r="YA603"/>
      <c r="YB603"/>
      <c r="YC603"/>
      <c r="YD603"/>
      <c r="YE603"/>
      <c r="YF603"/>
      <c r="YG603"/>
      <c r="YH603"/>
      <c r="YI603"/>
      <c r="YJ603"/>
      <c r="YK603"/>
      <c r="YL603"/>
      <c r="YM603"/>
      <c r="YN603"/>
      <c r="YO603"/>
      <c r="YP603"/>
      <c r="YQ603"/>
      <c r="YR603"/>
      <c r="YS603"/>
      <c r="YT603"/>
      <c r="YU603"/>
      <c r="YV603"/>
      <c r="YW603"/>
      <c r="YX603"/>
      <c r="YY603"/>
      <c r="YZ603"/>
      <c r="ZA603"/>
      <c r="ZB603"/>
      <c r="ZC603"/>
      <c r="ZD603"/>
      <c r="ZE603"/>
      <c r="ZF603"/>
      <c r="ZG603"/>
      <c r="ZH603"/>
      <c r="ZI603"/>
      <c r="ZJ603"/>
      <c r="ZK603"/>
      <c r="ZL603"/>
      <c r="ZM603"/>
      <c r="ZN603"/>
      <c r="ZO603"/>
      <c r="ZP603"/>
      <c r="ZQ603"/>
      <c r="ZR603"/>
      <c r="ZS603"/>
      <c r="ZT603"/>
      <c r="ZU603"/>
      <c r="ZV603"/>
      <c r="ZW603"/>
      <c r="ZX603"/>
      <c r="ZY603"/>
      <c r="ZZ603"/>
      <c r="AAA603"/>
      <c r="AAB603"/>
      <c r="AAC603"/>
      <c r="AAD603"/>
      <c r="AAE603"/>
      <c r="AAF603"/>
      <c r="AAG603"/>
      <c r="AAH603"/>
      <c r="AAI603"/>
      <c r="AAJ603"/>
      <c r="AAK603"/>
      <c r="AAL603"/>
      <c r="AAM603"/>
      <c r="AAN603"/>
      <c r="AAO603"/>
      <c r="AAP603"/>
      <c r="AAQ603"/>
      <c r="AAR603"/>
      <c r="AAS603"/>
      <c r="AAT603"/>
      <c r="AAU603"/>
      <c r="AAV603"/>
      <c r="AAW603"/>
      <c r="AAX603"/>
      <c r="AAY603"/>
      <c r="AAZ603"/>
      <c r="ABA603"/>
      <c r="ABB603"/>
      <c r="ABC603"/>
      <c r="ABD603"/>
      <c r="ABE603"/>
      <c r="ABF603"/>
      <c r="ABG603"/>
      <c r="ABH603"/>
      <c r="ABI603"/>
      <c r="ABJ603"/>
      <c r="ABK603"/>
      <c r="ABL603"/>
      <c r="ABM603"/>
      <c r="ABN603"/>
      <c r="ABO603"/>
      <c r="ABP603"/>
      <c r="ABQ603"/>
      <c r="ABR603"/>
      <c r="ABS603"/>
      <c r="ABT603"/>
      <c r="ABU603"/>
      <c r="ABV603"/>
      <c r="ABW603"/>
      <c r="ABX603"/>
      <c r="ABY603"/>
      <c r="ABZ603"/>
      <c r="ACA603"/>
      <c r="ACB603"/>
      <c r="ACC603"/>
      <c r="ACD603"/>
      <c r="ACE603"/>
      <c r="ACF603"/>
      <c r="ACG603"/>
      <c r="ACH603"/>
      <c r="ACI603"/>
      <c r="ACJ603"/>
      <c r="ACK603"/>
      <c r="ACL603"/>
      <c r="ACM603"/>
      <c r="ACN603"/>
      <c r="ACO603"/>
      <c r="ACP603"/>
      <c r="ACQ603"/>
      <c r="ACR603"/>
      <c r="ACS603"/>
      <c r="ACT603"/>
      <c r="ACU603"/>
      <c r="ACV603"/>
      <c r="ACW603"/>
      <c r="ACX603"/>
      <c r="ACY603"/>
      <c r="ACZ603"/>
      <c r="ADA603"/>
      <c r="ADB603"/>
      <c r="ADC603"/>
      <c r="ADD603"/>
      <c r="ADE603"/>
      <c r="ADF603"/>
      <c r="ADG603"/>
      <c r="ADH603"/>
      <c r="ADI603"/>
      <c r="ADJ603"/>
      <c r="ADK603"/>
      <c r="ADL603"/>
      <c r="ADM603"/>
      <c r="ADN603"/>
      <c r="ADO603"/>
      <c r="ADP603"/>
      <c r="ADQ603"/>
      <c r="ADR603"/>
      <c r="ADS603"/>
      <c r="ADT603"/>
      <c r="ADU603"/>
      <c r="ADV603"/>
      <c r="ADW603"/>
      <c r="ADX603"/>
      <c r="ADY603"/>
      <c r="ADZ603"/>
      <c r="AEA603"/>
      <c r="AEB603"/>
      <c r="AEC603"/>
      <c r="AED603"/>
      <c r="AEE603"/>
      <c r="AEF603"/>
      <c r="AEG603"/>
      <c r="AEH603"/>
      <c r="AEI603"/>
      <c r="AEJ603"/>
      <c r="AEK603"/>
      <c r="AEL603"/>
      <c r="AEM603"/>
      <c r="AEN603"/>
      <c r="AEO603"/>
      <c r="AEP603"/>
      <c r="AEQ603"/>
      <c r="AER603"/>
      <c r="AES603"/>
      <c r="AET603"/>
      <c r="AEU603"/>
      <c r="AEV603"/>
      <c r="AEW603"/>
      <c r="AEX603"/>
      <c r="AEY603"/>
      <c r="AEZ603"/>
      <c r="AFA603"/>
      <c r="AFB603"/>
      <c r="AFC603"/>
      <c r="AFD603"/>
      <c r="AFE603"/>
      <c r="AFF603"/>
      <c r="AFG603"/>
      <c r="AFH603"/>
      <c r="AFI603"/>
      <c r="AFJ603"/>
      <c r="AFK603"/>
      <c r="AFL603"/>
      <c r="AFM603"/>
      <c r="AFN603"/>
      <c r="AFO603"/>
      <c r="AFP603"/>
      <c r="AFQ603"/>
      <c r="AFR603"/>
      <c r="AFS603"/>
      <c r="AFT603"/>
      <c r="AFU603"/>
      <c r="AFV603"/>
      <c r="AFW603"/>
      <c r="AFX603"/>
      <c r="AFY603"/>
      <c r="AFZ603"/>
      <c r="AGA603"/>
      <c r="AGB603"/>
      <c r="AGC603"/>
      <c r="AGD603"/>
      <c r="AGE603"/>
      <c r="AGF603"/>
      <c r="AGG603"/>
      <c r="AGH603"/>
      <c r="AGI603"/>
      <c r="AGJ603"/>
      <c r="AGK603"/>
      <c r="AGL603"/>
      <c r="AGM603"/>
      <c r="AGN603"/>
      <c r="AGO603"/>
      <c r="AGP603"/>
      <c r="AGQ603"/>
      <c r="AGR603"/>
      <c r="AGS603"/>
      <c r="AGT603"/>
      <c r="AGU603"/>
      <c r="AGV603"/>
      <c r="AGW603"/>
      <c r="AGX603"/>
      <c r="AGY603"/>
      <c r="AGZ603"/>
      <c r="AHA603"/>
      <c r="AHB603"/>
      <c r="AHC603"/>
      <c r="AHD603"/>
      <c r="AHE603"/>
      <c r="AHF603"/>
      <c r="AHG603"/>
      <c r="AHH603"/>
      <c r="AHI603"/>
      <c r="AHJ603"/>
      <c r="AHK603"/>
      <c r="AHL603"/>
      <c r="AHM603"/>
      <c r="AHN603"/>
      <c r="AHO603"/>
      <c r="AHP603"/>
      <c r="AHQ603"/>
      <c r="AHR603"/>
      <c r="AHS603"/>
      <c r="AHT603"/>
      <c r="AHU603"/>
      <c r="AHV603"/>
      <c r="AHW603"/>
      <c r="AHX603"/>
      <c r="AHY603"/>
      <c r="AHZ603"/>
      <c r="AIA603"/>
      <c r="AIB603"/>
      <c r="AIC603"/>
      <c r="AID603"/>
      <c r="AIE603"/>
      <c r="AIF603"/>
      <c r="AIG603"/>
      <c r="AIH603"/>
      <c r="AII603"/>
      <c r="AIJ603"/>
      <c r="AIK603"/>
      <c r="AIL603"/>
      <c r="AIM603"/>
      <c r="AIN603"/>
      <c r="AIO603"/>
      <c r="AIP603"/>
      <c r="AIQ603"/>
      <c r="AIR603"/>
      <c r="AIS603"/>
      <c r="AIT603"/>
      <c r="AIU603"/>
      <c r="AIV603"/>
      <c r="AIW603"/>
      <c r="AIX603"/>
      <c r="AIY603"/>
      <c r="AIZ603"/>
      <c r="AJA603"/>
      <c r="AJB603"/>
      <c r="AJC603"/>
      <c r="AJD603"/>
      <c r="AJE603"/>
      <c r="AJF603"/>
      <c r="AJG603"/>
      <c r="AJH603"/>
      <c r="AJI603"/>
      <c r="AJJ603"/>
      <c r="AJK603"/>
      <c r="AJL603"/>
      <c r="AJM603"/>
      <c r="AJN603"/>
      <c r="AJO603"/>
      <c r="AJP603"/>
      <c r="AJQ603"/>
      <c r="AJR603"/>
      <c r="AJS603"/>
      <c r="AJT603"/>
      <c r="AJU603"/>
      <c r="AJV603"/>
      <c r="AJW603"/>
      <c r="AJX603"/>
      <c r="AJY603"/>
      <c r="AJZ603"/>
      <c r="AKA603"/>
      <c r="AKB603"/>
      <c r="AKC603"/>
      <c r="AKD603"/>
      <c r="AKE603"/>
      <c r="AKF603"/>
      <c r="AKG603"/>
      <c r="AKH603"/>
      <c r="AKI603"/>
      <c r="AKJ603"/>
      <c r="AKK603"/>
      <c r="AKL603"/>
      <c r="AKM603"/>
      <c r="AKN603"/>
      <c r="AKO603"/>
      <c r="AKP603"/>
      <c r="AKQ603"/>
      <c r="AKR603"/>
      <c r="AKS603"/>
      <c r="AKT603"/>
      <c r="AKU603"/>
      <c r="AKV603"/>
      <c r="AKW603"/>
      <c r="AKX603"/>
      <c r="AKY603"/>
      <c r="AKZ603"/>
      <c r="ALA603"/>
      <c r="ALB603"/>
      <c r="ALC603"/>
      <c r="ALD603"/>
      <c r="ALE603"/>
      <c r="ALF603"/>
      <c r="ALG603"/>
      <c r="ALH603"/>
      <c r="ALI603"/>
      <c r="ALJ603"/>
      <c r="ALK603"/>
      <c r="ALL603"/>
      <c r="ALM603"/>
      <c r="ALN603"/>
      <c r="ALO603"/>
      <c r="ALP603"/>
      <c r="ALQ603"/>
      <c r="ALR603"/>
      <c r="ALS603"/>
      <c r="ALT603"/>
      <c r="ALU603"/>
      <c r="ALV603"/>
      <c r="ALW603"/>
      <c r="ALX603"/>
      <c r="ALY603"/>
      <c r="ALZ603"/>
      <c r="AMA603"/>
      <c r="AMB603"/>
      <c r="AMC603"/>
      <c r="AMD603"/>
      <c r="AME603"/>
      <c r="AMF603"/>
      <c r="AMG603"/>
      <c r="AMH603"/>
      <c r="AMI603"/>
      <c r="AMJ603"/>
    </row>
    <row r="604" spans="1:1024" ht="27.6">
      <c r="A604" s="8" t="s">
        <v>866</v>
      </c>
      <c r="B604" s="8">
        <v>864086</v>
      </c>
      <c r="D604" s="24">
        <v>46087</v>
      </c>
      <c r="E604">
        <v>0</v>
      </c>
      <c r="F604">
        <v>5</v>
      </c>
      <c r="G604" s="30">
        <f t="shared" si="30"/>
        <v>0.66666666666666696</v>
      </c>
      <c r="H604" s="8">
        <f t="shared" ref="H604:H667" si="32">I604-E604</f>
        <v>4.333333333333333</v>
      </c>
      <c r="I604">
        <f t="shared" si="31"/>
        <v>4.333333333333333</v>
      </c>
      <c r="J604">
        <f>SUMIF(Oeffentlichkeitsarbeit!$D:$D,$B604,Oeffentlichkeitsarbeit!$F:$F)</f>
        <v>0</v>
      </c>
      <c r="K604">
        <f>COUNTIF(Fairteiler!$D:$D,$B604)*1/2</f>
        <v>0</v>
      </c>
      <c r="L604">
        <f>COUNTIF('NP-Betrieb'!D:D,$B604)*1/3</f>
        <v>4.333333333333333</v>
      </c>
      <c r="M604">
        <f>COUNTIF(Fairteilungen!$D:$D,$B604)*3/4</f>
        <v>0</v>
      </c>
      <c r="N604">
        <f>COUNTIF(Anlieferung!D:D,$B604)*1/2</f>
        <v>0</v>
      </c>
      <c r="O604">
        <f>COUNTIF(Probeabholungen!B:B,$B604)*1/3</f>
        <v>0</v>
      </c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  <c r="AD604" s="44"/>
      <c r="AE604" s="44"/>
      <c r="AF604" s="44"/>
      <c r="AG604" s="44"/>
      <c r="AH604" s="44"/>
      <c r="AI604" s="44"/>
      <c r="AJ604" s="44"/>
      <c r="AK604" s="44"/>
      <c r="AL604" s="44"/>
      <c r="AM604" s="44"/>
      <c r="AN604" s="44"/>
      <c r="AO604" s="44"/>
      <c r="AP604" s="44"/>
      <c r="AQ604" s="44"/>
      <c r="AR604" s="44"/>
      <c r="AS604" s="44"/>
      <c r="AT604" s="44"/>
      <c r="AU604" s="44"/>
      <c r="AV604" s="44"/>
      <c r="AW604" s="44"/>
      <c r="AX604" s="44"/>
      <c r="AY604" s="44"/>
      <c r="AZ604" s="44"/>
      <c r="BA604" s="44"/>
      <c r="BB604" s="44"/>
      <c r="BC604" s="44"/>
      <c r="BD604" s="44"/>
      <c r="BE604" s="44"/>
      <c r="BF604" s="44"/>
      <c r="BG604" s="44"/>
      <c r="BH604" s="44"/>
      <c r="BI604" s="44"/>
      <c r="BJ604" s="44"/>
      <c r="BK604" s="44"/>
      <c r="BL604" s="44"/>
      <c r="BM604" s="44"/>
      <c r="BN604" s="44"/>
      <c r="BO604" s="44"/>
      <c r="BP604" s="44"/>
      <c r="BQ604" s="44"/>
      <c r="BR604" s="44"/>
      <c r="BS604" s="44"/>
      <c r="BT604" s="44"/>
      <c r="BU604" s="44"/>
      <c r="BV604" s="44"/>
      <c r="BW604" s="44"/>
      <c r="BX604" s="44"/>
      <c r="BY604" s="44"/>
      <c r="BZ604" s="44"/>
      <c r="CA604" s="44"/>
      <c r="CB604" s="44"/>
      <c r="CC604" s="44"/>
      <c r="CD604" s="44"/>
      <c r="CE604" s="44"/>
      <c r="CF604" s="44"/>
      <c r="CG604" s="44"/>
      <c r="CH604" s="44"/>
      <c r="CI604" s="44"/>
      <c r="CJ604" s="44"/>
      <c r="CK604" s="44"/>
      <c r="CL604" s="44"/>
      <c r="CM604" s="44"/>
      <c r="CN604" s="44"/>
      <c r="CO604" s="44"/>
      <c r="CP604" s="44"/>
      <c r="CQ604" s="44"/>
      <c r="CR604" s="44"/>
      <c r="CS604" s="44"/>
      <c r="CT604" s="44"/>
      <c r="CU604" s="44"/>
      <c r="CV604" s="44"/>
      <c r="CW604" s="44"/>
      <c r="CX604" s="44"/>
      <c r="CY604" s="44"/>
      <c r="CZ604" s="44"/>
      <c r="DA604" s="44"/>
      <c r="DB604" s="44"/>
      <c r="DC604" s="44"/>
      <c r="DD604" s="44"/>
      <c r="DE604" s="44"/>
      <c r="DF604" s="44"/>
      <c r="DG604" s="44"/>
      <c r="DH604" s="44"/>
      <c r="DI604" s="44"/>
      <c r="DJ604" s="44"/>
      <c r="DK604" s="44"/>
      <c r="DL604" s="44"/>
      <c r="DM604" s="44"/>
      <c r="DN604" s="44"/>
      <c r="DO604" s="44"/>
      <c r="DP604" s="44"/>
      <c r="DQ604" s="44"/>
      <c r="DR604" s="44"/>
      <c r="DS604" s="44"/>
      <c r="DT604" s="44"/>
      <c r="DU604" s="44"/>
      <c r="DV604" s="44"/>
      <c r="DW604" s="44"/>
      <c r="DX604" s="44"/>
      <c r="DY604" s="44"/>
      <c r="DZ604" s="44"/>
      <c r="EA604" s="44"/>
      <c r="EB604" s="44"/>
      <c r="EC604" s="44"/>
      <c r="ED604" s="44"/>
      <c r="EE604" s="44"/>
      <c r="EF604" s="44"/>
      <c r="EG604" s="44"/>
      <c r="EH604" s="44"/>
      <c r="EI604" s="44"/>
      <c r="EJ604" s="44"/>
      <c r="EK604" s="44"/>
      <c r="EL604" s="44"/>
      <c r="EM604" s="44"/>
      <c r="EN604" s="44"/>
      <c r="EO604" s="44"/>
      <c r="EP604" s="44"/>
      <c r="EQ604" s="44"/>
      <c r="ER604" s="44"/>
      <c r="ES604" s="44"/>
      <c r="ET604" s="44"/>
      <c r="EU604" s="44"/>
      <c r="EV604" s="44"/>
      <c r="EW604" s="44"/>
      <c r="EX604" s="44"/>
      <c r="EY604" s="44"/>
      <c r="EZ604" s="44"/>
      <c r="FA604" s="44"/>
      <c r="FB604" s="44"/>
      <c r="FC604" s="44"/>
      <c r="FD604" s="44"/>
      <c r="FE604" s="44"/>
      <c r="FF604" s="44"/>
      <c r="FG604" s="44"/>
      <c r="FH604" s="44"/>
      <c r="FI604" s="44"/>
      <c r="FJ604" s="44"/>
      <c r="FK604" s="44"/>
      <c r="FL604" s="44"/>
      <c r="FM604" s="44"/>
      <c r="FN604" s="44"/>
      <c r="FO604" s="44"/>
      <c r="FP604" s="44"/>
      <c r="FQ604" s="44"/>
      <c r="FR604" s="44"/>
      <c r="FS604" s="44"/>
      <c r="FT604" s="44"/>
      <c r="FU604" s="44"/>
      <c r="FV604" s="44"/>
      <c r="FW604" s="44"/>
      <c r="FX604" s="44"/>
      <c r="FY604" s="44"/>
      <c r="FZ604" s="44"/>
      <c r="GA604" s="44"/>
      <c r="GB604" s="44"/>
      <c r="GC604" s="44"/>
      <c r="GD604" s="44"/>
      <c r="GE604" s="44"/>
      <c r="GF604" s="44"/>
      <c r="GG604" s="44"/>
      <c r="GH604" s="44"/>
      <c r="GI604" s="44"/>
      <c r="GJ604" s="44"/>
      <c r="GK604" s="44"/>
      <c r="GL604" s="44"/>
      <c r="GM604" s="44"/>
      <c r="GN604" s="44"/>
      <c r="GO604" s="44"/>
      <c r="GP604" s="44"/>
      <c r="GQ604" s="44"/>
      <c r="GR604" s="44"/>
      <c r="GS604" s="44"/>
      <c r="GT604" s="44"/>
      <c r="GU604" s="44"/>
      <c r="GV604" s="44"/>
      <c r="GW604" s="44"/>
      <c r="GX604" s="44"/>
      <c r="GY604" s="44"/>
      <c r="GZ604" s="44"/>
      <c r="HA604" s="44"/>
      <c r="HB604" s="44"/>
      <c r="HC604" s="44"/>
      <c r="HD604" s="44"/>
      <c r="HE604" s="44"/>
      <c r="HF604" s="44"/>
      <c r="HG604" s="44"/>
      <c r="HH604" s="44"/>
      <c r="HI604" s="44"/>
      <c r="HJ604" s="44"/>
      <c r="HK604" s="44"/>
      <c r="HL604" s="44"/>
      <c r="HM604" s="44"/>
      <c r="HN604" s="44"/>
      <c r="HO604" s="44"/>
      <c r="HP604" s="44"/>
      <c r="HQ604" s="44"/>
      <c r="HR604" s="44"/>
      <c r="HS604" s="44"/>
      <c r="HT604" s="44"/>
      <c r="HU604" s="44"/>
      <c r="HV604" s="44"/>
      <c r="HW604" s="44"/>
      <c r="HX604" s="44"/>
      <c r="HY604" s="44"/>
      <c r="HZ604" s="44"/>
      <c r="IA604" s="44"/>
      <c r="IB604" s="44"/>
      <c r="IC604" s="44"/>
      <c r="ID604" s="44"/>
      <c r="IE604" s="44"/>
      <c r="IF604" s="44"/>
      <c r="IG604" s="44"/>
      <c r="IH604" s="44"/>
      <c r="II604" s="44"/>
      <c r="IJ604" s="44"/>
      <c r="IK604" s="44"/>
      <c r="IL604" s="44"/>
      <c r="IM604" s="44"/>
      <c r="IN604" s="44"/>
      <c r="IO604" s="44"/>
      <c r="IP604" s="44"/>
      <c r="IQ604" s="44"/>
      <c r="IR604" s="44"/>
      <c r="IS604" s="44"/>
      <c r="IT604" s="44"/>
      <c r="IU604" s="44"/>
      <c r="IV604" s="44"/>
      <c r="IW604" s="44"/>
      <c r="IX604" s="44"/>
      <c r="IY604" s="44"/>
      <c r="IZ604" s="44"/>
      <c r="JA604" s="44"/>
      <c r="JB604" s="44"/>
      <c r="JC604" s="44"/>
      <c r="JD604" s="44"/>
      <c r="JE604" s="44"/>
      <c r="JF604" s="44"/>
      <c r="JG604" s="44"/>
      <c r="JH604" s="44"/>
      <c r="JI604" s="44"/>
      <c r="JJ604" s="44"/>
      <c r="JK604" s="44"/>
      <c r="JL604" s="44"/>
      <c r="JM604" s="44"/>
      <c r="JN604" s="44"/>
      <c r="JO604" s="44"/>
      <c r="JP604" s="44"/>
      <c r="JQ604" s="44"/>
      <c r="JR604" s="44"/>
      <c r="JS604" s="44"/>
      <c r="JT604" s="44"/>
      <c r="JU604" s="44"/>
      <c r="JV604" s="44"/>
      <c r="JW604" s="44"/>
      <c r="JX604" s="44"/>
      <c r="JY604" s="44"/>
      <c r="JZ604" s="44"/>
      <c r="KA604" s="44"/>
      <c r="KB604" s="44"/>
      <c r="KC604" s="44"/>
      <c r="KD604" s="44"/>
      <c r="KE604" s="44"/>
      <c r="KF604" s="44"/>
      <c r="KG604" s="44"/>
      <c r="KH604" s="44"/>
      <c r="KI604" s="44"/>
      <c r="KJ604" s="44"/>
      <c r="KK604" s="44"/>
      <c r="KL604" s="44"/>
      <c r="KM604" s="44"/>
      <c r="KN604" s="44"/>
      <c r="KO604" s="44"/>
      <c r="KP604" s="44"/>
      <c r="KQ604" s="44"/>
      <c r="KR604" s="44"/>
      <c r="KS604" s="44"/>
      <c r="KT604" s="44"/>
      <c r="KU604" s="44"/>
      <c r="KV604" s="44"/>
      <c r="KW604" s="44"/>
      <c r="KX604" s="44"/>
      <c r="KY604" s="44"/>
      <c r="KZ604" s="44"/>
      <c r="LA604" s="44"/>
      <c r="LB604" s="44"/>
      <c r="LC604" s="44"/>
      <c r="LD604" s="44"/>
      <c r="LE604" s="44"/>
      <c r="LF604" s="44"/>
      <c r="LG604" s="44"/>
      <c r="LH604" s="44"/>
      <c r="LI604" s="44"/>
      <c r="LJ604" s="44"/>
      <c r="LK604" s="44"/>
      <c r="LL604" s="44"/>
      <c r="LM604" s="44"/>
      <c r="LN604" s="44"/>
      <c r="LO604" s="44"/>
      <c r="LP604" s="44"/>
      <c r="LQ604" s="44"/>
      <c r="LR604" s="44"/>
      <c r="LS604" s="44"/>
      <c r="LT604" s="44"/>
      <c r="LU604" s="44"/>
      <c r="LV604" s="44"/>
      <c r="LW604" s="44"/>
      <c r="LX604" s="44"/>
      <c r="LY604" s="44"/>
      <c r="LZ604" s="44"/>
      <c r="MA604" s="44"/>
      <c r="MB604" s="44"/>
      <c r="MC604" s="44"/>
      <c r="MD604" s="44"/>
      <c r="ME604" s="44"/>
      <c r="MF604" s="44"/>
      <c r="MG604" s="44"/>
      <c r="MH604" s="44"/>
      <c r="MI604" s="44"/>
      <c r="MJ604" s="44"/>
      <c r="MK604" s="44"/>
      <c r="ML604" s="44"/>
      <c r="MM604" s="44"/>
      <c r="MN604" s="44"/>
      <c r="MO604" s="44"/>
      <c r="MP604" s="44"/>
      <c r="MQ604" s="44"/>
      <c r="MR604" s="44"/>
      <c r="MS604" s="44"/>
      <c r="MT604" s="44"/>
      <c r="MU604" s="44"/>
      <c r="MV604" s="44"/>
      <c r="MW604" s="44"/>
      <c r="MX604" s="44"/>
      <c r="MY604" s="44"/>
      <c r="MZ604" s="44"/>
      <c r="NA604" s="44"/>
      <c r="NB604" s="44"/>
      <c r="NC604" s="44"/>
      <c r="ND604" s="44"/>
      <c r="NE604" s="44"/>
      <c r="NF604" s="44"/>
      <c r="NG604" s="44"/>
      <c r="NH604" s="44"/>
      <c r="NI604" s="44"/>
      <c r="NJ604" s="44"/>
      <c r="NK604" s="44"/>
      <c r="NL604" s="44"/>
      <c r="NM604" s="44"/>
      <c r="NN604" s="44"/>
      <c r="NO604" s="44"/>
      <c r="NP604" s="44"/>
      <c r="NQ604" s="44"/>
      <c r="NR604" s="44"/>
      <c r="NS604" s="44"/>
      <c r="NT604" s="44"/>
      <c r="NU604" s="44"/>
      <c r="NV604" s="44"/>
      <c r="NW604" s="44"/>
      <c r="NX604" s="44"/>
      <c r="NY604" s="44"/>
      <c r="NZ604" s="44"/>
      <c r="OA604" s="44"/>
      <c r="OB604" s="44"/>
      <c r="OC604" s="44"/>
      <c r="OD604" s="44"/>
      <c r="OE604" s="44"/>
      <c r="OF604" s="44"/>
      <c r="OG604" s="44"/>
      <c r="OH604" s="44"/>
      <c r="OI604" s="44"/>
      <c r="OJ604" s="44"/>
      <c r="OK604" s="44"/>
      <c r="OL604" s="44"/>
      <c r="OM604" s="44"/>
      <c r="ON604" s="44"/>
      <c r="OO604" s="44"/>
      <c r="OP604" s="44"/>
      <c r="OQ604" s="44"/>
      <c r="OR604" s="44"/>
      <c r="OS604" s="44"/>
      <c r="OT604" s="44"/>
      <c r="OU604" s="44"/>
      <c r="OV604" s="44"/>
      <c r="OW604" s="44"/>
      <c r="OX604" s="44"/>
      <c r="OY604" s="44"/>
      <c r="OZ604" s="44"/>
      <c r="PA604" s="44"/>
      <c r="PB604" s="44"/>
      <c r="PC604" s="44"/>
      <c r="PD604" s="44"/>
      <c r="PE604" s="44"/>
      <c r="PF604" s="44"/>
      <c r="PG604" s="44"/>
      <c r="PH604" s="44"/>
      <c r="PI604" s="44"/>
      <c r="PJ604" s="44"/>
      <c r="PK604" s="44"/>
      <c r="PL604" s="44"/>
      <c r="PM604" s="44"/>
      <c r="PN604" s="44"/>
      <c r="PO604" s="44"/>
      <c r="PP604" s="44"/>
      <c r="PQ604" s="44"/>
      <c r="PR604" s="44"/>
      <c r="PS604" s="44"/>
      <c r="PT604" s="44"/>
      <c r="PU604" s="44"/>
      <c r="PV604" s="44"/>
      <c r="PW604" s="44"/>
      <c r="PX604" s="44"/>
      <c r="PY604" s="44"/>
      <c r="PZ604" s="44"/>
      <c r="QA604" s="44"/>
      <c r="QB604" s="44"/>
      <c r="QC604" s="44"/>
      <c r="QD604" s="44"/>
      <c r="QE604" s="44"/>
      <c r="QF604" s="44"/>
      <c r="QG604" s="44"/>
      <c r="QH604" s="44"/>
      <c r="QI604" s="44"/>
      <c r="QJ604" s="44"/>
      <c r="QK604" s="44"/>
      <c r="QL604" s="44"/>
      <c r="QM604" s="44"/>
      <c r="QN604" s="44"/>
      <c r="QO604" s="44"/>
      <c r="QP604" s="44"/>
      <c r="QQ604" s="44"/>
      <c r="QR604" s="44"/>
      <c r="QS604" s="44"/>
      <c r="QT604" s="44"/>
      <c r="QU604" s="44"/>
      <c r="QV604" s="44"/>
      <c r="QW604" s="44"/>
      <c r="QX604" s="44"/>
      <c r="QY604" s="44"/>
      <c r="QZ604" s="44"/>
      <c r="RA604" s="44"/>
      <c r="RB604" s="44"/>
      <c r="RC604" s="44"/>
      <c r="RD604" s="44"/>
      <c r="RE604" s="44"/>
      <c r="RF604" s="44"/>
      <c r="RG604" s="44"/>
      <c r="RH604" s="44"/>
      <c r="RI604" s="44"/>
      <c r="RJ604" s="44"/>
      <c r="RK604" s="44"/>
      <c r="RL604" s="44"/>
      <c r="RM604" s="44"/>
      <c r="RN604" s="44"/>
      <c r="RO604" s="44"/>
      <c r="RP604" s="44"/>
      <c r="RQ604" s="44"/>
      <c r="RR604" s="44"/>
      <c r="RS604" s="44"/>
      <c r="RT604" s="44"/>
      <c r="RU604" s="44"/>
      <c r="RV604" s="44"/>
      <c r="RW604" s="44"/>
      <c r="RX604" s="44"/>
      <c r="RY604" s="44"/>
      <c r="RZ604" s="44"/>
      <c r="SA604" s="44"/>
      <c r="SB604" s="44"/>
      <c r="SC604" s="44"/>
      <c r="SD604" s="44"/>
      <c r="SE604" s="44"/>
      <c r="SF604" s="44"/>
      <c r="SG604" s="44"/>
      <c r="SH604" s="44"/>
      <c r="SI604" s="44"/>
      <c r="SJ604" s="44"/>
      <c r="SK604" s="44"/>
      <c r="SL604" s="44"/>
      <c r="SM604" s="44"/>
      <c r="SN604" s="44"/>
      <c r="SO604" s="44"/>
      <c r="SP604" s="44"/>
      <c r="SQ604" s="44"/>
      <c r="SR604" s="44"/>
      <c r="SS604" s="44"/>
      <c r="ST604" s="44"/>
      <c r="SU604" s="44"/>
      <c r="SV604" s="44"/>
      <c r="SW604" s="44"/>
      <c r="SX604" s="44"/>
      <c r="SY604" s="44"/>
      <c r="SZ604" s="44"/>
      <c r="TA604" s="44"/>
      <c r="TB604" s="44"/>
      <c r="TC604" s="44"/>
      <c r="TD604" s="44"/>
      <c r="TE604" s="44"/>
      <c r="TF604" s="44"/>
      <c r="TG604" s="44"/>
      <c r="TH604" s="44"/>
      <c r="TI604" s="44"/>
      <c r="TJ604" s="44"/>
      <c r="TK604" s="44"/>
      <c r="TL604" s="44"/>
      <c r="TM604" s="44"/>
      <c r="TN604" s="44"/>
      <c r="TO604" s="44"/>
      <c r="TP604" s="44"/>
      <c r="TQ604" s="44"/>
      <c r="TR604" s="44"/>
      <c r="TS604" s="44"/>
      <c r="TT604" s="44"/>
      <c r="TU604" s="44"/>
      <c r="TV604" s="44"/>
      <c r="TW604" s="44"/>
      <c r="TX604" s="44"/>
      <c r="TY604" s="44"/>
      <c r="TZ604" s="44"/>
      <c r="UA604" s="44"/>
      <c r="UB604" s="44"/>
      <c r="UC604" s="44"/>
      <c r="UD604" s="44"/>
      <c r="UE604" s="44"/>
      <c r="UF604" s="44"/>
      <c r="UG604" s="44"/>
      <c r="UH604" s="44"/>
      <c r="UI604" s="44"/>
      <c r="UJ604" s="44"/>
      <c r="UK604" s="44"/>
      <c r="UL604" s="44"/>
      <c r="UM604" s="44"/>
      <c r="UN604" s="44"/>
      <c r="UO604" s="44"/>
      <c r="UP604" s="44"/>
      <c r="UQ604" s="44"/>
      <c r="UR604" s="44"/>
      <c r="US604" s="44"/>
      <c r="UT604" s="44"/>
      <c r="UU604" s="44"/>
      <c r="UV604" s="44"/>
      <c r="UW604" s="44"/>
      <c r="UX604" s="44"/>
      <c r="UY604" s="44"/>
      <c r="UZ604" s="44"/>
      <c r="VA604" s="44"/>
      <c r="VB604" s="44"/>
      <c r="VC604" s="44"/>
      <c r="VD604" s="44"/>
      <c r="VE604" s="44"/>
      <c r="VF604" s="44"/>
      <c r="VG604" s="44"/>
      <c r="VH604" s="44"/>
      <c r="VI604" s="44"/>
      <c r="VJ604" s="44"/>
      <c r="VK604" s="44"/>
      <c r="VL604" s="44"/>
      <c r="VM604" s="44"/>
      <c r="VN604" s="44"/>
      <c r="VO604" s="44"/>
      <c r="VP604" s="44"/>
      <c r="VQ604" s="44"/>
      <c r="VR604" s="44"/>
      <c r="VS604" s="44"/>
      <c r="VT604" s="44"/>
      <c r="VU604" s="44"/>
      <c r="VV604" s="44"/>
      <c r="VW604" s="44"/>
      <c r="VX604" s="44"/>
      <c r="VY604" s="44"/>
      <c r="VZ604" s="44"/>
      <c r="WA604" s="44"/>
      <c r="WB604" s="44"/>
      <c r="WC604" s="44"/>
      <c r="WD604" s="44"/>
      <c r="WE604" s="44"/>
      <c r="WF604" s="44"/>
      <c r="WG604" s="44"/>
      <c r="WH604" s="44"/>
      <c r="WI604" s="44"/>
      <c r="WJ604" s="44"/>
      <c r="WK604" s="44"/>
      <c r="WL604" s="44"/>
      <c r="WM604" s="44"/>
      <c r="WN604" s="44"/>
      <c r="WO604" s="44"/>
      <c r="WP604" s="44"/>
      <c r="WQ604" s="44"/>
      <c r="WR604" s="44"/>
      <c r="WS604" s="44"/>
      <c r="WT604" s="44"/>
      <c r="WU604" s="44"/>
      <c r="WV604" s="44"/>
      <c r="WW604" s="44"/>
      <c r="WX604" s="44"/>
      <c r="WY604" s="44"/>
      <c r="WZ604" s="44"/>
      <c r="XA604" s="44"/>
      <c r="XB604" s="44"/>
      <c r="XC604" s="44"/>
      <c r="XD604" s="44"/>
      <c r="XE604" s="44"/>
      <c r="XF604" s="44"/>
      <c r="XG604" s="44"/>
      <c r="XH604" s="44"/>
      <c r="XI604" s="44"/>
      <c r="XJ604" s="44"/>
      <c r="XK604" s="44"/>
      <c r="XL604" s="44"/>
      <c r="XM604" s="44"/>
      <c r="XN604" s="44"/>
      <c r="XO604" s="44"/>
      <c r="XP604" s="44"/>
      <c r="XQ604" s="44"/>
      <c r="XR604" s="44"/>
      <c r="XS604" s="44"/>
      <c r="XT604" s="44"/>
      <c r="XU604" s="44"/>
      <c r="XV604" s="44"/>
      <c r="XW604" s="44"/>
      <c r="XX604" s="44"/>
      <c r="XY604" s="44"/>
      <c r="XZ604" s="44"/>
      <c r="YA604" s="44"/>
      <c r="YB604" s="44"/>
      <c r="YC604" s="44"/>
      <c r="YD604" s="44"/>
      <c r="YE604" s="44"/>
      <c r="YF604" s="44"/>
      <c r="YG604" s="44"/>
      <c r="YH604" s="44"/>
      <c r="YI604" s="44"/>
      <c r="YJ604" s="44"/>
      <c r="YK604" s="44"/>
      <c r="YL604" s="44"/>
      <c r="YM604" s="44"/>
      <c r="YN604" s="44"/>
      <c r="YO604" s="44"/>
      <c r="YP604" s="44"/>
      <c r="YQ604" s="44"/>
      <c r="YR604" s="44"/>
      <c r="YS604" s="44"/>
      <c r="YT604" s="44"/>
      <c r="YU604" s="44"/>
      <c r="YV604" s="44"/>
      <c r="YW604" s="44"/>
      <c r="YX604" s="44"/>
      <c r="YY604" s="44"/>
      <c r="YZ604" s="44"/>
      <c r="ZA604" s="44"/>
      <c r="ZB604" s="44"/>
      <c r="ZC604" s="44"/>
      <c r="ZD604" s="44"/>
      <c r="ZE604" s="44"/>
      <c r="ZF604" s="44"/>
      <c r="ZG604" s="44"/>
      <c r="ZH604" s="44"/>
      <c r="ZI604" s="44"/>
      <c r="ZJ604" s="44"/>
      <c r="ZK604" s="44"/>
      <c r="ZL604" s="44"/>
      <c r="ZM604" s="44"/>
      <c r="ZN604" s="44"/>
      <c r="ZO604" s="44"/>
      <c r="ZP604" s="44"/>
      <c r="ZQ604" s="44"/>
      <c r="ZR604" s="44"/>
      <c r="ZS604" s="44"/>
      <c r="ZT604" s="44"/>
      <c r="ZU604" s="44"/>
      <c r="ZV604" s="44"/>
      <c r="ZW604" s="44"/>
      <c r="ZX604" s="44"/>
      <c r="ZY604" s="44"/>
      <c r="ZZ604" s="44"/>
      <c r="AAA604" s="44"/>
      <c r="AAB604" s="44"/>
      <c r="AAC604" s="44"/>
      <c r="AAD604" s="44"/>
      <c r="AAE604" s="44"/>
      <c r="AAF604" s="44"/>
      <c r="AAG604" s="44"/>
      <c r="AAH604" s="44"/>
      <c r="AAI604" s="44"/>
      <c r="AAJ604" s="44"/>
      <c r="AAK604" s="44"/>
      <c r="AAL604" s="44"/>
      <c r="AAM604" s="44"/>
      <c r="AAN604" s="44"/>
      <c r="AAO604" s="44"/>
      <c r="AAP604" s="44"/>
      <c r="AAQ604" s="44"/>
      <c r="AAR604" s="44"/>
      <c r="AAS604" s="44"/>
      <c r="AAT604" s="44"/>
      <c r="AAU604" s="44"/>
      <c r="AAV604" s="44"/>
      <c r="AAW604" s="44"/>
      <c r="AAX604" s="44"/>
      <c r="AAY604" s="44"/>
      <c r="AAZ604" s="44"/>
      <c r="ABA604" s="44"/>
      <c r="ABB604" s="44"/>
      <c r="ABC604" s="44"/>
      <c r="ABD604" s="44"/>
      <c r="ABE604" s="44"/>
      <c r="ABF604" s="44"/>
      <c r="ABG604" s="44"/>
      <c r="ABH604" s="44"/>
      <c r="ABI604" s="44"/>
      <c r="ABJ604" s="44"/>
      <c r="ABK604" s="44"/>
      <c r="ABL604" s="44"/>
      <c r="ABM604" s="44"/>
      <c r="ABN604" s="44"/>
      <c r="ABO604" s="44"/>
      <c r="ABP604" s="44"/>
      <c r="ABQ604" s="44"/>
      <c r="ABR604" s="44"/>
      <c r="ABS604" s="44"/>
      <c r="ABT604" s="44"/>
      <c r="ABU604" s="44"/>
      <c r="ABV604" s="44"/>
      <c r="ABW604" s="44"/>
      <c r="ABX604" s="44"/>
      <c r="ABY604" s="44"/>
      <c r="ABZ604" s="44"/>
      <c r="ACA604" s="44"/>
      <c r="ACB604" s="44"/>
      <c r="ACC604" s="44"/>
      <c r="ACD604" s="44"/>
      <c r="ACE604" s="44"/>
      <c r="ACF604" s="44"/>
      <c r="ACG604" s="44"/>
      <c r="ACH604" s="44"/>
      <c r="ACI604" s="44"/>
      <c r="ACJ604" s="44"/>
      <c r="ACK604" s="44"/>
      <c r="ACL604" s="44"/>
      <c r="ACM604" s="44"/>
      <c r="ACN604" s="44"/>
      <c r="ACO604" s="44"/>
      <c r="ACP604" s="44"/>
      <c r="ACQ604" s="44"/>
      <c r="ACR604" s="44"/>
      <c r="ACS604" s="44"/>
      <c r="ACT604" s="44"/>
      <c r="ACU604" s="44"/>
      <c r="ACV604" s="44"/>
      <c r="ACW604" s="44"/>
      <c r="ACX604" s="44"/>
      <c r="ACY604" s="44"/>
      <c r="ACZ604" s="44"/>
      <c r="ADA604" s="44"/>
      <c r="ADB604" s="44"/>
      <c r="ADC604" s="44"/>
      <c r="ADD604" s="44"/>
      <c r="ADE604" s="44"/>
      <c r="ADF604" s="44"/>
      <c r="ADG604" s="44"/>
      <c r="ADH604" s="44"/>
      <c r="ADI604" s="44"/>
      <c r="ADJ604" s="44"/>
      <c r="ADK604" s="44"/>
      <c r="ADL604" s="44"/>
      <c r="ADM604" s="44"/>
      <c r="ADN604" s="44"/>
      <c r="ADO604" s="44"/>
      <c r="ADP604" s="44"/>
      <c r="ADQ604" s="44"/>
      <c r="ADR604" s="44"/>
      <c r="ADS604" s="44"/>
      <c r="ADT604" s="44"/>
      <c r="ADU604" s="44"/>
      <c r="ADV604" s="44"/>
      <c r="ADW604" s="44"/>
      <c r="ADX604" s="44"/>
      <c r="ADY604" s="44"/>
      <c r="ADZ604" s="44"/>
      <c r="AEA604" s="44"/>
      <c r="AEB604" s="44"/>
      <c r="AEC604" s="44"/>
      <c r="AED604" s="44"/>
      <c r="AEE604" s="44"/>
      <c r="AEF604" s="44"/>
      <c r="AEG604" s="44"/>
      <c r="AEH604" s="44"/>
      <c r="AEI604" s="44"/>
      <c r="AEJ604" s="44"/>
      <c r="AEK604" s="44"/>
      <c r="AEL604" s="44"/>
      <c r="AEM604" s="44"/>
      <c r="AEN604" s="44"/>
      <c r="AEO604" s="44"/>
      <c r="AEP604" s="44"/>
      <c r="AEQ604" s="44"/>
      <c r="AER604" s="44"/>
      <c r="AES604" s="44"/>
      <c r="AET604" s="44"/>
      <c r="AEU604" s="44"/>
      <c r="AEV604" s="44"/>
      <c r="AEW604" s="44"/>
      <c r="AEX604" s="44"/>
      <c r="AEY604" s="44"/>
      <c r="AEZ604" s="44"/>
      <c r="AFA604" s="44"/>
      <c r="AFB604" s="44"/>
      <c r="AFC604" s="44"/>
      <c r="AFD604" s="44"/>
      <c r="AFE604" s="44"/>
      <c r="AFF604" s="44"/>
      <c r="AFG604" s="44"/>
      <c r="AFH604" s="44"/>
      <c r="AFI604" s="44"/>
      <c r="AFJ604" s="44"/>
      <c r="AFK604" s="44"/>
      <c r="AFL604" s="44"/>
      <c r="AFM604" s="44"/>
      <c r="AFN604" s="44"/>
      <c r="AFO604" s="44"/>
      <c r="AFP604" s="44"/>
      <c r="AFQ604" s="44"/>
      <c r="AFR604" s="44"/>
      <c r="AFS604" s="44"/>
      <c r="AFT604" s="44"/>
      <c r="AFU604" s="44"/>
      <c r="AFV604" s="44"/>
      <c r="AFW604" s="44"/>
      <c r="AFX604" s="44"/>
      <c r="AFY604" s="44"/>
      <c r="AFZ604" s="44"/>
      <c r="AGA604" s="44"/>
      <c r="AGB604" s="44"/>
      <c r="AGC604" s="44"/>
      <c r="AGD604" s="44"/>
      <c r="AGE604" s="44"/>
      <c r="AGF604" s="44"/>
      <c r="AGG604" s="44"/>
      <c r="AGH604" s="44"/>
      <c r="AGI604" s="44"/>
      <c r="AGJ604" s="44"/>
      <c r="AGK604" s="44"/>
      <c r="AGL604" s="44"/>
      <c r="AGM604" s="44"/>
      <c r="AGN604" s="44"/>
      <c r="AGO604" s="44"/>
      <c r="AGP604" s="44"/>
      <c r="AGQ604" s="44"/>
      <c r="AGR604" s="44"/>
      <c r="AGS604" s="44"/>
      <c r="AGT604" s="44"/>
      <c r="AGU604" s="44"/>
      <c r="AGV604" s="44"/>
      <c r="AGW604" s="44"/>
      <c r="AGX604" s="44"/>
      <c r="AGY604" s="44"/>
      <c r="AGZ604" s="44"/>
      <c r="AHA604" s="44"/>
      <c r="AHB604" s="44"/>
      <c r="AHC604" s="44"/>
      <c r="AHD604" s="44"/>
      <c r="AHE604" s="44"/>
      <c r="AHF604" s="44"/>
      <c r="AHG604" s="44"/>
      <c r="AHH604" s="44"/>
      <c r="AHI604" s="44"/>
      <c r="AHJ604" s="44"/>
      <c r="AHK604" s="44"/>
      <c r="AHL604" s="44"/>
      <c r="AHM604" s="44"/>
      <c r="AHN604" s="44"/>
      <c r="AHO604" s="44"/>
      <c r="AHP604" s="44"/>
      <c r="AHQ604" s="44"/>
      <c r="AHR604" s="44"/>
      <c r="AHS604" s="44"/>
      <c r="AHT604" s="44"/>
      <c r="AHU604" s="44"/>
      <c r="AHV604" s="44"/>
      <c r="AHW604" s="44"/>
      <c r="AHX604" s="44"/>
      <c r="AHY604" s="44"/>
      <c r="AHZ604" s="44"/>
      <c r="AIA604" s="44"/>
      <c r="AIB604" s="44"/>
      <c r="AIC604" s="44"/>
      <c r="AID604" s="44"/>
      <c r="AIE604" s="44"/>
      <c r="AIF604" s="44"/>
      <c r="AIG604" s="44"/>
      <c r="AIH604" s="44"/>
      <c r="AII604" s="44"/>
      <c r="AIJ604" s="44"/>
      <c r="AIK604" s="44"/>
      <c r="AIL604" s="44"/>
      <c r="AIM604" s="44"/>
      <c r="AIN604" s="44"/>
      <c r="AIO604" s="44"/>
      <c r="AIP604" s="44"/>
      <c r="AIQ604" s="44"/>
      <c r="AIR604" s="44"/>
      <c r="AIS604" s="44"/>
      <c r="AIT604" s="44"/>
      <c r="AIU604" s="44"/>
      <c r="AIV604" s="44"/>
      <c r="AIW604" s="44"/>
      <c r="AIX604" s="44"/>
      <c r="AIY604" s="44"/>
      <c r="AIZ604" s="44"/>
      <c r="AJA604" s="44"/>
      <c r="AJB604" s="44"/>
      <c r="AJC604" s="44"/>
      <c r="AJD604" s="44"/>
      <c r="AJE604" s="44"/>
      <c r="AJF604" s="44"/>
      <c r="AJG604" s="44"/>
      <c r="AJH604" s="44"/>
      <c r="AJI604" s="44"/>
      <c r="AJJ604" s="44"/>
      <c r="AJK604" s="44"/>
      <c r="AJL604" s="44"/>
      <c r="AJM604" s="44"/>
      <c r="AJN604" s="44"/>
      <c r="AJO604" s="44"/>
      <c r="AJP604" s="44"/>
      <c r="AJQ604" s="44"/>
      <c r="AJR604" s="44"/>
      <c r="AJS604" s="44"/>
      <c r="AJT604" s="44"/>
      <c r="AJU604" s="44"/>
      <c r="AJV604" s="44"/>
      <c r="AJW604" s="44"/>
      <c r="AJX604" s="44"/>
      <c r="AJY604" s="44"/>
      <c r="AJZ604" s="44"/>
      <c r="AKA604" s="44"/>
      <c r="AKB604" s="44"/>
      <c r="AKC604" s="44"/>
      <c r="AKD604" s="44"/>
      <c r="AKE604" s="44"/>
      <c r="AKF604" s="44"/>
      <c r="AKG604" s="44"/>
      <c r="AKH604" s="44"/>
      <c r="AKI604" s="44"/>
      <c r="AKJ604" s="44"/>
      <c r="AKK604" s="44"/>
      <c r="AKL604" s="44"/>
      <c r="AKM604" s="44"/>
      <c r="AKN604" s="44"/>
      <c r="AKO604" s="44"/>
      <c r="AKP604" s="44"/>
      <c r="AKQ604" s="44"/>
      <c r="AKR604" s="44"/>
      <c r="AKS604" s="44"/>
      <c r="AKT604" s="44"/>
      <c r="AKU604" s="44"/>
      <c r="AKV604" s="44"/>
      <c r="AKW604" s="44"/>
      <c r="AKX604" s="44"/>
      <c r="AKY604" s="44"/>
      <c r="AKZ604" s="44"/>
      <c r="ALA604" s="44"/>
      <c r="ALB604" s="44"/>
      <c r="ALC604" s="44"/>
      <c r="ALD604" s="44"/>
      <c r="ALE604" s="44"/>
      <c r="ALF604" s="44"/>
      <c r="ALG604" s="44"/>
      <c r="ALH604" s="44"/>
      <c r="ALI604" s="44"/>
      <c r="ALJ604" s="44"/>
      <c r="ALK604" s="44"/>
      <c r="ALL604" s="44"/>
      <c r="ALM604" s="44"/>
      <c r="ALN604" s="44"/>
      <c r="ALO604" s="44"/>
      <c r="ALP604" s="44"/>
      <c r="ALQ604" s="44"/>
      <c r="ALR604" s="44"/>
      <c r="ALS604" s="44"/>
      <c r="ALT604" s="44"/>
      <c r="ALU604" s="44"/>
      <c r="ALV604" s="44"/>
      <c r="ALW604" s="44"/>
      <c r="ALX604" s="44"/>
      <c r="ALY604" s="44"/>
      <c r="ALZ604" s="44"/>
      <c r="AMA604" s="44"/>
      <c r="AMB604" s="44"/>
      <c r="AMC604" s="44"/>
      <c r="AMD604" s="44"/>
      <c r="AME604" s="44"/>
      <c r="AMF604" s="44"/>
      <c r="AMG604" s="44"/>
      <c r="AMH604" s="44"/>
      <c r="AMI604" s="44"/>
      <c r="AMJ604" s="44"/>
    </row>
    <row r="605" spans="1:1024" ht="27.6">
      <c r="A605" s="8" t="s">
        <v>586</v>
      </c>
      <c r="B605" s="8">
        <v>487643</v>
      </c>
      <c r="D605" s="29"/>
      <c r="E605" s="1">
        <v>0</v>
      </c>
      <c r="F605" s="8">
        <v>6</v>
      </c>
      <c r="G605" s="30">
        <f t="shared" si="30"/>
        <v>5</v>
      </c>
      <c r="H605" s="8">
        <f t="shared" si="32"/>
        <v>1</v>
      </c>
      <c r="I605">
        <f t="shared" si="31"/>
        <v>1</v>
      </c>
      <c r="J605">
        <f>SUMIF(Oeffentlichkeitsarbeit!$D:$D,$B605,Oeffentlichkeitsarbeit!$F:$F)</f>
        <v>0</v>
      </c>
      <c r="K605">
        <f>COUNTIF(Fairteiler!$D:$D,$B605)*1/2</f>
        <v>0</v>
      </c>
      <c r="L605">
        <f>COUNTIF('NP-Betrieb'!D:D,$B605)*1/3</f>
        <v>1</v>
      </c>
      <c r="M605">
        <f>COUNTIF(Fairteilungen!$D:$D,$B605)*3/4</f>
        <v>0</v>
      </c>
      <c r="N605">
        <f>COUNTIF(Anlieferung!D:D,$B605)*1/2</f>
        <v>0</v>
      </c>
      <c r="O605">
        <f>COUNTIF(Probeabholungen!B:B,$B605)*1/3</f>
        <v>0</v>
      </c>
    </row>
    <row r="606" spans="1:1024" ht="27.6">
      <c r="A606" s="8" t="s">
        <v>867</v>
      </c>
      <c r="B606" s="8">
        <v>957687</v>
      </c>
      <c r="D606" s="24">
        <v>46087</v>
      </c>
      <c r="E606">
        <v>0</v>
      </c>
      <c r="F606">
        <v>5</v>
      </c>
      <c r="G606" s="30">
        <f t="shared" si="30"/>
        <v>0.33333333333333304</v>
      </c>
      <c r="H606" s="8">
        <f t="shared" si="32"/>
        <v>4.666666666666667</v>
      </c>
      <c r="I606">
        <f t="shared" si="31"/>
        <v>4.666666666666667</v>
      </c>
      <c r="J606">
        <f>SUMIF(Oeffentlichkeitsarbeit!$D:$D,$B606,Oeffentlichkeitsarbeit!$F:$F)</f>
        <v>0</v>
      </c>
      <c r="K606">
        <f>COUNTIF(Fairteiler!$D:$D,$B606)*1/2</f>
        <v>0</v>
      </c>
      <c r="L606">
        <f>COUNTIF('NP-Betrieb'!D:D,$B606)*1/3</f>
        <v>4.666666666666667</v>
      </c>
      <c r="M606">
        <f>COUNTIF(Fairteilungen!$D:$D,$B606)*3/4</f>
        <v>0</v>
      </c>
      <c r="N606">
        <f>COUNTIF(Anlieferung!D:D,$B606)*1/2</f>
        <v>0</v>
      </c>
      <c r="O606">
        <f>COUNTIF(Probeabholungen!B:B,$B606)*1/3</f>
        <v>0</v>
      </c>
    </row>
    <row r="607" spans="1:1024">
      <c r="A607" s="81" t="s">
        <v>2983</v>
      </c>
      <c r="B607" s="82">
        <v>1000995</v>
      </c>
      <c r="D607" s="24">
        <v>46143</v>
      </c>
      <c r="E607" s="1">
        <v>0</v>
      </c>
      <c r="F607" s="8">
        <v>4</v>
      </c>
      <c r="G607" s="30">
        <f t="shared" si="30"/>
        <v>4</v>
      </c>
      <c r="H607" s="8">
        <f t="shared" si="32"/>
        <v>0</v>
      </c>
      <c r="I607">
        <f t="shared" si="31"/>
        <v>0</v>
      </c>
      <c r="J607">
        <f>SUMIF(Oeffentlichkeitsarbeit!$D:$D,$B607,Oeffentlichkeitsarbeit!$F:$F)</f>
        <v>0</v>
      </c>
      <c r="K607">
        <f>COUNTIF(Fairteiler!$D:$D,$B607)*1/2</f>
        <v>0</v>
      </c>
      <c r="L607">
        <f>COUNTIF('NP-Betrieb'!D:D,$B607)*1/3</f>
        <v>0</v>
      </c>
      <c r="M607">
        <f>COUNTIF(Fairteilungen!$D:$D,$B607)*3/4</f>
        <v>0</v>
      </c>
      <c r="N607">
        <f>COUNTIF(Anlieferung!D:D,$B607)*1/2</f>
        <v>0</v>
      </c>
      <c r="O607">
        <f>COUNTIF(Probeabholungen!B:B,$B607)*1/3</f>
        <v>0</v>
      </c>
    </row>
    <row r="608" spans="1:1024">
      <c r="A608" t="s">
        <v>587</v>
      </c>
      <c r="B608">
        <v>830884</v>
      </c>
      <c r="D608" s="29">
        <v>45481</v>
      </c>
      <c r="E608" s="1">
        <v>3.6666666666666599</v>
      </c>
      <c r="F608" s="8">
        <v>6</v>
      </c>
      <c r="G608" s="30">
        <f t="shared" si="30"/>
        <v>2.3333333333333259</v>
      </c>
      <c r="H608" s="8">
        <f t="shared" si="32"/>
        <v>3.6666666666666741</v>
      </c>
      <c r="I608">
        <f t="shared" si="31"/>
        <v>7.3333333333333339</v>
      </c>
      <c r="J608">
        <f>SUMIF(Oeffentlichkeitsarbeit!$D:$D,$B608,Oeffentlichkeitsarbeit!$F:$F)</f>
        <v>0</v>
      </c>
      <c r="K608">
        <f>COUNTIF(Fairteiler!$D:$D,$B608)*1/2</f>
        <v>4</v>
      </c>
      <c r="L608">
        <f>COUNTIF('NP-Betrieb'!D:D,$B608)*1/3</f>
        <v>3.3333333333333335</v>
      </c>
      <c r="M608">
        <f>COUNTIF(Fairteilungen!$D:$D,$B608)*3/4</f>
        <v>0</v>
      </c>
      <c r="N608">
        <f>COUNTIF(Anlieferung!D:D,$B608)*1/2</f>
        <v>0</v>
      </c>
      <c r="O608">
        <f>COUNTIF(Probeabholungen!B:B,$B608)*1/3</f>
        <v>0</v>
      </c>
    </row>
    <row r="609" spans="1:15" ht="27.6">
      <c r="A609" s="8" t="s">
        <v>588</v>
      </c>
      <c r="B609" s="8">
        <v>554842</v>
      </c>
      <c r="D609" s="29"/>
      <c r="E609" s="1">
        <v>0</v>
      </c>
      <c r="F609" s="8">
        <v>6</v>
      </c>
      <c r="G609" s="30">
        <f t="shared" si="30"/>
        <v>2.3333333333333335</v>
      </c>
      <c r="H609" s="8">
        <f t="shared" si="32"/>
        <v>3.6666666666666665</v>
      </c>
      <c r="I609">
        <f t="shared" si="31"/>
        <v>3.6666666666666665</v>
      </c>
      <c r="J609">
        <f>SUMIF(Oeffentlichkeitsarbeit!$D:$D,$B609,Oeffentlichkeitsarbeit!$F:$F)</f>
        <v>0</v>
      </c>
      <c r="K609">
        <f>COUNTIF(Fairteiler!$D:$D,$B609)*1/2</f>
        <v>0</v>
      </c>
      <c r="L609">
        <f>COUNTIF('NP-Betrieb'!D:D,$B609)*1/3</f>
        <v>3.6666666666666665</v>
      </c>
      <c r="M609">
        <f>COUNTIF(Fairteilungen!$D:$D,$B609)*3/4</f>
        <v>0</v>
      </c>
      <c r="N609">
        <f>COUNTIF(Anlieferung!D:D,$B609)*1/2</f>
        <v>0</v>
      </c>
      <c r="O609">
        <f>COUNTIF(Probeabholungen!B:B,$B609)*1/3</f>
        <v>0</v>
      </c>
    </row>
    <row r="610" spans="1:15" ht="27.6">
      <c r="A610" s="8" t="s">
        <v>589</v>
      </c>
      <c r="B610" s="8">
        <v>899316</v>
      </c>
      <c r="C610" s="44"/>
      <c r="D610" s="24">
        <v>45940</v>
      </c>
      <c r="E610" s="1">
        <v>0</v>
      </c>
      <c r="F610" s="44">
        <v>6</v>
      </c>
      <c r="G610" s="30">
        <f t="shared" si="30"/>
        <v>3.6666666666666665</v>
      </c>
      <c r="H610" s="8">
        <f t="shared" si="32"/>
        <v>2.3333333333333335</v>
      </c>
      <c r="I610" s="44">
        <f t="shared" si="31"/>
        <v>2.3333333333333335</v>
      </c>
      <c r="J610" s="44">
        <f>SUMIF(Oeffentlichkeitsarbeit!$D:$D,$B610,Oeffentlichkeitsarbeit!$F:$F)</f>
        <v>0</v>
      </c>
      <c r="K610" s="44">
        <f>COUNTIF(Fairteiler!$D:$D,$B610)*1/2</f>
        <v>0</v>
      </c>
      <c r="L610" s="44">
        <f>COUNTIF('NP-Betrieb'!D:D,$B610)*1/3</f>
        <v>2.3333333333333335</v>
      </c>
      <c r="M610" s="44">
        <f>COUNTIF(Fairteilungen!$D:$D,$B610)*3/4</f>
        <v>0</v>
      </c>
      <c r="N610" s="44">
        <f>COUNTIF(Anlieferung!D:D,$B610)*1/2</f>
        <v>0</v>
      </c>
      <c r="O610" s="44">
        <f>COUNTIF(Probeabholungen!B:B,$B610)*1/3</f>
        <v>0</v>
      </c>
    </row>
    <row r="611" spans="1:15" ht="27.6">
      <c r="A611" s="8" t="s">
        <v>590</v>
      </c>
      <c r="B611" s="8">
        <v>803118</v>
      </c>
      <c r="D611" s="29">
        <v>45264</v>
      </c>
      <c r="E611" s="1">
        <v>0</v>
      </c>
      <c r="F611" s="8">
        <v>6</v>
      </c>
      <c r="G611" s="30">
        <f t="shared" si="30"/>
        <v>-12.333333333333332</v>
      </c>
      <c r="H611" s="8">
        <f t="shared" si="32"/>
        <v>18.333333333333332</v>
      </c>
      <c r="I611">
        <f t="shared" si="31"/>
        <v>18.333333333333332</v>
      </c>
      <c r="J611">
        <f>SUMIF(Oeffentlichkeitsarbeit!$D:$D,$B611,Oeffentlichkeitsarbeit!$F:$F)</f>
        <v>0</v>
      </c>
      <c r="K611">
        <f>COUNTIF(Fairteiler!$D:$D,$B611)*1/2</f>
        <v>0</v>
      </c>
      <c r="L611">
        <f>COUNTIF('NP-Betrieb'!D:D,$B611)*1/3</f>
        <v>13.666666666666666</v>
      </c>
      <c r="M611">
        <f>COUNTIF(Fairteilungen!$D:$D,$B611)*3/4</f>
        <v>0</v>
      </c>
      <c r="N611">
        <f>COUNTIF(Anlieferung!D:D,$B611)*1/2</f>
        <v>0</v>
      </c>
      <c r="O611">
        <f>COUNTIF(Probeabholungen!B:B,$B611)*1/3</f>
        <v>4.666666666666667</v>
      </c>
    </row>
    <row r="612" spans="1:15" ht="27.6">
      <c r="A612" s="8" t="s">
        <v>591</v>
      </c>
      <c r="B612" s="8">
        <v>269811</v>
      </c>
      <c r="D612" s="29">
        <v>45193</v>
      </c>
      <c r="E612" s="1">
        <v>12.5066666666667</v>
      </c>
      <c r="F612" s="8">
        <v>6</v>
      </c>
      <c r="G612" s="30">
        <f t="shared" si="30"/>
        <v>18.5066666666667</v>
      </c>
      <c r="H612" s="8">
        <f t="shared" si="32"/>
        <v>-12.5066666666667</v>
      </c>
      <c r="I612">
        <f t="shared" si="31"/>
        <v>0</v>
      </c>
      <c r="J612">
        <f>SUMIF(Oeffentlichkeitsarbeit!$D:$D,$B612,Oeffentlichkeitsarbeit!$F:$F)</f>
        <v>0</v>
      </c>
      <c r="K612">
        <f>COUNTIF(Fairteiler!$D:$D,$B612)*1/2</f>
        <v>0</v>
      </c>
      <c r="L612">
        <f>COUNTIF('NP-Betrieb'!D:D,$B612)*1/3</f>
        <v>0</v>
      </c>
      <c r="M612">
        <f>COUNTIF(Fairteilungen!$D:$D,$B612)*3/4</f>
        <v>0</v>
      </c>
      <c r="N612">
        <f>COUNTIF(Anlieferung!D:D,$B612)*1/2</f>
        <v>0</v>
      </c>
      <c r="O612">
        <f>COUNTIF(Probeabholungen!B:B,$B612)*1/3</f>
        <v>0</v>
      </c>
    </row>
    <row r="613" spans="1:15" ht="27.6">
      <c r="A613" s="8" t="s">
        <v>592</v>
      </c>
      <c r="B613" s="8">
        <v>242793</v>
      </c>
      <c r="D613" s="29"/>
      <c r="E613" s="1">
        <v>11.0033333333333</v>
      </c>
      <c r="F613" s="8">
        <v>6</v>
      </c>
      <c r="G613" s="30">
        <f t="shared" si="30"/>
        <v>17.003333333333302</v>
      </c>
      <c r="H613" s="8">
        <f t="shared" si="32"/>
        <v>-11.0033333333333</v>
      </c>
      <c r="I613">
        <f t="shared" si="31"/>
        <v>0</v>
      </c>
      <c r="J613">
        <f>SUMIF(Oeffentlichkeitsarbeit!$D:$D,$B613,Oeffentlichkeitsarbeit!$F:$F)</f>
        <v>0</v>
      </c>
      <c r="K613">
        <f>COUNTIF(Fairteiler!$D:$D,$B613)*1/2</f>
        <v>0</v>
      </c>
      <c r="L613">
        <f>COUNTIF('NP-Betrieb'!D:D,$B613)*1/3</f>
        <v>0</v>
      </c>
      <c r="M613">
        <f>COUNTIF(Fairteilungen!$D:$D,$B613)*3/4</f>
        <v>0</v>
      </c>
      <c r="N613">
        <f>COUNTIF(Anlieferung!D:D,$B613)*1/2</f>
        <v>0</v>
      </c>
      <c r="O613">
        <f>COUNTIF(Probeabholungen!B:B,$B613)*1/3</f>
        <v>0</v>
      </c>
    </row>
    <row r="614" spans="1:15">
      <c r="A614" s="8" t="s">
        <v>593</v>
      </c>
      <c r="B614" s="8">
        <v>494188</v>
      </c>
      <c r="D614" s="29"/>
      <c r="E614" s="1">
        <v>0.33333333333333398</v>
      </c>
      <c r="F614" s="8">
        <v>6</v>
      </c>
      <c r="G614" s="30">
        <f t="shared" si="30"/>
        <v>4.5000000000000009</v>
      </c>
      <c r="H614" s="8">
        <f t="shared" si="32"/>
        <v>1.4999999999999993</v>
      </c>
      <c r="I614">
        <f t="shared" si="31"/>
        <v>1.8333333333333333</v>
      </c>
      <c r="J614">
        <f>SUMIF(Oeffentlichkeitsarbeit!$D:$D,$B614,Oeffentlichkeitsarbeit!$F:$F)</f>
        <v>0</v>
      </c>
      <c r="K614">
        <f>COUNTIF(Fairteiler!$D:$D,$B614)*1/2</f>
        <v>1.5</v>
      </c>
      <c r="L614">
        <f>COUNTIF('NP-Betrieb'!D:D,$B614)*1/3</f>
        <v>0.33333333333333331</v>
      </c>
      <c r="M614">
        <f>COUNTIF(Fairteilungen!$D:$D,$B614)*3/4</f>
        <v>0</v>
      </c>
      <c r="N614">
        <f>COUNTIF(Anlieferung!D:D,$B614)*1/2</f>
        <v>0</v>
      </c>
      <c r="O614">
        <f>COUNTIF(Probeabholungen!B:B,$B614)*1/3</f>
        <v>0</v>
      </c>
    </row>
    <row r="615" spans="1:15" ht="27.6">
      <c r="A615" s="8" t="s">
        <v>594</v>
      </c>
      <c r="B615" s="8">
        <v>729265</v>
      </c>
      <c r="D615" s="29"/>
      <c r="E615" s="1">
        <v>0</v>
      </c>
      <c r="F615" s="8">
        <v>0</v>
      </c>
      <c r="G615" s="30">
        <f t="shared" si="30"/>
        <v>-0.83333333333333326</v>
      </c>
      <c r="H615" s="8">
        <f t="shared" si="32"/>
        <v>0.83333333333333326</v>
      </c>
      <c r="I615">
        <f t="shared" si="31"/>
        <v>0.83333333333333326</v>
      </c>
      <c r="J615">
        <f>SUMIF(Oeffentlichkeitsarbeit!$D:$D,$B615,Oeffentlichkeitsarbeit!$F:$F)</f>
        <v>0</v>
      </c>
      <c r="K615">
        <f>COUNTIF(Fairteiler!$D:$D,$B615)*1/2</f>
        <v>0.5</v>
      </c>
      <c r="L615">
        <f>COUNTIF('NP-Betrieb'!D:D,$B615)*1/3</f>
        <v>0.33333333333333331</v>
      </c>
      <c r="M615">
        <f>COUNTIF(Fairteilungen!$D:$D,$B615)*3/4</f>
        <v>0</v>
      </c>
      <c r="N615">
        <f>COUNTIF(Anlieferung!D:D,$B615)*1/2</f>
        <v>0</v>
      </c>
      <c r="O615">
        <f>COUNTIF(Probeabholungen!B:B,$B615)*1/3</f>
        <v>0</v>
      </c>
    </row>
    <row r="616" spans="1:15">
      <c r="A616" s="16" t="s">
        <v>595</v>
      </c>
      <c r="B616" s="16">
        <v>256488</v>
      </c>
      <c r="C616" s="16" t="s">
        <v>848</v>
      </c>
      <c r="D616" s="29"/>
      <c r="E616" s="1">
        <v>0</v>
      </c>
      <c r="F616" s="16">
        <v>0</v>
      </c>
      <c r="G616" s="30">
        <f t="shared" si="30"/>
        <v>0</v>
      </c>
      <c r="H616" s="16">
        <f t="shared" si="32"/>
        <v>0</v>
      </c>
      <c r="I616">
        <f t="shared" si="31"/>
        <v>0</v>
      </c>
      <c r="J616">
        <f>SUMIF(Oeffentlichkeitsarbeit!$D:$D,$B616,Oeffentlichkeitsarbeit!$F:$F)</f>
        <v>0</v>
      </c>
      <c r="K616">
        <f>COUNTIF(Fairteiler!$D:$D,$B616)*1/2</f>
        <v>0</v>
      </c>
      <c r="L616">
        <f>COUNTIF('NP-Betrieb'!D:D,$B616)*1/3</f>
        <v>0</v>
      </c>
      <c r="M616">
        <f>COUNTIF(Fairteilungen!$D:$D,$B616)*3/4</f>
        <v>0</v>
      </c>
      <c r="N616">
        <f>COUNTIF(Anlieferung!D:D,$B616)*1/2</f>
        <v>0</v>
      </c>
      <c r="O616">
        <f>COUNTIF(Probeabholungen!B:B,$B616)*1/3</f>
        <v>0</v>
      </c>
    </row>
    <row r="617" spans="1:15">
      <c r="A617" s="8" t="s">
        <v>596</v>
      </c>
      <c r="B617" s="8">
        <v>710771</v>
      </c>
      <c r="D617" s="29">
        <v>45097</v>
      </c>
      <c r="E617" s="1">
        <v>4.6666666666666696</v>
      </c>
      <c r="F617" s="8">
        <v>6</v>
      </c>
      <c r="G617" s="30">
        <f t="shared" si="30"/>
        <v>10.66666666666667</v>
      </c>
      <c r="H617" s="8">
        <f t="shared" si="32"/>
        <v>-4.6666666666666696</v>
      </c>
      <c r="I617">
        <f t="shared" si="31"/>
        <v>0</v>
      </c>
      <c r="J617">
        <f>SUMIF(Oeffentlichkeitsarbeit!$D:$D,$B617,Oeffentlichkeitsarbeit!$F:$F)</f>
        <v>0</v>
      </c>
      <c r="K617">
        <f>COUNTIF(Fairteiler!$D:$D,$B617)*1/2</f>
        <v>0</v>
      </c>
      <c r="L617">
        <f>COUNTIF('NP-Betrieb'!D:D,$B617)*1/3</f>
        <v>0</v>
      </c>
      <c r="M617">
        <f>COUNTIF(Fairteilungen!$D:$D,$B617)*3/4</f>
        <v>0</v>
      </c>
      <c r="N617">
        <f>COUNTIF(Anlieferung!D:D,$B617)*1/2</f>
        <v>0</v>
      </c>
      <c r="O617">
        <f>COUNTIF(Probeabholungen!B:B,$B617)*1/3</f>
        <v>0</v>
      </c>
    </row>
    <row r="618" spans="1:15" ht="27.6">
      <c r="A618" s="16" t="s">
        <v>597</v>
      </c>
      <c r="B618" s="16">
        <v>8384</v>
      </c>
      <c r="C618" s="16" t="s">
        <v>831</v>
      </c>
      <c r="D618" s="29"/>
      <c r="E618" s="1">
        <v>0</v>
      </c>
      <c r="F618" s="16">
        <v>0</v>
      </c>
      <c r="G618" s="30">
        <f t="shared" si="30"/>
        <v>0</v>
      </c>
      <c r="H618" s="16">
        <f t="shared" si="32"/>
        <v>0</v>
      </c>
      <c r="I618" s="11">
        <f t="shared" si="31"/>
        <v>0</v>
      </c>
      <c r="J618" s="11">
        <f>SUMIF(Oeffentlichkeitsarbeit!$D:$D,$B618,Oeffentlichkeitsarbeit!$F:$F)</f>
        <v>0</v>
      </c>
      <c r="K618" s="11">
        <f>COUNTIF(Fairteiler!$D:$D,$B618)*1/2</f>
        <v>0</v>
      </c>
      <c r="L618" s="11">
        <f>COUNTIF('NP-Betrieb'!D:D,$B618)*1/3</f>
        <v>0</v>
      </c>
      <c r="M618" s="11">
        <f>COUNTIF(Fairteilungen!$D:$D,$B618)*3/4</f>
        <v>0</v>
      </c>
      <c r="N618" s="11">
        <f>COUNTIF(Anlieferung!D:D,$B618)*1/2</f>
        <v>0</v>
      </c>
      <c r="O618" s="11">
        <f>COUNTIF(Probeabholungen!B:B,$B618)*1/3</f>
        <v>0</v>
      </c>
    </row>
    <row r="619" spans="1:15" ht="27.6">
      <c r="A619" s="8" t="s">
        <v>598</v>
      </c>
      <c r="B619" s="8">
        <v>738103</v>
      </c>
      <c r="D619" s="29">
        <v>45071</v>
      </c>
      <c r="E619" s="1">
        <v>2</v>
      </c>
      <c r="F619" s="8">
        <v>6</v>
      </c>
      <c r="G619" s="30">
        <f t="shared" si="30"/>
        <v>8</v>
      </c>
      <c r="H619" s="8">
        <f t="shared" si="32"/>
        <v>-2</v>
      </c>
      <c r="I619">
        <f t="shared" si="31"/>
        <v>0</v>
      </c>
      <c r="J619">
        <f>SUMIF(Oeffentlichkeitsarbeit!$D:$D,$B619,Oeffentlichkeitsarbeit!$F:$F)</f>
        <v>0</v>
      </c>
      <c r="K619">
        <f>COUNTIF(Fairteiler!$D:$D,$B619)*1/2</f>
        <v>0</v>
      </c>
      <c r="L619">
        <f>COUNTIF('NP-Betrieb'!D:D,$B619)*1/3</f>
        <v>0</v>
      </c>
      <c r="M619">
        <f>COUNTIF(Fairteilungen!$D:$D,$B619)*3/4</f>
        <v>0</v>
      </c>
      <c r="N619">
        <f>COUNTIF(Anlieferung!D:D,$B619)*1/2</f>
        <v>0</v>
      </c>
      <c r="O619">
        <f>COUNTIF(Probeabholungen!B:B,$B619)*1/3</f>
        <v>0</v>
      </c>
    </row>
    <row r="620" spans="1:15" ht="27.6">
      <c r="A620" s="8" t="s">
        <v>599</v>
      </c>
      <c r="B620" s="8">
        <v>480351</v>
      </c>
      <c r="D620" s="29">
        <v>45240</v>
      </c>
      <c r="E620" s="1">
        <v>0</v>
      </c>
      <c r="F620" s="8">
        <v>6</v>
      </c>
      <c r="G620" s="30">
        <f t="shared" si="30"/>
        <v>5.333333333333333</v>
      </c>
      <c r="H620" s="8">
        <f t="shared" si="32"/>
        <v>0.66666666666666663</v>
      </c>
      <c r="I620">
        <f t="shared" si="31"/>
        <v>0.66666666666666663</v>
      </c>
      <c r="J620">
        <f>SUMIF(Oeffentlichkeitsarbeit!$D:$D,$B620,Oeffentlichkeitsarbeit!$F:$F)</f>
        <v>0</v>
      </c>
      <c r="K620">
        <f>COUNTIF(Fairteiler!$D:$D,$B620)*1/2</f>
        <v>0</v>
      </c>
      <c r="L620">
        <f>COUNTIF('NP-Betrieb'!D:D,$B620)*1/3</f>
        <v>0.66666666666666663</v>
      </c>
      <c r="M620">
        <f>COUNTIF(Fairteilungen!$D:$D,$B620)*3/4</f>
        <v>0</v>
      </c>
      <c r="N620">
        <f>COUNTIF(Anlieferung!D:D,$B620)*1/2</f>
        <v>0</v>
      </c>
      <c r="O620">
        <f>COUNTIF(Probeabholungen!B:B,$B620)*1/3</f>
        <v>0</v>
      </c>
    </row>
    <row r="621" spans="1:15" ht="27.6">
      <c r="A621" s="8" t="s">
        <v>600</v>
      </c>
      <c r="B621" s="8">
        <v>210824</v>
      </c>
      <c r="D621" s="29"/>
      <c r="E621" s="1">
        <v>0</v>
      </c>
      <c r="F621" s="8">
        <v>6</v>
      </c>
      <c r="G621" s="30">
        <f t="shared" si="30"/>
        <v>2.6666666666666665</v>
      </c>
      <c r="H621" s="8">
        <f t="shared" si="32"/>
        <v>3.3333333333333335</v>
      </c>
      <c r="I621">
        <f t="shared" si="31"/>
        <v>3.3333333333333335</v>
      </c>
      <c r="J621">
        <f>SUMIF(Oeffentlichkeitsarbeit!$D:$D,$B621,Oeffentlichkeitsarbeit!$F:$F)</f>
        <v>0</v>
      </c>
      <c r="K621">
        <f>COUNTIF(Fairteiler!$D:$D,$B621)*1/2</f>
        <v>0</v>
      </c>
      <c r="L621">
        <f>COUNTIF('NP-Betrieb'!D:D,$B621)*1/3</f>
        <v>3.3333333333333335</v>
      </c>
      <c r="M621">
        <f>COUNTIF(Fairteilungen!$D:$D,$B621)*3/4</f>
        <v>0</v>
      </c>
      <c r="N621">
        <f>COUNTIF(Anlieferung!D:D,$B621)*1/2</f>
        <v>0</v>
      </c>
      <c r="O621">
        <f>COUNTIF(Probeabholungen!B:B,$B621)*1/3</f>
        <v>0</v>
      </c>
    </row>
    <row r="622" spans="1:15" ht="27.6">
      <c r="A622" s="8" t="s">
        <v>601</v>
      </c>
      <c r="B622" s="8">
        <v>804908</v>
      </c>
      <c r="D622" s="24">
        <v>45551</v>
      </c>
      <c r="E622" s="1">
        <v>4</v>
      </c>
      <c r="F622" s="8">
        <v>6</v>
      </c>
      <c r="G622" s="30">
        <f t="shared" si="30"/>
        <v>7</v>
      </c>
      <c r="H622" s="8">
        <f t="shared" si="32"/>
        <v>-1</v>
      </c>
      <c r="I622">
        <f t="shared" si="31"/>
        <v>3</v>
      </c>
      <c r="J622">
        <f>SUMIF(Oeffentlichkeitsarbeit!$D:$D,$B622,Oeffentlichkeitsarbeit!$F:$F)</f>
        <v>0</v>
      </c>
      <c r="K622">
        <f>COUNTIF(Fairteiler!$D:$D,$B622)*1/2</f>
        <v>0</v>
      </c>
      <c r="L622">
        <f>COUNTIF('NP-Betrieb'!D:D,$B622)*1/3</f>
        <v>3</v>
      </c>
      <c r="M622">
        <f>COUNTIF(Fairteilungen!$D:$D,$B622)*3/4</f>
        <v>0</v>
      </c>
      <c r="N622">
        <f>COUNTIF(Anlieferung!D:D,$B622)*1/2</f>
        <v>0</v>
      </c>
      <c r="O622">
        <f>COUNTIF(Probeabholungen!B:B,$B622)*1/3</f>
        <v>0</v>
      </c>
    </row>
    <row r="623" spans="1:15">
      <c r="A623" s="8" t="s">
        <v>602</v>
      </c>
      <c r="B623" s="8">
        <v>276074</v>
      </c>
      <c r="D623" s="29"/>
      <c r="E623" s="1">
        <v>15</v>
      </c>
      <c r="F623" s="8">
        <v>6</v>
      </c>
      <c r="G623" s="30">
        <f t="shared" si="30"/>
        <v>21</v>
      </c>
      <c r="H623" s="8">
        <f t="shared" si="32"/>
        <v>-15</v>
      </c>
      <c r="I623">
        <f t="shared" si="31"/>
        <v>0</v>
      </c>
      <c r="J623">
        <f>SUMIF(Oeffentlichkeitsarbeit!$D:$D,$B623,Oeffentlichkeitsarbeit!$F:$F)</f>
        <v>0</v>
      </c>
      <c r="K623">
        <f>COUNTIF(Fairteiler!$D:$D,$B623)*1/2</f>
        <v>0</v>
      </c>
      <c r="L623">
        <f>COUNTIF('NP-Betrieb'!D:D,$B623)*1/3</f>
        <v>0</v>
      </c>
      <c r="M623">
        <f>COUNTIF(Fairteilungen!$D:$D,$B623)*3/4</f>
        <v>0</v>
      </c>
      <c r="N623">
        <f>COUNTIF(Anlieferung!D:D,$B623)*1/2</f>
        <v>0</v>
      </c>
      <c r="O623">
        <f>COUNTIF(Probeabholungen!B:B,$B623)*1/3</f>
        <v>0</v>
      </c>
    </row>
    <row r="624" spans="1:15" ht="27.6">
      <c r="A624" s="8" t="s">
        <v>603</v>
      </c>
      <c r="B624" s="8">
        <v>959417</v>
      </c>
      <c r="D624" s="24">
        <v>45961</v>
      </c>
      <c r="E624" s="1">
        <v>1</v>
      </c>
      <c r="F624">
        <v>6</v>
      </c>
      <c r="G624" s="30">
        <f t="shared" si="30"/>
        <v>7</v>
      </c>
      <c r="H624" s="8">
        <f t="shared" si="32"/>
        <v>-1</v>
      </c>
      <c r="I624">
        <f t="shared" si="31"/>
        <v>0</v>
      </c>
      <c r="J624">
        <f>SUMIF(Oeffentlichkeitsarbeit!$D:$D,$B624,Oeffentlichkeitsarbeit!$F:$F)</f>
        <v>0</v>
      </c>
      <c r="K624">
        <f>COUNTIF(Fairteiler!$D:$D,$B624)*1/2</f>
        <v>0</v>
      </c>
      <c r="L624">
        <f>COUNTIF('NP-Betrieb'!D:D,$B624)*1/3</f>
        <v>0</v>
      </c>
      <c r="M624">
        <f>COUNTIF(Fairteilungen!$D:$D,$B624)*3/4</f>
        <v>0</v>
      </c>
      <c r="N624">
        <f>COUNTIF(Anlieferung!D:D,$B624)*1/2</f>
        <v>0</v>
      </c>
      <c r="O624">
        <f>COUNTIF(Probeabholungen!B:B,$B624)*1/3</f>
        <v>0</v>
      </c>
    </row>
    <row r="625" spans="1:15" ht="27.6">
      <c r="A625" s="8" t="s">
        <v>604</v>
      </c>
      <c r="B625" s="8">
        <v>416008</v>
      </c>
      <c r="D625" s="29"/>
      <c r="E625" s="1">
        <v>0</v>
      </c>
      <c r="F625" s="8">
        <v>6</v>
      </c>
      <c r="G625" s="30">
        <f t="shared" si="30"/>
        <v>3.5</v>
      </c>
      <c r="H625" s="8">
        <f t="shared" si="32"/>
        <v>2.5</v>
      </c>
      <c r="I625">
        <f t="shared" si="31"/>
        <v>2.5</v>
      </c>
      <c r="J625">
        <f>SUMIF(Oeffentlichkeitsarbeit!$D:$D,$B625,Oeffentlichkeitsarbeit!$F:$F)</f>
        <v>0</v>
      </c>
      <c r="K625">
        <f>COUNTIF(Fairteiler!$D:$D,$B625)*1/2</f>
        <v>2.5</v>
      </c>
      <c r="L625">
        <f>COUNTIF('NP-Betrieb'!D:D,$B625)*1/3</f>
        <v>0</v>
      </c>
      <c r="M625">
        <f>COUNTIF(Fairteilungen!$D:$D,$B625)*3/4</f>
        <v>0</v>
      </c>
      <c r="N625">
        <f>COUNTIF(Anlieferung!D:D,$B625)*1/2</f>
        <v>0</v>
      </c>
      <c r="O625">
        <f>COUNTIF(Probeabholungen!B:B,$B625)*1/3</f>
        <v>0</v>
      </c>
    </row>
    <row r="626" spans="1:15" ht="27.6">
      <c r="A626" s="8" t="s">
        <v>605</v>
      </c>
      <c r="B626" s="8">
        <v>167184</v>
      </c>
      <c r="C626" s="8"/>
      <c r="D626" s="29"/>
      <c r="E626" s="1">
        <v>9.3333333333333304</v>
      </c>
      <c r="F626" s="8">
        <v>6</v>
      </c>
      <c r="G626" s="30">
        <f t="shared" si="30"/>
        <v>15.33333333333333</v>
      </c>
      <c r="H626" s="8">
        <f t="shared" si="32"/>
        <v>-9.3333333333333304</v>
      </c>
      <c r="I626">
        <f t="shared" si="31"/>
        <v>0</v>
      </c>
      <c r="J626">
        <f>SUMIF(Oeffentlichkeitsarbeit!$D:$D,$B626,Oeffentlichkeitsarbeit!$F:$F)</f>
        <v>0</v>
      </c>
      <c r="K626">
        <f>COUNTIF(Fairteiler!$D:$D,$B626)*1/2</f>
        <v>0</v>
      </c>
      <c r="L626">
        <f>COUNTIF('NP-Betrieb'!D:D,$B626)*1/3</f>
        <v>0</v>
      </c>
      <c r="M626">
        <f>COUNTIF(Fairteilungen!$D:$D,$B626)*3/4</f>
        <v>0</v>
      </c>
      <c r="N626">
        <f>COUNTIF(Anlieferung!D:D,$B626)*1/2</f>
        <v>0</v>
      </c>
      <c r="O626">
        <f>COUNTIF(Probeabholungen!B:B,$B626)*1/3</f>
        <v>0</v>
      </c>
    </row>
    <row r="627" spans="1:15" ht="27.6">
      <c r="A627" s="14" t="s">
        <v>606</v>
      </c>
      <c r="B627" s="14">
        <v>570260</v>
      </c>
      <c r="C627" s="14" t="s">
        <v>839</v>
      </c>
      <c r="D627" s="29"/>
      <c r="E627" s="1">
        <v>0</v>
      </c>
      <c r="F627" s="14">
        <v>0</v>
      </c>
      <c r="G627" s="30">
        <f t="shared" si="30"/>
        <v>0</v>
      </c>
      <c r="H627" s="14">
        <f t="shared" si="32"/>
        <v>0</v>
      </c>
      <c r="I627" s="44">
        <f t="shared" si="31"/>
        <v>0</v>
      </c>
      <c r="J627" s="44">
        <f>SUMIF(Oeffentlichkeitsarbeit!$D:$D,$B627,Oeffentlichkeitsarbeit!$F:$F)</f>
        <v>0</v>
      </c>
      <c r="K627" s="44">
        <f>COUNTIF(Fairteiler!$D:$D,$B627)*1/2</f>
        <v>0</v>
      </c>
      <c r="L627" s="44">
        <f>COUNTIF('NP-Betrieb'!D:D,$B627)*1/3</f>
        <v>0</v>
      </c>
      <c r="M627" s="44">
        <f>COUNTIF(Fairteilungen!$D:$D,$B627)*3/4</f>
        <v>0</v>
      </c>
      <c r="N627" s="44">
        <f>COUNTIF(Anlieferung!D:D,$B627)*1/2</f>
        <v>0</v>
      </c>
      <c r="O627" s="44">
        <f>COUNTIF(Probeabholungen!B:B,$B627)*1/3</f>
        <v>0</v>
      </c>
    </row>
    <row r="628" spans="1:15">
      <c r="A628" s="14" t="s">
        <v>607</v>
      </c>
      <c r="B628" s="14">
        <v>421108</v>
      </c>
      <c r="C628" s="14" t="s">
        <v>839</v>
      </c>
      <c r="D628" s="29"/>
      <c r="E628" s="1">
        <v>0</v>
      </c>
      <c r="F628" s="14">
        <v>0</v>
      </c>
      <c r="G628" s="30">
        <f t="shared" si="30"/>
        <v>0</v>
      </c>
      <c r="H628" s="14">
        <f t="shared" si="32"/>
        <v>0</v>
      </c>
      <c r="I628">
        <f t="shared" si="31"/>
        <v>0</v>
      </c>
      <c r="J628">
        <f>SUMIF(Oeffentlichkeitsarbeit!$D:$D,$B628,Oeffentlichkeitsarbeit!$F:$F)</f>
        <v>0</v>
      </c>
      <c r="K628">
        <f>COUNTIF(Fairteiler!$D:$D,$B628)*1/2</f>
        <v>0</v>
      </c>
      <c r="L628">
        <f>COUNTIF('NP-Betrieb'!D:D,$B628)*1/3</f>
        <v>0</v>
      </c>
      <c r="M628">
        <f>COUNTIF(Fairteilungen!$D:$D,$B628)*3/4</f>
        <v>0</v>
      </c>
      <c r="N628">
        <f>COUNTIF(Anlieferung!D:D,$B628)*1/2</f>
        <v>0</v>
      </c>
      <c r="O628">
        <f>COUNTIF(Probeabholungen!B:B,$B628)*1/3</f>
        <v>0</v>
      </c>
    </row>
    <row r="629" spans="1:15" ht="27.6">
      <c r="A629" s="16" t="s">
        <v>608</v>
      </c>
      <c r="B629" s="16">
        <v>335130</v>
      </c>
      <c r="C629" s="16" t="s">
        <v>831</v>
      </c>
      <c r="D629" s="29"/>
      <c r="E629" s="1">
        <v>0</v>
      </c>
      <c r="F629" s="16">
        <v>0</v>
      </c>
      <c r="G629" s="30">
        <f t="shared" si="30"/>
        <v>0</v>
      </c>
      <c r="H629" s="16">
        <f t="shared" si="32"/>
        <v>0</v>
      </c>
      <c r="I629" s="11">
        <f t="shared" si="31"/>
        <v>0</v>
      </c>
      <c r="J629" s="11">
        <f>SUMIF(Oeffentlichkeitsarbeit!$D:$D,$B629,Oeffentlichkeitsarbeit!$F:$F)</f>
        <v>0</v>
      </c>
      <c r="K629" s="11">
        <f>COUNTIF(Fairteiler!$D:$D,$B629)*1/2</f>
        <v>0</v>
      </c>
      <c r="L629" s="11">
        <f>COUNTIF('NP-Betrieb'!D:D,$B629)*1/3</f>
        <v>0</v>
      </c>
      <c r="M629" s="11">
        <f>COUNTIF(Fairteilungen!$D:$D,$B629)*3/4</f>
        <v>0</v>
      </c>
      <c r="N629" s="11">
        <f>COUNTIF(Anlieferung!D:D,$B629)*1/2</f>
        <v>0</v>
      </c>
      <c r="O629" s="11">
        <f>COUNTIF(Probeabholungen!B:B,$B629)*1/3</f>
        <v>0</v>
      </c>
    </row>
    <row r="630" spans="1:15">
      <c r="A630" s="8" t="s">
        <v>609</v>
      </c>
      <c r="B630" s="8">
        <v>574299</v>
      </c>
      <c r="D630" s="29"/>
      <c r="E630" s="1">
        <v>0</v>
      </c>
      <c r="F630" s="8">
        <v>6</v>
      </c>
      <c r="G630" s="30">
        <f t="shared" si="30"/>
        <v>5</v>
      </c>
      <c r="H630" s="8">
        <f t="shared" si="32"/>
        <v>1</v>
      </c>
      <c r="I630">
        <f t="shared" si="31"/>
        <v>1</v>
      </c>
      <c r="J630">
        <f>SUMIF(Oeffentlichkeitsarbeit!$D:$D,$B630,Oeffentlichkeitsarbeit!$F:$F)</f>
        <v>0</v>
      </c>
      <c r="K630">
        <f>COUNTIF(Fairteiler!$D:$D,$B630)*1/2</f>
        <v>0</v>
      </c>
      <c r="L630">
        <f>COUNTIF('NP-Betrieb'!D:D,$B630)*1/3</f>
        <v>0.66666666666666663</v>
      </c>
      <c r="M630">
        <f>COUNTIF(Fairteilungen!$D:$D,$B630)*3/4</f>
        <v>0</v>
      </c>
      <c r="N630">
        <f>COUNTIF(Anlieferung!D:D,$B630)*1/2</f>
        <v>0</v>
      </c>
      <c r="O630">
        <f>COUNTIF(Probeabholungen!B:B,$B630)*1/3</f>
        <v>0.33333333333333331</v>
      </c>
    </row>
    <row r="631" spans="1:15" ht="41.4">
      <c r="A631" s="8" t="s">
        <v>610</v>
      </c>
      <c r="B631" s="8">
        <v>131287</v>
      </c>
      <c r="D631" s="29"/>
      <c r="E631" s="1">
        <v>0</v>
      </c>
      <c r="F631" s="8">
        <v>6</v>
      </c>
      <c r="G631" s="30">
        <f t="shared" si="30"/>
        <v>3.3333333333333335</v>
      </c>
      <c r="H631" s="8">
        <f t="shared" si="32"/>
        <v>2.6666666666666665</v>
      </c>
      <c r="I631">
        <f t="shared" si="31"/>
        <v>2.6666666666666665</v>
      </c>
      <c r="J631">
        <f>SUMIF(Oeffentlichkeitsarbeit!$D:$D,$B631,Oeffentlichkeitsarbeit!$F:$F)</f>
        <v>0</v>
      </c>
      <c r="K631">
        <f>COUNTIF(Fairteiler!$D:$D,$B631)*1/2</f>
        <v>0</v>
      </c>
      <c r="L631">
        <f>COUNTIF('NP-Betrieb'!D:D,$B631)*1/3</f>
        <v>2.6666666666666665</v>
      </c>
      <c r="M631">
        <f>COUNTIF(Fairteilungen!$D:$D,$B631)*3/4</f>
        <v>0</v>
      </c>
      <c r="N631">
        <f>COUNTIF(Anlieferung!D:D,$B631)*1/2</f>
        <v>0</v>
      </c>
      <c r="O631">
        <f>COUNTIF(Probeabholungen!B:B,$B631)*1/3</f>
        <v>0</v>
      </c>
    </row>
    <row r="632" spans="1:15" ht="27.6">
      <c r="A632" s="8" t="s">
        <v>611</v>
      </c>
      <c r="B632" s="8">
        <v>955121</v>
      </c>
      <c r="D632" s="24">
        <v>46005</v>
      </c>
      <c r="E632" s="1">
        <v>0</v>
      </c>
      <c r="F632">
        <v>6</v>
      </c>
      <c r="G632" s="30">
        <f t="shared" si="30"/>
        <v>1</v>
      </c>
      <c r="H632" s="8">
        <f t="shared" si="32"/>
        <v>5</v>
      </c>
      <c r="I632">
        <f t="shared" si="31"/>
        <v>5</v>
      </c>
      <c r="J632">
        <f>SUMIF(Oeffentlichkeitsarbeit!$D:$D,$B632,Oeffentlichkeitsarbeit!$F:$F)</f>
        <v>0</v>
      </c>
      <c r="K632">
        <f>COUNTIF(Fairteiler!$D:$D,$B632)*1/2</f>
        <v>0</v>
      </c>
      <c r="L632">
        <f>COUNTIF('NP-Betrieb'!D:D,$B632)*1/3</f>
        <v>5</v>
      </c>
      <c r="M632">
        <f>COUNTIF(Fairteilungen!$D:$D,$B632)*3/4</f>
        <v>0</v>
      </c>
      <c r="N632">
        <f>COUNTIF(Anlieferung!D:D,$B632)*1/2</f>
        <v>0</v>
      </c>
      <c r="O632">
        <f>COUNTIF(Probeabholungen!B:B,$B632)*1/3</f>
        <v>0</v>
      </c>
    </row>
    <row r="633" spans="1:15">
      <c r="A633" s="8" t="s">
        <v>612</v>
      </c>
      <c r="B633" s="8">
        <v>595188</v>
      </c>
      <c r="D633" s="29"/>
      <c r="E633" s="1">
        <v>14.67</v>
      </c>
      <c r="F633" s="8">
        <v>6</v>
      </c>
      <c r="G633" s="30">
        <f t="shared" si="30"/>
        <v>20.67</v>
      </c>
      <c r="H633" s="8">
        <f t="shared" si="32"/>
        <v>-14.67</v>
      </c>
      <c r="I633">
        <f t="shared" si="31"/>
        <v>0</v>
      </c>
      <c r="J633">
        <f>SUMIF(Oeffentlichkeitsarbeit!$D:$D,$B633,Oeffentlichkeitsarbeit!$F:$F)</f>
        <v>0</v>
      </c>
      <c r="K633">
        <f>COUNTIF(Fairteiler!$D:$D,$B633)*1/2</f>
        <v>0</v>
      </c>
      <c r="L633">
        <f>COUNTIF('NP-Betrieb'!D:D,$B633)*1/3</f>
        <v>0</v>
      </c>
      <c r="M633">
        <f>COUNTIF(Fairteilungen!$D:$D,$B633)*3/4</f>
        <v>0</v>
      </c>
      <c r="N633">
        <f>COUNTIF(Anlieferung!D:D,$B633)*1/2</f>
        <v>0</v>
      </c>
      <c r="O633">
        <f>COUNTIF(Probeabholungen!B:B,$B633)*1/3</f>
        <v>0</v>
      </c>
    </row>
    <row r="634" spans="1:15">
      <c r="A634" s="8" t="s">
        <v>613</v>
      </c>
      <c r="B634" s="8">
        <v>403667</v>
      </c>
      <c r="D634" s="29"/>
      <c r="E634" s="1">
        <v>0</v>
      </c>
      <c r="F634" s="8">
        <v>6</v>
      </c>
      <c r="G634" s="30">
        <f t="shared" si="30"/>
        <v>3.6666666666666665</v>
      </c>
      <c r="H634" s="8">
        <f t="shared" si="32"/>
        <v>2.3333333333333335</v>
      </c>
      <c r="I634">
        <f t="shared" si="31"/>
        <v>2.3333333333333335</v>
      </c>
      <c r="J634">
        <f>SUMIF(Oeffentlichkeitsarbeit!$D:$D,$B634,Oeffentlichkeitsarbeit!$F:$F)</f>
        <v>0</v>
      </c>
      <c r="K634">
        <f>COUNTIF(Fairteiler!$D:$D,$B634)*1/2</f>
        <v>2</v>
      </c>
      <c r="L634">
        <f>COUNTIF('NP-Betrieb'!D:D,$B634)*1/3</f>
        <v>0.33333333333333331</v>
      </c>
      <c r="M634">
        <f>COUNTIF(Fairteilungen!$D:$D,$B634)*3/4</f>
        <v>0</v>
      </c>
      <c r="N634">
        <f>COUNTIF(Anlieferung!D:D,$B634)*1/2</f>
        <v>0</v>
      </c>
      <c r="O634">
        <f>COUNTIF(Probeabholungen!B:B,$B634)*1/3</f>
        <v>0</v>
      </c>
    </row>
    <row r="635" spans="1:15" ht="41.4">
      <c r="A635" s="8" t="s">
        <v>614</v>
      </c>
      <c r="B635" s="8">
        <v>792959</v>
      </c>
      <c r="D635" s="29"/>
      <c r="E635" s="1">
        <v>0</v>
      </c>
      <c r="F635" s="8">
        <v>6</v>
      </c>
      <c r="G635" s="30">
        <f t="shared" si="30"/>
        <v>3</v>
      </c>
      <c r="H635" s="8">
        <f t="shared" si="32"/>
        <v>3</v>
      </c>
      <c r="I635">
        <f t="shared" si="31"/>
        <v>3</v>
      </c>
      <c r="J635">
        <f>SUMIF(Oeffentlichkeitsarbeit!$D:$D,$B635,Oeffentlichkeitsarbeit!$F:$F)</f>
        <v>0</v>
      </c>
      <c r="K635">
        <f>COUNTIF(Fairteiler!$D:$D,$B635)*1/2</f>
        <v>0</v>
      </c>
      <c r="L635">
        <f>COUNTIF('NP-Betrieb'!D:D,$B635)*1/3</f>
        <v>3</v>
      </c>
      <c r="M635">
        <f>COUNTIF(Fairteilungen!$D:$D,$B635)*3/4</f>
        <v>0</v>
      </c>
      <c r="N635">
        <f>COUNTIF(Anlieferung!D:D,$B635)*1/2</f>
        <v>0</v>
      </c>
      <c r="O635">
        <f>COUNTIF(Probeabholungen!B:B,$B635)*1/3</f>
        <v>0</v>
      </c>
    </row>
    <row r="636" spans="1:15">
      <c r="A636" s="8" t="s">
        <v>615</v>
      </c>
      <c r="B636" s="8">
        <v>602521</v>
      </c>
      <c r="D636" s="29"/>
      <c r="E636" s="1">
        <v>14.67</v>
      </c>
      <c r="F636" s="8">
        <v>6</v>
      </c>
      <c r="G636" s="30">
        <f t="shared" si="30"/>
        <v>20.67</v>
      </c>
      <c r="H636" s="8">
        <f t="shared" si="32"/>
        <v>-14.67</v>
      </c>
      <c r="I636">
        <f t="shared" si="31"/>
        <v>0</v>
      </c>
      <c r="J636">
        <f>SUMIF(Oeffentlichkeitsarbeit!$D:$D,$B636,Oeffentlichkeitsarbeit!$F:$F)</f>
        <v>0</v>
      </c>
      <c r="K636">
        <f>COUNTIF(Fairteiler!$D:$D,$B636)*1/2</f>
        <v>0</v>
      </c>
      <c r="L636">
        <f>COUNTIF('NP-Betrieb'!D:D,$B636)*1/3</f>
        <v>0</v>
      </c>
      <c r="M636">
        <f>COUNTIF(Fairteilungen!$D:$D,$B636)*3/4</f>
        <v>0</v>
      </c>
      <c r="N636">
        <f>COUNTIF(Anlieferung!D:D,$B636)*1/2</f>
        <v>0</v>
      </c>
      <c r="O636">
        <f>COUNTIF(Probeabholungen!B:B,$B636)*1/3</f>
        <v>0</v>
      </c>
    </row>
    <row r="637" spans="1:15" ht="27.6">
      <c r="A637" s="8" t="s">
        <v>616</v>
      </c>
      <c r="B637" s="8">
        <v>667491</v>
      </c>
      <c r="D637" s="24">
        <v>45526</v>
      </c>
      <c r="E637" s="1">
        <v>0</v>
      </c>
      <c r="F637" s="8">
        <v>6</v>
      </c>
      <c r="G637" s="30">
        <f t="shared" si="30"/>
        <v>0</v>
      </c>
      <c r="H637" s="8">
        <f t="shared" si="32"/>
        <v>6</v>
      </c>
      <c r="I637">
        <f t="shared" si="31"/>
        <v>6</v>
      </c>
      <c r="J637">
        <f>SUMIF(Oeffentlichkeitsarbeit!$D:$D,$B637,Oeffentlichkeitsarbeit!$F:$F)</f>
        <v>0</v>
      </c>
      <c r="K637">
        <f>COUNTIF(Fairteiler!$D:$D,$B637)*1/2</f>
        <v>5</v>
      </c>
      <c r="L637">
        <f>COUNTIF('NP-Betrieb'!D:D,$B637)*1/3</f>
        <v>1</v>
      </c>
      <c r="M637">
        <f>COUNTIF(Fairteilungen!$D:$D,$B637)*3/4</f>
        <v>0</v>
      </c>
      <c r="N637">
        <f>COUNTIF(Anlieferung!D:D,$B637)*1/2</f>
        <v>0</v>
      </c>
      <c r="O637">
        <f>COUNTIF(Probeabholungen!B:B,$B637)*1/3</f>
        <v>0</v>
      </c>
    </row>
    <row r="638" spans="1:15" ht="27.6">
      <c r="A638" s="8" t="s">
        <v>617</v>
      </c>
      <c r="B638" s="8">
        <v>967569</v>
      </c>
      <c r="D638" s="24">
        <v>46005</v>
      </c>
      <c r="E638" s="1">
        <v>0</v>
      </c>
      <c r="F638">
        <v>6</v>
      </c>
      <c r="G638" s="30">
        <f t="shared" si="30"/>
        <v>2</v>
      </c>
      <c r="H638" s="8">
        <f t="shared" si="32"/>
        <v>4</v>
      </c>
      <c r="I638">
        <f t="shared" si="31"/>
        <v>4</v>
      </c>
      <c r="J638">
        <f>SUMIF(Oeffentlichkeitsarbeit!$D:$D,$B638,Oeffentlichkeitsarbeit!$F:$F)</f>
        <v>0</v>
      </c>
      <c r="K638">
        <f>COUNTIF(Fairteiler!$D:$D,$B638)*1/2</f>
        <v>0</v>
      </c>
      <c r="L638">
        <f>COUNTIF('NP-Betrieb'!D:D,$B638)*1/3</f>
        <v>4</v>
      </c>
      <c r="M638">
        <f>COUNTIF(Fairteilungen!$D:$D,$B638)*3/4</f>
        <v>0</v>
      </c>
      <c r="N638">
        <f>COUNTIF(Anlieferung!D:D,$B638)*1/2</f>
        <v>0</v>
      </c>
      <c r="O638">
        <f>COUNTIF(Probeabholungen!B:B,$B638)*1/3</f>
        <v>0</v>
      </c>
    </row>
    <row r="639" spans="1:15" ht="27.6">
      <c r="A639" s="8" t="s">
        <v>618</v>
      </c>
      <c r="B639" s="8">
        <v>773189</v>
      </c>
      <c r="D639" s="29">
        <v>45245</v>
      </c>
      <c r="E639" s="1">
        <v>0</v>
      </c>
      <c r="F639" s="8">
        <v>6</v>
      </c>
      <c r="G639" s="30">
        <f t="shared" si="30"/>
        <v>-0.66666666666666696</v>
      </c>
      <c r="H639" s="8">
        <f t="shared" si="32"/>
        <v>6.666666666666667</v>
      </c>
      <c r="I639">
        <f t="shared" si="31"/>
        <v>6.666666666666667</v>
      </c>
      <c r="J639">
        <f>SUMIF(Oeffentlichkeitsarbeit!$D:$D,$B639,Oeffentlichkeitsarbeit!$F:$F)</f>
        <v>0</v>
      </c>
      <c r="K639">
        <f>COUNTIF(Fairteiler!$D:$D,$B639)*1/2</f>
        <v>2</v>
      </c>
      <c r="L639">
        <f>COUNTIF('NP-Betrieb'!D:D,$B639)*1/3</f>
        <v>4</v>
      </c>
      <c r="M639">
        <f>COUNTIF(Fairteilungen!$D:$D,$B639)*3/4</f>
        <v>0</v>
      </c>
      <c r="N639">
        <f>COUNTIF(Anlieferung!D:D,$B639)*1/2</f>
        <v>0</v>
      </c>
      <c r="O639">
        <f>COUNTIF(Probeabholungen!B:B,$B639)*1/3</f>
        <v>0.66666666666666663</v>
      </c>
    </row>
    <row r="640" spans="1:15" ht="27.6">
      <c r="A640" s="8" t="s">
        <v>619</v>
      </c>
      <c r="B640" s="8">
        <v>648771</v>
      </c>
      <c r="D640" s="29"/>
      <c r="E640" s="1">
        <v>0</v>
      </c>
      <c r="F640" s="8">
        <v>6</v>
      </c>
      <c r="G640" s="30">
        <f t="shared" si="30"/>
        <v>3.6666666666666665</v>
      </c>
      <c r="H640" s="8">
        <f t="shared" si="32"/>
        <v>2.3333333333333335</v>
      </c>
      <c r="I640">
        <f t="shared" si="31"/>
        <v>2.3333333333333335</v>
      </c>
      <c r="J640">
        <f>SUMIF(Oeffentlichkeitsarbeit!$D:$D,$B640,Oeffentlichkeitsarbeit!$F:$F)</f>
        <v>0</v>
      </c>
      <c r="K640">
        <f>COUNTIF(Fairteiler!$D:$D,$B640)*1/2</f>
        <v>0</v>
      </c>
      <c r="L640">
        <f>COUNTIF('NP-Betrieb'!D:D,$B640)*1/3</f>
        <v>2.3333333333333335</v>
      </c>
      <c r="M640">
        <f>COUNTIF(Fairteilungen!$D:$D,$B640)*3/4</f>
        <v>0</v>
      </c>
      <c r="N640">
        <f>COUNTIF(Anlieferung!D:D,$B640)*1/2</f>
        <v>0</v>
      </c>
      <c r="O640">
        <f>COUNTIF(Probeabholungen!B:B,$B640)*1/3</f>
        <v>0</v>
      </c>
    </row>
    <row r="641" spans="1:1024" ht="27.6">
      <c r="A641" s="8" t="s">
        <v>620</v>
      </c>
      <c r="B641" s="8">
        <v>520710</v>
      </c>
      <c r="D641" s="29"/>
      <c r="E641" s="1">
        <v>5.0066666666666704</v>
      </c>
      <c r="F641" s="8">
        <v>6</v>
      </c>
      <c r="G641" s="30">
        <f t="shared" si="30"/>
        <v>11.006666666666671</v>
      </c>
      <c r="H641" s="8">
        <f t="shared" si="32"/>
        <v>-5.0066666666666704</v>
      </c>
      <c r="I641">
        <f t="shared" si="31"/>
        <v>0</v>
      </c>
      <c r="J641">
        <f>SUMIF(Oeffentlichkeitsarbeit!$D:$D,$B641,Oeffentlichkeitsarbeit!$F:$F)</f>
        <v>0</v>
      </c>
      <c r="K641">
        <f>COUNTIF(Fairteiler!$D:$D,$B641)*1/2</f>
        <v>0</v>
      </c>
      <c r="L641">
        <f>COUNTIF('NP-Betrieb'!D:D,$B641)*1/3</f>
        <v>0</v>
      </c>
      <c r="M641">
        <f>COUNTIF(Fairteilungen!$D:$D,$B641)*3/4</f>
        <v>0</v>
      </c>
      <c r="N641">
        <f>COUNTIF(Anlieferung!D:D,$B641)*1/2</f>
        <v>0</v>
      </c>
      <c r="O641">
        <f>COUNTIF(Probeabholungen!B:B,$B641)*1/3</f>
        <v>0</v>
      </c>
    </row>
    <row r="642" spans="1:1024" ht="27.6">
      <c r="A642" s="8" t="s">
        <v>868</v>
      </c>
      <c r="B642" s="8">
        <v>973901</v>
      </c>
      <c r="D642" s="24">
        <v>46028</v>
      </c>
      <c r="E642">
        <v>0</v>
      </c>
      <c r="F642">
        <v>6</v>
      </c>
      <c r="G642" s="30">
        <f t="shared" ref="G642:G705" si="33">F642-H642</f>
        <v>6</v>
      </c>
      <c r="H642" s="8">
        <f t="shared" si="32"/>
        <v>0</v>
      </c>
      <c r="I642">
        <f t="shared" ref="I642:I705" si="34">SUM(J642:O642)</f>
        <v>0</v>
      </c>
      <c r="J642">
        <f>SUMIF(Oeffentlichkeitsarbeit!$D:$D,$B642,Oeffentlichkeitsarbeit!$F:$F)</f>
        <v>0</v>
      </c>
      <c r="K642">
        <f>COUNTIF(Fairteiler!$D:$D,$B642)*1/2</f>
        <v>0</v>
      </c>
      <c r="L642">
        <f>COUNTIF('NP-Betrieb'!D:D,$B642)*1/3</f>
        <v>0</v>
      </c>
      <c r="M642">
        <f>COUNTIF(Fairteilungen!$D:$D,$B642)*3/4</f>
        <v>0</v>
      </c>
      <c r="N642">
        <f>COUNTIF(Anlieferung!D:D,$B642)*1/2</f>
        <v>0</v>
      </c>
      <c r="O642">
        <f>COUNTIF(Probeabholungen!B:B,$B642)*1/3</f>
        <v>0</v>
      </c>
    </row>
    <row r="643" spans="1:1024" ht="27.6">
      <c r="A643" s="8" t="s">
        <v>621</v>
      </c>
      <c r="B643" s="8">
        <v>888312</v>
      </c>
      <c r="D643" s="24">
        <v>45799</v>
      </c>
      <c r="E643" s="1">
        <v>1.5</v>
      </c>
      <c r="F643">
        <v>6</v>
      </c>
      <c r="G643" s="30">
        <f t="shared" si="33"/>
        <v>7.5</v>
      </c>
      <c r="H643" s="8">
        <f t="shared" si="32"/>
        <v>-1.5</v>
      </c>
      <c r="I643">
        <f t="shared" si="34"/>
        <v>0</v>
      </c>
      <c r="J643">
        <f>SUMIF(Oeffentlichkeitsarbeit!$D:$D,$B643,Oeffentlichkeitsarbeit!$F:$F)</f>
        <v>0</v>
      </c>
      <c r="K643">
        <f>COUNTIF(Fairteiler!$D:$D,$B643)*1/2</f>
        <v>0</v>
      </c>
      <c r="L643">
        <f>COUNTIF('NP-Betrieb'!D:D,$B643)*1/3</f>
        <v>0</v>
      </c>
      <c r="M643">
        <f>COUNTIF(Fairteilungen!$D:$D,$B643)*3/4</f>
        <v>0</v>
      </c>
      <c r="N643">
        <f>COUNTIF(Anlieferung!D:D,$B643)*1/2</f>
        <v>0</v>
      </c>
      <c r="O643">
        <f>COUNTIF(Probeabholungen!B:B,$B643)*1/3</f>
        <v>0</v>
      </c>
    </row>
    <row r="644" spans="1:1024">
      <c r="A644" s="8" t="s">
        <v>622</v>
      </c>
      <c r="B644" s="8">
        <v>82731</v>
      </c>
      <c r="D644" s="29"/>
      <c r="E644" s="1">
        <v>10.8333333333333</v>
      </c>
      <c r="F644" s="8">
        <v>6</v>
      </c>
      <c r="G644" s="30">
        <f t="shared" si="33"/>
        <v>16.8333333333333</v>
      </c>
      <c r="H644" s="8">
        <f t="shared" si="32"/>
        <v>-10.8333333333333</v>
      </c>
      <c r="I644">
        <f t="shared" si="34"/>
        <v>0</v>
      </c>
      <c r="J644">
        <f>SUMIF(Oeffentlichkeitsarbeit!$D:$D,$B644,Oeffentlichkeitsarbeit!$F:$F)</f>
        <v>0</v>
      </c>
      <c r="K644">
        <f>COUNTIF(Fairteiler!$D:$D,$B644)*1/2</f>
        <v>0</v>
      </c>
      <c r="L644">
        <f>COUNTIF('NP-Betrieb'!D:D,$B644)*1/3</f>
        <v>0</v>
      </c>
      <c r="M644">
        <f>COUNTIF(Fairteilungen!$D:$D,$B644)*3/4</f>
        <v>0</v>
      </c>
      <c r="N644">
        <f>COUNTIF(Anlieferung!D:D,$B644)*1/2</f>
        <v>0</v>
      </c>
      <c r="O644">
        <f>COUNTIF(Probeabholungen!B:B,$B644)*1/3</f>
        <v>0</v>
      </c>
    </row>
    <row r="645" spans="1:1024">
      <c r="A645" s="8" t="s">
        <v>623</v>
      </c>
      <c r="B645" s="8">
        <v>707444</v>
      </c>
      <c r="D645" s="29"/>
      <c r="E645" s="1">
        <v>0</v>
      </c>
      <c r="F645" s="8">
        <v>6</v>
      </c>
      <c r="G645" s="30">
        <f t="shared" si="33"/>
        <v>0.5</v>
      </c>
      <c r="H645" s="8">
        <f t="shared" si="32"/>
        <v>5.5</v>
      </c>
      <c r="I645">
        <f t="shared" si="34"/>
        <v>5.5</v>
      </c>
      <c r="J645">
        <f>SUMIF(Oeffentlichkeitsarbeit!$D:$D,$B645,Oeffentlichkeitsarbeit!$F:$F)</f>
        <v>0</v>
      </c>
      <c r="K645">
        <f>COUNTIF(Fairteiler!$D:$D,$B645)*1/2</f>
        <v>2.5</v>
      </c>
      <c r="L645">
        <f>COUNTIF('NP-Betrieb'!D:D,$B645)*1/3</f>
        <v>3</v>
      </c>
      <c r="M645">
        <f>COUNTIF(Fairteilungen!$D:$D,$B645)*3/4</f>
        <v>0</v>
      </c>
      <c r="N645">
        <f>COUNTIF(Anlieferung!D:D,$B645)*1/2</f>
        <v>0</v>
      </c>
      <c r="O645">
        <f>COUNTIF(Probeabholungen!B:B,$B645)*1/3</f>
        <v>0</v>
      </c>
    </row>
    <row r="646" spans="1:1024" ht="27.6">
      <c r="A646" s="8" t="s">
        <v>624</v>
      </c>
      <c r="B646" s="8">
        <v>114372</v>
      </c>
      <c r="D646" s="29"/>
      <c r="E646" s="1">
        <v>12.3333333333333</v>
      </c>
      <c r="F646" s="8">
        <v>6</v>
      </c>
      <c r="G646" s="30">
        <f t="shared" si="33"/>
        <v>18.3333333333333</v>
      </c>
      <c r="H646" s="8">
        <f t="shared" si="32"/>
        <v>-12.3333333333333</v>
      </c>
      <c r="I646">
        <f t="shared" si="34"/>
        <v>0</v>
      </c>
      <c r="J646">
        <f>SUMIF(Oeffentlichkeitsarbeit!$D:$D,$B646,Oeffentlichkeitsarbeit!$F:$F)</f>
        <v>0</v>
      </c>
      <c r="K646">
        <f>COUNTIF(Fairteiler!$D:$D,$B646)*1/2</f>
        <v>0</v>
      </c>
      <c r="L646">
        <f>COUNTIF('NP-Betrieb'!D:D,$B646)*1/3</f>
        <v>0</v>
      </c>
      <c r="M646">
        <f>COUNTIF(Fairteilungen!$D:$D,$B646)*3/4</f>
        <v>0</v>
      </c>
      <c r="N646">
        <f>COUNTIF(Anlieferung!D:D,$B646)*1/2</f>
        <v>0</v>
      </c>
      <c r="O646">
        <f>COUNTIF(Probeabholungen!B:B,$B646)*1/3</f>
        <v>0</v>
      </c>
    </row>
    <row r="647" spans="1:1024">
      <c r="A647" s="8" t="s">
        <v>625</v>
      </c>
      <c r="B647" s="8">
        <v>903537</v>
      </c>
      <c r="D647" s="24">
        <v>45799</v>
      </c>
      <c r="E647" s="1">
        <v>3.1666666666666701</v>
      </c>
      <c r="F647">
        <v>6</v>
      </c>
      <c r="G647" s="30">
        <f t="shared" si="33"/>
        <v>9.1666666666666696</v>
      </c>
      <c r="H647" s="8">
        <f t="shared" si="32"/>
        <v>-3.1666666666666701</v>
      </c>
      <c r="I647">
        <f t="shared" si="34"/>
        <v>0</v>
      </c>
      <c r="J647">
        <f>SUMIF(Oeffentlichkeitsarbeit!$D:$D,$B647,Oeffentlichkeitsarbeit!$F:$F)</f>
        <v>0</v>
      </c>
      <c r="K647">
        <f>COUNTIF(Fairteiler!$D:$D,$B647)*1/2</f>
        <v>0</v>
      </c>
      <c r="L647">
        <f>COUNTIF('NP-Betrieb'!D:D,$B647)*1/3</f>
        <v>0</v>
      </c>
      <c r="M647">
        <f>COUNTIF(Fairteilungen!$D:$D,$B647)*3/4</f>
        <v>0</v>
      </c>
      <c r="N647">
        <f>COUNTIF(Anlieferung!D:D,$B647)*1/2</f>
        <v>0</v>
      </c>
      <c r="O647">
        <f>COUNTIF(Probeabholungen!B:B,$B647)*1/3</f>
        <v>0</v>
      </c>
    </row>
    <row r="648" spans="1:1024">
      <c r="A648" s="8" t="s">
        <v>626</v>
      </c>
      <c r="B648" s="8">
        <v>910211</v>
      </c>
      <c r="D648" s="24">
        <v>45917</v>
      </c>
      <c r="E648" s="1">
        <v>0</v>
      </c>
      <c r="F648">
        <v>6</v>
      </c>
      <c r="G648" s="30">
        <f t="shared" si="33"/>
        <v>6</v>
      </c>
      <c r="H648" s="8">
        <f t="shared" si="32"/>
        <v>0</v>
      </c>
      <c r="I648">
        <f t="shared" si="34"/>
        <v>0</v>
      </c>
      <c r="J648">
        <f>SUMIF(Oeffentlichkeitsarbeit!$D:$D,$B648,Oeffentlichkeitsarbeit!$F:$F)</f>
        <v>0</v>
      </c>
      <c r="K648">
        <f>COUNTIF(Fairteiler!$D:$D,$B648)*1/2</f>
        <v>0</v>
      </c>
      <c r="L648">
        <f>COUNTIF('NP-Betrieb'!D:D,$B648)*1/3</f>
        <v>0</v>
      </c>
      <c r="M648">
        <f>COUNTIF(Fairteilungen!$D:$D,$B648)*3/4</f>
        <v>0</v>
      </c>
      <c r="N648">
        <f>COUNTIF(Anlieferung!D:D,$B648)*1/2</f>
        <v>0</v>
      </c>
      <c r="O648">
        <f>COUNTIF(Probeabholungen!B:B,$B648)*1/3</f>
        <v>0</v>
      </c>
    </row>
    <row r="649" spans="1:1024" ht="27.6">
      <c r="A649" s="8" t="s">
        <v>627</v>
      </c>
      <c r="B649" s="8">
        <v>708958</v>
      </c>
      <c r="D649" s="29">
        <v>45245</v>
      </c>
      <c r="E649" s="1">
        <v>12.5</v>
      </c>
      <c r="F649" s="8">
        <v>6</v>
      </c>
      <c r="G649" s="30">
        <f t="shared" si="33"/>
        <v>18.5</v>
      </c>
      <c r="H649" s="8">
        <f t="shared" si="32"/>
        <v>-12.5</v>
      </c>
      <c r="I649">
        <f t="shared" si="34"/>
        <v>0</v>
      </c>
      <c r="J649">
        <f>SUMIF(Oeffentlichkeitsarbeit!$D:$D,$B649,Oeffentlichkeitsarbeit!$F:$F)</f>
        <v>0</v>
      </c>
      <c r="K649">
        <f>COUNTIF(Fairteiler!$D:$D,$B649)*1/2</f>
        <v>0</v>
      </c>
      <c r="L649">
        <f>COUNTIF('NP-Betrieb'!D:D,$B649)*1/3</f>
        <v>0</v>
      </c>
      <c r="M649">
        <f>COUNTIF(Fairteilungen!$D:$D,$B649)*3/4</f>
        <v>0</v>
      </c>
      <c r="N649">
        <f>COUNTIF(Anlieferung!D:D,$B649)*1/2</f>
        <v>0</v>
      </c>
      <c r="O649">
        <f>COUNTIF(Probeabholungen!B:B,$B649)*1/3</f>
        <v>0</v>
      </c>
    </row>
    <row r="650" spans="1:1024">
      <c r="A650" s="8" t="s">
        <v>869</v>
      </c>
      <c r="B650" s="8">
        <v>975283</v>
      </c>
      <c r="D650" s="24">
        <v>46087</v>
      </c>
      <c r="E650">
        <v>0</v>
      </c>
      <c r="F650">
        <v>5</v>
      </c>
      <c r="G650" s="30">
        <f t="shared" si="33"/>
        <v>4.333333333333333</v>
      </c>
      <c r="H650" s="8">
        <f t="shared" si="32"/>
        <v>0.66666666666666663</v>
      </c>
      <c r="I650">
        <f t="shared" si="34"/>
        <v>0.66666666666666663</v>
      </c>
      <c r="J650">
        <f>SUMIF(Oeffentlichkeitsarbeit!$D:$D,$B650,Oeffentlichkeitsarbeit!$F:$F)</f>
        <v>0</v>
      </c>
      <c r="K650">
        <f>COUNTIF(Fairteiler!$D:$D,$B650)*1/2</f>
        <v>0</v>
      </c>
      <c r="L650">
        <f>COUNTIF('NP-Betrieb'!D:D,$B650)*1/3</f>
        <v>0.66666666666666663</v>
      </c>
      <c r="M650">
        <f>COUNTIF(Fairteilungen!$D:$D,$B650)*3/4</f>
        <v>0</v>
      </c>
      <c r="N650">
        <f>COUNTIF(Anlieferung!D:D,$B650)*1/2</f>
        <v>0</v>
      </c>
      <c r="O650">
        <f>COUNTIF(Probeabholungen!B:B,$B650)*1/3</f>
        <v>0</v>
      </c>
    </row>
    <row r="651" spans="1:1024" s="44" customFormat="1">
      <c r="A651" s="8" t="s">
        <v>628</v>
      </c>
      <c r="B651" s="8">
        <v>681889</v>
      </c>
      <c r="C651"/>
      <c r="D651" s="29"/>
      <c r="E651" s="1">
        <v>15</v>
      </c>
      <c r="F651" s="8">
        <v>6</v>
      </c>
      <c r="G651" s="30">
        <f t="shared" si="33"/>
        <v>21</v>
      </c>
      <c r="H651" s="8">
        <f t="shared" si="32"/>
        <v>-15</v>
      </c>
      <c r="I651">
        <f t="shared" si="34"/>
        <v>0</v>
      </c>
      <c r="J651">
        <f>SUMIF(Oeffentlichkeitsarbeit!$D:$D,$B651,Oeffentlichkeitsarbeit!$F:$F)</f>
        <v>0</v>
      </c>
      <c r="K651">
        <f>COUNTIF(Fairteiler!$D:$D,$B651)*1/2</f>
        <v>0</v>
      </c>
      <c r="L651">
        <f>COUNTIF('NP-Betrieb'!D:D,$B651)*1/3</f>
        <v>0</v>
      </c>
      <c r="M651">
        <f>COUNTIF(Fairteilungen!$D:$D,$B651)*3/4</f>
        <v>0</v>
      </c>
      <c r="N651">
        <f>COUNTIF(Anlieferung!D:D,$B651)*1/2</f>
        <v>0</v>
      </c>
      <c r="O651">
        <f>COUNTIF(Probeabholungen!B:B,$B651)*1/3</f>
        <v>0</v>
      </c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/>
      <c r="BF651"/>
      <c r="BG651"/>
      <c r="BH651"/>
      <c r="BI651"/>
      <c r="BJ651"/>
      <c r="BK651"/>
      <c r="BL651"/>
      <c r="BM651"/>
      <c r="BN651"/>
      <c r="BO651"/>
      <c r="BP651"/>
      <c r="BQ651"/>
      <c r="BR651"/>
      <c r="BS651"/>
      <c r="BT651"/>
      <c r="BU651"/>
      <c r="BV651"/>
      <c r="BW651"/>
      <c r="BX651"/>
      <c r="BY651"/>
      <c r="BZ651"/>
      <c r="CA651"/>
      <c r="CB651"/>
      <c r="CC651"/>
      <c r="CD651"/>
      <c r="CE651"/>
      <c r="CF651"/>
      <c r="CG651"/>
      <c r="CH651"/>
      <c r="CI651"/>
      <c r="CJ651"/>
      <c r="CK651"/>
      <c r="CL651"/>
      <c r="CM651"/>
      <c r="CN651"/>
      <c r="CO651"/>
      <c r="CP651"/>
      <c r="CQ651"/>
      <c r="CR651"/>
      <c r="CS651"/>
      <c r="CT651"/>
      <c r="CU651"/>
      <c r="CV651"/>
      <c r="CW651"/>
      <c r="CX651"/>
      <c r="CY651"/>
      <c r="CZ651"/>
      <c r="DA651"/>
      <c r="DB651"/>
      <c r="DC651"/>
      <c r="DD651"/>
      <c r="DE651"/>
      <c r="DF651"/>
      <c r="DG651"/>
      <c r="DH651"/>
      <c r="DI651"/>
      <c r="DJ651"/>
      <c r="DK651"/>
      <c r="DL651"/>
      <c r="DM651"/>
      <c r="DN651"/>
      <c r="DO651"/>
      <c r="DP651"/>
      <c r="DQ651"/>
      <c r="DR651"/>
      <c r="DS651"/>
      <c r="DT651"/>
      <c r="DU651"/>
      <c r="DV651"/>
      <c r="DW651"/>
      <c r="DX651"/>
      <c r="DY651"/>
      <c r="DZ651"/>
      <c r="EA651"/>
      <c r="EB651"/>
      <c r="EC651"/>
      <c r="ED651"/>
      <c r="EE651"/>
      <c r="EF651"/>
      <c r="EG651"/>
      <c r="EH651"/>
      <c r="EI651"/>
      <c r="EJ651"/>
      <c r="EK651"/>
      <c r="EL651"/>
      <c r="EM651"/>
      <c r="EN651"/>
      <c r="EO651"/>
      <c r="EP651"/>
      <c r="EQ651"/>
      <c r="ER651"/>
      <c r="ES651"/>
      <c r="ET651"/>
      <c r="EU651"/>
      <c r="EV651"/>
      <c r="EW651"/>
      <c r="EX651"/>
      <c r="EY651"/>
      <c r="EZ651"/>
      <c r="FA651"/>
      <c r="FB651"/>
      <c r="FC651"/>
      <c r="FD651"/>
      <c r="FE651"/>
      <c r="FF651"/>
      <c r="FG651"/>
      <c r="FH651"/>
      <c r="FI651"/>
      <c r="FJ651"/>
      <c r="FK651"/>
      <c r="FL651"/>
      <c r="FM651"/>
      <c r="FN651"/>
      <c r="FO651"/>
      <c r="FP651"/>
      <c r="FQ651"/>
      <c r="FR651"/>
      <c r="FS651"/>
      <c r="FT651"/>
      <c r="FU651"/>
      <c r="FV651"/>
      <c r="FW651"/>
      <c r="FX651"/>
      <c r="FY651"/>
      <c r="FZ651"/>
      <c r="GA651"/>
      <c r="GB651"/>
      <c r="GC651"/>
      <c r="GD651"/>
      <c r="GE651"/>
      <c r="GF651"/>
      <c r="GG651"/>
      <c r="GH651"/>
      <c r="GI651"/>
      <c r="GJ651"/>
      <c r="GK651"/>
      <c r="GL651"/>
      <c r="GM651"/>
      <c r="GN651"/>
      <c r="GO651"/>
      <c r="GP651"/>
      <c r="GQ651"/>
      <c r="GR651"/>
      <c r="GS651"/>
      <c r="GT651"/>
      <c r="GU651"/>
      <c r="GV651"/>
      <c r="GW651"/>
      <c r="GX651"/>
      <c r="GY651"/>
      <c r="GZ651"/>
      <c r="HA651"/>
      <c r="HB651"/>
      <c r="HC651"/>
      <c r="HD651"/>
      <c r="HE651"/>
      <c r="HF651"/>
      <c r="HG651"/>
      <c r="HH651"/>
      <c r="HI651"/>
      <c r="HJ651"/>
      <c r="HK651"/>
      <c r="HL651"/>
      <c r="HM651"/>
      <c r="HN651"/>
      <c r="HO651"/>
      <c r="HP651"/>
      <c r="HQ651"/>
      <c r="HR651"/>
      <c r="HS651"/>
      <c r="HT651"/>
      <c r="HU651"/>
      <c r="HV651"/>
      <c r="HW651"/>
      <c r="HX651"/>
      <c r="HY651"/>
      <c r="HZ651"/>
      <c r="IA651"/>
      <c r="IB651"/>
      <c r="IC651"/>
      <c r="ID651"/>
      <c r="IE651"/>
      <c r="IF651"/>
      <c r="IG651"/>
      <c r="IH651"/>
      <c r="II651"/>
      <c r="IJ651"/>
      <c r="IK651"/>
      <c r="IL651"/>
      <c r="IM651"/>
      <c r="IN651"/>
      <c r="IO651"/>
      <c r="IP651"/>
      <c r="IQ651"/>
      <c r="IR651"/>
      <c r="IS651"/>
      <c r="IT651"/>
      <c r="IU651"/>
      <c r="IV651"/>
      <c r="IW651"/>
      <c r="IX651"/>
      <c r="IY651"/>
      <c r="IZ651"/>
      <c r="JA651"/>
      <c r="JB651"/>
      <c r="JC651"/>
      <c r="JD651"/>
      <c r="JE651"/>
      <c r="JF651"/>
      <c r="JG651"/>
      <c r="JH651"/>
      <c r="JI651"/>
      <c r="JJ651"/>
      <c r="JK651"/>
      <c r="JL651"/>
      <c r="JM651"/>
      <c r="JN651"/>
      <c r="JO651"/>
      <c r="JP651"/>
      <c r="JQ651"/>
      <c r="JR651"/>
      <c r="JS651"/>
      <c r="JT651"/>
      <c r="JU651"/>
      <c r="JV651"/>
      <c r="JW651"/>
      <c r="JX651"/>
      <c r="JY651"/>
      <c r="JZ651"/>
      <c r="KA651"/>
      <c r="KB651"/>
      <c r="KC651"/>
      <c r="KD651"/>
      <c r="KE651"/>
      <c r="KF651"/>
      <c r="KG651"/>
      <c r="KH651"/>
      <c r="KI651"/>
      <c r="KJ651"/>
      <c r="KK651"/>
      <c r="KL651"/>
      <c r="KM651"/>
      <c r="KN651"/>
      <c r="KO651"/>
      <c r="KP651"/>
      <c r="KQ651"/>
      <c r="KR651"/>
      <c r="KS651"/>
      <c r="KT651"/>
      <c r="KU651"/>
      <c r="KV651"/>
      <c r="KW651"/>
      <c r="KX651"/>
      <c r="KY651"/>
      <c r="KZ651"/>
      <c r="LA651"/>
      <c r="LB651"/>
      <c r="LC651"/>
      <c r="LD651"/>
      <c r="LE651"/>
      <c r="LF651"/>
      <c r="LG651"/>
      <c r="LH651"/>
      <c r="LI651"/>
      <c r="LJ651"/>
      <c r="LK651"/>
      <c r="LL651"/>
      <c r="LM651"/>
      <c r="LN651"/>
      <c r="LO651"/>
      <c r="LP651"/>
      <c r="LQ651"/>
      <c r="LR651"/>
      <c r="LS651"/>
      <c r="LT651"/>
      <c r="LU651"/>
      <c r="LV651"/>
      <c r="LW651"/>
      <c r="LX651"/>
      <c r="LY651"/>
      <c r="LZ651"/>
      <c r="MA651"/>
      <c r="MB651"/>
      <c r="MC651"/>
      <c r="MD651"/>
      <c r="ME651"/>
      <c r="MF651"/>
      <c r="MG651"/>
      <c r="MH651"/>
      <c r="MI651"/>
      <c r="MJ651"/>
      <c r="MK651"/>
      <c r="ML651"/>
      <c r="MM651"/>
      <c r="MN651"/>
      <c r="MO651"/>
      <c r="MP651"/>
      <c r="MQ651"/>
      <c r="MR651"/>
      <c r="MS651"/>
      <c r="MT651"/>
      <c r="MU651"/>
      <c r="MV651"/>
      <c r="MW651"/>
      <c r="MX651"/>
      <c r="MY651"/>
      <c r="MZ651"/>
      <c r="NA651"/>
      <c r="NB651"/>
      <c r="NC651"/>
      <c r="ND651"/>
      <c r="NE651"/>
      <c r="NF651"/>
      <c r="NG651"/>
      <c r="NH651"/>
      <c r="NI651"/>
      <c r="NJ651"/>
      <c r="NK651"/>
      <c r="NL651"/>
      <c r="NM651"/>
      <c r="NN651"/>
      <c r="NO651"/>
      <c r="NP651"/>
      <c r="NQ651"/>
      <c r="NR651"/>
      <c r="NS651"/>
      <c r="NT651"/>
      <c r="NU651"/>
      <c r="NV651"/>
      <c r="NW651"/>
      <c r="NX651"/>
      <c r="NY651"/>
      <c r="NZ651"/>
      <c r="OA651"/>
      <c r="OB651"/>
      <c r="OC651"/>
      <c r="OD651"/>
      <c r="OE651"/>
      <c r="OF651"/>
      <c r="OG651"/>
      <c r="OH651"/>
      <c r="OI651"/>
      <c r="OJ651"/>
      <c r="OK651"/>
      <c r="OL651"/>
      <c r="OM651"/>
      <c r="ON651"/>
      <c r="OO651"/>
      <c r="OP651"/>
      <c r="OQ651"/>
      <c r="OR651"/>
      <c r="OS651"/>
      <c r="OT651"/>
      <c r="OU651"/>
      <c r="OV651"/>
      <c r="OW651"/>
      <c r="OX651"/>
      <c r="OY651"/>
      <c r="OZ651"/>
      <c r="PA651"/>
      <c r="PB651"/>
      <c r="PC651"/>
      <c r="PD651"/>
      <c r="PE651"/>
      <c r="PF651"/>
      <c r="PG651"/>
      <c r="PH651"/>
      <c r="PI651"/>
      <c r="PJ651"/>
      <c r="PK651"/>
      <c r="PL651"/>
      <c r="PM651"/>
      <c r="PN651"/>
      <c r="PO651"/>
      <c r="PP651"/>
      <c r="PQ651"/>
      <c r="PR651"/>
      <c r="PS651"/>
      <c r="PT651"/>
      <c r="PU651"/>
      <c r="PV651"/>
      <c r="PW651"/>
      <c r="PX651"/>
      <c r="PY651"/>
      <c r="PZ651"/>
      <c r="QA651"/>
      <c r="QB651"/>
      <c r="QC651"/>
      <c r="QD651"/>
      <c r="QE651"/>
      <c r="QF651"/>
      <c r="QG651"/>
      <c r="QH651"/>
      <c r="QI651"/>
      <c r="QJ651"/>
      <c r="QK651"/>
      <c r="QL651"/>
      <c r="QM651"/>
      <c r="QN651"/>
      <c r="QO651"/>
      <c r="QP651"/>
      <c r="QQ651"/>
      <c r="QR651"/>
      <c r="QS651"/>
      <c r="QT651"/>
      <c r="QU651"/>
      <c r="QV651"/>
      <c r="QW651"/>
      <c r="QX651"/>
      <c r="QY651"/>
      <c r="QZ651"/>
      <c r="RA651"/>
      <c r="RB651"/>
      <c r="RC651"/>
      <c r="RD651"/>
      <c r="RE651"/>
      <c r="RF651"/>
      <c r="RG651"/>
      <c r="RH651"/>
      <c r="RI651"/>
      <c r="RJ651"/>
      <c r="RK651"/>
      <c r="RL651"/>
      <c r="RM651"/>
      <c r="RN651"/>
      <c r="RO651"/>
      <c r="RP651"/>
      <c r="RQ651"/>
      <c r="RR651"/>
      <c r="RS651"/>
      <c r="RT651"/>
      <c r="RU651"/>
      <c r="RV651"/>
      <c r="RW651"/>
      <c r="RX651"/>
      <c r="RY651"/>
      <c r="RZ651"/>
      <c r="SA651"/>
      <c r="SB651"/>
      <c r="SC651"/>
      <c r="SD651"/>
      <c r="SE651"/>
      <c r="SF651"/>
      <c r="SG651"/>
      <c r="SH651"/>
      <c r="SI651"/>
      <c r="SJ651"/>
      <c r="SK651"/>
      <c r="SL651"/>
      <c r="SM651"/>
      <c r="SN651"/>
      <c r="SO651"/>
      <c r="SP651"/>
      <c r="SQ651"/>
      <c r="SR651"/>
      <c r="SS651"/>
      <c r="ST651"/>
      <c r="SU651"/>
      <c r="SV651"/>
      <c r="SW651"/>
      <c r="SX651"/>
      <c r="SY651"/>
      <c r="SZ651"/>
      <c r="TA651"/>
      <c r="TB651"/>
      <c r="TC651"/>
      <c r="TD651"/>
      <c r="TE651"/>
      <c r="TF651"/>
      <c r="TG651"/>
      <c r="TH651"/>
      <c r="TI651"/>
      <c r="TJ651"/>
      <c r="TK651"/>
      <c r="TL651"/>
      <c r="TM651"/>
      <c r="TN651"/>
      <c r="TO651"/>
      <c r="TP651"/>
      <c r="TQ651"/>
      <c r="TR651"/>
      <c r="TS651"/>
      <c r="TT651"/>
      <c r="TU651"/>
      <c r="TV651"/>
      <c r="TW651"/>
      <c r="TX651"/>
      <c r="TY651"/>
      <c r="TZ651"/>
      <c r="UA651"/>
      <c r="UB651"/>
      <c r="UC651"/>
      <c r="UD651"/>
      <c r="UE651"/>
      <c r="UF651"/>
      <c r="UG651"/>
      <c r="UH651"/>
      <c r="UI651"/>
      <c r="UJ651"/>
      <c r="UK651"/>
      <c r="UL651"/>
      <c r="UM651"/>
      <c r="UN651"/>
      <c r="UO651"/>
      <c r="UP651"/>
      <c r="UQ651"/>
      <c r="UR651"/>
      <c r="US651"/>
      <c r="UT651"/>
      <c r="UU651"/>
      <c r="UV651"/>
      <c r="UW651"/>
      <c r="UX651"/>
      <c r="UY651"/>
      <c r="UZ651"/>
      <c r="VA651"/>
      <c r="VB651"/>
      <c r="VC651"/>
      <c r="VD651"/>
      <c r="VE651"/>
      <c r="VF651"/>
      <c r="VG651"/>
      <c r="VH651"/>
      <c r="VI651"/>
      <c r="VJ651"/>
      <c r="VK651"/>
      <c r="VL651"/>
      <c r="VM651"/>
      <c r="VN651"/>
      <c r="VO651"/>
      <c r="VP651"/>
      <c r="VQ651"/>
      <c r="VR651"/>
      <c r="VS651"/>
      <c r="VT651"/>
      <c r="VU651"/>
      <c r="VV651"/>
      <c r="VW651"/>
      <c r="VX651"/>
      <c r="VY651"/>
      <c r="VZ651"/>
      <c r="WA651"/>
      <c r="WB651"/>
      <c r="WC651"/>
      <c r="WD651"/>
      <c r="WE651"/>
      <c r="WF651"/>
      <c r="WG651"/>
      <c r="WH651"/>
      <c r="WI651"/>
      <c r="WJ651"/>
      <c r="WK651"/>
      <c r="WL651"/>
      <c r="WM651"/>
      <c r="WN651"/>
      <c r="WO651"/>
      <c r="WP651"/>
      <c r="WQ651"/>
      <c r="WR651"/>
      <c r="WS651"/>
      <c r="WT651"/>
      <c r="WU651"/>
      <c r="WV651"/>
      <c r="WW651"/>
      <c r="WX651"/>
      <c r="WY651"/>
      <c r="WZ651"/>
      <c r="XA651"/>
      <c r="XB651"/>
      <c r="XC651"/>
      <c r="XD651"/>
      <c r="XE651"/>
      <c r="XF651"/>
      <c r="XG651"/>
      <c r="XH651"/>
      <c r="XI651"/>
      <c r="XJ651"/>
      <c r="XK651"/>
      <c r="XL651"/>
      <c r="XM651"/>
      <c r="XN651"/>
      <c r="XO651"/>
      <c r="XP651"/>
      <c r="XQ651"/>
      <c r="XR651"/>
      <c r="XS651"/>
      <c r="XT651"/>
      <c r="XU651"/>
      <c r="XV651"/>
      <c r="XW651"/>
      <c r="XX651"/>
      <c r="XY651"/>
      <c r="XZ651"/>
      <c r="YA651"/>
      <c r="YB651"/>
      <c r="YC651"/>
      <c r="YD651"/>
      <c r="YE651"/>
      <c r="YF651"/>
      <c r="YG651"/>
      <c r="YH651"/>
      <c r="YI651"/>
      <c r="YJ651"/>
      <c r="YK651"/>
      <c r="YL651"/>
      <c r="YM651"/>
      <c r="YN651"/>
      <c r="YO651"/>
      <c r="YP651"/>
      <c r="YQ651"/>
      <c r="YR651"/>
      <c r="YS651"/>
      <c r="YT651"/>
      <c r="YU651"/>
      <c r="YV651"/>
      <c r="YW651"/>
      <c r="YX651"/>
      <c r="YY651"/>
      <c r="YZ651"/>
      <c r="ZA651"/>
      <c r="ZB651"/>
      <c r="ZC651"/>
      <c r="ZD651"/>
      <c r="ZE651"/>
      <c r="ZF651"/>
      <c r="ZG651"/>
      <c r="ZH651"/>
      <c r="ZI651"/>
      <c r="ZJ651"/>
      <c r="ZK651"/>
      <c r="ZL651"/>
      <c r="ZM651"/>
      <c r="ZN651"/>
      <c r="ZO651"/>
      <c r="ZP651"/>
      <c r="ZQ651"/>
      <c r="ZR651"/>
      <c r="ZS651"/>
      <c r="ZT651"/>
      <c r="ZU651"/>
      <c r="ZV651"/>
      <c r="ZW651"/>
      <c r="ZX651"/>
      <c r="ZY651"/>
      <c r="ZZ651"/>
      <c r="AAA651"/>
      <c r="AAB651"/>
      <c r="AAC651"/>
      <c r="AAD651"/>
      <c r="AAE651"/>
      <c r="AAF651"/>
      <c r="AAG651"/>
      <c r="AAH651"/>
      <c r="AAI651"/>
      <c r="AAJ651"/>
      <c r="AAK651"/>
      <c r="AAL651"/>
      <c r="AAM651"/>
      <c r="AAN651"/>
      <c r="AAO651"/>
      <c r="AAP651"/>
      <c r="AAQ651"/>
      <c r="AAR651"/>
      <c r="AAS651"/>
      <c r="AAT651"/>
      <c r="AAU651"/>
      <c r="AAV651"/>
      <c r="AAW651"/>
      <c r="AAX651"/>
      <c r="AAY651"/>
      <c r="AAZ651"/>
      <c r="ABA651"/>
      <c r="ABB651"/>
      <c r="ABC651"/>
      <c r="ABD651"/>
      <c r="ABE651"/>
      <c r="ABF651"/>
      <c r="ABG651"/>
      <c r="ABH651"/>
      <c r="ABI651"/>
      <c r="ABJ651"/>
      <c r="ABK651"/>
      <c r="ABL651"/>
      <c r="ABM651"/>
      <c r="ABN651"/>
      <c r="ABO651"/>
      <c r="ABP651"/>
      <c r="ABQ651"/>
      <c r="ABR651"/>
      <c r="ABS651"/>
      <c r="ABT651"/>
      <c r="ABU651"/>
      <c r="ABV651"/>
      <c r="ABW651"/>
      <c r="ABX651"/>
      <c r="ABY651"/>
      <c r="ABZ651"/>
      <c r="ACA651"/>
      <c r="ACB651"/>
      <c r="ACC651"/>
      <c r="ACD651"/>
      <c r="ACE651"/>
      <c r="ACF651"/>
      <c r="ACG651"/>
      <c r="ACH651"/>
      <c r="ACI651"/>
      <c r="ACJ651"/>
      <c r="ACK651"/>
      <c r="ACL651"/>
      <c r="ACM651"/>
      <c r="ACN651"/>
      <c r="ACO651"/>
      <c r="ACP651"/>
      <c r="ACQ651"/>
      <c r="ACR651"/>
      <c r="ACS651"/>
      <c r="ACT651"/>
      <c r="ACU651"/>
      <c r="ACV651"/>
      <c r="ACW651"/>
      <c r="ACX651"/>
      <c r="ACY651"/>
      <c r="ACZ651"/>
      <c r="ADA651"/>
      <c r="ADB651"/>
      <c r="ADC651"/>
      <c r="ADD651"/>
      <c r="ADE651"/>
      <c r="ADF651"/>
      <c r="ADG651"/>
      <c r="ADH651"/>
      <c r="ADI651"/>
      <c r="ADJ651"/>
      <c r="ADK651"/>
      <c r="ADL651"/>
      <c r="ADM651"/>
      <c r="ADN651"/>
      <c r="ADO651"/>
      <c r="ADP651"/>
      <c r="ADQ651"/>
      <c r="ADR651"/>
      <c r="ADS651"/>
      <c r="ADT651"/>
      <c r="ADU651"/>
      <c r="ADV651"/>
      <c r="ADW651"/>
      <c r="ADX651"/>
      <c r="ADY651"/>
      <c r="ADZ651"/>
      <c r="AEA651"/>
      <c r="AEB651"/>
      <c r="AEC651"/>
      <c r="AED651"/>
      <c r="AEE651"/>
      <c r="AEF651"/>
      <c r="AEG651"/>
      <c r="AEH651"/>
      <c r="AEI651"/>
      <c r="AEJ651"/>
      <c r="AEK651"/>
      <c r="AEL651"/>
      <c r="AEM651"/>
      <c r="AEN651"/>
      <c r="AEO651"/>
      <c r="AEP651"/>
      <c r="AEQ651"/>
      <c r="AER651"/>
      <c r="AES651"/>
      <c r="AET651"/>
      <c r="AEU651"/>
      <c r="AEV651"/>
      <c r="AEW651"/>
      <c r="AEX651"/>
      <c r="AEY651"/>
      <c r="AEZ651"/>
      <c r="AFA651"/>
      <c r="AFB651"/>
      <c r="AFC651"/>
      <c r="AFD651"/>
      <c r="AFE651"/>
      <c r="AFF651"/>
      <c r="AFG651"/>
      <c r="AFH651"/>
      <c r="AFI651"/>
      <c r="AFJ651"/>
      <c r="AFK651"/>
      <c r="AFL651"/>
      <c r="AFM651"/>
      <c r="AFN651"/>
      <c r="AFO651"/>
      <c r="AFP651"/>
      <c r="AFQ651"/>
      <c r="AFR651"/>
      <c r="AFS651"/>
      <c r="AFT651"/>
      <c r="AFU651"/>
      <c r="AFV651"/>
      <c r="AFW651"/>
      <c r="AFX651"/>
      <c r="AFY651"/>
      <c r="AFZ651"/>
      <c r="AGA651"/>
      <c r="AGB651"/>
      <c r="AGC651"/>
      <c r="AGD651"/>
      <c r="AGE651"/>
      <c r="AGF651"/>
      <c r="AGG651"/>
      <c r="AGH651"/>
      <c r="AGI651"/>
      <c r="AGJ651"/>
      <c r="AGK651"/>
      <c r="AGL651"/>
      <c r="AGM651"/>
      <c r="AGN651"/>
      <c r="AGO651"/>
      <c r="AGP651"/>
      <c r="AGQ651"/>
      <c r="AGR651"/>
      <c r="AGS651"/>
      <c r="AGT651"/>
      <c r="AGU651"/>
      <c r="AGV651"/>
      <c r="AGW651"/>
      <c r="AGX651"/>
      <c r="AGY651"/>
      <c r="AGZ651"/>
      <c r="AHA651"/>
      <c r="AHB651"/>
      <c r="AHC651"/>
      <c r="AHD651"/>
      <c r="AHE651"/>
      <c r="AHF651"/>
      <c r="AHG651"/>
      <c r="AHH651"/>
      <c r="AHI651"/>
      <c r="AHJ651"/>
      <c r="AHK651"/>
      <c r="AHL651"/>
      <c r="AHM651"/>
      <c r="AHN651"/>
      <c r="AHO651"/>
      <c r="AHP651"/>
      <c r="AHQ651"/>
      <c r="AHR651"/>
      <c r="AHS651"/>
      <c r="AHT651"/>
      <c r="AHU651"/>
      <c r="AHV651"/>
      <c r="AHW651"/>
      <c r="AHX651"/>
      <c r="AHY651"/>
      <c r="AHZ651"/>
      <c r="AIA651"/>
      <c r="AIB651"/>
      <c r="AIC651"/>
      <c r="AID651"/>
      <c r="AIE651"/>
      <c r="AIF651"/>
      <c r="AIG651"/>
      <c r="AIH651"/>
      <c r="AII651"/>
      <c r="AIJ651"/>
      <c r="AIK651"/>
      <c r="AIL651"/>
      <c r="AIM651"/>
      <c r="AIN651"/>
      <c r="AIO651"/>
      <c r="AIP651"/>
      <c r="AIQ651"/>
      <c r="AIR651"/>
      <c r="AIS651"/>
      <c r="AIT651"/>
      <c r="AIU651"/>
      <c r="AIV651"/>
      <c r="AIW651"/>
      <c r="AIX651"/>
      <c r="AIY651"/>
      <c r="AIZ651"/>
      <c r="AJA651"/>
      <c r="AJB651"/>
      <c r="AJC651"/>
      <c r="AJD651"/>
      <c r="AJE651"/>
      <c r="AJF651"/>
      <c r="AJG651"/>
      <c r="AJH651"/>
      <c r="AJI651"/>
      <c r="AJJ651"/>
      <c r="AJK651"/>
      <c r="AJL651"/>
      <c r="AJM651"/>
      <c r="AJN651"/>
      <c r="AJO651"/>
      <c r="AJP651"/>
      <c r="AJQ651"/>
      <c r="AJR651"/>
      <c r="AJS651"/>
      <c r="AJT651"/>
      <c r="AJU651"/>
      <c r="AJV651"/>
      <c r="AJW651"/>
      <c r="AJX651"/>
      <c r="AJY651"/>
      <c r="AJZ651"/>
      <c r="AKA651"/>
      <c r="AKB651"/>
      <c r="AKC651"/>
      <c r="AKD651"/>
      <c r="AKE651"/>
      <c r="AKF651"/>
      <c r="AKG651"/>
      <c r="AKH651"/>
      <c r="AKI651"/>
      <c r="AKJ651"/>
      <c r="AKK651"/>
      <c r="AKL651"/>
      <c r="AKM651"/>
      <c r="AKN651"/>
      <c r="AKO651"/>
      <c r="AKP651"/>
      <c r="AKQ651"/>
      <c r="AKR651"/>
      <c r="AKS651"/>
      <c r="AKT651"/>
      <c r="AKU651"/>
      <c r="AKV651"/>
      <c r="AKW651"/>
      <c r="AKX651"/>
      <c r="AKY651"/>
      <c r="AKZ651"/>
      <c r="ALA651"/>
      <c r="ALB651"/>
      <c r="ALC651"/>
      <c r="ALD651"/>
      <c r="ALE651"/>
      <c r="ALF651"/>
      <c r="ALG651"/>
      <c r="ALH651"/>
      <c r="ALI651"/>
      <c r="ALJ651"/>
      <c r="ALK651"/>
      <c r="ALL651"/>
      <c r="ALM651"/>
      <c r="ALN651"/>
      <c r="ALO651"/>
      <c r="ALP651"/>
      <c r="ALQ651"/>
      <c r="ALR651"/>
      <c r="ALS651"/>
      <c r="ALT651"/>
      <c r="ALU651"/>
      <c r="ALV651"/>
      <c r="ALW651"/>
      <c r="ALX651"/>
      <c r="ALY651"/>
      <c r="ALZ651"/>
      <c r="AMA651"/>
      <c r="AMB651"/>
      <c r="AMC651"/>
      <c r="AMD651"/>
      <c r="AME651"/>
      <c r="AMF651"/>
      <c r="AMG651"/>
      <c r="AMH651"/>
      <c r="AMI651"/>
      <c r="AMJ651"/>
    </row>
    <row r="652" spans="1:1024" ht="27.6">
      <c r="A652" s="8" t="s">
        <v>630</v>
      </c>
      <c r="B652" s="8">
        <v>574333</v>
      </c>
      <c r="D652" s="29"/>
      <c r="E652" s="1">
        <v>1.6666666666666701</v>
      </c>
      <c r="F652" s="8">
        <v>6</v>
      </c>
      <c r="G652" s="30">
        <f t="shared" si="33"/>
        <v>2.6666666666666701</v>
      </c>
      <c r="H652" s="8">
        <f t="shared" si="32"/>
        <v>3.3333333333333299</v>
      </c>
      <c r="I652">
        <f t="shared" si="34"/>
        <v>5</v>
      </c>
      <c r="J652">
        <f>SUMIF(Oeffentlichkeitsarbeit!$D:$D,$B652,Oeffentlichkeitsarbeit!$F:$F)</f>
        <v>0</v>
      </c>
      <c r="K652">
        <f>COUNTIF(Fairteiler!$D:$D,$B652)*1/2</f>
        <v>0</v>
      </c>
      <c r="L652">
        <f>COUNTIF('NP-Betrieb'!D:D,$B652)*1/3</f>
        <v>5</v>
      </c>
      <c r="M652">
        <f>COUNTIF(Fairteilungen!$D:$D,$B652)*3/4</f>
        <v>0</v>
      </c>
      <c r="N652">
        <f>COUNTIF(Anlieferung!D:D,$B652)*1/2</f>
        <v>0</v>
      </c>
      <c r="O652">
        <f>COUNTIF(Probeabholungen!B:B,$B652)*1/3</f>
        <v>0</v>
      </c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44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  <c r="DK652" s="44"/>
      <c r="DL652" s="44"/>
      <c r="DM652" s="44"/>
      <c r="DN652" s="44"/>
      <c r="DO652" s="44"/>
      <c r="DP652" s="44"/>
      <c r="DQ652" s="44"/>
      <c r="DR652" s="44"/>
      <c r="DS652" s="44"/>
      <c r="DT652" s="44"/>
      <c r="DU652" s="44"/>
      <c r="DV652" s="44"/>
      <c r="DW652" s="44"/>
      <c r="DX652" s="44"/>
      <c r="DY652" s="44"/>
      <c r="DZ652" s="44"/>
      <c r="EA652" s="44"/>
      <c r="EB652" s="44"/>
      <c r="EC652" s="44"/>
      <c r="ED652" s="44"/>
      <c r="EE652" s="44"/>
      <c r="EF652" s="44"/>
      <c r="EG652" s="44"/>
      <c r="EH652" s="44"/>
      <c r="EI652" s="44"/>
      <c r="EJ652" s="44"/>
      <c r="EK652" s="44"/>
      <c r="EL652" s="44"/>
      <c r="EM652" s="44"/>
      <c r="EN652" s="44"/>
      <c r="EO652" s="44"/>
      <c r="EP652" s="44"/>
      <c r="EQ652" s="44"/>
      <c r="ER652" s="44"/>
      <c r="ES652" s="44"/>
      <c r="ET652" s="44"/>
      <c r="EU652" s="44"/>
      <c r="EV652" s="44"/>
      <c r="EW652" s="44"/>
      <c r="EX652" s="44"/>
      <c r="EY652" s="44"/>
      <c r="EZ652" s="44"/>
      <c r="FA652" s="44"/>
      <c r="FB652" s="44"/>
      <c r="FC652" s="44"/>
      <c r="FD652" s="44"/>
      <c r="FE652" s="44"/>
      <c r="FF652" s="44"/>
      <c r="FG652" s="44"/>
      <c r="FH652" s="44"/>
      <c r="FI652" s="44"/>
      <c r="FJ652" s="44"/>
      <c r="FK652" s="44"/>
      <c r="FL652" s="44"/>
      <c r="FM652" s="44"/>
      <c r="FN652" s="44"/>
      <c r="FO652" s="44"/>
      <c r="FP652" s="44"/>
      <c r="FQ652" s="44"/>
      <c r="FR652" s="44"/>
      <c r="FS652" s="44"/>
      <c r="FT652" s="44"/>
      <c r="FU652" s="44"/>
      <c r="FV652" s="44"/>
      <c r="FW652" s="44"/>
      <c r="FX652" s="44"/>
      <c r="FY652" s="44"/>
      <c r="FZ652" s="44"/>
      <c r="GA652" s="44"/>
      <c r="GB652" s="44"/>
      <c r="GC652" s="44"/>
      <c r="GD652" s="44"/>
      <c r="GE652" s="44"/>
      <c r="GF652" s="44"/>
      <c r="GG652" s="44"/>
      <c r="GH652" s="44"/>
      <c r="GI652" s="44"/>
      <c r="GJ652" s="44"/>
      <c r="GK652" s="44"/>
      <c r="GL652" s="44"/>
      <c r="GM652" s="44"/>
      <c r="GN652" s="44"/>
      <c r="GO652" s="44"/>
      <c r="GP652" s="44"/>
      <c r="GQ652" s="44"/>
      <c r="GR652" s="44"/>
      <c r="GS652" s="44"/>
      <c r="GT652" s="44"/>
      <c r="GU652" s="44"/>
      <c r="GV652" s="44"/>
      <c r="GW652" s="44"/>
      <c r="GX652" s="44"/>
      <c r="GY652" s="44"/>
      <c r="GZ652" s="44"/>
      <c r="HA652" s="44"/>
      <c r="HB652" s="44"/>
      <c r="HC652" s="44"/>
      <c r="HD652" s="44"/>
      <c r="HE652" s="44"/>
      <c r="HF652" s="44"/>
      <c r="HG652" s="44"/>
      <c r="HH652" s="44"/>
      <c r="HI652" s="44"/>
      <c r="HJ652" s="44"/>
      <c r="HK652" s="44"/>
      <c r="HL652" s="44"/>
      <c r="HM652" s="44"/>
      <c r="HN652" s="44"/>
      <c r="HO652" s="44"/>
      <c r="HP652" s="44"/>
      <c r="HQ652" s="44"/>
      <c r="HR652" s="44"/>
      <c r="HS652" s="44"/>
      <c r="HT652" s="44"/>
      <c r="HU652" s="44"/>
      <c r="HV652" s="44"/>
      <c r="HW652" s="44"/>
      <c r="HX652" s="44"/>
      <c r="HY652" s="44"/>
      <c r="HZ652" s="44"/>
      <c r="IA652" s="44"/>
      <c r="IB652" s="44"/>
      <c r="IC652" s="44"/>
      <c r="ID652" s="44"/>
      <c r="IE652" s="44"/>
      <c r="IF652" s="44"/>
      <c r="IG652" s="44"/>
      <c r="IH652" s="44"/>
      <c r="II652" s="44"/>
      <c r="IJ652" s="44"/>
      <c r="IK652" s="44"/>
      <c r="IL652" s="44"/>
      <c r="IM652" s="44"/>
      <c r="IN652" s="44"/>
      <c r="IO652" s="44"/>
      <c r="IP652" s="44"/>
      <c r="IQ652" s="44"/>
      <c r="IR652" s="44"/>
      <c r="IS652" s="44"/>
      <c r="IT652" s="44"/>
      <c r="IU652" s="44"/>
      <c r="IV652" s="44"/>
      <c r="IW652" s="44"/>
      <c r="IX652" s="44"/>
      <c r="IY652" s="44"/>
      <c r="IZ652" s="44"/>
      <c r="JA652" s="44"/>
      <c r="JB652" s="44"/>
      <c r="JC652" s="44"/>
      <c r="JD652" s="44"/>
      <c r="JE652" s="44"/>
      <c r="JF652" s="44"/>
      <c r="JG652" s="44"/>
      <c r="JH652" s="44"/>
      <c r="JI652" s="44"/>
      <c r="JJ652" s="44"/>
      <c r="JK652" s="44"/>
      <c r="JL652" s="44"/>
      <c r="JM652" s="44"/>
      <c r="JN652" s="44"/>
      <c r="JO652" s="44"/>
      <c r="JP652" s="44"/>
      <c r="JQ652" s="44"/>
      <c r="JR652" s="44"/>
      <c r="JS652" s="44"/>
      <c r="JT652" s="44"/>
      <c r="JU652" s="44"/>
      <c r="JV652" s="44"/>
      <c r="JW652" s="44"/>
      <c r="JX652" s="44"/>
      <c r="JY652" s="44"/>
      <c r="JZ652" s="44"/>
      <c r="KA652" s="44"/>
      <c r="KB652" s="44"/>
      <c r="KC652" s="44"/>
      <c r="KD652" s="44"/>
      <c r="KE652" s="44"/>
      <c r="KF652" s="44"/>
      <c r="KG652" s="44"/>
      <c r="KH652" s="44"/>
      <c r="KI652" s="44"/>
      <c r="KJ652" s="44"/>
      <c r="KK652" s="44"/>
      <c r="KL652" s="44"/>
      <c r="KM652" s="44"/>
      <c r="KN652" s="44"/>
      <c r="KO652" s="44"/>
      <c r="KP652" s="44"/>
      <c r="KQ652" s="44"/>
      <c r="KR652" s="44"/>
      <c r="KS652" s="44"/>
      <c r="KT652" s="44"/>
      <c r="KU652" s="44"/>
      <c r="KV652" s="44"/>
      <c r="KW652" s="44"/>
      <c r="KX652" s="44"/>
      <c r="KY652" s="44"/>
      <c r="KZ652" s="44"/>
      <c r="LA652" s="44"/>
      <c r="LB652" s="44"/>
      <c r="LC652" s="44"/>
      <c r="LD652" s="44"/>
      <c r="LE652" s="44"/>
      <c r="LF652" s="44"/>
      <c r="LG652" s="44"/>
      <c r="LH652" s="44"/>
      <c r="LI652" s="44"/>
      <c r="LJ652" s="44"/>
      <c r="LK652" s="44"/>
      <c r="LL652" s="44"/>
      <c r="LM652" s="44"/>
      <c r="LN652" s="44"/>
      <c r="LO652" s="44"/>
      <c r="LP652" s="44"/>
      <c r="LQ652" s="44"/>
      <c r="LR652" s="44"/>
      <c r="LS652" s="44"/>
      <c r="LT652" s="44"/>
      <c r="LU652" s="44"/>
      <c r="LV652" s="44"/>
      <c r="LW652" s="44"/>
      <c r="LX652" s="44"/>
      <c r="LY652" s="44"/>
      <c r="LZ652" s="44"/>
      <c r="MA652" s="44"/>
      <c r="MB652" s="44"/>
      <c r="MC652" s="44"/>
      <c r="MD652" s="44"/>
      <c r="ME652" s="44"/>
      <c r="MF652" s="44"/>
      <c r="MG652" s="44"/>
      <c r="MH652" s="44"/>
      <c r="MI652" s="44"/>
      <c r="MJ652" s="44"/>
      <c r="MK652" s="44"/>
      <c r="ML652" s="44"/>
      <c r="MM652" s="44"/>
      <c r="MN652" s="44"/>
      <c r="MO652" s="44"/>
      <c r="MP652" s="44"/>
      <c r="MQ652" s="44"/>
      <c r="MR652" s="44"/>
      <c r="MS652" s="44"/>
      <c r="MT652" s="44"/>
      <c r="MU652" s="44"/>
      <c r="MV652" s="44"/>
      <c r="MW652" s="44"/>
      <c r="MX652" s="44"/>
      <c r="MY652" s="44"/>
      <c r="MZ652" s="44"/>
      <c r="NA652" s="44"/>
      <c r="NB652" s="44"/>
      <c r="NC652" s="44"/>
      <c r="ND652" s="44"/>
      <c r="NE652" s="44"/>
      <c r="NF652" s="44"/>
      <c r="NG652" s="44"/>
      <c r="NH652" s="44"/>
      <c r="NI652" s="44"/>
      <c r="NJ652" s="44"/>
      <c r="NK652" s="44"/>
      <c r="NL652" s="44"/>
      <c r="NM652" s="44"/>
      <c r="NN652" s="44"/>
      <c r="NO652" s="44"/>
      <c r="NP652" s="44"/>
      <c r="NQ652" s="44"/>
      <c r="NR652" s="44"/>
      <c r="NS652" s="44"/>
      <c r="NT652" s="44"/>
      <c r="NU652" s="44"/>
      <c r="NV652" s="44"/>
      <c r="NW652" s="44"/>
      <c r="NX652" s="44"/>
      <c r="NY652" s="44"/>
      <c r="NZ652" s="44"/>
      <c r="OA652" s="44"/>
      <c r="OB652" s="44"/>
      <c r="OC652" s="44"/>
      <c r="OD652" s="44"/>
      <c r="OE652" s="44"/>
      <c r="OF652" s="44"/>
      <c r="OG652" s="44"/>
      <c r="OH652" s="44"/>
      <c r="OI652" s="44"/>
      <c r="OJ652" s="44"/>
      <c r="OK652" s="44"/>
      <c r="OL652" s="44"/>
      <c r="OM652" s="44"/>
      <c r="ON652" s="44"/>
      <c r="OO652" s="44"/>
      <c r="OP652" s="44"/>
      <c r="OQ652" s="44"/>
      <c r="OR652" s="44"/>
      <c r="OS652" s="44"/>
      <c r="OT652" s="44"/>
      <c r="OU652" s="44"/>
      <c r="OV652" s="44"/>
      <c r="OW652" s="44"/>
      <c r="OX652" s="44"/>
      <c r="OY652" s="44"/>
      <c r="OZ652" s="44"/>
      <c r="PA652" s="44"/>
      <c r="PB652" s="44"/>
      <c r="PC652" s="44"/>
      <c r="PD652" s="44"/>
      <c r="PE652" s="44"/>
      <c r="PF652" s="44"/>
      <c r="PG652" s="44"/>
      <c r="PH652" s="44"/>
      <c r="PI652" s="44"/>
      <c r="PJ652" s="44"/>
      <c r="PK652" s="44"/>
      <c r="PL652" s="44"/>
      <c r="PM652" s="44"/>
      <c r="PN652" s="44"/>
      <c r="PO652" s="44"/>
      <c r="PP652" s="44"/>
      <c r="PQ652" s="44"/>
      <c r="PR652" s="44"/>
      <c r="PS652" s="44"/>
      <c r="PT652" s="44"/>
      <c r="PU652" s="44"/>
      <c r="PV652" s="44"/>
      <c r="PW652" s="44"/>
      <c r="PX652" s="44"/>
      <c r="PY652" s="44"/>
      <c r="PZ652" s="44"/>
      <c r="QA652" s="44"/>
      <c r="QB652" s="44"/>
      <c r="QC652" s="44"/>
      <c r="QD652" s="44"/>
      <c r="QE652" s="44"/>
      <c r="QF652" s="44"/>
      <c r="QG652" s="44"/>
      <c r="QH652" s="44"/>
      <c r="QI652" s="44"/>
      <c r="QJ652" s="44"/>
      <c r="QK652" s="44"/>
      <c r="QL652" s="44"/>
      <c r="QM652" s="44"/>
      <c r="QN652" s="44"/>
      <c r="QO652" s="44"/>
      <c r="QP652" s="44"/>
      <c r="QQ652" s="44"/>
      <c r="QR652" s="44"/>
      <c r="QS652" s="44"/>
      <c r="QT652" s="44"/>
      <c r="QU652" s="44"/>
      <c r="QV652" s="44"/>
      <c r="QW652" s="44"/>
      <c r="QX652" s="44"/>
      <c r="QY652" s="44"/>
      <c r="QZ652" s="44"/>
      <c r="RA652" s="44"/>
      <c r="RB652" s="44"/>
      <c r="RC652" s="44"/>
      <c r="RD652" s="44"/>
      <c r="RE652" s="44"/>
      <c r="RF652" s="44"/>
      <c r="RG652" s="44"/>
      <c r="RH652" s="44"/>
      <c r="RI652" s="44"/>
      <c r="RJ652" s="44"/>
      <c r="RK652" s="44"/>
      <c r="RL652" s="44"/>
      <c r="RM652" s="44"/>
      <c r="RN652" s="44"/>
      <c r="RO652" s="44"/>
      <c r="RP652" s="44"/>
      <c r="RQ652" s="44"/>
      <c r="RR652" s="44"/>
      <c r="RS652" s="44"/>
      <c r="RT652" s="44"/>
      <c r="RU652" s="44"/>
      <c r="RV652" s="44"/>
      <c r="RW652" s="44"/>
      <c r="RX652" s="44"/>
      <c r="RY652" s="44"/>
      <c r="RZ652" s="44"/>
      <c r="SA652" s="44"/>
      <c r="SB652" s="44"/>
      <c r="SC652" s="44"/>
      <c r="SD652" s="44"/>
      <c r="SE652" s="44"/>
      <c r="SF652" s="44"/>
      <c r="SG652" s="44"/>
      <c r="SH652" s="44"/>
      <c r="SI652" s="44"/>
      <c r="SJ652" s="44"/>
      <c r="SK652" s="44"/>
      <c r="SL652" s="44"/>
      <c r="SM652" s="44"/>
      <c r="SN652" s="44"/>
      <c r="SO652" s="44"/>
      <c r="SP652" s="44"/>
      <c r="SQ652" s="44"/>
      <c r="SR652" s="44"/>
      <c r="SS652" s="44"/>
      <c r="ST652" s="44"/>
      <c r="SU652" s="44"/>
      <c r="SV652" s="44"/>
      <c r="SW652" s="44"/>
      <c r="SX652" s="44"/>
      <c r="SY652" s="44"/>
      <c r="SZ652" s="44"/>
      <c r="TA652" s="44"/>
      <c r="TB652" s="44"/>
      <c r="TC652" s="44"/>
      <c r="TD652" s="44"/>
      <c r="TE652" s="44"/>
      <c r="TF652" s="44"/>
      <c r="TG652" s="44"/>
      <c r="TH652" s="44"/>
      <c r="TI652" s="44"/>
      <c r="TJ652" s="44"/>
      <c r="TK652" s="44"/>
      <c r="TL652" s="44"/>
      <c r="TM652" s="44"/>
      <c r="TN652" s="44"/>
      <c r="TO652" s="44"/>
      <c r="TP652" s="44"/>
      <c r="TQ652" s="44"/>
      <c r="TR652" s="44"/>
      <c r="TS652" s="44"/>
      <c r="TT652" s="44"/>
      <c r="TU652" s="44"/>
      <c r="TV652" s="44"/>
      <c r="TW652" s="44"/>
      <c r="TX652" s="44"/>
      <c r="TY652" s="44"/>
      <c r="TZ652" s="44"/>
      <c r="UA652" s="44"/>
      <c r="UB652" s="44"/>
      <c r="UC652" s="44"/>
      <c r="UD652" s="44"/>
      <c r="UE652" s="44"/>
      <c r="UF652" s="44"/>
      <c r="UG652" s="44"/>
      <c r="UH652" s="44"/>
      <c r="UI652" s="44"/>
      <c r="UJ652" s="44"/>
      <c r="UK652" s="44"/>
      <c r="UL652" s="44"/>
      <c r="UM652" s="44"/>
      <c r="UN652" s="44"/>
      <c r="UO652" s="44"/>
      <c r="UP652" s="44"/>
      <c r="UQ652" s="44"/>
      <c r="UR652" s="44"/>
      <c r="US652" s="44"/>
      <c r="UT652" s="44"/>
      <c r="UU652" s="44"/>
      <c r="UV652" s="44"/>
      <c r="UW652" s="44"/>
      <c r="UX652" s="44"/>
      <c r="UY652" s="44"/>
      <c r="UZ652" s="44"/>
      <c r="VA652" s="44"/>
      <c r="VB652" s="44"/>
      <c r="VC652" s="44"/>
      <c r="VD652" s="44"/>
      <c r="VE652" s="44"/>
      <c r="VF652" s="44"/>
      <c r="VG652" s="44"/>
      <c r="VH652" s="44"/>
      <c r="VI652" s="44"/>
      <c r="VJ652" s="44"/>
      <c r="VK652" s="44"/>
      <c r="VL652" s="44"/>
      <c r="VM652" s="44"/>
      <c r="VN652" s="44"/>
      <c r="VO652" s="44"/>
      <c r="VP652" s="44"/>
      <c r="VQ652" s="44"/>
      <c r="VR652" s="44"/>
      <c r="VS652" s="44"/>
      <c r="VT652" s="44"/>
      <c r="VU652" s="44"/>
      <c r="VV652" s="44"/>
      <c r="VW652" s="44"/>
      <c r="VX652" s="44"/>
      <c r="VY652" s="44"/>
      <c r="VZ652" s="44"/>
      <c r="WA652" s="44"/>
      <c r="WB652" s="44"/>
      <c r="WC652" s="44"/>
      <c r="WD652" s="44"/>
      <c r="WE652" s="44"/>
      <c r="WF652" s="44"/>
      <c r="WG652" s="44"/>
      <c r="WH652" s="44"/>
      <c r="WI652" s="44"/>
      <c r="WJ652" s="44"/>
      <c r="WK652" s="44"/>
      <c r="WL652" s="44"/>
      <c r="WM652" s="44"/>
      <c r="WN652" s="44"/>
      <c r="WO652" s="44"/>
      <c r="WP652" s="44"/>
      <c r="WQ652" s="44"/>
      <c r="WR652" s="44"/>
      <c r="WS652" s="44"/>
      <c r="WT652" s="44"/>
      <c r="WU652" s="44"/>
      <c r="WV652" s="44"/>
      <c r="WW652" s="44"/>
      <c r="WX652" s="44"/>
      <c r="WY652" s="44"/>
      <c r="WZ652" s="44"/>
      <c r="XA652" s="44"/>
      <c r="XB652" s="44"/>
      <c r="XC652" s="44"/>
      <c r="XD652" s="44"/>
      <c r="XE652" s="44"/>
      <c r="XF652" s="44"/>
      <c r="XG652" s="44"/>
      <c r="XH652" s="44"/>
      <c r="XI652" s="44"/>
      <c r="XJ652" s="44"/>
      <c r="XK652" s="44"/>
      <c r="XL652" s="44"/>
      <c r="XM652" s="44"/>
      <c r="XN652" s="44"/>
      <c r="XO652" s="44"/>
      <c r="XP652" s="44"/>
      <c r="XQ652" s="44"/>
      <c r="XR652" s="44"/>
      <c r="XS652" s="44"/>
      <c r="XT652" s="44"/>
      <c r="XU652" s="44"/>
      <c r="XV652" s="44"/>
      <c r="XW652" s="44"/>
      <c r="XX652" s="44"/>
      <c r="XY652" s="44"/>
      <c r="XZ652" s="44"/>
      <c r="YA652" s="44"/>
      <c r="YB652" s="44"/>
      <c r="YC652" s="44"/>
      <c r="YD652" s="44"/>
      <c r="YE652" s="44"/>
      <c r="YF652" s="44"/>
      <c r="YG652" s="44"/>
      <c r="YH652" s="44"/>
      <c r="YI652" s="44"/>
      <c r="YJ652" s="44"/>
      <c r="YK652" s="44"/>
      <c r="YL652" s="44"/>
      <c r="YM652" s="44"/>
      <c r="YN652" s="44"/>
      <c r="YO652" s="44"/>
      <c r="YP652" s="44"/>
      <c r="YQ652" s="44"/>
      <c r="YR652" s="44"/>
      <c r="YS652" s="44"/>
      <c r="YT652" s="44"/>
      <c r="YU652" s="44"/>
      <c r="YV652" s="44"/>
      <c r="YW652" s="44"/>
      <c r="YX652" s="44"/>
      <c r="YY652" s="44"/>
      <c r="YZ652" s="44"/>
      <c r="ZA652" s="44"/>
      <c r="ZB652" s="44"/>
      <c r="ZC652" s="44"/>
      <c r="ZD652" s="44"/>
      <c r="ZE652" s="44"/>
      <c r="ZF652" s="44"/>
      <c r="ZG652" s="44"/>
      <c r="ZH652" s="44"/>
      <c r="ZI652" s="44"/>
      <c r="ZJ652" s="44"/>
      <c r="ZK652" s="44"/>
      <c r="ZL652" s="44"/>
      <c r="ZM652" s="44"/>
      <c r="ZN652" s="44"/>
      <c r="ZO652" s="44"/>
      <c r="ZP652" s="44"/>
      <c r="ZQ652" s="44"/>
      <c r="ZR652" s="44"/>
      <c r="ZS652" s="44"/>
      <c r="ZT652" s="44"/>
      <c r="ZU652" s="44"/>
      <c r="ZV652" s="44"/>
      <c r="ZW652" s="44"/>
      <c r="ZX652" s="44"/>
      <c r="ZY652" s="44"/>
      <c r="ZZ652" s="44"/>
      <c r="AAA652" s="44"/>
      <c r="AAB652" s="44"/>
      <c r="AAC652" s="44"/>
      <c r="AAD652" s="44"/>
      <c r="AAE652" s="44"/>
      <c r="AAF652" s="44"/>
      <c r="AAG652" s="44"/>
      <c r="AAH652" s="44"/>
      <c r="AAI652" s="44"/>
      <c r="AAJ652" s="44"/>
      <c r="AAK652" s="44"/>
      <c r="AAL652" s="44"/>
      <c r="AAM652" s="44"/>
      <c r="AAN652" s="44"/>
      <c r="AAO652" s="44"/>
      <c r="AAP652" s="44"/>
      <c r="AAQ652" s="44"/>
      <c r="AAR652" s="44"/>
      <c r="AAS652" s="44"/>
      <c r="AAT652" s="44"/>
      <c r="AAU652" s="44"/>
      <c r="AAV652" s="44"/>
      <c r="AAW652" s="44"/>
      <c r="AAX652" s="44"/>
      <c r="AAY652" s="44"/>
      <c r="AAZ652" s="44"/>
      <c r="ABA652" s="44"/>
      <c r="ABB652" s="44"/>
      <c r="ABC652" s="44"/>
      <c r="ABD652" s="44"/>
      <c r="ABE652" s="44"/>
      <c r="ABF652" s="44"/>
      <c r="ABG652" s="44"/>
      <c r="ABH652" s="44"/>
      <c r="ABI652" s="44"/>
      <c r="ABJ652" s="44"/>
      <c r="ABK652" s="44"/>
      <c r="ABL652" s="44"/>
      <c r="ABM652" s="44"/>
      <c r="ABN652" s="44"/>
      <c r="ABO652" s="44"/>
      <c r="ABP652" s="44"/>
      <c r="ABQ652" s="44"/>
      <c r="ABR652" s="44"/>
      <c r="ABS652" s="44"/>
      <c r="ABT652" s="44"/>
      <c r="ABU652" s="44"/>
      <c r="ABV652" s="44"/>
      <c r="ABW652" s="44"/>
      <c r="ABX652" s="44"/>
      <c r="ABY652" s="44"/>
      <c r="ABZ652" s="44"/>
      <c r="ACA652" s="44"/>
      <c r="ACB652" s="44"/>
      <c r="ACC652" s="44"/>
      <c r="ACD652" s="44"/>
      <c r="ACE652" s="44"/>
      <c r="ACF652" s="44"/>
      <c r="ACG652" s="44"/>
      <c r="ACH652" s="44"/>
      <c r="ACI652" s="44"/>
      <c r="ACJ652" s="44"/>
      <c r="ACK652" s="44"/>
      <c r="ACL652" s="44"/>
      <c r="ACM652" s="44"/>
      <c r="ACN652" s="44"/>
      <c r="ACO652" s="44"/>
      <c r="ACP652" s="44"/>
      <c r="ACQ652" s="44"/>
      <c r="ACR652" s="44"/>
      <c r="ACS652" s="44"/>
      <c r="ACT652" s="44"/>
      <c r="ACU652" s="44"/>
      <c r="ACV652" s="44"/>
      <c r="ACW652" s="44"/>
      <c r="ACX652" s="44"/>
      <c r="ACY652" s="44"/>
      <c r="ACZ652" s="44"/>
      <c r="ADA652" s="44"/>
      <c r="ADB652" s="44"/>
      <c r="ADC652" s="44"/>
      <c r="ADD652" s="44"/>
      <c r="ADE652" s="44"/>
      <c r="ADF652" s="44"/>
      <c r="ADG652" s="44"/>
      <c r="ADH652" s="44"/>
      <c r="ADI652" s="44"/>
      <c r="ADJ652" s="44"/>
      <c r="ADK652" s="44"/>
      <c r="ADL652" s="44"/>
      <c r="ADM652" s="44"/>
      <c r="ADN652" s="44"/>
      <c r="ADO652" s="44"/>
      <c r="ADP652" s="44"/>
      <c r="ADQ652" s="44"/>
      <c r="ADR652" s="44"/>
      <c r="ADS652" s="44"/>
      <c r="ADT652" s="44"/>
      <c r="ADU652" s="44"/>
      <c r="ADV652" s="44"/>
      <c r="ADW652" s="44"/>
      <c r="ADX652" s="44"/>
      <c r="ADY652" s="44"/>
      <c r="ADZ652" s="44"/>
      <c r="AEA652" s="44"/>
      <c r="AEB652" s="44"/>
      <c r="AEC652" s="44"/>
      <c r="AED652" s="44"/>
      <c r="AEE652" s="44"/>
      <c r="AEF652" s="44"/>
      <c r="AEG652" s="44"/>
      <c r="AEH652" s="44"/>
      <c r="AEI652" s="44"/>
      <c r="AEJ652" s="44"/>
      <c r="AEK652" s="44"/>
      <c r="AEL652" s="44"/>
      <c r="AEM652" s="44"/>
      <c r="AEN652" s="44"/>
      <c r="AEO652" s="44"/>
      <c r="AEP652" s="44"/>
      <c r="AEQ652" s="44"/>
      <c r="AER652" s="44"/>
      <c r="AES652" s="44"/>
      <c r="AET652" s="44"/>
      <c r="AEU652" s="44"/>
      <c r="AEV652" s="44"/>
      <c r="AEW652" s="44"/>
      <c r="AEX652" s="44"/>
      <c r="AEY652" s="44"/>
      <c r="AEZ652" s="44"/>
      <c r="AFA652" s="44"/>
      <c r="AFB652" s="44"/>
      <c r="AFC652" s="44"/>
      <c r="AFD652" s="44"/>
      <c r="AFE652" s="44"/>
      <c r="AFF652" s="44"/>
      <c r="AFG652" s="44"/>
      <c r="AFH652" s="44"/>
      <c r="AFI652" s="44"/>
      <c r="AFJ652" s="44"/>
      <c r="AFK652" s="44"/>
      <c r="AFL652" s="44"/>
      <c r="AFM652" s="44"/>
      <c r="AFN652" s="44"/>
      <c r="AFO652" s="44"/>
      <c r="AFP652" s="44"/>
      <c r="AFQ652" s="44"/>
      <c r="AFR652" s="44"/>
      <c r="AFS652" s="44"/>
      <c r="AFT652" s="44"/>
      <c r="AFU652" s="44"/>
      <c r="AFV652" s="44"/>
      <c r="AFW652" s="44"/>
      <c r="AFX652" s="44"/>
      <c r="AFY652" s="44"/>
      <c r="AFZ652" s="44"/>
      <c r="AGA652" s="44"/>
      <c r="AGB652" s="44"/>
      <c r="AGC652" s="44"/>
      <c r="AGD652" s="44"/>
      <c r="AGE652" s="44"/>
      <c r="AGF652" s="44"/>
      <c r="AGG652" s="44"/>
      <c r="AGH652" s="44"/>
      <c r="AGI652" s="44"/>
      <c r="AGJ652" s="44"/>
      <c r="AGK652" s="44"/>
      <c r="AGL652" s="44"/>
      <c r="AGM652" s="44"/>
      <c r="AGN652" s="44"/>
      <c r="AGO652" s="44"/>
      <c r="AGP652" s="44"/>
      <c r="AGQ652" s="44"/>
      <c r="AGR652" s="44"/>
      <c r="AGS652" s="44"/>
      <c r="AGT652" s="44"/>
      <c r="AGU652" s="44"/>
      <c r="AGV652" s="44"/>
      <c r="AGW652" s="44"/>
      <c r="AGX652" s="44"/>
      <c r="AGY652" s="44"/>
      <c r="AGZ652" s="44"/>
      <c r="AHA652" s="44"/>
      <c r="AHB652" s="44"/>
      <c r="AHC652" s="44"/>
      <c r="AHD652" s="44"/>
      <c r="AHE652" s="44"/>
      <c r="AHF652" s="44"/>
      <c r="AHG652" s="44"/>
      <c r="AHH652" s="44"/>
      <c r="AHI652" s="44"/>
      <c r="AHJ652" s="44"/>
      <c r="AHK652" s="44"/>
      <c r="AHL652" s="44"/>
      <c r="AHM652" s="44"/>
      <c r="AHN652" s="44"/>
      <c r="AHO652" s="44"/>
      <c r="AHP652" s="44"/>
      <c r="AHQ652" s="44"/>
      <c r="AHR652" s="44"/>
      <c r="AHS652" s="44"/>
      <c r="AHT652" s="44"/>
      <c r="AHU652" s="44"/>
      <c r="AHV652" s="44"/>
      <c r="AHW652" s="44"/>
      <c r="AHX652" s="44"/>
      <c r="AHY652" s="44"/>
      <c r="AHZ652" s="44"/>
      <c r="AIA652" s="44"/>
      <c r="AIB652" s="44"/>
      <c r="AIC652" s="44"/>
      <c r="AID652" s="44"/>
      <c r="AIE652" s="44"/>
      <c r="AIF652" s="44"/>
      <c r="AIG652" s="44"/>
      <c r="AIH652" s="44"/>
      <c r="AII652" s="44"/>
      <c r="AIJ652" s="44"/>
      <c r="AIK652" s="44"/>
      <c r="AIL652" s="44"/>
      <c r="AIM652" s="44"/>
      <c r="AIN652" s="44"/>
      <c r="AIO652" s="44"/>
      <c r="AIP652" s="44"/>
      <c r="AIQ652" s="44"/>
      <c r="AIR652" s="44"/>
      <c r="AIS652" s="44"/>
      <c r="AIT652" s="44"/>
      <c r="AIU652" s="44"/>
      <c r="AIV652" s="44"/>
      <c r="AIW652" s="44"/>
      <c r="AIX652" s="44"/>
      <c r="AIY652" s="44"/>
      <c r="AIZ652" s="44"/>
      <c r="AJA652" s="44"/>
      <c r="AJB652" s="44"/>
      <c r="AJC652" s="44"/>
      <c r="AJD652" s="44"/>
      <c r="AJE652" s="44"/>
      <c r="AJF652" s="44"/>
      <c r="AJG652" s="44"/>
      <c r="AJH652" s="44"/>
      <c r="AJI652" s="44"/>
      <c r="AJJ652" s="44"/>
      <c r="AJK652" s="44"/>
      <c r="AJL652" s="44"/>
      <c r="AJM652" s="44"/>
      <c r="AJN652" s="44"/>
      <c r="AJO652" s="44"/>
      <c r="AJP652" s="44"/>
      <c r="AJQ652" s="44"/>
      <c r="AJR652" s="44"/>
      <c r="AJS652" s="44"/>
      <c r="AJT652" s="44"/>
      <c r="AJU652" s="44"/>
      <c r="AJV652" s="44"/>
      <c r="AJW652" s="44"/>
      <c r="AJX652" s="44"/>
      <c r="AJY652" s="44"/>
      <c r="AJZ652" s="44"/>
      <c r="AKA652" s="44"/>
      <c r="AKB652" s="44"/>
      <c r="AKC652" s="44"/>
      <c r="AKD652" s="44"/>
      <c r="AKE652" s="44"/>
      <c r="AKF652" s="44"/>
      <c r="AKG652" s="44"/>
      <c r="AKH652" s="44"/>
      <c r="AKI652" s="44"/>
      <c r="AKJ652" s="44"/>
      <c r="AKK652" s="44"/>
      <c r="AKL652" s="44"/>
      <c r="AKM652" s="44"/>
      <c r="AKN652" s="44"/>
      <c r="AKO652" s="44"/>
      <c r="AKP652" s="44"/>
      <c r="AKQ652" s="44"/>
      <c r="AKR652" s="44"/>
      <c r="AKS652" s="44"/>
      <c r="AKT652" s="44"/>
      <c r="AKU652" s="44"/>
      <c r="AKV652" s="44"/>
      <c r="AKW652" s="44"/>
      <c r="AKX652" s="44"/>
      <c r="AKY652" s="44"/>
      <c r="AKZ652" s="44"/>
      <c r="ALA652" s="44"/>
      <c r="ALB652" s="44"/>
      <c r="ALC652" s="44"/>
      <c r="ALD652" s="44"/>
      <c r="ALE652" s="44"/>
      <c r="ALF652" s="44"/>
      <c r="ALG652" s="44"/>
      <c r="ALH652" s="44"/>
      <c r="ALI652" s="44"/>
      <c r="ALJ652" s="44"/>
      <c r="ALK652" s="44"/>
      <c r="ALL652" s="44"/>
      <c r="ALM652" s="44"/>
      <c r="ALN652" s="44"/>
      <c r="ALO652" s="44"/>
      <c r="ALP652" s="44"/>
      <c r="ALQ652" s="44"/>
      <c r="ALR652" s="44"/>
      <c r="ALS652" s="44"/>
      <c r="ALT652" s="44"/>
      <c r="ALU652" s="44"/>
      <c r="ALV652" s="44"/>
      <c r="ALW652" s="44"/>
      <c r="ALX652" s="44"/>
      <c r="ALY652" s="44"/>
      <c r="ALZ652" s="44"/>
      <c r="AMA652" s="44"/>
      <c r="AMB652" s="44"/>
      <c r="AMC652" s="44"/>
      <c r="AMD652" s="44"/>
      <c r="AME652" s="44"/>
      <c r="AMF652" s="44"/>
      <c r="AMG652" s="44"/>
      <c r="AMH652" s="44"/>
      <c r="AMI652" s="44"/>
      <c r="AMJ652" s="44"/>
    </row>
    <row r="653" spans="1:1024" ht="27.6">
      <c r="A653" s="8" t="s">
        <v>629</v>
      </c>
      <c r="B653" s="8">
        <v>340901</v>
      </c>
      <c r="D653" s="24">
        <v>45771</v>
      </c>
      <c r="E653" s="1">
        <v>0.66666666666666696</v>
      </c>
      <c r="F653">
        <v>6</v>
      </c>
      <c r="G653" s="30">
        <f t="shared" si="33"/>
        <v>6.666666666666667</v>
      </c>
      <c r="H653" s="8">
        <f t="shared" si="32"/>
        <v>-0.66666666666666696</v>
      </c>
      <c r="I653">
        <f t="shared" si="34"/>
        <v>0</v>
      </c>
      <c r="J653">
        <f>SUMIF(Oeffentlichkeitsarbeit!$D:$D,$B653,Oeffentlichkeitsarbeit!$F:$F)</f>
        <v>0</v>
      </c>
      <c r="K653">
        <f>COUNTIF(Fairteiler!$D:$D,$B653)*1/2</f>
        <v>0</v>
      </c>
      <c r="L653">
        <f>COUNTIF('NP-Betrieb'!D:D,$B653)*1/3</f>
        <v>0</v>
      </c>
      <c r="M653">
        <f>COUNTIF(Fairteilungen!$D:$D,$B653)*3/4</f>
        <v>0</v>
      </c>
      <c r="N653">
        <f>COUNTIF(Anlieferung!D:D,$B653)*1/2</f>
        <v>0</v>
      </c>
      <c r="O653">
        <f>COUNTIF(Probeabholungen!B:B,$B653)*1/3</f>
        <v>0</v>
      </c>
    </row>
    <row r="654" spans="1:1024">
      <c r="A654" s="8" t="s">
        <v>631</v>
      </c>
      <c r="B654" s="8">
        <v>459115</v>
      </c>
      <c r="D654" s="29"/>
      <c r="E654" s="1">
        <v>0</v>
      </c>
      <c r="F654" s="8">
        <v>6</v>
      </c>
      <c r="G654" s="30">
        <f t="shared" si="33"/>
        <v>1.833333333333333</v>
      </c>
      <c r="H654" s="8">
        <f t="shared" si="32"/>
        <v>4.166666666666667</v>
      </c>
      <c r="I654">
        <f t="shared" si="34"/>
        <v>4.166666666666667</v>
      </c>
      <c r="J654">
        <f>SUMIF(Oeffentlichkeitsarbeit!$D:$D,$B654,Oeffentlichkeitsarbeit!$F:$F)</f>
        <v>0</v>
      </c>
      <c r="K654">
        <f>COUNTIF(Fairteiler!$D:$D,$B654)*1/2</f>
        <v>3.5</v>
      </c>
      <c r="L654">
        <f>COUNTIF('NP-Betrieb'!D:D,$B654)*1/3</f>
        <v>0.66666666666666663</v>
      </c>
      <c r="M654">
        <f>COUNTIF(Fairteilungen!$D:$D,$B654)*3/4</f>
        <v>0</v>
      </c>
      <c r="N654">
        <f>COUNTIF(Anlieferung!D:D,$B654)*1/2</f>
        <v>0</v>
      </c>
      <c r="O654">
        <f>COUNTIF(Probeabholungen!B:B,$B654)*1/3</f>
        <v>0</v>
      </c>
    </row>
    <row r="655" spans="1:1024" ht="27.6">
      <c r="A655" s="8" t="s">
        <v>632</v>
      </c>
      <c r="B655" s="8">
        <v>269049</v>
      </c>
      <c r="D655" s="29"/>
      <c r="E655" s="1">
        <v>0</v>
      </c>
      <c r="F655" s="8">
        <v>6</v>
      </c>
      <c r="G655" s="30">
        <f t="shared" si="33"/>
        <v>0.33333333333333304</v>
      </c>
      <c r="H655" s="8">
        <f t="shared" si="32"/>
        <v>5.666666666666667</v>
      </c>
      <c r="I655">
        <f t="shared" si="34"/>
        <v>5.666666666666667</v>
      </c>
      <c r="J655">
        <f>SUMIF(Oeffentlichkeitsarbeit!$D:$D,$B655,Oeffentlichkeitsarbeit!$F:$F)</f>
        <v>0</v>
      </c>
      <c r="K655">
        <f>COUNTIF(Fairteiler!$D:$D,$B655)*1/2</f>
        <v>0</v>
      </c>
      <c r="L655">
        <f>COUNTIF('NP-Betrieb'!D:D,$B655)*1/3</f>
        <v>5.666666666666667</v>
      </c>
      <c r="M655">
        <f>COUNTIF(Fairteilungen!$D:$D,$B655)*3/4</f>
        <v>0</v>
      </c>
      <c r="N655">
        <f>COUNTIF(Anlieferung!D:D,$B655)*1/2</f>
        <v>0</v>
      </c>
      <c r="O655">
        <f>COUNTIF(Probeabholungen!B:B,$B655)*1/3</f>
        <v>0</v>
      </c>
    </row>
    <row r="656" spans="1:1024">
      <c r="A656" s="8" t="s">
        <v>870</v>
      </c>
      <c r="B656" s="8">
        <v>959940</v>
      </c>
      <c r="D656" s="29">
        <v>46118</v>
      </c>
      <c r="E656" s="1">
        <v>0</v>
      </c>
      <c r="F656" s="8">
        <v>4.5</v>
      </c>
      <c r="G656" s="30">
        <f t="shared" si="33"/>
        <v>4.5</v>
      </c>
      <c r="H656" s="8">
        <f t="shared" si="32"/>
        <v>0</v>
      </c>
      <c r="I656">
        <f t="shared" si="34"/>
        <v>0</v>
      </c>
      <c r="J656">
        <f>SUMIF(Oeffentlichkeitsarbeit!$D:$D,$B656,Oeffentlichkeitsarbeit!$F:$F)</f>
        <v>0</v>
      </c>
      <c r="K656">
        <f>COUNTIF(Fairteiler!$D:$D,$B656)*1/2</f>
        <v>0</v>
      </c>
      <c r="L656">
        <f>COUNTIF('NP-Betrieb'!D:D,$B656)*1/3</f>
        <v>0</v>
      </c>
      <c r="M656">
        <f>COUNTIF(Fairteilungen!$D:$D,$B656)*3/4</f>
        <v>0</v>
      </c>
      <c r="N656">
        <f>COUNTIF(Anlieferung!D:D,$B656)*1/2</f>
        <v>0</v>
      </c>
      <c r="O656">
        <f>COUNTIF(Probeabholungen!B:B,$B656)*1/3</f>
        <v>0</v>
      </c>
    </row>
    <row r="657" spans="1:15" ht="27.6">
      <c r="A657" s="8" t="s">
        <v>633</v>
      </c>
      <c r="B657" s="8">
        <v>746677</v>
      </c>
      <c r="D657" s="29">
        <v>45117</v>
      </c>
      <c r="E657" s="1">
        <v>14</v>
      </c>
      <c r="F657" s="8">
        <v>6</v>
      </c>
      <c r="G657" s="30">
        <f t="shared" si="33"/>
        <v>20</v>
      </c>
      <c r="H657" s="8">
        <f t="shared" si="32"/>
        <v>-14</v>
      </c>
      <c r="I657">
        <f t="shared" si="34"/>
        <v>0</v>
      </c>
      <c r="J657">
        <f>SUMIF(Oeffentlichkeitsarbeit!$D:$D,$B657,Oeffentlichkeitsarbeit!$F:$F)</f>
        <v>0</v>
      </c>
      <c r="K657">
        <f>COUNTIF(Fairteiler!$D:$D,$B657)*1/2</f>
        <v>0</v>
      </c>
      <c r="L657">
        <f>COUNTIF('NP-Betrieb'!D:D,$B657)*1/3</f>
        <v>0</v>
      </c>
      <c r="M657">
        <f>COUNTIF(Fairteilungen!$D:$D,$B657)*3/4</f>
        <v>0</v>
      </c>
      <c r="N657">
        <f>COUNTIF(Anlieferung!D:D,$B657)*1/2</f>
        <v>0</v>
      </c>
      <c r="O657">
        <f>COUNTIF(Probeabholungen!B:B,$B657)*1/3</f>
        <v>0</v>
      </c>
    </row>
    <row r="658" spans="1:15" ht="41.4">
      <c r="A658" s="8" t="s">
        <v>634</v>
      </c>
      <c r="B658" s="8">
        <v>109211</v>
      </c>
      <c r="C658" s="44"/>
      <c r="D658" s="29">
        <v>45148</v>
      </c>
      <c r="E658" s="1">
        <v>14.5</v>
      </c>
      <c r="F658" s="8">
        <v>6</v>
      </c>
      <c r="G658" s="30">
        <f t="shared" si="33"/>
        <v>20.5</v>
      </c>
      <c r="H658" s="8">
        <f t="shared" si="32"/>
        <v>-14.5</v>
      </c>
      <c r="I658" s="44">
        <f t="shared" si="34"/>
        <v>0</v>
      </c>
      <c r="J658" s="44">
        <f>SUMIF(Oeffentlichkeitsarbeit!$D:$D,$B658,Oeffentlichkeitsarbeit!$F:$F)</f>
        <v>0</v>
      </c>
      <c r="K658" s="44">
        <f>COUNTIF(Fairteiler!$D:$D,$B658)*1/2</f>
        <v>0</v>
      </c>
      <c r="L658" s="44">
        <f>COUNTIF('NP-Betrieb'!D:D,$B658)*1/3</f>
        <v>0</v>
      </c>
      <c r="M658" s="44">
        <f>COUNTIF(Fairteilungen!$D:$D,$B658)*3/4</f>
        <v>0</v>
      </c>
      <c r="N658" s="44">
        <f>COUNTIF(Anlieferung!D:D,$B658)*1/2</f>
        <v>0</v>
      </c>
      <c r="O658" s="44">
        <f>COUNTIF(Probeabholungen!B:B,$B658)*1/3</f>
        <v>0</v>
      </c>
    </row>
    <row r="659" spans="1:15" ht="27.6">
      <c r="A659" s="8" t="s">
        <v>635</v>
      </c>
      <c r="B659" s="8">
        <v>766550</v>
      </c>
      <c r="D659" s="29">
        <v>45308</v>
      </c>
      <c r="E659" s="1">
        <v>8</v>
      </c>
      <c r="F659" s="8">
        <v>6</v>
      </c>
      <c r="G659" s="30">
        <f t="shared" si="33"/>
        <v>14</v>
      </c>
      <c r="H659" s="8">
        <f t="shared" si="32"/>
        <v>-8</v>
      </c>
      <c r="I659">
        <f t="shared" si="34"/>
        <v>0</v>
      </c>
      <c r="J659">
        <f>SUMIF(Oeffentlichkeitsarbeit!$D:$D,$B659,Oeffentlichkeitsarbeit!$F:$F)</f>
        <v>0</v>
      </c>
      <c r="K659">
        <f>COUNTIF(Fairteiler!$D:$D,$B659)*1/2</f>
        <v>0</v>
      </c>
      <c r="L659">
        <f>COUNTIF('NP-Betrieb'!D:D,$B659)*1/3</f>
        <v>0</v>
      </c>
      <c r="M659">
        <f>COUNTIF(Fairteilungen!$D:$D,$B659)*3/4</f>
        <v>0</v>
      </c>
      <c r="N659">
        <f>COUNTIF(Anlieferung!D:D,$B659)*1/2</f>
        <v>0</v>
      </c>
      <c r="O659">
        <f>COUNTIF(Probeabholungen!B:B,$B659)*1/3</f>
        <v>0</v>
      </c>
    </row>
    <row r="660" spans="1:15" ht="27.6">
      <c r="A660" s="8" t="s">
        <v>636</v>
      </c>
      <c r="B660" s="8">
        <v>182669</v>
      </c>
      <c r="D660" s="29"/>
      <c r="E660" s="1">
        <v>6</v>
      </c>
      <c r="F660" s="8">
        <v>6</v>
      </c>
      <c r="G660" s="30">
        <f t="shared" si="33"/>
        <v>6</v>
      </c>
      <c r="H660" s="8">
        <f t="shared" si="32"/>
        <v>0</v>
      </c>
      <c r="I660">
        <f t="shared" si="34"/>
        <v>6</v>
      </c>
      <c r="J660">
        <f>SUMIF(Oeffentlichkeitsarbeit!$D:$D,$B660,Oeffentlichkeitsarbeit!$F:$F)</f>
        <v>6</v>
      </c>
      <c r="K660">
        <f>COUNTIF(Fairteiler!$D:$D,$B660)*1/2</f>
        <v>0</v>
      </c>
      <c r="L660">
        <f>COUNTIF('NP-Betrieb'!D:D,$B660)*1/3</f>
        <v>0</v>
      </c>
      <c r="M660">
        <f>COUNTIF(Fairteilungen!$D:$D,$B660)*3/4</f>
        <v>0</v>
      </c>
      <c r="N660">
        <f>COUNTIF(Anlieferung!D:D,$B660)*1/2</f>
        <v>0</v>
      </c>
      <c r="O660">
        <f>COUNTIF(Probeabholungen!B:B,$B660)*1/3</f>
        <v>0</v>
      </c>
    </row>
    <row r="661" spans="1:15" ht="55.2">
      <c r="A661" s="8" t="s">
        <v>637</v>
      </c>
      <c r="B661" s="8">
        <v>159731</v>
      </c>
      <c r="C661" s="8"/>
      <c r="D661" s="29"/>
      <c r="E661" s="1">
        <v>0</v>
      </c>
      <c r="F661" s="8">
        <v>6</v>
      </c>
      <c r="G661" s="30">
        <f t="shared" si="33"/>
        <v>6</v>
      </c>
      <c r="H661" s="8">
        <f t="shared" si="32"/>
        <v>0</v>
      </c>
      <c r="I661">
        <f t="shared" si="34"/>
        <v>0</v>
      </c>
      <c r="J661">
        <f>SUMIF(Oeffentlichkeitsarbeit!$D:$D,$B661,Oeffentlichkeitsarbeit!$F:$F)</f>
        <v>0</v>
      </c>
      <c r="K661">
        <f>COUNTIF(Fairteiler!$D:$D,$B661)*1/2</f>
        <v>0</v>
      </c>
      <c r="L661">
        <f>COUNTIF('NP-Betrieb'!D:D,$B661)*1/3</f>
        <v>0</v>
      </c>
      <c r="M661">
        <f>COUNTIF(Fairteilungen!$D:$D,$B661)*3/4</f>
        <v>0</v>
      </c>
      <c r="N661">
        <f>COUNTIF(Anlieferung!D:D,$B661)*1/2</f>
        <v>0</v>
      </c>
      <c r="O661">
        <f>COUNTIF(Probeabholungen!B:B,$B661)*1/3</f>
        <v>0</v>
      </c>
    </row>
    <row r="662" spans="1:15" ht="27.6">
      <c r="A662" s="8" t="s">
        <v>638</v>
      </c>
      <c r="B662" s="8">
        <v>391937</v>
      </c>
      <c r="D662" s="29">
        <v>45071</v>
      </c>
      <c r="E662" s="1">
        <v>12.5</v>
      </c>
      <c r="F662" s="8">
        <v>6</v>
      </c>
      <c r="G662" s="30">
        <f t="shared" si="33"/>
        <v>18.5</v>
      </c>
      <c r="H662" s="8">
        <f t="shared" si="32"/>
        <v>-12.5</v>
      </c>
      <c r="I662">
        <f t="shared" si="34"/>
        <v>0</v>
      </c>
      <c r="J662">
        <f>SUMIF(Oeffentlichkeitsarbeit!$D:$D,$B662,Oeffentlichkeitsarbeit!$F:$F)</f>
        <v>0</v>
      </c>
      <c r="K662">
        <f>COUNTIF(Fairteiler!$D:$D,$B662)*1/2</f>
        <v>0</v>
      </c>
      <c r="L662">
        <f>COUNTIF('NP-Betrieb'!D:D,$B662)*1/3</f>
        <v>0</v>
      </c>
      <c r="M662">
        <f>COUNTIF(Fairteilungen!$D:$D,$B662)*3/4</f>
        <v>0</v>
      </c>
      <c r="N662">
        <f>COUNTIF(Anlieferung!D:D,$B662)*1/2</f>
        <v>0</v>
      </c>
      <c r="O662">
        <f>COUNTIF(Probeabholungen!B:B,$B662)*1/3</f>
        <v>0</v>
      </c>
    </row>
    <row r="663" spans="1:15" ht="27.6">
      <c r="A663" s="8" t="s">
        <v>639</v>
      </c>
      <c r="B663" s="8">
        <v>407981</v>
      </c>
      <c r="D663" s="29"/>
      <c r="E663" s="1">
        <v>10.67</v>
      </c>
      <c r="F663" s="8">
        <v>6</v>
      </c>
      <c r="G663" s="30">
        <f t="shared" si="33"/>
        <v>16.670000000000002</v>
      </c>
      <c r="H663" s="8">
        <f t="shared" si="32"/>
        <v>-10.67</v>
      </c>
      <c r="I663">
        <f t="shared" si="34"/>
        <v>0</v>
      </c>
      <c r="J663">
        <f>SUMIF(Oeffentlichkeitsarbeit!$D:$D,$B663,Oeffentlichkeitsarbeit!$F:$F)</f>
        <v>0</v>
      </c>
      <c r="K663">
        <f>COUNTIF(Fairteiler!$D:$D,$B663)*1/2</f>
        <v>0</v>
      </c>
      <c r="L663">
        <f>COUNTIF('NP-Betrieb'!D:D,$B663)*1/3</f>
        <v>0</v>
      </c>
      <c r="M663">
        <f>COUNTIF(Fairteilungen!$D:$D,$B663)*3/4</f>
        <v>0</v>
      </c>
      <c r="N663">
        <f>COUNTIF(Anlieferung!D:D,$B663)*1/2</f>
        <v>0</v>
      </c>
      <c r="O663">
        <f>COUNTIF(Probeabholungen!B:B,$B663)*1/3</f>
        <v>0</v>
      </c>
    </row>
    <row r="664" spans="1:15">
      <c r="A664" t="s">
        <v>640</v>
      </c>
      <c r="B664">
        <v>860818</v>
      </c>
      <c r="D664" s="24">
        <v>45720</v>
      </c>
      <c r="E664" s="1">
        <v>2</v>
      </c>
      <c r="F664">
        <v>6</v>
      </c>
      <c r="G664" s="30">
        <f t="shared" si="33"/>
        <v>7</v>
      </c>
      <c r="H664" s="8">
        <f t="shared" si="32"/>
        <v>-1</v>
      </c>
      <c r="I664">
        <f t="shared" si="34"/>
        <v>1</v>
      </c>
      <c r="J664">
        <f>SUMIF(Oeffentlichkeitsarbeit!$D:$D,$B664,Oeffentlichkeitsarbeit!$F:$F)</f>
        <v>0</v>
      </c>
      <c r="K664">
        <f>COUNTIF(Fairteiler!$D:$D,$B664)*1/2</f>
        <v>0</v>
      </c>
      <c r="L664">
        <f>COUNTIF('NP-Betrieb'!D:D,$B664)*1/3</f>
        <v>1</v>
      </c>
      <c r="M664">
        <f>COUNTIF(Fairteilungen!$D:$D,$B664)*3/4</f>
        <v>0</v>
      </c>
      <c r="N664">
        <f>COUNTIF(Anlieferung!D:D,$B664)*1/2</f>
        <v>0</v>
      </c>
      <c r="O664">
        <f>COUNTIF(Probeabholungen!B:B,$B664)*1/3</f>
        <v>0</v>
      </c>
    </row>
    <row r="665" spans="1:15" ht="27.6">
      <c r="A665" s="8" t="s">
        <v>641</v>
      </c>
      <c r="B665" s="8">
        <v>927192</v>
      </c>
      <c r="D665" s="24">
        <v>45895</v>
      </c>
      <c r="E665" s="1">
        <v>0</v>
      </c>
      <c r="F665">
        <v>6</v>
      </c>
      <c r="G665" s="30">
        <f t="shared" si="33"/>
        <v>4</v>
      </c>
      <c r="H665" s="8">
        <f t="shared" si="32"/>
        <v>2</v>
      </c>
      <c r="I665">
        <f t="shared" si="34"/>
        <v>2</v>
      </c>
      <c r="J665">
        <f>SUMIF(Oeffentlichkeitsarbeit!$D:$D,$B665,Oeffentlichkeitsarbeit!$F:$F)</f>
        <v>0</v>
      </c>
      <c r="K665">
        <f>COUNTIF(Fairteiler!$D:$D,$B665)*1/2</f>
        <v>0</v>
      </c>
      <c r="L665">
        <f>COUNTIF('NP-Betrieb'!D:D,$B665)*1/3</f>
        <v>2</v>
      </c>
      <c r="M665">
        <f>COUNTIF(Fairteilungen!$D:$D,$B665)*3/4</f>
        <v>0</v>
      </c>
      <c r="N665">
        <f>COUNTIF(Anlieferung!D:D,$B665)*1/2</f>
        <v>0</v>
      </c>
      <c r="O665">
        <f>COUNTIF(Probeabholungen!B:B,$B665)*1/3</f>
        <v>0</v>
      </c>
    </row>
    <row r="666" spans="1:15">
      <c r="A666" s="8" t="s">
        <v>642</v>
      </c>
      <c r="B666" s="8">
        <v>702766</v>
      </c>
      <c r="D666" s="29"/>
      <c r="E666" s="1">
        <v>9.6733333333333302</v>
      </c>
      <c r="F666" s="8">
        <v>6</v>
      </c>
      <c r="G666" s="30">
        <f t="shared" si="33"/>
        <v>15.67333333333333</v>
      </c>
      <c r="H666" s="8">
        <f t="shared" si="32"/>
        <v>-9.6733333333333302</v>
      </c>
      <c r="I666">
        <f t="shared" si="34"/>
        <v>0</v>
      </c>
      <c r="J666">
        <f>SUMIF(Oeffentlichkeitsarbeit!$D:$D,$B666,Oeffentlichkeitsarbeit!$F:$F)</f>
        <v>0</v>
      </c>
      <c r="K666">
        <f>COUNTIF(Fairteiler!$D:$D,$B666)*1/2</f>
        <v>0</v>
      </c>
      <c r="L666">
        <f>COUNTIF('NP-Betrieb'!D:D,$B666)*1/3</f>
        <v>0</v>
      </c>
      <c r="M666">
        <f>COUNTIF(Fairteilungen!$D:$D,$B666)*3/4</f>
        <v>0</v>
      </c>
      <c r="N666">
        <f>COUNTIF(Anlieferung!D:D,$B666)*1/2</f>
        <v>0</v>
      </c>
      <c r="O666">
        <f>COUNTIF(Probeabholungen!B:B,$B666)*1/3</f>
        <v>0</v>
      </c>
    </row>
    <row r="667" spans="1:15" ht="27.6">
      <c r="A667" s="8" t="s">
        <v>643</v>
      </c>
      <c r="B667" s="8">
        <v>900440</v>
      </c>
      <c r="D667" s="24">
        <v>45799</v>
      </c>
      <c r="E667" s="1">
        <v>0</v>
      </c>
      <c r="F667">
        <v>6</v>
      </c>
      <c r="G667" s="30">
        <f t="shared" si="33"/>
        <v>4</v>
      </c>
      <c r="H667" s="8">
        <f t="shared" si="32"/>
        <v>2</v>
      </c>
      <c r="I667">
        <f t="shared" si="34"/>
        <v>2</v>
      </c>
      <c r="J667">
        <f>SUMIF(Oeffentlichkeitsarbeit!$D:$D,$B667,Oeffentlichkeitsarbeit!$F:$F)</f>
        <v>0</v>
      </c>
      <c r="K667">
        <f>COUNTIF(Fairteiler!$D:$D,$B667)*1/2</f>
        <v>2</v>
      </c>
      <c r="L667">
        <f>COUNTIF('NP-Betrieb'!D:D,$B667)*1/3</f>
        <v>0</v>
      </c>
      <c r="M667">
        <f>COUNTIF(Fairteilungen!$D:$D,$B667)*3/4</f>
        <v>0</v>
      </c>
      <c r="N667">
        <f>COUNTIF(Anlieferung!D:D,$B667)*1/2</f>
        <v>0</v>
      </c>
      <c r="O667">
        <f>COUNTIF(Probeabholungen!B:B,$B667)*1/3</f>
        <v>0</v>
      </c>
    </row>
    <row r="668" spans="1:15" ht="27.6">
      <c r="A668" s="8" t="s">
        <v>644</v>
      </c>
      <c r="B668" s="8">
        <v>252695</v>
      </c>
      <c r="D668" s="29"/>
      <c r="E668" s="1">
        <v>0</v>
      </c>
      <c r="F668" s="8">
        <v>6</v>
      </c>
      <c r="G668" s="30">
        <f t="shared" si="33"/>
        <v>6</v>
      </c>
      <c r="H668" s="8">
        <f t="shared" ref="H668:H731" si="35">I668-E668</f>
        <v>0</v>
      </c>
      <c r="I668">
        <f t="shared" si="34"/>
        <v>0</v>
      </c>
      <c r="J668">
        <f>SUMIF(Oeffentlichkeitsarbeit!$D:$D,$B668,Oeffentlichkeitsarbeit!$F:$F)</f>
        <v>0</v>
      </c>
      <c r="K668">
        <f>COUNTIF(Fairteiler!$D:$D,$B668)*1/2</f>
        <v>0</v>
      </c>
      <c r="L668">
        <f>COUNTIF('NP-Betrieb'!D:D,$B668)*1/3</f>
        <v>0</v>
      </c>
      <c r="M668">
        <f>COUNTIF(Fairteilungen!$D:$D,$B668)*3/4</f>
        <v>0</v>
      </c>
      <c r="N668">
        <f>COUNTIF(Anlieferung!D:D,$B668)*1/2</f>
        <v>0</v>
      </c>
      <c r="O668">
        <f>COUNTIF(Probeabholungen!B:B,$B668)*1/3</f>
        <v>0</v>
      </c>
    </row>
    <row r="669" spans="1:15" ht="27.6">
      <c r="A669" s="8" t="s">
        <v>645</v>
      </c>
      <c r="B669" s="8">
        <v>220820</v>
      </c>
      <c r="D669" s="29"/>
      <c r="E669" s="1">
        <v>0</v>
      </c>
      <c r="F669" s="8">
        <v>6</v>
      </c>
      <c r="G669" s="30">
        <f t="shared" si="33"/>
        <v>5.333333333333333</v>
      </c>
      <c r="H669" s="8">
        <f t="shared" si="35"/>
        <v>0.66666666666666663</v>
      </c>
      <c r="I669">
        <f t="shared" si="34"/>
        <v>0.66666666666666663</v>
      </c>
      <c r="J669">
        <f>SUMIF(Oeffentlichkeitsarbeit!$D:$D,$B669,Oeffentlichkeitsarbeit!$F:$F)</f>
        <v>0</v>
      </c>
      <c r="K669">
        <f>COUNTIF(Fairteiler!$D:$D,$B669)*1/2</f>
        <v>0</v>
      </c>
      <c r="L669">
        <f>COUNTIF('NP-Betrieb'!D:D,$B669)*1/3</f>
        <v>0.66666666666666663</v>
      </c>
      <c r="M669">
        <f>COUNTIF(Fairteilungen!$D:$D,$B669)*3/4</f>
        <v>0</v>
      </c>
      <c r="N669">
        <f>COUNTIF(Anlieferung!D:D,$B669)*1/2</f>
        <v>0</v>
      </c>
      <c r="O669">
        <f>COUNTIF(Probeabholungen!B:B,$B669)*1/3</f>
        <v>0</v>
      </c>
    </row>
    <row r="670" spans="1:15">
      <c r="A670" s="8" t="s">
        <v>646</v>
      </c>
      <c r="B670" s="8">
        <v>440768</v>
      </c>
      <c r="D670" s="29"/>
      <c r="E670" s="1">
        <v>0</v>
      </c>
      <c r="F670" s="8">
        <v>6</v>
      </c>
      <c r="G670" s="30">
        <f t="shared" si="33"/>
        <v>1.5</v>
      </c>
      <c r="H670" s="8">
        <f t="shared" si="35"/>
        <v>4.5</v>
      </c>
      <c r="I670">
        <f t="shared" si="34"/>
        <v>4.5</v>
      </c>
      <c r="J670">
        <f>SUMIF(Oeffentlichkeitsarbeit!$D:$D,$B670,Oeffentlichkeitsarbeit!$F:$F)</f>
        <v>0</v>
      </c>
      <c r="K670">
        <f>COUNTIF(Fairteiler!$D:$D,$B670)*1/2</f>
        <v>4.5</v>
      </c>
      <c r="L670">
        <f>COUNTIF('NP-Betrieb'!D:D,$B670)*1/3</f>
        <v>0</v>
      </c>
      <c r="M670">
        <f>COUNTIF(Fairteilungen!$D:$D,$B670)*3/4</f>
        <v>0</v>
      </c>
      <c r="N670">
        <f>COUNTIF(Anlieferung!D:D,$B670)*1/2</f>
        <v>0</v>
      </c>
      <c r="O670">
        <f>COUNTIF(Probeabholungen!B:B,$B670)*1/3</f>
        <v>0</v>
      </c>
    </row>
    <row r="671" spans="1:15">
      <c r="A671" s="8" t="s">
        <v>871</v>
      </c>
      <c r="B671" s="8">
        <v>915243</v>
      </c>
      <c r="D671" s="24">
        <v>46043</v>
      </c>
      <c r="E671" s="1">
        <v>0</v>
      </c>
      <c r="F671" s="8">
        <v>5.5</v>
      </c>
      <c r="G671" s="25">
        <f t="shared" si="33"/>
        <v>5.166666666666667</v>
      </c>
      <c r="H671" s="8">
        <f t="shared" si="35"/>
        <v>0.33333333333333331</v>
      </c>
      <c r="I671">
        <f t="shared" si="34"/>
        <v>0.33333333333333331</v>
      </c>
      <c r="J671">
        <f>SUMIF(Oeffentlichkeitsarbeit!$D:$D,$B671,Oeffentlichkeitsarbeit!$F:$F)</f>
        <v>0</v>
      </c>
      <c r="K671">
        <f>COUNTIF(Fairteiler!$D:$D,$B671)*1/2</f>
        <v>0</v>
      </c>
      <c r="L671">
        <f>COUNTIF('NP-Betrieb'!D:D,$B671)*1/3</f>
        <v>0.33333333333333331</v>
      </c>
      <c r="M671">
        <f>COUNTIF(Fairteilungen!$D:$D,$B671)*3/4</f>
        <v>0</v>
      </c>
      <c r="N671">
        <f>COUNTIF(Anlieferung!D:D,$B671)*1/2</f>
        <v>0</v>
      </c>
      <c r="O671">
        <f>COUNTIF(Probeabholungen!B:B,$B671)*1/3</f>
        <v>0</v>
      </c>
    </row>
    <row r="672" spans="1:15" ht="27.6">
      <c r="A672" s="8" t="s">
        <v>872</v>
      </c>
      <c r="B672" s="8">
        <v>428553</v>
      </c>
      <c r="D672" s="24">
        <v>46077</v>
      </c>
      <c r="E672">
        <v>0</v>
      </c>
      <c r="F672">
        <v>5</v>
      </c>
      <c r="G672" s="30">
        <f t="shared" si="33"/>
        <v>4.333333333333333</v>
      </c>
      <c r="H672" s="8">
        <f t="shared" si="35"/>
        <v>0.66666666666666663</v>
      </c>
      <c r="I672">
        <f t="shared" si="34"/>
        <v>0.66666666666666663</v>
      </c>
      <c r="J672">
        <f>SUMIF(Oeffentlichkeitsarbeit!$D:$D,$B672,Oeffentlichkeitsarbeit!$F:$F)</f>
        <v>0</v>
      </c>
      <c r="K672">
        <f>COUNTIF(Fairteiler!$D:$D,$B672)*1/2</f>
        <v>0</v>
      </c>
      <c r="L672">
        <f>COUNTIF('NP-Betrieb'!D:D,$B672)*1/3</f>
        <v>0.66666666666666663</v>
      </c>
      <c r="M672">
        <f>COUNTIF(Fairteilungen!$D:$D,$B672)*3/4</f>
        <v>0</v>
      </c>
      <c r="N672">
        <f>COUNTIF(Anlieferung!D:D,$B672)*1/2</f>
        <v>0</v>
      </c>
      <c r="O672">
        <f>COUNTIF(Probeabholungen!B:B,$B672)*1/3</f>
        <v>0</v>
      </c>
    </row>
    <row r="673" spans="1:15" ht="41.4">
      <c r="A673" s="8" t="s">
        <v>647</v>
      </c>
      <c r="B673" s="8">
        <v>802419</v>
      </c>
      <c r="D673" s="29">
        <v>45335</v>
      </c>
      <c r="E673" s="1">
        <v>0</v>
      </c>
      <c r="F673" s="8">
        <v>6</v>
      </c>
      <c r="G673" s="30">
        <f t="shared" si="33"/>
        <v>0.66666666666666696</v>
      </c>
      <c r="H673" s="8">
        <f t="shared" si="35"/>
        <v>5.333333333333333</v>
      </c>
      <c r="I673">
        <f t="shared" si="34"/>
        <v>5.333333333333333</v>
      </c>
      <c r="J673">
        <f>SUMIF(Oeffentlichkeitsarbeit!$D:$D,$B673,Oeffentlichkeitsarbeit!$F:$F)</f>
        <v>0</v>
      </c>
      <c r="K673">
        <f>COUNTIF(Fairteiler!$D:$D,$B673)*1/2</f>
        <v>0</v>
      </c>
      <c r="L673">
        <f>COUNTIF('NP-Betrieb'!D:D,$B673)*1/3</f>
        <v>5.333333333333333</v>
      </c>
      <c r="M673">
        <f>COUNTIF(Fairteilungen!$D:$D,$B673)*3/4</f>
        <v>0</v>
      </c>
      <c r="N673">
        <f>COUNTIF(Anlieferung!D:D,$B673)*1/2</f>
        <v>0</v>
      </c>
      <c r="O673">
        <f>COUNTIF(Probeabholungen!B:B,$B673)*1/3</f>
        <v>0</v>
      </c>
    </row>
    <row r="674" spans="1:15" ht="41.4">
      <c r="A674" s="8" t="s">
        <v>648</v>
      </c>
      <c r="B674" s="8">
        <v>935971</v>
      </c>
      <c r="D674" s="24">
        <v>45845</v>
      </c>
      <c r="E674" s="1">
        <v>0</v>
      </c>
      <c r="F674">
        <v>6</v>
      </c>
      <c r="G674" s="30">
        <f t="shared" si="33"/>
        <v>4.666666666666667</v>
      </c>
      <c r="H674" s="8">
        <f t="shared" si="35"/>
        <v>1.3333333333333333</v>
      </c>
      <c r="I674">
        <f t="shared" si="34"/>
        <v>1.3333333333333333</v>
      </c>
      <c r="J674">
        <f>SUMIF(Oeffentlichkeitsarbeit!$D:$D,$B674,Oeffentlichkeitsarbeit!$F:$F)</f>
        <v>0</v>
      </c>
      <c r="K674">
        <f>COUNTIF(Fairteiler!$D:$D,$B674)*1/2</f>
        <v>0</v>
      </c>
      <c r="L674">
        <f>COUNTIF('NP-Betrieb'!D:D,$B674)*1/3</f>
        <v>1.3333333333333333</v>
      </c>
      <c r="M674">
        <f>COUNTIF(Fairteilungen!$D:$D,$B674)*3/4</f>
        <v>0</v>
      </c>
      <c r="N674">
        <f>COUNTIF(Anlieferung!D:D,$B674)*1/2</f>
        <v>0</v>
      </c>
      <c r="O674">
        <f>COUNTIF(Probeabholungen!B:B,$B674)*1/3</f>
        <v>0</v>
      </c>
    </row>
    <row r="675" spans="1:15">
      <c r="A675" s="8" t="s">
        <v>649</v>
      </c>
      <c r="B675" s="8">
        <v>596303</v>
      </c>
      <c r="D675" s="29"/>
      <c r="E675" s="1">
        <v>11.0033333333333</v>
      </c>
      <c r="F675" s="8">
        <v>6</v>
      </c>
      <c r="G675" s="30">
        <f t="shared" si="33"/>
        <v>17.003333333333302</v>
      </c>
      <c r="H675" s="8">
        <f t="shared" si="35"/>
        <v>-11.0033333333333</v>
      </c>
      <c r="I675">
        <f t="shared" si="34"/>
        <v>0</v>
      </c>
      <c r="J675">
        <f>SUMIF(Oeffentlichkeitsarbeit!$D:$D,$B675,Oeffentlichkeitsarbeit!$F:$F)</f>
        <v>0</v>
      </c>
      <c r="K675">
        <f>COUNTIF(Fairteiler!$D:$D,$B675)*1/2</f>
        <v>0</v>
      </c>
      <c r="L675">
        <f>COUNTIF('NP-Betrieb'!D:D,$B675)*1/3</f>
        <v>0</v>
      </c>
      <c r="M675">
        <f>COUNTIF(Fairteilungen!$D:$D,$B675)*3/4</f>
        <v>0</v>
      </c>
      <c r="N675">
        <f>COUNTIF(Anlieferung!D:D,$B675)*1/2</f>
        <v>0</v>
      </c>
      <c r="O675">
        <f>COUNTIF(Probeabholungen!B:B,$B675)*1/3</f>
        <v>0</v>
      </c>
    </row>
    <row r="676" spans="1:15" ht="27.6">
      <c r="A676" s="8" t="s">
        <v>650</v>
      </c>
      <c r="B676" s="8">
        <v>724884</v>
      </c>
      <c r="D676" s="29"/>
      <c r="E676" s="1">
        <v>0</v>
      </c>
      <c r="F676" s="8">
        <v>6</v>
      </c>
      <c r="G676" s="30">
        <f t="shared" si="33"/>
        <v>4.166666666666667</v>
      </c>
      <c r="H676" s="8">
        <f t="shared" si="35"/>
        <v>1.8333333333333333</v>
      </c>
      <c r="I676">
        <f t="shared" si="34"/>
        <v>1.8333333333333333</v>
      </c>
      <c r="J676">
        <f>SUMIF(Oeffentlichkeitsarbeit!$D:$D,$B676,Oeffentlichkeitsarbeit!$F:$F)</f>
        <v>0</v>
      </c>
      <c r="K676">
        <f>COUNTIF(Fairteiler!$D:$D,$B676)*1/2</f>
        <v>1.5</v>
      </c>
      <c r="L676">
        <f>COUNTIF('NP-Betrieb'!D:D,$B676)*1/3</f>
        <v>0.33333333333333331</v>
      </c>
      <c r="M676">
        <f>COUNTIF(Fairteilungen!$D:$D,$B676)*3/4</f>
        <v>0</v>
      </c>
      <c r="N676">
        <f>COUNTIF(Anlieferung!D:D,$B676)*1/2</f>
        <v>0</v>
      </c>
      <c r="O676">
        <f>COUNTIF(Probeabholungen!B:B,$B676)*1/3</f>
        <v>0</v>
      </c>
    </row>
    <row r="677" spans="1:15" ht="27.6">
      <c r="A677" s="8" t="s">
        <v>651</v>
      </c>
      <c r="B677" s="8">
        <v>322700</v>
      </c>
      <c r="D677" s="29"/>
      <c r="E677" s="1">
        <v>0</v>
      </c>
      <c r="F677" s="8">
        <v>6</v>
      </c>
      <c r="G677" s="30">
        <f t="shared" si="33"/>
        <v>5.333333333333333</v>
      </c>
      <c r="H677" s="8">
        <f t="shared" si="35"/>
        <v>0.66666666666666663</v>
      </c>
      <c r="I677">
        <f t="shared" si="34"/>
        <v>0.66666666666666663</v>
      </c>
      <c r="J677">
        <f>SUMIF(Oeffentlichkeitsarbeit!$D:$D,$B677,Oeffentlichkeitsarbeit!$F:$F)</f>
        <v>0</v>
      </c>
      <c r="K677">
        <f>COUNTIF(Fairteiler!$D:$D,$B677)*1/2</f>
        <v>0</v>
      </c>
      <c r="L677">
        <f>COUNTIF('NP-Betrieb'!D:D,$B677)*1/3</f>
        <v>0</v>
      </c>
      <c r="M677">
        <f>COUNTIF(Fairteilungen!$D:$D,$B677)*3/4</f>
        <v>0</v>
      </c>
      <c r="N677">
        <f>COUNTIF(Anlieferung!D:D,$B677)*1/2</f>
        <v>0</v>
      </c>
      <c r="O677">
        <f>COUNTIF(Probeabholungen!B:B,$B677)*1/3</f>
        <v>0.66666666666666663</v>
      </c>
    </row>
    <row r="678" spans="1:15" ht="27.6">
      <c r="A678" s="8" t="s">
        <v>652</v>
      </c>
      <c r="B678" s="8">
        <v>396121</v>
      </c>
      <c r="C678" s="8"/>
      <c r="D678" s="29"/>
      <c r="E678" s="1">
        <v>0</v>
      </c>
      <c r="F678" s="8">
        <v>6</v>
      </c>
      <c r="G678" s="30">
        <f t="shared" si="33"/>
        <v>6</v>
      </c>
      <c r="H678" s="8">
        <f t="shared" si="35"/>
        <v>0</v>
      </c>
      <c r="I678" s="44">
        <f t="shared" si="34"/>
        <v>0</v>
      </c>
      <c r="J678" s="44">
        <f>SUMIF(Oeffentlichkeitsarbeit!$D:$D,$B678,Oeffentlichkeitsarbeit!$F:$F)</f>
        <v>0</v>
      </c>
      <c r="K678" s="44">
        <f>COUNTIF(Fairteiler!$D:$D,$B678)*1/2</f>
        <v>0</v>
      </c>
      <c r="L678" s="44">
        <f>COUNTIF('NP-Betrieb'!D:D,$B678)*1/3</f>
        <v>0</v>
      </c>
      <c r="M678" s="44">
        <f>COUNTIF(Fairteilungen!$D:$D,$B678)*3/4</f>
        <v>0</v>
      </c>
      <c r="N678" s="44">
        <f>COUNTIF(Anlieferung!D:D,$B678)*1/2</f>
        <v>0</v>
      </c>
      <c r="O678" s="44">
        <f>COUNTIF(Probeabholungen!B:B,$B678)*1/3</f>
        <v>0</v>
      </c>
    </row>
    <row r="679" spans="1:15" ht="27.6">
      <c r="A679" s="8" t="s">
        <v>653</v>
      </c>
      <c r="B679" s="8">
        <v>373149</v>
      </c>
      <c r="D679" s="29"/>
      <c r="E679" s="1">
        <v>0</v>
      </c>
      <c r="F679" s="8">
        <v>6</v>
      </c>
      <c r="G679" s="30">
        <f t="shared" si="33"/>
        <v>1.6666666666666661</v>
      </c>
      <c r="H679" s="8">
        <f t="shared" si="35"/>
        <v>4.3333333333333339</v>
      </c>
      <c r="I679">
        <f t="shared" si="34"/>
        <v>4.3333333333333339</v>
      </c>
      <c r="J679">
        <f>SUMIF(Oeffentlichkeitsarbeit!$D:$D,$B679,Oeffentlichkeitsarbeit!$F:$F)</f>
        <v>0</v>
      </c>
      <c r="K679">
        <f>COUNTIF(Fairteiler!$D:$D,$B679)*1/2</f>
        <v>2</v>
      </c>
      <c r="L679">
        <f>COUNTIF('NP-Betrieb'!D:D,$B679)*1/3</f>
        <v>2.3333333333333335</v>
      </c>
      <c r="M679">
        <f>COUNTIF(Fairteilungen!$D:$D,$B679)*3/4</f>
        <v>0</v>
      </c>
      <c r="N679">
        <f>COUNTIF(Anlieferung!D:D,$B679)*1/2</f>
        <v>0</v>
      </c>
      <c r="O679">
        <f>COUNTIF(Probeabholungen!B:B,$B679)*1/3</f>
        <v>0</v>
      </c>
    </row>
    <row r="680" spans="1:15" ht="27.6">
      <c r="A680" s="8" t="s">
        <v>654</v>
      </c>
      <c r="B680" s="8">
        <v>696390</v>
      </c>
      <c r="D680" s="24">
        <v>45732</v>
      </c>
      <c r="E680" s="1">
        <v>3.5</v>
      </c>
      <c r="F680">
        <v>6</v>
      </c>
      <c r="G680" s="30">
        <f t="shared" si="33"/>
        <v>9.5</v>
      </c>
      <c r="H680" s="8">
        <f t="shared" si="35"/>
        <v>-3.5</v>
      </c>
      <c r="I680">
        <f t="shared" si="34"/>
        <v>0</v>
      </c>
      <c r="J680">
        <f>SUMIF(Oeffentlichkeitsarbeit!$D:$D,$B680,Oeffentlichkeitsarbeit!$F:$F)</f>
        <v>0</v>
      </c>
      <c r="K680">
        <f>COUNTIF(Fairteiler!$D:$D,$B680)*1/2</f>
        <v>0</v>
      </c>
      <c r="L680">
        <f>COUNTIF('NP-Betrieb'!D:D,$B680)*1/3</f>
        <v>0</v>
      </c>
      <c r="M680">
        <f>COUNTIF(Fairteilungen!$D:$D,$B680)*3/4</f>
        <v>0</v>
      </c>
      <c r="N680">
        <f>COUNTIF(Anlieferung!D:D,$B680)*1/2</f>
        <v>0</v>
      </c>
      <c r="O680">
        <f>COUNTIF(Probeabholungen!B:B,$B680)*1/3</f>
        <v>0</v>
      </c>
    </row>
    <row r="681" spans="1:15" ht="27.6">
      <c r="A681" s="15" t="s">
        <v>655</v>
      </c>
      <c r="B681" s="15">
        <v>9184</v>
      </c>
      <c r="C681" s="15" t="s">
        <v>873</v>
      </c>
      <c r="D681" s="29"/>
      <c r="E681" s="1">
        <v>0</v>
      </c>
      <c r="F681" s="15">
        <v>0</v>
      </c>
      <c r="G681" s="30">
        <f t="shared" si="33"/>
        <v>-1.6666666666666667</v>
      </c>
      <c r="H681" s="15">
        <f t="shared" si="35"/>
        <v>1.6666666666666667</v>
      </c>
      <c r="I681" s="36">
        <f t="shared" si="34"/>
        <v>1.6666666666666667</v>
      </c>
      <c r="J681" s="36">
        <f>SUMIF(Oeffentlichkeitsarbeit!$D:$D,$B681,Oeffentlichkeitsarbeit!$F:$F)</f>
        <v>0</v>
      </c>
      <c r="K681" s="36">
        <f>COUNTIF(Fairteiler!$D:$D,$B681)*1/2</f>
        <v>0</v>
      </c>
      <c r="L681" s="36">
        <f>COUNTIF('NP-Betrieb'!D:D,$B681)*1/3</f>
        <v>1.6666666666666667</v>
      </c>
      <c r="M681" s="36">
        <f>COUNTIF(Fairteilungen!$D:$D,$B681)*3/4</f>
        <v>0</v>
      </c>
      <c r="N681" s="36">
        <f>COUNTIF(Anlieferung!D:D,$B681)*1/2</f>
        <v>0</v>
      </c>
      <c r="O681" s="36">
        <f>COUNTIF(Probeabholungen!B:B,$B681)*1/3</f>
        <v>0</v>
      </c>
    </row>
    <row r="682" spans="1:15" ht="27.6">
      <c r="A682" s="8" t="s">
        <v>656</v>
      </c>
      <c r="B682" s="8">
        <v>277668</v>
      </c>
      <c r="D682" s="29"/>
      <c r="E682" s="1">
        <v>0</v>
      </c>
      <c r="F682" s="8">
        <v>6</v>
      </c>
      <c r="G682" s="30">
        <f t="shared" si="33"/>
        <v>2.6666666666666665</v>
      </c>
      <c r="H682" s="8">
        <f t="shared" si="35"/>
        <v>3.3333333333333335</v>
      </c>
      <c r="I682">
        <f t="shared" si="34"/>
        <v>3.3333333333333335</v>
      </c>
      <c r="J682">
        <f>SUMIF(Oeffentlichkeitsarbeit!$D:$D,$B682,Oeffentlichkeitsarbeit!$F:$F)</f>
        <v>0</v>
      </c>
      <c r="K682">
        <f>COUNTIF(Fairteiler!$D:$D,$B682)*1/2</f>
        <v>0</v>
      </c>
      <c r="L682">
        <f>COUNTIF('NP-Betrieb'!D:D,$B682)*1/3</f>
        <v>3.3333333333333335</v>
      </c>
      <c r="M682">
        <f>COUNTIF(Fairteilungen!$D:$D,$B682)*3/4</f>
        <v>0</v>
      </c>
      <c r="N682">
        <f>COUNTIF(Anlieferung!D:D,$B682)*1/2</f>
        <v>0</v>
      </c>
      <c r="O682">
        <f>COUNTIF(Probeabholungen!B:B,$B682)*1/3</f>
        <v>0</v>
      </c>
    </row>
    <row r="683" spans="1:15" ht="27.6">
      <c r="A683" s="8" t="s">
        <v>657</v>
      </c>
      <c r="B683" s="8">
        <v>370739</v>
      </c>
      <c r="D683" s="29"/>
      <c r="E683" s="1">
        <v>11</v>
      </c>
      <c r="F683" s="8">
        <v>6</v>
      </c>
      <c r="G683" s="30">
        <f t="shared" si="33"/>
        <v>17</v>
      </c>
      <c r="H683" s="8">
        <f t="shared" si="35"/>
        <v>-11</v>
      </c>
      <c r="I683">
        <f t="shared" si="34"/>
        <v>0</v>
      </c>
      <c r="J683">
        <f>SUMIF(Oeffentlichkeitsarbeit!$D:$D,$B683,Oeffentlichkeitsarbeit!$F:$F)</f>
        <v>0</v>
      </c>
      <c r="K683">
        <f>COUNTIF(Fairteiler!$D:$D,$B683)*1/2</f>
        <v>0</v>
      </c>
      <c r="L683">
        <f>COUNTIF('NP-Betrieb'!D:D,$B683)*1/3</f>
        <v>0</v>
      </c>
      <c r="M683">
        <f>COUNTIF(Fairteilungen!$D:$D,$B683)*3/4</f>
        <v>0</v>
      </c>
      <c r="N683">
        <f>COUNTIF(Anlieferung!D:D,$B683)*1/2</f>
        <v>0</v>
      </c>
      <c r="O683">
        <f>COUNTIF(Probeabholungen!B:B,$B683)*1/3</f>
        <v>0</v>
      </c>
    </row>
    <row r="684" spans="1:15" ht="27.6">
      <c r="A684" s="8" t="s">
        <v>658</v>
      </c>
      <c r="B684" s="8">
        <v>423716</v>
      </c>
      <c r="C684" s="8"/>
      <c r="D684" s="29"/>
      <c r="E684" s="1">
        <v>0</v>
      </c>
      <c r="F684" s="8">
        <v>6</v>
      </c>
      <c r="G684" s="30">
        <f t="shared" si="33"/>
        <v>6</v>
      </c>
      <c r="H684" s="8">
        <f t="shared" si="35"/>
        <v>0</v>
      </c>
      <c r="I684">
        <f t="shared" si="34"/>
        <v>0</v>
      </c>
      <c r="J684">
        <f>SUMIF(Oeffentlichkeitsarbeit!$D:$D,$B684,Oeffentlichkeitsarbeit!$F:$F)</f>
        <v>0</v>
      </c>
      <c r="K684">
        <f>COUNTIF(Fairteiler!$D:$D,$B684)*1/2</f>
        <v>0</v>
      </c>
      <c r="L684">
        <f>COUNTIF('NP-Betrieb'!D:D,$B684)*1/3</f>
        <v>0</v>
      </c>
      <c r="M684">
        <f>COUNTIF(Fairteilungen!$D:$D,$B684)*3/4</f>
        <v>0</v>
      </c>
      <c r="N684">
        <f>COUNTIF(Anlieferung!D:D,$B684)*1/2</f>
        <v>0</v>
      </c>
      <c r="O684">
        <f>COUNTIF(Probeabholungen!B:B,$B684)*1/3</f>
        <v>0</v>
      </c>
    </row>
    <row r="685" spans="1:15" ht="27.6">
      <c r="A685" s="8" t="s">
        <v>659</v>
      </c>
      <c r="B685" s="8">
        <v>394635</v>
      </c>
      <c r="D685" s="29"/>
      <c r="E685" s="1">
        <v>0</v>
      </c>
      <c r="F685" s="8">
        <v>6</v>
      </c>
      <c r="G685" s="30">
        <f t="shared" si="33"/>
        <v>-1</v>
      </c>
      <c r="H685" s="8">
        <f t="shared" si="35"/>
        <v>7</v>
      </c>
      <c r="I685">
        <f t="shared" si="34"/>
        <v>7</v>
      </c>
      <c r="J685">
        <f>SUMIF(Oeffentlichkeitsarbeit!$D:$D,$B685,Oeffentlichkeitsarbeit!$F:$F)</f>
        <v>0</v>
      </c>
      <c r="K685">
        <f>COUNTIF(Fairteiler!$D:$D,$B685)*1/2</f>
        <v>0</v>
      </c>
      <c r="L685">
        <f>COUNTIF('NP-Betrieb'!D:D,$B685)*1/3</f>
        <v>7</v>
      </c>
      <c r="M685">
        <f>COUNTIF(Fairteilungen!$D:$D,$B685)*3/4</f>
        <v>0</v>
      </c>
      <c r="N685">
        <f>COUNTIF(Anlieferung!D:D,$B685)*1/2</f>
        <v>0</v>
      </c>
      <c r="O685">
        <f>COUNTIF(Probeabholungen!B:B,$B685)*1/3</f>
        <v>0</v>
      </c>
    </row>
    <row r="686" spans="1:15">
      <c r="A686" s="8" t="s">
        <v>660</v>
      </c>
      <c r="B686" s="8">
        <v>920008</v>
      </c>
      <c r="D686" s="24">
        <v>45845</v>
      </c>
      <c r="E686" s="1">
        <v>3</v>
      </c>
      <c r="F686">
        <v>6</v>
      </c>
      <c r="G686" s="30">
        <f t="shared" si="33"/>
        <v>6.6666666666666661</v>
      </c>
      <c r="H686" s="8">
        <f t="shared" si="35"/>
        <v>-0.66666666666666652</v>
      </c>
      <c r="I686">
        <f t="shared" si="34"/>
        <v>2.3333333333333335</v>
      </c>
      <c r="J686">
        <f>SUMIF(Oeffentlichkeitsarbeit!$D:$D,$B686,Oeffentlichkeitsarbeit!$F:$F)</f>
        <v>0</v>
      </c>
      <c r="K686">
        <f>COUNTIF(Fairteiler!$D:$D,$B686)*1/2</f>
        <v>0</v>
      </c>
      <c r="L686">
        <f>COUNTIF('NP-Betrieb'!D:D,$B686)*1/3</f>
        <v>2.3333333333333335</v>
      </c>
      <c r="M686">
        <f>COUNTIF(Fairteilungen!$D:$D,$B686)*3/4</f>
        <v>0</v>
      </c>
      <c r="N686">
        <f>COUNTIF(Anlieferung!D:D,$B686)*1/2</f>
        <v>0</v>
      </c>
      <c r="O686">
        <f>COUNTIF(Probeabholungen!B:B,$B686)*1/3</f>
        <v>0</v>
      </c>
    </row>
    <row r="687" spans="1:15" ht="27.6">
      <c r="A687" s="8" t="s">
        <v>661</v>
      </c>
      <c r="B687" s="8">
        <v>368256</v>
      </c>
      <c r="C687" s="8"/>
      <c r="D687" s="29"/>
      <c r="E687" s="1">
        <v>0</v>
      </c>
      <c r="F687" s="8">
        <v>6</v>
      </c>
      <c r="G687" s="30">
        <f t="shared" si="33"/>
        <v>1</v>
      </c>
      <c r="H687" s="8">
        <f t="shared" si="35"/>
        <v>5</v>
      </c>
      <c r="I687">
        <f t="shared" si="34"/>
        <v>5</v>
      </c>
      <c r="J687">
        <f>SUMIF(Oeffentlichkeitsarbeit!$D:$D,$B687,Oeffentlichkeitsarbeit!$F:$F)</f>
        <v>0</v>
      </c>
      <c r="K687">
        <f>COUNTIF(Fairteiler!$D:$D,$B687)*1/2</f>
        <v>0</v>
      </c>
      <c r="L687">
        <f>COUNTIF('NP-Betrieb'!D:D,$B687)*1/3</f>
        <v>5</v>
      </c>
      <c r="M687">
        <f>COUNTIF(Fairteilungen!$D:$D,$B687)*3/4</f>
        <v>0</v>
      </c>
      <c r="N687">
        <f>COUNTIF(Anlieferung!D:D,$B687)*1/2</f>
        <v>0</v>
      </c>
      <c r="O687">
        <f>COUNTIF(Probeabholungen!B:B,$B687)*1/3</f>
        <v>0</v>
      </c>
    </row>
    <row r="688" spans="1:15">
      <c r="A688" s="8" t="s">
        <v>662</v>
      </c>
      <c r="B688" s="8">
        <v>514940</v>
      </c>
      <c r="D688" s="29"/>
      <c r="E688" s="1">
        <v>1.5</v>
      </c>
      <c r="F688" s="8">
        <v>6</v>
      </c>
      <c r="G688" s="30">
        <f t="shared" si="33"/>
        <v>7.5</v>
      </c>
      <c r="H688" s="8">
        <f t="shared" si="35"/>
        <v>-1.5</v>
      </c>
      <c r="I688">
        <f t="shared" si="34"/>
        <v>0</v>
      </c>
      <c r="J688">
        <f>SUMIF(Oeffentlichkeitsarbeit!$D:$D,$B688,Oeffentlichkeitsarbeit!$F:$F)</f>
        <v>0</v>
      </c>
      <c r="K688">
        <f>COUNTIF(Fairteiler!$D:$D,$B688)*1/2</f>
        <v>0</v>
      </c>
      <c r="L688">
        <f>COUNTIF('NP-Betrieb'!D:D,$B688)*1/3</f>
        <v>0</v>
      </c>
      <c r="M688">
        <f>COUNTIF(Fairteilungen!$D:$D,$B688)*3/4</f>
        <v>0</v>
      </c>
      <c r="N688">
        <f>COUNTIF(Anlieferung!D:D,$B688)*1/2</f>
        <v>0</v>
      </c>
      <c r="O688">
        <f>COUNTIF(Probeabholungen!B:B,$B688)*1/3</f>
        <v>0</v>
      </c>
    </row>
    <row r="689" spans="1:15">
      <c r="A689" s="8" t="s">
        <v>663</v>
      </c>
      <c r="B689" s="8">
        <v>923674</v>
      </c>
      <c r="D689" s="24">
        <v>45799</v>
      </c>
      <c r="E689" s="1">
        <v>0</v>
      </c>
      <c r="F689">
        <v>6</v>
      </c>
      <c r="G689" s="30">
        <f t="shared" si="33"/>
        <v>2.6666666666666665</v>
      </c>
      <c r="H689" s="8">
        <f t="shared" si="35"/>
        <v>3.3333333333333335</v>
      </c>
      <c r="I689">
        <f t="shared" si="34"/>
        <v>3.3333333333333335</v>
      </c>
      <c r="J689">
        <f>SUMIF(Oeffentlichkeitsarbeit!$D:$D,$B689,Oeffentlichkeitsarbeit!$F:$F)</f>
        <v>0</v>
      </c>
      <c r="K689">
        <f>COUNTIF(Fairteiler!$D:$D,$B689)*1/2</f>
        <v>0</v>
      </c>
      <c r="L689">
        <f>COUNTIF('NP-Betrieb'!D:D,$B689)*1/3</f>
        <v>3.3333333333333335</v>
      </c>
      <c r="M689">
        <f>COUNTIF(Fairteilungen!$D:$D,$B689)*3/4</f>
        <v>0</v>
      </c>
      <c r="N689">
        <f>COUNTIF(Anlieferung!D:D,$B689)*1/2</f>
        <v>0</v>
      </c>
      <c r="O689">
        <f>COUNTIF(Probeabholungen!B:B,$B689)*1/3</f>
        <v>0</v>
      </c>
    </row>
    <row r="690" spans="1:15" ht="27.6">
      <c r="A690" s="8" t="s">
        <v>664</v>
      </c>
      <c r="B690" s="8">
        <v>280681</v>
      </c>
      <c r="D690" s="29"/>
      <c r="E690" s="1">
        <v>9</v>
      </c>
      <c r="F690" s="8">
        <v>6</v>
      </c>
      <c r="G690" s="30">
        <f t="shared" si="33"/>
        <v>15</v>
      </c>
      <c r="H690" s="8">
        <f t="shared" si="35"/>
        <v>-9</v>
      </c>
      <c r="I690">
        <f t="shared" si="34"/>
        <v>0</v>
      </c>
      <c r="J690">
        <f>SUMIF(Oeffentlichkeitsarbeit!$D:$D,$B690,Oeffentlichkeitsarbeit!$F:$F)</f>
        <v>0</v>
      </c>
      <c r="K690">
        <f>COUNTIF(Fairteiler!$D:$D,$B690)*1/2</f>
        <v>0</v>
      </c>
      <c r="L690">
        <f>COUNTIF('NP-Betrieb'!D:D,$B690)*1/3</f>
        <v>0</v>
      </c>
      <c r="M690">
        <f>COUNTIF(Fairteilungen!$D:$D,$B690)*3/4</f>
        <v>0</v>
      </c>
      <c r="N690">
        <f>COUNTIF(Anlieferung!D:D,$B690)*1/2</f>
        <v>0</v>
      </c>
      <c r="O690">
        <f>COUNTIF(Probeabholungen!B:B,$B690)*1/3</f>
        <v>0</v>
      </c>
    </row>
    <row r="691" spans="1:15" ht="27.6">
      <c r="A691" s="8" t="s">
        <v>665</v>
      </c>
      <c r="B691" s="8">
        <v>577220</v>
      </c>
      <c r="D691" s="24">
        <v>45732</v>
      </c>
      <c r="E691" s="1">
        <v>0.83333333333333304</v>
      </c>
      <c r="F691">
        <v>6</v>
      </c>
      <c r="G691" s="30">
        <f t="shared" si="33"/>
        <v>5.833333333333333</v>
      </c>
      <c r="H691" s="8">
        <f t="shared" si="35"/>
        <v>0.16666666666666696</v>
      </c>
      <c r="I691">
        <f t="shared" si="34"/>
        <v>1</v>
      </c>
      <c r="J691">
        <f>SUMIF(Oeffentlichkeitsarbeit!$D:$D,$B691,Oeffentlichkeitsarbeit!$F:$F)</f>
        <v>0</v>
      </c>
      <c r="K691">
        <f>COUNTIF(Fairteiler!$D:$D,$B691)*1/2</f>
        <v>0</v>
      </c>
      <c r="L691">
        <f>COUNTIF('NP-Betrieb'!D:D,$B691)*1/3</f>
        <v>1</v>
      </c>
      <c r="M691">
        <f>COUNTIF(Fairteilungen!$D:$D,$B691)*3/4</f>
        <v>0</v>
      </c>
      <c r="N691">
        <f>COUNTIF(Anlieferung!D:D,$B691)*1/2</f>
        <v>0</v>
      </c>
      <c r="O691">
        <f>COUNTIF(Probeabholungen!B:B,$B691)*1/3</f>
        <v>0</v>
      </c>
    </row>
    <row r="692" spans="1:15" ht="27.6">
      <c r="A692" s="8" t="s">
        <v>666</v>
      </c>
      <c r="B692" s="8">
        <v>689981</v>
      </c>
      <c r="D692" s="29"/>
      <c r="E692" s="1">
        <v>0.34333333333333299</v>
      </c>
      <c r="F692" s="8">
        <v>6</v>
      </c>
      <c r="G692" s="30">
        <f t="shared" si="33"/>
        <v>2.0099999999999998</v>
      </c>
      <c r="H692" s="8">
        <f t="shared" si="35"/>
        <v>3.99</v>
      </c>
      <c r="I692">
        <f t="shared" si="34"/>
        <v>4.333333333333333</v>
      </c>
      <c r="J692">
        <f>SUMIF(Oeffentlichkeitsarbeit!$D:$D,$B692,Oeffentlichkeitsarbeit!$F:$F)</f>
        <v>0</v>
      </c>
      <c r="K692">
        <f>COUNTIF(Fairteiler!$D:$D,$B692)*1/2</f>
        <v>0</v>
      </c>
      <c r="L692">
        <f>COUNTIF('NP-Betrieb'!D:D,$B692)*1/3</f>
        <v>4.333333333333333</v>
      </c>
      <c r="M692">
        <f>COUNTIF(Fairteilungen!$D:$D,$B692)*3/4</f>
        <v>0</v>
      </c>
      <c r="N692">
        <f>COUNTIF(Anlieferung!D:D,$B692)*1/2</f>
        <v>0</v>
      </c>
      <c r="O692">
        <f>COUNTIF(Probeabholungen!B:B,$B692)*1/3</f>
        <v>0</v>
      </c>
    </row>
    <row r="693" spans="1:15" ht="41.4">
      <c r="A693" s="8" t="s">
        <v>667</v>
      </c>
      <c r="B693" s="8">
        <v>367133</v>
      </c>
      <c r="D693" s="29"/>
      <c r="E693" s="1">
        <v>0</v>
      </c>
      <c r="F693" s="8">
        <v>6</v>
      </c>
      <c r="G693" s="30">
        <f t="shared" si="33"/>
        <v>4.333333333333333</v>
      </c>
      <c r="H693" s="8">
        <f t="shared" si="35"/>
        <v>1.6666666666666667</v>
      </c>
      <c r="I693">
        <f t="shared" si="34"/>
        <v>1.6666666666666667</v>
      </c>
      <c r="J693">
        <f>SUMIF(Oeffentlichkeitsarbeit!$D:$D,$B693,Oeffentlichkeitsarbeit!$F:$F)</f>
        <v>0</v>
      </c>
      <c r="K693">
        <f>COUNTIF(Fairteiler!$D:$D,$B693)*1/2</f>
        <v>0</v>
      </c>
      <c r="L693">
        <f>COUNTIF('NP-Betrieb'!D:D,$B693)*1/3</f>
        <v>1.6666666666666667</v>
      </c>
      <c r="M693">
        <f>COUNTIF(Fairteilungen!$D:$D,$B693)*3/4</f>
        <v>0</v>
      </c>
      <c r="N693">
        <f>COUNTIF(Anlieferung!D:D,$B693)*1/2</f>
        <v>0</v>
      </c>
      <c r="O693">
        <f>COUNTIF(Probeabholungen!B:B,$B693)*1/3</f>
        <v>0</v>
      </c>
    </row>
    <row r="694" spans="1:15" ht="27.6">
      <c r="A694" s="8" t="s">
        <v>668</v>
      </c>
      <c r="B694" s="8">
        <v>562034</v>
      </c>
      <c r="D694" s="29"/>
      <c r="E694" s="1">
        <v>1.5</v>
      </c>
      <c r="F694" s="8">
        <v>6</v>
      </c>
      <c r="G694" s="30">
        <f t="shared" si="33"/>
        <v>7.5</v>
      </c>
      <c r="H694" s="8">
        <f t="shared" si="35"/>
        <v>-1.5</v>
      </c>
      <c r="I694">
        <f t="shared" si="34"/>
        <v>0</v>
      </c>
      <c r="J694">
        <f>SUMIF(Oeffentlichkeitsarbeit!$D:$D,$B694,Oeffentlichkeitsarbeit!$F:$F)</f>
        <v>0</v>
      </c>
      <c r="K694">
        <f>COUNTIF(Fairteiler!$D:$D,$B694)*1/2</f>
        <v>0</v>
      </c>
      <c r="L694">
        <f>COUNTIF('NP-Betrieb'!D:D,$B694)*1/3</f>
        <v>0</v>
      </c>
      <c r="M694">
        <f>COUNTIF(Fairteilungen!$D:$D,$B694)*3/4</f>
        <v>0</v>
      </c>
      <c r="N694">
        <f>COUNTIF(Anlieferung!D:D,$B694)*1/2</f>
        <v>0</v>
      </c>
      <c r="O694">
        <f>COUNTIF(Probeabholungen!B:B,$B694)*1/3</f>
        <v>0</v>
      </c>
    </row>
    <row r="695" spans="1:15" ht="27.6">
      <c r="A695" s="8" t="s">
        <v>669</v>
      </c>
      <c r="B695" s="8">
        <v>771510</v>
      </c>
      <c r="D695" s="29">
        <v>45387</v>
      </c>
      <c r="E695" s="1">
        <v>9</v>
      </c>
      <c r="F695" s="8">
        <v>6</v>
      </c>
      <c r="G695" s="30">
        <f t="shared" si="33"/>
        <v>15</v>
      </c>
      <c r="H695" s="8">
        <f t="shared" si="35"/>
        <v>-9</v>
      </c>
      <c r="I695">
        <f t="shared" si="34"/>
        <v>0</v>
      </c>
      <c r="J695">
        <f>SUMIF(Oeffentlichkeitsarbeit!$D:$D,$B695,Oeffentlichkeitsarbeit!$F:$F)</f>
        <v>0</v>
      </c>
      <c r="K695">
        <f>COUNTIF(Fairteiler!$D:$D,$B695)*1/2</f>
        <v>0</v>
      </c>
      <c r="L695">
        <f>COUNTIF('NP-Betrieb'!D:D,$B695)*1/3</f>
        <v>0</v>
      </c>
      <c r="M695">
        <f>COUNTIF(Fairteilungen!$D:$D,$B695)*3/4</f>
        <v>0</v>
      </c>
      <c r="N695">
        <f>COUNTIF(Anlieferung!D:D,$B695)*1/2</f>
        <v>0</v>
      </c>
      <c r="O695">
        <f>COUNTIF(Probeabholungen!B:B,$B695)*1/3</f>
        <v>0</v>
      </c>
    </row>
    <row r="696" spans="1:15">
      <c r="A696" s="8" t="s">
        <v>670</v>
      </c>
      <c r="B696" s="8">
        <v>348749</v>
      </c>
      <c r="C696" s="8"/>
      <c r="D696" s="29"/>
      <c r="E696" s="1">
        <v>13.34</v>
      </c>
      <c r="F696" s="8">
        <v>6</v>
      </c>
      <c r="G696" s="30">
        <f t="shared" si="33"/>
        <v>19.34</v>
      </c>
      <c r="H696" s="8">
        <f t="shared" si="35"/>
        <v>-13.34</v>
      </c>
      <c r="I696">
        <f t="shared" si="34"/>
        <v>0</v>
      </c>
      <c r="J696">
        <f>SUMIF(Oeffentlichkeitsarbeit!$D:$D,$B696,Oeffentlichkeitsarbeit!$F:$F)</f>
        <v>0</v>
      </c>
      <c r="K696">
        <f>COUNTIF(Fairteiler!$D:$D,$B696)*1/2</f>
        <v>0</v>
      </c>
      <c r="L696">
        <f>COUNTIF('NP-Betrieb'!D:D,$B696)*1/3</f>
        <v>0</v>
      </c>
      <c r="M696">
        <f>COUNTIF(Fairteilungen!$D:$D,$B696)*3/4</f>
        <v>0</v>
      </c>
      <c r="N696">
        <f>COUNTIF(Anlieferung!D:D,$B696)*1/2</f>
        <v>0</v>
      </c>
      <c r="O696">
        <f>COUNTIF(Probeabholungen!B:B,$B696)*1/3</f>
        <v>0</v>
      </c>
    </row>
    <row r="697" spans="1:15" ht="41.4">
      <c r="A697" s="8" t="s">
        <v>671</v>
      </c>
      <c r="B697" s="8">
        <v>194270</v>
      </c>
      <c r="C697" t="s">
        <v>874</v>
      </c>
      <c r="D697" s="29"/>
      <c r="E697" s="1">
        <v>0</v>
      </c>
      <c r="F697" s="8">
        <v>3</v>
      </c>
      <c r="G697" s="30">
        <f t="shared" si="33"/>
        <v>2.5</v>
      </c>
      <c r="H697" s="8">
        <f t="shared" si="35"/>
        <v>0.5</v>
      </c>
      <c r="I697">
        <f t="shared" si="34"/>
        <v>0.5</v>
      </c>
      <c r="J697">
        <f>SUMIF(Oeffentlichkeitsarbeit!$D:$D,$B697,Oeffentlichkeitsarbeit!$F:$F)</f>
        <v>0</v>
      </c>
      <c r="K697">
        <f>COUNTIF(Fairteiler!$D:$D,$B697)*1/2</f>
        <v>0.5</v>
      </c>
      <c r="L697">
        <f>COUNTIF('NP-Betrieb'!D:D,$B697)*1/3</f>
        <v>0</v>
      </c>
      <c r="M697">
        <f>COUNTIF(Fairteilungen!$D:$D,$B697)*3/4</f>
        <v>0</v>
      </c>
      <c r="N697">
        <f>COUNTIF(Anlieferung!D:D,$B697)*1/2</f>
        <v>0</v>
      </c>
      <c r="O697">
        <f>COUNTIF(Probeabholungen!B:B,$B697)*1/3</f>
        <v>0</v>
      </c>
    </row>
    <row r="698" spans="1:15" ht="69">
      <c r="A698" s="8" t="s">
        <v>672</v>
      </c>
      <c r="B698" s="8">
        <v>610944</v>
      </c>
      <c r="D698" s="29"/>
      <c r="E698" s="1">
        <v>0</v>
      </c>
      <c r="F698" s="8">
        <v>6</v>
      </c>
      <c r="G698" s="30">
        <f t="shared" si="33"/>
        <v>-0.16666666666666696</v>
      </c>
      <c r="H698" s="8">
        <f t="shared" si="35"/>
        <v>6.166666666666667</v>
      </c>
      <c r="I698">
        <f t="shared" si="34"/>
        <v>6.166666666666667</v>
      </c>
      <c r="J698">
        <f>SUMIF(Oeffentlichkeitsarbeit!$D:$D,$B698,Oeffentlichkeitsarbeit!$F:$F)</f>
        <v>0</v>
      </c>
      <c r="K698">
        <f>COUNTIF(Fairteiler!$D:$D,$B698)*1/2</f>
        <v>0.5</v>
      </c>
      <c r="L698">
        <f>COUNTIF('NP-Betrieb'!D:D,$B698)*1/3</f>
        <v>5</v>
      </c>
      <c r="M698">
        <f>COUNTIF(Fairteilungen!$D:$D,$B698)*3/4</f>
        <v>0</v>
      </c>
      <c r="N698">
        <f>COUNTIF(Anlieferung!D:D,$B698)*1/2</f>
        <v>0</v>
      </c>
      <c r="O698">
        <f>COUNTIF(Probeabholungen!B:B,$B698)*1/3</f>
        <v>0.66666666666666663</v>
      </c>
    </row>
    <row r="699" spans="1:15" ht="27.6">
      <c r="A699" s="8" t="s">
        <v>673</v>
      </c>
      <c r="B699" s="8">
        <v>585909</v>
      </c>
      <c r="D699" s="24">
        <v>45961</v>
      </c>
      <c r="E699" s="1">
        <v>0.66666666666666696</v>
      </c>
      <c r="F699">
        <v>6</v>
      </c>
      <c r="G699" s="30">
        <f t="shared" si="33"/>
        <v>3.3333333333333335</v>
      </c>
      <c r="H699" s="8">
        <f t="shared" si="35"/>
        <v>2.6666666666666665</v>
      </c>
      <c r="I699">
        <f t="shared" si="34"/>
        <v>3.3333333333333335</v>
      </c>
      <c r="J699">
        <f>SUMIF(Oeffentlichkeitsarbeit!$D:$D,$B699,Oeffentlichkeitsarbeit!$F:$F)</f>
        <v>0</v>
      </c>
      <c r="K699">
        <f>COUNTIF(Fairteiler!$D:$D,$B699)*1/2</f>
        <v>0</v>
      </c>
      <c r="L699">
        <f>COUNTIF('NP-Betrieb'!D:D,$B699)*1/3</f>
        <v>3.3333333333333335</v>
      </c>
      <c r="M699">
        <f>COUNTIF(Fairteilungen!$D:$D,$B699)*3/4</f>
        <v>0</v>
      </c>
      <c r="N699">
        <f>COUNTIF(Anlieferung!D:D,$B699)*1/2</f>
        <v>0</v>
      </c>
      <c r="O699">
        <f>COUNTIF(Probeabholungen!B:B,$B699)*1/3</f>
        <v>0</v>
      </c>
    </row>
    <row r="700" spans="1:15">
      <c r="A700" s="8" t="s">
        <v>674</v>
      </c>
      <c r="B700" s="8">
        <v>943909</v>
      </c>
      <c r="D700" s="24">
        <v>45961</v>
      </c>
      <c r="E700" s="1">
        <v>0</v>
      </c>
      <c r="F700">
        <v>6</v>
      </c>
      <c r="G700" s="30">
        <f t="shared" si="33"/>
        <v>0.83333333333333393</v>
      </c>
      <c r="H700" s="8">
        <f t="shared" si="35"/>
        <v>5.1666666666666661</v>
      </c>
      <c r="I700">
        <f t="shared" si="34"/>
        <v>5.1666666666666661</v>
      </c>
      <c r="J700">
        <f>SUMIF(Oeffentlichkeitsarbeit!$D:$D,$B700,Oeffentlichkeitsarbeit!$F:$F)</f>
        <v>0</v>
      </c>
      <c r="K700">
        <f>COUNTIF(Fairteiler!$D:$D,$B700)*1/2</f>
        <v>1.5</v>
      </c>
      <c r="L700">
        <f>COUNTIF('NP-Betrieb'!D:D,$B700)*1/3</f>
        <v>3.6666666666666665</v>
      </c>
      <c r="M700">
        <f>COUNTIF(Fairteilungen!$D:$D,$B700)*3/4</f>
        <v>0</v>
      </c>
      <c r="N700">
        <f>COUNTIF(Anlieferung!D:D,$B700)*1/2</f>
        <v>0</v>
      </c>
      <c r="O700">
        <f>COUNTIF(Probeabholungen!B:B,$B700)*1/3</f>
        <v>0</v>
      </c>
    </row>
    <row r="701" spans="1:15" ht="27.6">
      <c r="A701" s="8" t="s">
        <v>675</v>
      </c>
      <c r="B701" s="8">
        <v>327161</v>
      </c>
      <c r="D701" s="29"/>
      <c r="E701" s="1">
        <v>15.5</v>
      </c>
      <c r="F701" s="8">
        <v>6</v>
      </c>
      <c r="G701" s="30">
        <f t="shared" si="33"/>
        <v>21.5</v>
      </c>
      <c r="H701" s="8">
        <f t="shared" si="35"/>
        <v>-15.5</v>
      </c>
      <c r="I701">
        <f t="shared" si="34"/>
        <v>0</v>
      </c>
      <c r="J701">
        <f>SUMIF(Oeffentlichkeitsarbeit!$D:$D,$B701,Oeffentlichkeitsarbeit!$F:$F)</f>
        <v>0</v>
      </c>
      <c r="K701">
        <f>COUNTIF(Fairteiler!$D:$D,$B701)*1/2</f>
        <v>0</v>
      </c>
      <c r="L701">
        <f>COUNTIF('NP-Betrieb'!D:D,$B701)*1/3</f>
        <v>0</v>
      </c>
      <c r="M701">
        <f>COUNTIF(Fairteilungen!$D:$D,$B701)*3/4</f>
        <v>0</v>
      </c>
      <c r="N701">
        <f>COUNTIF(Anlieferung!D:D,$B701)*1/2</f>
        <v>0</v>
      </c>
      <c r="O701">
        <f>COUNTIF(Probeabholungen!B:B,$B701)*1/3</f>
        <v>0</v>
      </c>
    </row>
    <row r="702" spans="1:15" ht="27.6">
      <c r="A702" s="14" t="s">
        <v>676</v>
      </c>
      <c r="B702" s="14">
        <v>571761</v>
      </c>
      <c r="C702" s="14" t="s">
        <v>839</v>
      </c>
      <c r="D702" s="29"/>
      <c r="E702" s="1">
        <v>0</v>
      </c>
      <c r="F702" s="14">
        <v>0</v>
      </c>
      <c r="G702" s="30">
        <f t="shared" si="33"/>
        <v>0</v>
      </c>
      <c r="H702" s="14">
        <f t="shared" si="35"/>
        <v>0</v>
      </c>
      <c r="I702">
        <f t="shared" si="34"/>
        <v>0</v>
      </c>
      <c r="J702">
        <f>SUMIF(Oeffentlichkeitsarbeit!$D:$D,$B702,Oeffentlichkeitsarbeit!$F:$F)</f>
        <v>0</v>
      </c>
      <c r="K702">
        <f>COUNTIF(Fairteiler!$D:$D,$B702)*1/2</f>
        <v>0</v>
      </c>
      <c r="L702">
        <f>COUNTIF('NP-Betrieb'!D:D,$B702)*1/3</f>
        <v>0</v>
      </c>
      <c r="M702">
        <f>COUNTIF(Fairteilungen!$D:$D,$B702)*3/4</f>
        <v>0</v>
      </c>
      <c r="N702">
        <f>COUNTIF(Anlieferung!D:D,$B702)*1/2</f>
        <v>0</v>
      </c>
      <c r="O702">
        <f>COUNTIF(Probeabholungen!B:B,$B702)*1/3</f>
        <v>0</v>
      </c>
    </row>
    <row r="703" spans="1:15" ht="27.6">
      <c r="A703" s="8" t="s">
        <v>677</v>
      </c>
      <c r="B703" s="8">
        <v>357040</v>
      </c>
      <c r="D703" s="29"/>
      <c r="E703" s="1">
        <v>15.34</v>
      </c>
      <c r="F703" s="8">
        <v>6</v>
      </c>
      <c r="G703" s="30">
        <f t="shared" si="33"/>
        <v>21.34</v>
      </c>
      <c r="H703" s="8">
        <f t="shared" si="35"/>
        <v>-15.34</v>
      </c>
      <c r="I703">
        <f t="shared" si="34"/>
        <v>0</v>
      </c>
      <c r="J703">
        <f>SUMIF(Oeffentlichkeitsarbeit!$D:$D,$B703,Oeffentlichkeitsarbeit!$F:$F)</f>
        <v>0</v>
      </c>
      <c r="K703">
        <f>COUNTIF(Fairteiler!$D:$D,$B703)*1/2</f>
        <v>0</v>
      </c>
      <c r="L703">
        <f>COUNTIF('NP-Betrieb'!D:D,$B703)*1/3</f>
        <v>0</v>
      </c>
      <c r="M703">
        <f>COUNTIF(Fairteilungen!$D:$D,$B703)*3/4</f>
        <v>0</v>
      </c>
      <c r="N703">
        <f>COUNTIF(Anlieferung!D:D,$B703)*1/2</f>
        <v>0</v>
      </c>
      <c r="O703">
        <f>COUNTIF(Probeabholungen!B:B,$B703)*1/3</f>
        <v>0</v>
      </c>
    </row>
    <row r="704" spans="1:15" ht="27.6">
      <c r="A704" s="8" t="s">
        <v>678</v>
      </c>
      <c r="B704" s="8">
        <v>563635</v>
      </c>
      <c r="D704" s="29"/>
      <c r="E704" s="1">
        <v>1.83666666666667</v>
      </c>
      <c r="F704" s="8">
        <v>6</v>
      </c>
      <c r="G704" s="30">
        <f t="shared" si="33"/>
        <v>6.5033333333333365</v>
      </c>
      <c r="H704" s="8">
        <f t="shared" si="35"/>
        <v>-0.50333333333333674</v>
      </c>
      <c r="I704">
        <f t="shared" si="34"/>
        <v>1.3333333333333333</v>
      </c>
      <c r="J704">
        <f>SUMIF(Oeffentlichkeitsarbeit!$D:$D,$B704,Oeffentlichkeitsarbeit!$F:$F)</f>
        <v>0</v>
      </c>
      <c r="K704">
        <f>COUNTIF(Fairteiler!$D:$D,$B704)*1/2</f>
        <v>1</v>
      </c>
      <c r="L704">
        <f>COUNTIF('NP-Betrieb'!D:D,$B704)*1/3</f>
        <v>0.33333333333333331</v>
      </c>
      <c r="M704">
        <f>COUNTIF(Fairteilungen!$D:$D,$B704)*3/4</f>
        <v>0</v>
      </c>
      <c r="N704">
        <f>COUNTIF(Anlieferung!D:D,$B704)*1/2</f>
        <v>0</v>
      </c>
      <c r="O704">
        <f>COUNTIF(Probeabholungen!B:B,$B704)*1/3</f>
        <v>0</v>
      </c>
    </row>
    <row r="705" spans="1:1024" ht="27.6">
      <c r="A705" s="8" t="s">
        <v>679</v>
      </c>
      <c r="B705" s="8">
        <v>709830</v>
      </c>
      <c r="C705" s="8"/>
      <c r="D705" s="29"/>
      <c r="E705" s="1">
        <v>0</v>
      </c>
      <c r="F705" s="8">
        <v>6</v>
      </c>
      <c r="G705" s="30">
        <f t="shared" si="33"/>
        <v>2.6666666666666665</v>
      </c>
      <c r="H705" s="8">
        <f t="shared" si="35"/>
        <v>3.3333333333333335</v>
      </c>
      <c r="I705">
        <f t="shared" si="34"/>
        <v>3.3333333333333335</v>
      </c>
      <c r="J705">
        <f>SUMIF(Oeffentlichkeitsarbeit!$D:$D,$B705,Oeffentlichkeitsarbeit!$F:$F)</f>
        <v>0</v>
      </c>
      <c r="K705">
        <f>COUNTIF(Fairteiler!$D:$D,$B705)*1/2</f>
        <v>0</v>
      </c>
      <c r="L705">
        <f>COUNTIF('NP-Betrieb'!D:D,$B705)*1/3</f>
        <v>3.3333333333333335</v>
      </c>
      <c r="M705">
        <f>COUNTIF(Fairteilungen!$D:$D,$B705)*3/4</f>
        <v>0</v>
      </c>
      <c r="N705">
        <f>COUNTIF(Anlieferung!D:D,$B705)*1/2</f>
        <v>0</v>
      </c>
      <c r="O705">
        <f>COUNTIF(Probeabholungen!B:B,$B705)*1/3</f>
        <v>0</v>
      </c>
    </row>
    <row r="706" spans="1:1024">
      <c r="A706" s="8" t="s">
        <v>680</v>
      </c>
      <c r="B706" s="8">
        <v>421212</v>
      </c>
      <c r="D706" s="29"/>
      <c r="E706" s="1">
        <v>0</v>
      </c>
      <c r="F706" s="8">
        <v>6</v>
      </c>
      <c r="G706" s="30">
        <f t="shared" ref="G706:G769" si="36">F706-H706</f>
        <v>1.5</v>
      </c>
      <c r="H706" s="8">
        <f t="shared" si="35"/>
        <v>4.5</v>
      </c>
      <c r="I706">
        <f t="shared" ref="I706:I769" si="37">SUM(J706:O706)</f>
        <v>4.5</v>
      </c>
      <c r="J706">
        <f>SUMIF(Oeffentlichkeitsarbeit!$D:$D,$B706,Oeffentlichkeitsarbeit!$F:$F)</f>
        <v>3.5</v>
      </c>
      <c r="K706">
        <f>COUNTIF(Fairteiler!$D:$D,$B706)*1/2</f>
        <v>0</v>
      </c>
      <c r="L706">
        <f>COUNTIF('NP-Betrieb'!D:D,$B706)*1/3</f>
        <v>1</v>
      </c>
      <c r="M706">
        <f>COUNTIF(Fairteilungen!$D:$D,$B706)*3/4</f>
        <v>0</v>
      </c>
      <c r="N706">
        <f>COUNTIF(Anlieferung!D:D,$B706)*1/2</f>
        <v>0</v>
      </c>
      <c r="O706">
        <f>COUNTIF(Probeabholungen!B:B,$B706)*1/3</f>
        <v>0</v>
      </c>
    </row>
    <row r="707" spans="1:1024" ht="27.6">
      <c r="A707" s="8" t="s">
        <v>681</v>
      </c>
      <c r="B707" s="8">
        <v>418840</v>
      </c>
      <c r="C707" s="8"/>
      <c r="D707" s="29"/>
      <c r="E707" s="1">
        <v>14</v>
      </c>
      <c r="F707" s="8">
        <v>6</v>
      </c>
      <c r="G707" s="30">
        <f t="shared" si="36"/>
        <v>20</v>
      </c>
      <c r="H707" s="8">
        <f t="shared" si="35"/>
        <v>-14</v>
      </c>
      <c r="I707">
        <f t="shared" si="37"/>
        <v>0</v>
      </c>
      <c r="J707">
        <f>SUMIF(Oeffentlichkeitsarbeit!$D:$D,$B707,Oeffentlichkeitsarbeit!$F:$F)</f>
        <v>0</v>
      </c>
      <c r="K707">
        <f>COUNTIF(Fairteiler!$D:$D,$B707)*1/2</f>
        <v>0</v>
      </c>
      <c r="L707">
        <f>COUNTIF('NP-Betrieb'!D:D,$B707)*1/3</f>
        <v>0</v>
      </c>
      <c r="M707">
        <f>COUNTIF(Fairteilungen!$D:$D,$B707)*3/4</f>
        <v>0</v>
      </c>
      <c r="N707">
        <f>COUNTIF(Anlieferung!D:D,$B707)*1/2</f>
        <v>0</v>
      </c>
      <c r="O707">
        <f>COUNTIF(Probeabholungen!B:B,$B707)*1/3</f>
        <v>0</v>
      </c>
    </row>
    <row r="708" spans="1:1024" ht="27.6">
      <c r="A708" s="8" t="s">
        <v>682</v>
      </c>
      <c r="B708">
        <v>411764</v>
      </c>
      <c r="D708" s="24">
        <v>45607</v>
      </c>
      <c r="E708" s="1">
        <v>1</v>
      </c>
      <c r="F708" s="8">
        <v>6</v>
      </c>
      <c r="G708" s="30">
        <f t="shared" si="36"/>
        <v>5.333333333333333</v>
      </c>
      <c r="H708" s="8">
        <f t="shared" si="35"/>
        <v>0.66666666666666674</v>
      </c>
      <c r="I708">
        <f t="shared" si="37"/>
        <v>1.6666666666666667</v>
      </c>
      <c r="J708">
        <f>SUMIF(Oeffentlichkeitsarbeit!$D:$D,$B708,Oeffentlichkeitsarbeit!$F:$F)</f>
        <v>0</v>
      </c>
      <c r="K708">
        <f>COUNTIF(Fairteiler!$D:$D,$B708)*1/2</f>
        <v>0</v>
      </c>
      <c r="L708">
        <f>COUNTIF('NP-Betrieb'!D:D,$B708)*1/3</f>
        <v>1.6666666666666667</v>
      </c>
      <c r="M708">
        <f>COUNTIF(Fairteilungen!$D:$D,$B708)*3/4</f>
        <v>0</v>
      </c>
      <c r="N708">
        <f>COUNTIF(Anlieferung!D:D,$B708)*1/2</f>
        <v>0</v>
      </c>
      <c r="O708">
        <f>COUNTIF(Probeabholungen!B:B,$B708)*1/3</f>
        <v>0</v>
      </c>
    </row>
    <row r="709" spans="1:1024" ht="27.6">
      <c r="A709" s="8" t="s">
        <v>875</v>
      </c>
      <c r="B709" s="8">
        <v>578977</v>
      </c>
      <c r="D709" s="24">
        <v>46087</v>
      </c>
      <c r="E709">
        <v>0</v>
      </c>
      <c r="F709">
        <v>5</v>
      </c>
      <c r="G709" s="30">
        <f t="shared" si="36"/>
        <v>3.666666666666667</v>
      </c>
      <c r="H709" s="8">
        <f t="shared" si="35"/>
        <v>1.3333333333333333</v>
      </c>
      <c r="I709">
        <f t="shared" si="37"/>
        <v>1.3333333333333333</v>
      </c>
      <c r="J709">
        <f>SUMIF(Oeffentlichkeitsarbeit!$D:$D,$B709,Oeffentlichkeitsarbeit!$F:$F)</f>
        <v>0</v>
      </c>
      <c r="K709">
        <f>COUNTIF(Fairteiler!$D:$D,$B709)*1/2</f>
        <v>0</v>
      </c>
      <c r="L709">
        <f>COUNTIF('NP-Betrieb'!D:D,$B709)*1/3</f>
        <v>1.3333333333333333</v>
      </c>
      <c r="M709">
        <f>COUNTIF(Fairteilungen!$D:$D,$B709)*3/4</f>
        <v>0</v>
      </c>
      <c r="N709">
        <f>COUNTIF(Anlieferung!D:D,$B709)*1/2</f>
        <v>0</v>
      </c>
      <c r="O709">
        <f>COUNTIF(Probeabholungen!B:B,$B709)*1/3</f>
        <v>0</v>
      </c>
    </row>
    <row r="710" spans="1:1024" ht="27.6">
      <c r="A710" s="8" t="s">
        <v>683</v>
      </c>
      <c r="B710" s="8">
        <v>408604</v>
      </c>
      <c r="C710" s="8"/>
      <c r="D710" s="29"/>
      <c r="E710" s="1">
        <v>15.0066666666667</v>
      </c>
      <c r="F710" s="8">
        <v>6</v>
      </c>
      <c r="G710" s="30">
        <f t="shared" si="36"/>
        <v>21.0066666666667</v>
      </c>
      <c r="H710" s="8">
        <f t="shared" si="35"/>
        <v>-15.0066666666667</v>
      </c>
      <c r="I710">
        <f t="shared" si="37"/>
        <v>0</v>
      </c>
      <c r="J710">
        <f>SUMIF(Oeffentlichkeitsarbeit!$D:$D,$B710,Oeffentlichkeitsarbeit!$F:$F)</f>
        <v>0</v>
      </c>
      <c r="K710">
        <f>COUNTIF(Fairteiler!$D:$D,$B710)*1/2</f>
        <v>0</v>
      </c>
      <c r="L710">
        <f>COUNTIF('NP-Betrieb'!D:D,$B710)*1/3</f>
        <v>0</v>
      </c>
      <c r="M710">
        <f>COUNTIF(Fairteilungen!$D:$D,$B710)*3/4</f>
        <v>0</v>
      </c>
      <c r="N710">
        <f>COUNTIF(Anlieferung!D:D,$B710)*1/2</f>
        <v>0</v>
      </c>
      <c r="O710">
        <f>COUNTIF(Probeabholungen!B:B,$B710)*1/3</f>
        <v>0</v>
      </c>
    </row>
    <row r="711" spans="1:1024" s="11" customFormat="1" ht="27.6">
      <c r="A711" s="8" t="s">
        <v>684</v>
      </c>
      <c r="B711" s="8">
        <v>377962</v>
      </c>
      <c r="C711"/>
      <c r="D711" s="24">
        <v>45793</v>
      </c>
      <c r="E711" s="1">
        <v>0</v>
      </c>
      <c r="F711">
        <v>6</v>
      </c>
      <c r="G711" s="30">
        <f t="shared" si="36"/>
        <v>6</v>
      </c>
      <c r="H711" s="8">
        <f t="shared" si="35"/>
        <v>0</v>
      </c>
      <c r="I711">
        <f t="shared" si="37"/>
        <v>0</v>
      </c>
      <c r="J711">
        <f>SUMIF(Oeffentlichkeitsarbeit!$D:$D,$B711,Oeffentlichkeitsarbeit!$F:$F)</f>
        <v>0</v>
      </c>
      <c r="K711">
        <f>COUNTIF(Fairteiler!$D:$D,$B711)*1/2</f>
        <v>0</v>
      </c>
      <c r="L711">
        <f>COUNTIF('NP-Betrieb'!D:D,$B711)*1/3</f>
        <v>0</v>
      </c>
      <c r="M711">
        <f>COUNTIF(Fairteilungen!$D:$D,$B711)*3/4</f>
        <v>0</v>
      </c>
      <c r="N711">
        <f>COUNTIF(Anlieferung!D:D,$B711)*1/2</f>
        <v>0</v>
      </c>
      <c r="O711">
        <f>COUNTIF(Probeabholungen!B:B,$B711)*1/3</f>
        <v>0</v>
      </c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/>
      <c r="BE711"/>
      <c r="BF711"/>
      <c r="BG711"/>
      <c r="BH711"/>
      <c r="BI711"/>
      <c r="BJ711"/>
      <c r="BK711"/>
      <c r="BL711"/>
      <c r="BM711"/>
      <c r="BN711"/>
      <c r="BO711"/>
      <c r="BP711"/>
      <c r="BQ711"/>
      <c r="BR711"/>
      <c r="BS711"/>
      <c r="BT711"/>
      <c r="BU711"/>
      <c r="BV711"/>
      <c r="BW711"/>
      <c r="BX711"/>
      <c r="BY711"/>
      <c r="BZ711"/>
      <c r="CA711"/>
      <c r="CB711"/>
      <c r="CC711"/>
      <c r="CD711"/>
      <c r="CE711"/>
      <c r="CF711"/>
      <c r="CG711"/>
      <c r="CH711"/>
      <c r="CI711"/>
      <c r="CJ711"/>
      <c r="CK711"/>
      <c r="CL711"/>
      <c r="CM711"/>
      <c r="CN711"/>
      <c r="CO711"/>
      <c r="CP711"/>
      <c r="CQ711"/>
      <c r="CR711"/>
      <c r="CS711"/>
      <c r="CT711"/>
      <c r="CU711"/>
      <c r="CV711"/>
      <c r="CW711"/>
      <c r="CX711"/>
      <c r="CY711"/>
      <c r="CZ711"/>
      <c r="DA711"/>
      <c r="DB711"/>
      <c r="DC711"/>
      <c r="DD711"/>
      <c r="DE711"/>
      <c r="DF711"/>
      <c r="DG711"/>
      <c r="DH711"/>
      <c r="DI711"/>
      <c r="DJ711"/>
      <c r="DK711"/>
      <c r="DL711"/>
      <c r="DM711"/>
      <c r="DN711"/>
      <c r="DO711"/>
      <c r="DP711"/>
      <c r="DQ711"/>
      <c r="DR711"/>
      <c r="DS711"/>
      <c r="DT711"/>
      <c r="DU711"/>
      <c r="DV711"/>
      <c r="DW711"/>
      <c r="DX711"/>
      <c r="DY711"/>
      <c r="DZ711"/>
      <c r="EA711"/>
      <c r="EB711"/>
      <c r="EC711"/>
      <c r="ED711"/>
      <c r="EE711"/>
      <c r="EF711"/>
      <c r="EG711"/>
      <c r="EH711"/>
      <c r="EI711"/>
      <c r="EJ711"/>
      <c r="EK711"/>
      <c r="EL711"/>
      <c r="EM711"/>
      <c r="EN711"/>
      <c r="EO711"/>
      <c r="EP711"/>
      <c r="EQ711"/>
      <c r="ER711"/>
      <c r="ES711"/>
      <c r="ET711"/>
      <c r="EU711"/>
      <c r="EV711"/>
      <c r="EW711"/>
      <c r="EX711"/>
      <c r="EY711"/>
      <c r="EZ711"/>
      <c r="FA711"/>
      <c r="FB711"/>
      <c r="FC711"/>
      <c r="FD711"/>
      <c r="FE711"/>
      <c r="FF711"/>
      <c r="FG711"/>
      <c r="FH711"/>
      <c r="FI711"/>
      <c r="FJ711"/>
      <c r="FK711"/>
      <c r="FL711"/>
      <c r="FM711"/>
      <c r="FN711"/>
      <c r="FO711"/>
      <c r="FP711"/>
      <c r="FQ711"/>
      <c r="FR711"/>
      <c r="FS711"/>
      <c r="FT711"/>
      <c r="FU711"/>
      <c r="FV711"/>
      <c r="FW711"/>
      <c r="FX711"/>
      <c r="FY711"/>
      <c r="FZ711"/>
      <c r="GA711"/>
      <c r="GB711"/>
      <c r="GC711"/>
      <c r="GD711"/>
      <c r="GE711"/>
      <c r="GF711"/>
      <c r="GG711"/>
      <c r="GH711"/>
      <c r="GI711"/>
      <c r="GJ711"/>
      <c r="GK711"/>
      <c r="GL711"/>
      <c r="GM711"/>
      <c r="GN711"/>
      <c r="GO711"/>
      <c r="GP711"/>
      <c r="GQ711"/>
      <c r="GR711"/>
      <c r="GS711"/>
      <c r="GT711"/>
      <c r="GU711"/>
      <c r="GV711"/>
      <c r="GW711"/>
      <c r="GX711"/>
      <c r="GY711"/>
      <c r="GZ711"/>
      <c r="HA711"/>
      <c r="HB711"/>
      <c r="HC711"/>
      <c r="HD711"/>
      <c r="HE711"/>
      <c r="HF711"/>
      <c r="HG711"/>
      <c r="HH711"/>
      <c r="HI711"/>
      <c r="HJ711"/>
      <c r="HK711"/>
      <c r="HL711"/>
      <c r="HM711"/>
      <c r="HN711"/>
      <c r="HO711"/>
      <c r="HP711"/>
      <c r="HQ711"/>
      <c r="HR711"/>
      <c r="HS711"/>
      <c r="HT711"/>
      <c r="HU711"/>
      <c r="HV711"/>
      <c r="HW711"/>
      <c r="HX711"/>
      <c r="HY711"/>
      <c r="HZ711"/>
      <c r="IA711"/>
      <c r="IB711"/>
      <c r="IC711"/>
      <c r="ID711"/>
      <c r="IE711"/>
      <c r="IF711"/>
      <c r="IG711"/>
      <c r="IH711"/>
      <c r="II711"/>
      <c r="IJ711"/>
      <c r="IK711"/>
      <c r="IL711"/>
      <c r="IM711"/>
      <c r="IN711"/>
      <c r="IO711"/>
      <c r="IP711"/>
      <c r="IQ711"/>
      <c r="IR711"/>
      <c r="IS711"/>
      <c r="IT711"/>
      <c r="IU711"/>
      <c r="IV711"/>
      <c r="IW711"/>
      <c r="IX711"/>
      <c r="IY711"/>
      <c r="IZ711"/>
      <c r="JA711"/>
      <c r="JB711"/>
      <c r="JC711"/>
      <c r="JD711"/>
      <c r="JE711"/>
      <c r="JF711"/>
      <c r="JG711"/>
      <c r="JH711"/>
      <c r="JI711"/>
      <c r="JJ711"/>
      <c r="JK711"/>
      <c r="JL711"/>
      <c r="JM711"/>
      <c r="JN711"/>
      <c r="JO711"/>
      <c r="JP711"/>
      <c r="JQ711"/>
      <c r="JR711"/>
      <c r="JS711"/>
      <c r="JT711"/>
      <c r="JU711"/>
      <c r="JV711"/>
      <c r="JW711"/>
      <c r="JX711"/>
      <c r="JY711"/>
      <c r="JZ711"/>
      <c r="KA711"/>
      <c r="KB711"/>
      <c r="KC711"/>
      <c r="KD711"/>
      <c r="KE711"/>
      <c r="KF711"/>
      <c r="KG711"/>
      <c r="KH711"/>
      <c r="KI711"/>
      <c r="KJ711"/>
      <c r="KK711"/>
      <c r="KL711"/>
      <c r="KM711"/>
      <c r="KN711"/>
      <c r="KO711"/>
      <c r="KP711"/>
      <c r="KQ711"/>
      <c r="KR711"/>
      <c r="KS711"/>
      <c r="KT711"/>
      <c r="KU711"/>
      <c r="KV711"/>
      <c r="KW711"/>
      <c r="KX711"/>
      <c r="KY711"/>
      <c r="KZ711"/>
      <c r="LA711"/>
      <c r="LB711"/>
      <c r="LC711"/>
      <c r="LD711"/>
      <c r="LE711"/>
      <c r="LF711"/>
      <c r="LG711"/>
      <c r="LH711"/>
      <c r="LI711"/>
      <c r="LJ711"/>
      <c r="LK711"/>
      <c r="LL711"/>
      <c r="LM711"/>
      <c r="LN711"/>
      <c r="LO711"/>
      <c r="LP711"/>
      <c r="LQ711"/>
      <c r="LR711"/>
      <c r="LS711"/>
      <c r="LT711"/>
      <c r="LU711"/>
      <c r="LV711"/>
      <c r="LW711"/>
      <c r="LX711"/>
      <c r="LY711"/>
      <c r="LZ711"/>
      <c r="MA711"/>
      <c r="MB711"/>
      <c r="MC711"/>
      <c r="MD711"/>
      <c r="ME711"/>
      <c r="MF711"/>
      <c r="MG711"/>
      <c r="MH711"/>
      <c r="MI711"/>
      <c r="MJ711"/>
      <c r="MK711"/>
      <c r="ML711"/>
      <c r="MM711"/>
      <c r="MN711"/>
      <c r="MO711"/>
      <c r="MP711"/>
      <c r="MQ711"/>
      <c r="MR711"/>
      <c r="MS711"/>
      <c r="MT711"/>
      <c r="MU711"/>
      <c r="MV711"/>
      <c r="MW711"/>
      <c r="MX711"/>
      <c r="MY711"/>
      <c r="MZ711"/>
      <c r="NA711"/>
      <c r="NB711"/>
      <c r="NC711"/>
      <c r="ND711"/>
      <c r="NE711"/>
      <c r="NF711"/>
      <c r="NG711"/>
      <c r="NH711"/>
      <c r="NI711"/>
      <c r="NJ711"/>
      <c r="NK711"/>
      <c r="NL711"/>
      <c r="NM711"/>
      <c r="NN711"/>
      <c r="NO711"/>
      <c r="NP711"/>
      <c r="NQ711"/>
      <c r="NR711"/>
      <c r="NS711"/>
      <c r="NT711"/>
      <c r="NU711"/>
      <c r="NV711"/>
      <c r="NW711"/>
      <c r="NX711"/>
      <c r="NY711"/>
      <c r="NZ711"/>
      <c r="OA711"/>
      <c r="OB711"/>
      <c r="OC711"/>
      <c r="OD711"/>
      <c r="OE711"/>
      <c r="OF711"/>
      <c r="OG711"/>
      <c r="OH711"/>
      <c r="OI711"/>
      <c r="OJ711"/>
      <c r="OK711"/>
      <c r="OL711"/>
      <c r="OM711"/>
      <c r="ON711"/>
      <c r="OO711"/>
      <c r="OP711"/>
      <c r="OQ711"/>
      <c r="OR711"/>
      <c r="OS711"/>
      <c r="OT711"/>
      <c r="OU711"/>
      <c r="OV711"/>
      <c r="OW711"/>
      <c r="OX711"/>
      <c r="OY711"/>
      <c r="OZ711"/>
      <c r="PA711"/>
      <c r="PB711"/>
      <c r="PC711"/>
      <c r="PD711"/>
      <c r="PE711"/>
      <c r="PF711"/>
      <c r="PG711"/>
      <c r="PH711"/>
      <c r="PI711"/>
      <c r="PJ711"/>
      <c r="PK711"/>
      <c r="PL711"/>
      <c r="PM711"/>
      <c r="PN711"/>
      <c r="PO711"/>
      <c r="PP711"/>
      <c r="PQ711"/>
      <c r="PR711"/>
      <c r="PS711"/>
      <c r="PT711"/>
      <c r="PU711"/>
      <c r="PV711"/>
      <c r="PW711"/>
      <c r="PX711"/>
      <c r="PY711"/>
      <c r="PZ711"/>
      <c r="QA711"/>
      <c r="QB711"/>
      <c r="QC711"/>
      <c r="QD711"/>
      <c r="QE711"/>
      <c r="QF711"/>
      <c r="QG711"/>
      <c r="QH711"/>
      <c r="QI711"/>
      <c r="QJ711"/>
      <c r="QK711"/>
      <c r="QL711"/>
      <c r="QM711"/>
      <c r="QN711"/>
      <c r="QO711"/>
      <c r="QP711"/>
      <c r="QQ711"/>
      <c r="QR711"/>
      <c r="QS711"/>
      <c r="QT711"/>
      <c r="QU711"/>
      <c r="QV711"/>
      <c r="QW711"/>
      <c r="QX711"/>
      <c r="QY711"/>
      <c r="QZ711"/>
      <c r="RA711"/>
      <c r="RB711"/>
      <c r="RC711"/>
      <c r="RD711"/>
      <c r="RE711"/>
      <c r="RF711"/>
      <c r="RG711"/>
      <c r="RH711"/>
      <c r="RI711"/>
      <c r="RJ711"/>
      <c r="RK711"/>
      <c r="RL711"/>
      <c r="RM711"/>
      <c r="RN711"/>
      <c r="RO711"/>
      <c r="RP711"/>
      <c r="RQ711"/>
      <c r="RR711"/>
      <c r="RS711"/>
      <c r="RT711"/>
      <c r="RU711"/>
      <c r="RV711"/>
      <c r="RW711"/>
      <c r="RX711"/>
      <c r="RY711"/>
      <c r="RZ711"/>
      <c r="SA711"/>
      <c r="SB711"/>
      <c r="SC711"/>
      <c r="SD711"/>
      <c r="SE711"/>
      <c r="SF711"/>
      <c r="SG711"/>
      <c r="SH711"/>
      <c r="SI711"/>
      <c r="SJ711"/>
      <c r="SK711"/>
      <c r="SL711"/>
      <c r="SM711"/>
      <c r="SN711"/>
      <c r="SO711"/>
      <c r="SP711"/>
      <c r="SQ711"/>
      <c r="SR711"/>
      <c r="SS711"/>
      <c r="ST711"/>
      <c r="SU711"/>
      <c r="SV711"/>
      <c r="SW711"/>
      <c r="SX711"/>
      <c r="SY711"/>
      <c r="SZ711"/>
      <c r="TA711"/>
      <c r="TB711"/>
      <c r="TC711"/>
      <c r="TD711"/>
      <c r="TE711"/>
      <c r="TF711"/>
      <c r="TG711"/>
      <c r="TH711"/>
      <c r="TI711"/>
      <c r="TJ711"/>
      <c r="TK711"/>
      <c r="TL711"/>
      <c r="TM711"/>
      <c r="TN711"/>
      <c r="TO711"/>
      <c r="TP711"/>
      <c r="TQ711"/>
      <c r="TR711"/>
      <c r="TS711"/>
      <c r="TT711"/>
      <c r="TU711"/>
      <c r="TV711"/>
      <c r="TW711"/>
      <c r="TX711"/>
      <c r="TY711"/>
      <c r="TZ711"/>
      <c r="UA711"/>
      <c r="UB711"/>
      <c r="UC711"/>
      <c r="UD711"/>
      <c r="UE711"/>
      <c r="UF711"/>
      <c r="UG711"/>
      <c r="UH711"/>
      <c r="UI711"/>
      <c r="UJ711"/>
      <c r="UK711"/>
      <c r="UL711"/>
      <c r="UM711"/>
      <c r="UN711"/>
      <c r="UO711"/>
      <c r="UP711"/>
      <c r="UQ711"/>
      <c r="UR711"/>
      <c r="US711"/>
      <c r="UT711"/>
      <c r="UU711"/>
      <c r="UV711"/>
      <c r="UW711"/>
      <c r="UX711"/>
      <c r="UY711"/>
      <c r="UZ711"/>
      <c r="VA711"/>
      <c r="VB711"/>
      <c r="VC711"/>
      <c r="VD711"/>
      <c r="VE711"/>
      <c r="VF711"/>
      <c r="VG711"/>
      <c r="VH711"/>
      <c r="VI711"/>
      <c r="VJ711"/>
      <c r="VK711"/>
      <c r="VL711"/>
      <c r="VM711"/>
      <c r="VN711"/>
      <c r="VO711"/>
      <c r="VP711"/>
      <c r="VQ711"/>
      <c r="VR711"/>
      <c r="VS711"/>
      <c r="VT711"/>
      <c r="VU711"/>
      <c r="VV711"/>
      <c r="VW711"/>
      <c r="VX711"/>
      <c r="VY711"/>
      <c r="VZ711"/>
      <c r="WA711"/>
      <c r="WB711"/>
      <c r="WC711"/>
      <c r="WD711"/>
      <c r="WE711"/>
      <c r="WF711"/>
      <c r="WG711"/>
      <c r="WH711"/>
      <c r="WI711"/>
      <c r="WJ711"/>
      <c r="WK711"/>
      <c r="WL711"/>
      <c r="WM711"/>
      <c r="WN711"/>
      <c r="WO711"/>
      <c r="WP711"/>
      <c r="WQ711"/>
      <c r="WR711"/>
      <c r="WS711"/>
      <c r="WT711"/>
      <c r="WU711"/>
      <c r="WV711"/>
      <c r="WW711"/>
      <c r="WX711"/>
      <c r="WY711"/>
      <c r="WZ711"/>
      <c r="XA711"/>
      <c r="XB711"/>
      <c r="XC711"/>
      <c r="XD711"/>
      <c r="XE711"/>
      <c r="XF711"/>
      <c r="XG711"/>
      <c r="XH711"/>
      <c r="XI711"/>
      <c r="XJ711"/>
      <c r="XK711"/>
      <c r="XL711"/>
      <c r="XM711"/>
      <c r="XN711"/>
      <c r="XO711"/>
      <c r="XP711"/>
      <c r="XQ711"/>
      <c r="XR711"/>
      <c r="XS711"/>
      <c r="XT711"/>
      <c r="XU711"/>
      <c r="XV711"/>
      <c r="XW711"/>
      <c r="XX711"/>
      <c r="XY711"/>
      <c r="XZ711"/>
      <c r="YA711"/>
      <c r="YB711"/>
      <c r="YC711"/>
      <c r="YD711"/>
      <c r="YE711"/>
      <c r="YF711"/>
      <c r="YG711"/>
      <c r="YH711"/>
      <c r="YI711"/>
      <c r="YJ711"/>
      <c r="YK711"/>
      <c r="YL711"/>
      <c r="YM711"/>
      <c r="YN711"/>
      <c r="YO711"/>
      <c r="YP711"/>
      <c r="YQ711"/>
      <c r="YR711"/>
      <c r="YS711"/>
      <c r="YT711"/>
      <c r="YU711"/>
      <c r="YV711"/>
      <c r="YW711"/>
      <c r="YX711"/>
      <c r="YY711"/>
      <c r="YZ711"/>
      <c r="ZA711"/>
      <c r="ZB711"/>
      <c r="ZC711"/>
      <c r="ZD711"/>
      <c r="ZE711"/>
      <c r="ZF711"/>
      <c r="ZG711"/>
      <c r="ZH711"/>
      <c r="ZI711"/>
      <c r="ZJ711"/>
      <c r="ZK711"/>
      <c r="ZL711"/>
      <c r="ZM711"/>
      <c r="ZN711"/>
      <c r="ZO711"/>
      <c r="ZP711"/>
      <c r="ZQ711"/>
      <c r="ZR711"/>
      <c r="ZS711"/>
      <c r="ZT711"/>
      <c r="ZU711"/>
      <c r="ZV711"/>
      <c r="ZW711"/>
      <c r="ZX711"/>
      <c r="ZY711"/>
      <c r="ZZ711"/>
      <c r="AAA711"/>
      <c r="AAB711"/>
      <c r="AAC711"/>
      <c r="AAD711"/>
      <c r="AAE711"/>
      <c r="AAF711"/>
      <c r="AAG711"/>
      <c r="AAH711"/>
      <c r="AAI711"/>
      <c r="AAJ711"/>
      <c r="AAK711"/>
      <c r="AAL711"/>
      <c r="AAM711"/>
      <c r="AAN711"/>
      <c r="AAO711"/>
      <c r="AAP711"/>
      <c r="AAQ711"/>
      <c r="AAR711"/>
      <c r="AAS711"/>
      <c r="AAT711"/>
      <c r="AAU711"/>
      <c r="AAV711"/>
      <c r="AAW711"/>
      <c r="AAX711"/>
      <c r="AAY711"/>
      <c r="AAZ711"/>
      <c r="ABA711"/>
      <c r="ABB711"/>
      <c r="ABC711"/>
      <c r="ABD711"/>
      <c r="ABE711"/>
      <c r="ABF711"/>
      <c r="ABG711"/>
      <c r="ABH711"/>
      <c r="ABI711"/>
      <c r="ABJ711"/>
      <c r="ABK711"/>
      <c r="ABL711"/>
      <c r="ABM711"/>
      <c r="ABN711"/>
      <c r="ABO711"/>
      <c r="ABP711"/>
      <c r="ABQ711"/>
      <c r="ABR711"/>
      <c r="ABS711"/>
      <c r="ABT711"/>
      <c r="ABU711"/>
      <c r="ABV711"/>
      <c r="ABW711"/>
      <c r="ABX711"/>
      <c r="ABY711"/>
      <c r="ABZ711"/>
      <c r="ACA711"/>
      <c r="ACB711"/>
      <c r="ACC711"/>
      <c r="ACD711"/>
      <c r="ACE711"/>
      <c r="ACF711"/>
      <c r="ACG711"/>
      <c r="ACH711"/>
      <c r="ACI711"/>
      <c r="ACJ711"/>
      <c r="ACK711"/>
      <c r="ACL711"/>
      <c r="ACM711"/>
      <c r="ACN711"/>
      <c r="ACO711"/>
      <c r="ACP711"/>
      <c r="ACQ711"/>
      <c r="ACR711"/>
      <c r="ACS711"/>
      <c r="ACT711"/>
      <c r="ACU711"/>
      <c r="ACV711"/>
      <c r="ACW711"/>
      <c r="ACX711"/>
      <c r="ACY711"/>
      <c r="ACZ711"/>
      <c r="ADA711"/>
      <c r="ADB711"/>
      <c r="ADC711"/>
      <c r="ADD711"/>
      <c r="ADE711"/>
      <c r="ADF711"/>
      <c r="ADG711"/>
      <c r="ADH711"/>
      <c r="ADI711"/>
      <c r="ADJ711"/>
      <c r="ADK711"/>
      <c r="ADL711"/>
      <c r="ADM711"/>
      <c r="ADN711"/>
      <c r="ADO711"/>
      <c r="ADP711"/>
      <c r="ADQ711"/>
      <c r="ADR711"/>
      <c r="ADS711"/>
      <c r="ADT711"/>
      <c r="ADU711"/>
      <c r="ADV711"/>
      <c r="ADW711"/>
      <c r="ADX711"/>
      <c r="ADY711"/>
      <c r="ADZ711"/>
      <c r="AEA711"/>
      <c r="AEB711"/>
      <c r="AEC711"/>
      <c r="AED711"/>
      <c r="AEE711"/>
      <c r="AEF711"/>
      <c r="AEG711"/>
      <c r="AEH711"/>
      <c r="AEI711"/>
      <c r="AEJ711"/>
      <c r="AEK711"/>
      <c r="AEL711"/>
      <c r="AEM711"/>
      <c r="AEN711"/>
      <c r="AEO711"/>
      <c r="AEP711"/>
      <c r="AEQ711"/>
      <c r="AER711"/>
      <c r="AES711"/>
      <c r="AET711"/>
      <c r="AEU711"/>
      <c r="AEV711"/>
      <c r="AEW711"/>
      <c r="AEX711"/>
      <c r="AEY711"/>
      <c r="AEZ711"/>
      <c r="AFA711"/>
      <c r="AFB711"/>
      <c r="AFC711"/>
      <c r="AFD711"/>
      <c r="AFE711"/>
      <c r="AFF711"/>
      <c r="AFG711"/>
      <c r="AFH711"/>
      <c r="AFI711"/>
      <c r="AFJ711"/>
      <c r="AFK711"/>
      <c r="AFL711"/>
      <c r="AFM711"/>
      <c r="AFN711"/>
      <c r="AFO711"/>
      <c r="AFP711"/>
      <c r="AFQ711"/>
      <c r="AFR711"/>
      <c r="AFS711"/>
      <c r="AFT711"/>
      <c r="AFU711"/>
      <c r="AFV711"/>
      <c r="AFW711"/>
      <c r="AFX711"/>
      <c r="AFY711"/>
      <c r="AFZ711"/>
      <c r="AGA711"/>
      <c r="AGB711"/>
      <c r="AGC711"/>
      <c r="AGD711"/>
      <c r="AGE711"/>
      <c r="AGF711"/>
      <c r="AGG711"/>
      <c r="AGH711"/>
      <c r="AGI711"/>
      <c r="AGJ711"/>
      <c r="AGK711"/>
      <c r="AGL711"/>
      <c r="AGM711"/>
      <c r="AGN711"/>
      <c r="AGO711"/>
      <c r="AGP711"/>
      <c r="AGQ711"/>
      <c r="AGR711"/>
      <c r="AGS711"/>
      <c r="AGT711"/>
      <c r="AGU711"/>
      <c r="AGV711"/>
      <c r="AGW711"/>
      <c r="AGX711"/>
      <c r="AGY711"/>
      <c r="AGZ711"/>
      <c r="AHA711"/>
      <c r="AHB711"/>
      <c r="AHC711"/>
      <c r="AHD711"/>
      <c r="AHE711"/>
      <c r="AHF711"/>
      <c r="AHG711"/>
      <c r="AHH711"/>
      <c r="AHI711"/>
      <c r="AHJ711"/>
      <c r="AHK711"/>
      <c r="AHL711"/>
      <c r="AHM711"/>
      <c r="AHN711"/>
      <c r="AHO711"/>
      <c r="AHP711"/>
      <c r="AHQ711"/>
      <c r="AHR711"/>
      <c r="AHS711"/>
      <c r="AHT711"/>
      <c r="AHU711"/>
      <c r="AHV711"/>
      <c r="AHW711"/>
      <c r="AHX711"/>
      <c r="AHY711"/>
      <c r="AHZ711"/>
      <c r="AIA711"/>
      <c r="AIB711"/>
      <c r="AIC711"/>
      <c r="AID711"/>
      <c r="AIE711"/>
      <c r="AIF711"/>
      <c r="AIG711"/>
      <c r="AIH711"/>
      <c r="AII711"/>
      <c r="AIJ711"/>
      <c r="AIK711"/>
      <c r="AIL711"/>
      <c r="AIM711"/>
      <c r="AIN711"/>
      <c r="AIO711"/>
      <c r="AIP711"/>
      <c r="AIQ711"/>
      <c r="AIR711"/>
      <c r="AIS711"/>
      <c r="AIT711"/>
      <c r="AIU711"/>
      <c r="AIV711"/>
      <c r="AIW711"/>
      <c r="AIX711"/>
      <c r="AIY711"/>
      <c r="AIZ711"/>
      <c r="AJA711"/>
      <c r="AJB711"/>
      <c r="AJC711"/>
      <c r="AJD711"/>
      <c r="AJE711"/>
      <c r="AJF711"/>
      <c r="AJG711"/>
      <c r="AJH711"/>
      <c r="AJI711"/>
      <c r="AJJ711"/>
      <c r="AJK711"/>
      <c r="AJL711"/>
      <c r="AJM711"/>
      <c r="AJN711"/>
      <c r="AJO711"/>
      <c r="AJP711"/>
      <c r="AJQ711"/>
      <c r="AJR711"/>
      <c r="AJS711"/>
      <c r="AJT711"/>
      <c r="AJU711"/>
      <c r="AJV711"/>
      <c r="AJW711"/>
      <c r="AJX711"/>
      <c r="AJY711"/>
      <c r="AJZ711"/>
      <c r="AKA711"/>
      <c r="AKB711"/>
      <c r="AKC711"/>
      <c r="AKD711"/>
      <c r="AKE711"/>
      <c r="AKF711"/>
      <c r="AKG711"/>
      <c r="AKH711"/>
      <c r="AKI711"/>
      <c r="AKJ711"/>
      <c r="AKK711"/>
      <c r="AKL711"/>
      <c r="AKM711"/>
      <c r="AKN711"/>
      <c r="AKO711"/>
      <c r="AKP711"/>
      <c r="AKQ711"/>
      <c r="AKR711"/>
      <c r="AKS711"/>
      <c r="AKT711"/>
      <c r="AKU711"/>
      <c r="AKV711"/>
      <c r="AKW711"/>
      <c r="AKX711"/>
      <c r="AKY711"/>
      <c r="AKZ711"/>
      <c r="ALA711"/>
      <c r="ALB711"/>
      <c r="ALC711"/>
      <c r="ALD711"/>
      <c r="ALE711"/>
      <c r="ALF711"/>
      <c r="ALG711"/>
      <c r="ALH711"/>
      <c r="ALI711"/>
      <c r="ALJ711"/>
      <c r="ALK711"/>
      <c r="ALL711"/>
      <c r="ALM711"/>
      <c r="ALN711"/>
      <c r="ALO711"/>
      <c r="ALP711"/>
      <c r="ALQ711"/>
      <c r="ALR711"/>
      <c r="ALS711"/>
      <c r="ALT711"/>
      <c r="ALU711"/>
      <c r="ALV711"/>
      <c r="ALW711"/>
      <c r="ALX711"/>
      <c r="ALY711"/>
      <c r="ALZ711"/>
      <c r="AMA711"/>
      <c r="AMB711"/>
      <c r="AMC711"/>
      <c r="AMD711"/>
      <c r="AME711"/>
      <c r="AMF711"/>
      <c r="AMG711"/>
      <c r="AMH711"/>
      <c r="AMI711"/>
      <c r="AMJ711"/>
    </row>
    <row r="712" spans="1:1024" ht="41.4">
      <c r="A712" s="8" t="s">
        <v>685</v>
      </c>
      <c r="B712" s="8">
        <v>103034</v>
      </c>
      <c r="D712" s="29">
        <v>45117</v>
      </c>
      <c r="E712" s="1">
        <v>0</v>
      </c>
      <c r="F712" s="8">
        <v>6</v>
      </c>
      <c r="G712" s="30">
        <f t="shared" si="36"/>
        <v>6</v>
      </c>
      <c r="H712" s="8">
        <f t="shared" si="35"/>
        <v>0</v>
      </c>
      <c r="I712">
        <f t="shared" si="37"/>
        <v>0</v>
      </c>
      <c r="J712">
        <f>SUMIF(Oeffentlichkeitsarbeit!$D:$D,$B712,Oeffentlichkeitsarbeit!$F:$F)</f>
        <v>0</v>
      </c>
      <c r="K712">
        <f>COUNTIF(Fairteiler!$D:$D,$B712)*1/2</f>
        <v>0</v>
      </c>
      <c r="L712">
        <f>COUNTIF('NP-Betrieb'!D:D,$B712)*1/3</f>
        <v>0</v>
      </c>
      <c r="M712">
        <f>COUNTIF(Fairteilungen!$D:$D,$B712)*3/4</f>
        <v>0</v>
      </c>
      <c r="N712">
        <f>COUNTIF(Anlieferung!D:D,$B712)*1/2</f>
        <v>0</v>
      </c>
      <c r="O712">
        <f>COUNTIF(Probeabholungen!B:B,$B712)*1/3</f>
        <v>0</v>
      </c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  <c r="AS712" s="11"/>
      <c r="AT712" s="11"/>
      <c r="AU712" s="11"/>
      <c r="AV712" s="11"/>
      <c r="AW712" s="11"/>
      <c r="AX712" s="11"/>
      <c r="AY712" s="11"/>
      <c r="AZ712" s="11"/>
      <c r="BA712" s="11"/>
      <c r="BB712" s="11"/>
      <c r="BC712" s="11"/>
      <c r="BD712" s="11"/>
      <c r="BE712" s="11"/>
      <c r="BF712" s="11"/>
      <c r="BG712" s="11"/>
      <c r="BH712" s="11"/>
      <c r="BI712" s="11"/>
      <c r="BJ712" s="11"/>
      <c r="BK712" s="11"/>
      <c r="BL712" s="11"/>
      <c r="BM712" s="11"/>
      <c r="BN712" s="11"/>
      <c r="BO712" s="11"/>
      <c r="BP712" s="11"/>
      <c r="BQ712" s="11"/>
      <c r="BR712" s="11"/>
      <c r="BS712" s="11"/>
      <c r="BT712" s="11"/>
      <c r="BU712" s="11"/>
      <c r="BV712" s="11"/>
      <c r="BW712" s="11"/>
      <c r="BX712" s="11"/>
      <c r="BY712" s="11"/>
      <c r="BZ712" s="11"/>
      <c r="CA712" s="11"/>
      <c r="CB712" s="11"/>
      <c r="CC712" s="11"/>
      <c r="CD712" s="11"/>
      <c r="CE712" s="11"/>
      <c r="CF712" s="11"/>
      <c r="CG712" s="11"/>
      <c r="CH712" s="11"/>
      <c r="CI712" s="11"/>
      <c r="CJ712" s="11"/>
      <c r="CK712" s="11"/>
      <c r="CL712" s="11"/>
      <c r="CM712" s="11"/>
      <c r="CN712" s="11"/>
      <c r="CO712" s="11"/>
      <c r="CP712" s="11"/>
      <c r="CQ712" s="11"/>
      <c r="CR712" s="11"/>
      <c r="CS712" s="11"/>
      <c r="CT712" s="11"/>
      <c r="CU712" s="11"/>
      <c r="CV712" s="11"/>
      <c r="CW712" s="11"/>
      <c r="CX712" s="11"/>
      <c r="CY712" s="11"/>
      <c r="CZ712" s="11"/>
      <c r="DA712" s="11"/>
      <c r="DB712" s="11"/>
      <c r="DC712" s="11"/>
      <c r="DD712" s="11"/>
      <c r="DE712" s="11"/>
      <c r="DF712" s="11"/>
      <c r="DG712" s="11"/>
      <c r="DH712" s="11"/>
      <c r="DI712" s="11"/>
      <c r="DJ712" s="11"/>
      <c r="DK712" s="11"/>
      <c r="DL712" s="11"/>
      <c r="DM712" s="11"/>
      <c r="DN712" s="11"/>
      <c r="DO712" s="11"/>
      <c r="DP712" s="11"/>
      <c r="DQ712" s="11"/>
      <c r="DR712" s="11"/>
      <c r="DS712" s="11"/>
      <c r="DT712" s="11"/>
      <c r="DU712" s="11"/>
      <c r="DV712" s="11"/>
      <c r="DW712" s="11"/>
      <c r="DX712" s="11"/>
      <c r="DY712" s="11"/>
      <c r="DZ712" s="11"/>
      <c r="EA712" s="11"/>
      <c r="EB712" s="11"/>
      <c r="EC712" s="11"/>
      <c r="ED712" s="11"/>
      <c r="EE712" s="11"/>
      <c r="EF712" s="11"/>
      <c r="EG712" s="11"/>
      <c r="EH712" s="11"/>
      <c r="EI712" s="11"/>
      <c r="EJ712" s="11"/>
      <c r="EK712" s="11"/>
      <c r="EL712" s="11"/>
      <c r="EM712" s="11"/>
      <c r="EN712" s="11"/>
      <c r="EO712" s="11"/>
      <c r="EP712" s="11"/>
      <c r="EQ712" s="11"/>
      <c r="ER712" s="11"/>
      <c r="ES712" s="11"/>
      <c r="ET712" s="11"/>
      <c r="EU712" s="11"/>
      <c r="EV712" s="11"/>
      <c r="EW712" s="11"/>
      <c r="EX712" s="11"/>
      <c r="EY712" s="11"/>
      <c r="EZ712" s="11"/>
      <c r="FA712" s="11"/>
      <c r="FB712" s="11"/>
      <c r="FC712" s="11"/>
      <c r="FD712" s="11"/>
      <c r="FE712" s="11"/>
      <c r="FF712" s="11"/>
      <c r="FG712" s="11"/>
      <c r="FH712" s="11"/>
      <c r="FI712" s="11"/>
      <c r="FJ712" s="11"/>
      <c r="FK712" s="11"/>
      <c r="FL712" s="11"/>
      <c r="FM712" s="11"/>
      <c r="FN712" s="11"/>
      <c r="FO712" s="11"/>
      <c r="FP712" s="11"/>
      <c r="FQ712" s="11"/>
      <c r="FR712" s="11"/>
      <c r="FS712" s="11"/>
      <c r="FT712" s="11"/>
      <c r="FU712" s="11"/>
      <c r="FV712" s="11"/>
      <c r="FW712" s="11"/>
      <c r="FX712" s="11"/>
      <c r="FY712" s="11"/>
      <c r="FZ712" s="11"/>
      <c r="GA712" s="11"/>
      <c r="GB712" s="11"/>
      <c r="GC712" s="11"/>
      <c r="GD712" s="11"/>
      <c r="GE712" s="11"/>
      <c r="GF712" s="11"/>
      <c r="GG712" s="11"/>
      <c r="GH712" s="11"/>
      <c r="GI712" s="11"/>
      <c r="GJ712" s="11"/>
      <c r="GK712" s="11"/>
      <c r="GL712" s="11"/>
      <c r="GM712" s="11"/>
      <c r="GN712" s="11"/>
      <c r="GO712" s="11"/>
      <c r="GP712" s="11"/>
      <c r="GQ712" s="11"/>
      <c r="GR712" s="11"/>
      <c r="GS712" s="11"/>
      <c r="GT712" s="11"/>
      <c r="GU712" s="11"/>
      <c r="GV712" s="11"/>
      <c r="GW712" s="11"/>
      <c r="GX712" s="11"/>
      <c r="GY712" s="11"/>
      <c r="GZ712" s="11"/>
      <c r="HA712" s="11"/>
      <c r="HB712" s="11"/>
      <c r="HC712" s="11"/>
      <c r="HD712" s="11"/>
      <c r="HE712" s="11"/>
      <c r="HF712" s="11"/>
      <c r="HG712" s="11"/>
      <c r="HH712" s="11"/>
      <c r="HI712" s="11"/>
      <c r="HJ712" s="11"/>
      <c r="HK712" s="11"/>
      <c r="HL712" s="11"/>
      <c r="HM712" s="11"/>
      <c r="HN712" s="11"/>
      <c r="HO712" s="11"/>
      <c r="HP712" s="11"/>
      <c r="HQ712" s="11"/>
      <c r="HR712" s="11"/>
      <c r="HS712" s="11"/>
      <c r="HT712" s="11"/>
      <c r="HU712" s="11"/>
      <c r="HV712" s="11"/>
      <c r="HW712" s="11"/>
      <c r="HX712" s="11"/>
      <c r="HY712" s="11"/>
      <c r="HZ712" s="11"/>
      <c r="IA712" s="11"/>
      <c r="IB712" s="11"/>
      <c r="IC712" s="11"/>
      <c r="ID712" s="11"/>
      <c r="IE712" s="11"/>
      <c r="IF712" s="11"/>
      <c r="IG712" s="11"/>
      <c r="IH712" s="11"/>
      <c r="II712" s="11"/>
      <c r="IJ712" s="11"/>
      <c r="IK712" s="11"/>
      <c r="IL712" s="11"/>
      <c r="IM712" s="11"/>
      <c r="IN712" s="11"/>
      <c r="IO712" s="11"/>
      <c r="IP712" s="11"/>
      <c r="IQ712" s="11"/>
      <c r="IR712" s="11"/>
      <c r="IS712" s="11"/>
      <c r="IT712" s="11"/>
      <c r="IU712" s="11"/>
      <c r="IV712" s="11"/>
      <c r="IW712" s="11"/>
      <c r="IX712" s="11"/>
      <c r="IY712" s="11"/>
      <c r="IZ712" s="11"/>
      <c r="JA712" s="11"/>
      <c r="JB712" s="11"/>
      <c r="JC712" s="11"/>
      <c r="JD712" s="11"/>
      <c r="JE712" s="11"/>
      <c r="JF712" s="11"/>
      <c r="JG712" s="11"/>
      <c r="JH712" s="11"/>
      <c r="JI712" s="11"/>
      <c r="JJ712" s="11"/>
      <c r="JK712" s="11"/>
      <c r="JL712" s="11"/>
      <c r="JM712" s="11"/>
      <c r="JN712" s="11"/>
      <c r="JO712" s="11"/>
      <c r="JP712" s="11"/>
      <c r="JQ712" s="11"/>
      <c r="JR712" s="11"/>
      <c r="JS712" s="11"/>
      <c r="JT712" s="11"/>
      <c r="JU712" s="11"/>
      <c r="JV712" s="11"/>
      <c r="JW712" s="11"/>
      <c r="JX712" s="11"/>
      <c r="JY712" s="11"/>
      <c r="JZ712" s="11"/>
      <c r="KA712" s="11"/>
      <c r="KB712" s="11"/>
      <c r="KC712" s="11"/>
      <c r="KD712" s="11"/>
      <c r="KE712" s="11"/>
      <c r="KF712" s="11"/>
      <c r="KG712" s="11"/>
      <c r="KH712" s="11"/>
      <c r="KI712" s="11"/>
      <c r="KJ712" s="11"/>
      <c r="KK712" s="11"/>
      <c r="KL712" s="11"/>
      <c r="KM712" s="11"/>
      <c r="KN712" s="11"/>
      <c r="KO712" s="11"/>
      <c r="KP712" s="11"/>
      <c r="KQ712" s="11"/>
      <c r="KR712" s="11"/>
      <c r="KS712" s="11"/>
      <c r="KT712" s="11"/>
      <c r="KU712" s="11"/>
      <c r="KV712" s="11"/>
      <c r="KW712" s="11"/>
      <c r="KX712" s="11"/>
      <c r="KY712" s="11"/>
      <c r="KZ712" s="11"/>
      <c r="LA712" s="11"/>
      <c r="LB712" s="11"/>
      <c r="LC712" s="11"/>
      <c r="LD712" s="11"/>
      <c r="LE712" s="11"/>
      <c r="LF712" s="11"/>
      <c r="LG712" s="11"/>
      <c r="LH712" s="11"/>
      <c r="LI712" s="11"/>
      <c r="LJ712" s="11"/>
      <c r="LK712" s="11"/>
      <c r="LL712" s="11"/>
      <c r="LM712" s="11"/>
      <c r="LN712" s="11"/>
      <c r="LO712" s="11"/>
      <c r="LP712" s="11"/>
      <c r="LQ712" s="11"/>
      <c r="LR712" s="11"/>
      <c r="LS712" s="11"/>
      <c r="LT712" s="11"/>
      <c r="LU712" s="11"/>
      <c r="LV712" s="11"/>
      <c r="LW712" s="11"/>
      <c r="LX712" s="11"/>
      <c r="LY712" s="11"/>
      <c r="LZ712" s="11"/>
      <c r="MA712" s="11"/>
      <c r="MB712" s="11"/>
      <c r="MC712" s="11"/>
      <c r="MD712" s="11"/>
      <c r="ME712" s="11"/>
      <c r="MF712" s="11"/>
      <c r="MG712" s="11"/>
      <c r="MH712" s="11"/>
      <c r="MI712" s="11"/>
      <c r="MJ712" s="11"/>
      <c r="MK712" s="11"/>
      <c r="ML712" s="11"/>
      <c r="MM712" s="11"/>
      <c r="MN712" s="11"/>
      <c r="MO712" s="11"/>
      <c r="MP712" s="11"/>
      <c r="MQ712" s="11"/>
      <c r="MR712" s="11"/>
      <c r="MS712" s="11"/>
      <c r="MT712" s="11"/>
      <c r="MU712" s="11"/>
      <c r="MV712" s="11"/>
      <c r="MW712" s="11"/>
      <c r="MX712" s="11"/>
      <c r="MY712" s="11"/>
      <c r="MZ712" s="11"/>
      <c r="NA712" s="11"/>
      <c r="NB712" s="11"/>
      <c r="NC712" s="11"/>
      <c r="ND712" s="11"/>
      <c r="NE712" s="11"/>
      <c r="NF712" s="11"/>
      <c r="NG712" s="11"/>
      <c r="NH712" s="11"/>
      <c r="NI712" s="11"/>
      <c r="NJ712" s="11"/>
      <c r="NK712" s="11"/>
      <c r="NL712" s="11"/>
      <c r="NM712" s="11"/>
      <c r="NN712" s="11"/>
      <c r="NO712" s="11"/>
      <c r="NP712" s="11"/>
      <c r="NQ712" s="11"/>
      <c r="NR712" s="11"/>
      <c r="NS712" s="11"/>
      <c r="NT712" s="11"/>
      <c r="NU712" s="11"/>
      <c r="NV712" s="11"/>
      <c r="NW712" s="11"/>
      <c r="NX712" s="11"/>
      <c r="NY712" s="11"/>
      <c r="NZ712" s="11"/>
      <c r="OA712" s="11"/>
      <c r="OB712" s="11"/>
      <c r="OC712" s="11"/>
      <c r="OD712" s="11"/>
      <c r="OE712" s="11"/>
      <c r="OF712" s="11"/>
      <c r="OG712" s="11"/>
      <c r="OH712" s="11"/>
      <c r="OI712" s="11"/>
      <c r="OJ712" s="11"/>
      <c r="OK712" s="11"/>
      <c r="OL712" s="11"/>
      <c r="OM712" s="11"/>
      <c r="ON712" s="11"/>
      <c r="OO712" s="11"/>
      <c r="OP712" s="11"/>
      <c r="OQ712" s="11"/>
      <c r="OR712" s="11"/>
      <c r="OS712" s="11"/>
      <c r="OT712" s="11"/>
      <c r="OU712" s="11"/>
      <c r="OV712" s="11"/>
      <c r="OW712" s="11"/>
      <c r="OX712" s="11"/>
      <c r="OY712" s="11"/>
      <c r="OZ712" s="11"/>
      <c r="PA712" s="11"/>
      <c r="PB712" s="11"/>
      <c r="PC712" s="11"/>
      <c r="PD712" s="11"/>
      <c r="PE712" s="11"/>
      <c r="PF712" s="11"/>
      <c r="PG712" s="11"/>
      <c r="PH712" s="11"/>
      <c r="PI712" s="11"/>
      <c r="PJ712" s="11"/>
      <c r="PK712" s="11"/>
      <c r="PL712" s="11"/>
      <c r="PM712" s="11"/>
      <c r="PN712" s="11"/>
      <c r="PO712" s="11"/>
      <c r="PP712" s="11"/>
      <c r="PQ712" s="11"/>
      <c r="PR712" s="11"/>
      <c r="PS712" s="11"/>
      <c r="PT712" s="11"/>
      <c r="PU712" s="11"/>
      <c r="PV712" s="11"/>
      <c r="PW712" s="11"/>
      <c r="PX712" s="11"/>
      <c r="PY712" s="11"/>
      <c r="PZ712" s="11"/>
      <c r="QA712" s="11"/>
      <c r="QB712" s="11"/>
      <c r="QC712" s="11"/>
      <c r="QD712" s="11"/>
      <c r="QE712" s="11"/>
      <c r="QF712" s="11"/>
      <c r="QG712" s="11"/>
      <c r="QH712" s="11"/>
      <c r="QI712" s="11"/>
      <c r="QJ712" s="11"/>
      <c r="QK712" s="11"/>
      <c r="QL712" s="11"/>
      <c r="QM712" s="11"/>
      <c r="QN712" s="11"/>
      <c r="QO712" s="11"/>
      <c r="QP712" s="11"/>
      <c r="QQ712" s="11"/>
      <c r="QR712" s="11"/>
      <c r="QS712" s="11"/>
      <c r="QT712" s="11"/>
      <c r="QU712" s="11"/>
      <c r="QV712" s="11"/>
      <c r="QW712" s="11"/>
      <c r="QX712" s="11"/>
      <c r="QY712" s="11"/>
      <c r="QZ712" s="11"/>
      <c r="RA712" s="11"/>
      <c r="RB712" s="11"/>
      <c r="RC712" s="11"/>
      <c r="RD712" s="11"/>
      <c r="RE712" s="11"/>
      <c r="RF712" s="11"/>
      <c r="RG712" s="11"/>
      <c r="RH712" s="11"/>
      <c r="RI712" s="11"/>
      <c r="RJ712" s="11"/>
      <c r="RK712" s="11"/>
      <c r="RL712" s="11"/>
      <c r="RM712" s="11"/>
      <c r="RN712" s="11"/>
      <c r="RO712" s="11"/>
      <c r="RP712" s="11"/>
      <c r="RQ712" s="11"/>
      <c r="RR712" s="11"/>
      <c r="RS712" s="11"/>
      <c r="RT712" s="11"/>
      <c r="RU712" s="11"/>
      <c r="RV712" s="11"/>
      <c r="RW712" s="11"/>
      <c r="RX712" s="11"/>
      <c r="RY712" s="11"/>
      <c r="RZ712" s="11"/>
      <c r="SA712" s="11"/>
      <c r="SB712" s="11"/>
      <c r="SC712" s="11"/>
      <c r="SD712" s="11"/>
      <c r="SE712" s="11"/>
      <c r="SF712" s="11"/>
      <c r="SG712" s="11"/>
      <c r="SH712" s="11"/>
      <c r="SI712" s="11"/>
      <c r="SJ712" s="11"/>
      <c r="SK712" s="11"/>
      <c r="SL712" s="11"/>
      <c r="SM712" s="11"/>
      <c r="SN712" s="11"/>
      <c r="SO712" s="11"/>
      <c r="SP712" s="11"/>
      <c r="SQ712" s="11"/>
      <c r="SR712" s="11"/>
      <c r="SS712" s="11"/>
      <c r="ST712" s="11"/>
      <c r="SU712" s="11"/>
      <c r="SV712" s="11"/>
      <c r="SW712" s="11"/>
      <c r="SX712" s="11"/>
      <c r="SY712" s="11"/>
      <c r="SZ712" s="11"/>
      <c r="TA712" s="11"/>
      <c r="TB712" s="11"/>
      <c r="TC712" s="11"/>
      <c r="TD712" s="11"/>
      <c r="TE712" s="11"/>
      <c r="TF712" s="11"/>
      <c r="TG712" s="11"/>
      <c r="TH712" s="11"/>
      <c r="TI712" s="11"/>
      <c r="TJ712" s="11"/>
      <c r="TK712" s="11"/>
      <c r="TL712" s="11"/>
      <c r="TM712" s="11"/>
      <c r="TN712" s="11"/>
      <c r="TO712" s="11"/>
      <c r="TP712" s="11"/>
      <c r="TQ712" s="11"/>
      <c r="TR712" s="11"/>
      <c r="TS712" s="11"/>
      <c r="TT712" s="11"/>
      <c r="TU712" s="11"/>
      <c r="TV712" s="11"/>
      <c r="TW712" s="11"/>
      <c r="TX712" s="11"/>
      <c r="TY712" s="11"/>
      <c r="TZ712" s="11"/>
      <c r="UA712" s="11"/>
      <c r="UB712" s="11"/>
      <c r="UC712" s="11"/>
      <c r="UD712" s="11"/>
      <c r="UE712" s="11"/>
      <c r="UF712" s="11"/>
      <c r="UG712" s="11"/>
      <c r="UH712" s="11"/>
      <c r="UI712" s="11"/>
      <c r="UJ712" s="11"/>
      <c r="UK712" s="11"/>
      <c r="UL712" s="11"/>
      <c r="UM712" s="11"/>
      <c r="UN712" s="11"/>
      <c r="UO712" s="11"/>
      <c r="UP712" s="11"/>
      <c r="UQ712" s="11"/>
      <c r="UR712" s="11"/>
      <c r="US712" s="11"/>
      <c r="UT712" s="11"/>
      <c r="UU712" s="11"/>
      <c r="UV712" s="11"/>
      <c r="UW712" s="11"/>
      <c r="UX712" s="11"/>
      <c r="UY712" s="11"/>
      <c r="UZ712" s="11"/>
      <c r="VA712" s="11"/>
      <c r="VB712" s="11"/>
      <c r="VC712" s="11"/>
      <c r="VD712" s="11"/>
      <c r="VE712" s="11"/>
      <c r="VF712" s="11"/>
      <c r="VG712" s="11"/>
      <c r="VH712" s="11"/>
      <c r="VI712" s="11"/>
      <c r="VJ712" s="11"/>
      <c r="VK712" s="11"/>
      <c r="VL712" s="11"/>
      <c r="VM712" s="11"/>
      <c r="VN712" s="11"/>
      <c r="VO712" s="11"/>
      <c r="VP712" s="11"/>
      <c r="VQ712" s="11"/>
      <c r="VR712" s="11"/>
      <c r="VS712" s="11"/>
      <c r="VT712" s="11"/>
      <c r="VU712" s="11"/>
      <c r="VV712" s="11"/>
      <c r="VW712" s="11"/>
      <c r="VX712" s="11"/>
      <c r="VY712" s="11"/>
      <c r="VZ712" s="11"/>
      <c r="WA712" s="11"/>
      <c r="WB712" s="11"/>
      <c r="WC712" s="11"/>
      <c r="WD712" s="11"/>
      <c r="WE712" s="11"/>
      <c r="WF712" s="11"/>
      <c r="WG712" s="11"/>
      <c r="WH712" s="11"/>
      <c r="WI712" s="11"/>
      <c r="WJ712" s="11"/>
      <c r="WK712" s="11"/>
      <c r="WL712" s="11"/>
      <c r="WM712" s="11"/>
      <c r="WN712" s="11"/>
      <c r="WO712" s="11"/>
      <c r="WP712" s="11"/>
      <c r="WQ712" s="11"/>
      <c r="WR712" s="11"/>
      <c r="WS712" s="11"/>
      <c r="WT712" s="11"/>
      <c r="WU712" s="11"/>
      <c r="WV712" s="11"/>
      <c r="WW712" s="11"/>
      <c r="WX712" s="11"/>
      <c r="WY712" s="11"/>
      <c r="WZ712" s="11"/>
      <c r="XA712" s="11"/>
      <c r="XB712" s="11"/>
      <c r="XC712" s="11"/>
      <c r="XD712" s="11"/>
      <c r="XE712" s="11"/>
      <c r="XF712" s="11"/>
      <c r="XG712" s="11"/>
      <c r="XH712" s="11"/>
      <c r="XI712" s="11"/>
      <c r="XJ712" s="11"/>
      <c r="XK712" s="11"/>
      <c r="XL712" s="11"/>
      <c r="XM712" s="11"/>
      <c r="XN712" s="11"/>
      <c r="XO712" s="11"/>
      <c r="XP712" s="11"/>
      <c r="XQ712" s="11"/>
      <c r="XR712" s="11"/>
      <c r="XS712" s="11"/>
      <c r="XT712" s="11"/>
      <c r="XU712" s="11"/>
      <c r="XV712" s="11"/>
      <c r="XW712" s="11"/>
      <c r="XX712" s="11"/>
      <c r="XY712" s="11"/>
      <c r="XZ712" s="11"/>
      <c r="YA712" s="11"/>
      <c r="YB712" s="11"/>
      <c r="YC712" s="11"/>
      <c r="YD712" s="11"/>
      <c r="YE712" s="11"/>
      <c r="YF712" s="11"/>
      <c r="YG712" s="11"/>
      <c r="YH712" s="11"/>
      <c r="YI712" s="11"/>
      <c r="YJ712" s="11"/>
      <c r="YK712" s="11"/>
      <c r="YL712" s="11"/>
      <c r="YM712" s="11"/>
      <c r="YN712" s="11"/>
      <c r="YO712" s="11"/>
      <c r="YP712" s="11"/>
      <c r="YQ712" s="11"/>
      <c r="YR712" s="11"/>
      <c r="YS712" s="11"/>
      <c r="YT712" s="11"/>
      <c r="YU712" s="11"/>
      <c r="YV712" s="11"/>
      <c r="YW712" s="11"/>
      <c r="YX712" s="11"/>
      <c r="YY712" s="11"/>
      <c r="YZ712" s="11"/>
      <c r="ZA712" s="11"/>
      <c r="ZB712" s="11"/>
      <c r="ZC712" s="11"/>
      <c r="ZD712" s="11"/>
      <c r="ZE712" s="11"/>
      <c r="ZF712" s="11"/>
      <c r="ZG712" s="11"/>
      <c r="ZH712" s="11"/>
      <c r="ZI712" s="11"/>
      <c r="ZJ712" s="11"/>
      <c r="ZK712" s="11"/>
      <c r="ZL712" s="11"/>
      <c r="ZM712" s="11"/>
      <c r="ZN712" s="11"/>
      <c r="ZO712" s="11"/>
      <c r="ZP712" s="11"/>
      <c r="ZQ712" s="11"/>
      <c r="ZR712" s="11"/>
      <c r="ZS712" s="11"/>
      <c r="ZT712" s="11"/>
      <c r="ZU712" s="11"/>
      <c r="ZV712" s="11"/>
      <c r="ZW712" s="11"/>
      <c r="ZX712" s="11"/>
      <c r="ZY712" s="11"/>
      <c r="ZZ712" s="11"/>
      <c r="AAA712" s="11"/>
      <c r="AAB712" s="11"/>
      <c r="AAC712" s="11"/>
      <c r="AAD712" s="11"/>
      <c r="AAE712" s="11"/>
      <c r="AAF712" s="11"/>
      <c r="AAG712" s="11"/>
      <c r="AAH712" s="11"/>
      <c r="AAI712" s="11"/>
      <c r="AAJ712" s="11"/>
      <c r="AAK712" s="11"/>
      <c r="AAL712" s="11"/>
      <c r="AAM712" s="11"/>
      <c r="AAN712" s="11"/>
      <c r="AAO712" s="11"/>
      <c r="AAP712" s="11"/>
      <c r="AAQ712" s="11"/>
      <c r="AAR712" s="11"/>
      <c r="AAS712" s="11"/>
      <c r="AAT712" s="11"/>
      <c r="AAU712" s="11"/>
      <c r="AAV712" s="11"/>
      <c r="AAW712" s="11"/>
      <c r="AAX712" s="11"/>
      <c r="AAY712" s="11"/>
      <c r="AAZ712" s="11"/>
      <c r="ABA712" s="11"/>
      <c r="ABB712" s="11"/>
      <c r="ABC712" s="11"/>
      <c r="ABD712" s="11"/>
      <c r="ABE712" s="11"/>
      <c r="ABF712" s="11"/>
      <c r="ABG712" s="11"/>
      <c r="ABH712" s="11"/>
      <c r="ABI712" s="11"/>
      <c r="ABJ712" s="11"/>
      <c r="ABK712" s="11"/>
      <c r="ABL712" s="11"/>
      <c r="ABM712" s="11"/>
      <c r="ABN712" s="11"/>
      <c r="ABO712" s="11"/>
      <c r="ABP712" s="11"/>
      <c r="ABQ712" s="11"/>
      <c r="ABR712" s="11"/>
      <c r="ABS712" s="11"/>
      <c r="ABT712" s="11"/>
      <c r="ABU712" s="11"/>
      <c r="ABV712" s="11"/>
      <c r="ABW712" s="11"/>
      <c r="ABX712" s="11"/>
      <c r="ABY712" s="11"/>
      <c r="ABZ712" s="11"/>
      <c r="ACA712" s="11"/>
      <c r="ACB712" s="11"/>
      <c r="ACC712" s="11"/>
      <c r="ACD712" s="11"/>
      <c r="ACE712" s="11"/>
      <c r="ACF712" s="11"/>
      <c r="ACG712" s="11"/>
      <c r="ACH712" s="11"/>
      <c r="ACI712" s="11"/>
      <c r="ACJ712" s="11"/>
      <c r="ACK712" s="11"/>
      <c r="ACL712" s="11"/>
      <c r="ACM712" s="11"/>
      <c r="ACN712" s="11"/>
      <c r="ACO712" s="11"/>
      <c r="ACP712" s="11"/>
      <c r="ACQ712" s="11"/>
      <c r="ACR712" s="11"/>
      <c r="ACS712" s="11"/>
      <c r="ACT712" s="11"/>
      <c r="ACU712" s="11"/>
      <c r="ACV712" s="11"/>
      <c r="ACW712" s="11"/>
      <c r="ACX712" s="11"/>
      <c r="ACY712" s="11"/>
      <c r="ACZ712" s="11"/>
      <c r="ADA712" s="11"/>
      <c r="ADB712" s="11"/>
      <c r="ADC712" s="11"/>
      <c r="ADD712" s="11"/>
      <c r="ADE712" s="11"/>
      <c r="ADF712" s="11"/>
      <c r="ADG712" s="11"/>
      <c r="ADH712" s="11"/>
      <c r="ADI712" s="11"/>
      <c r="ADJ712" s="11"/>
      <c r="ADK712" s="11"/>
      <c r="ADL712" s="11"/>
      <c r="ADM712" s="11"/>
      <c r="ADN712" s="11"/>
      <c r="ADO712" s="11"/>
      <c r="ADP712" s="11"/>
      <c r="ADQ712" s="11"/>
      <c r="ADR712" s="11"/>
      <c r="ADS712" s="11"/>
      <c r="ADT712" s="11"/>
      <c r="ADU712" s="11"/>
      <c r="ADV712" s="11"/>
      <c r="ADW712" s="11"/>
      <c r="ADX712" s="11"/>
      <c r="ADY712" s="11"/>
      <c r="ADZ712" s="11"/>
      <c r="AEA712" s="11"/>
      <c r="AEB712" s="11"/>
      <c r="AEC712" s="11"/>
      <c r="AED712" s="11"/>
      <c r="AEE712" s="11"/>
      <c r="AEF712" s="11"/>
      <c r="AEG712" s="11"/>
      <c r="AEH712" s="11"/>
      <c r="AEI712" s="11"/>
      <c r="AEJ712" s="11"/>
      <c r="AEK712" s="11"/>
      <c r="AEL712" s="11"/>
      <c r="AEM712" s="11"/>
      <c r="AEN712" s="11"/>
      <c r="AEO712" s="11"/>
      <c r="AEP712" s="11"/>
      <c r="AEQ712" s="11"/>
      <c r="AER712" s="11"/>
      <c r="AES712" s="11"/>
      <c r="AET712" s="11"/>
      <c r="AEU712" s="11"/>
      <c r="AEV712" s="11"/>
      <c r="AEW712" s="11"/>
      <c r="AEX712" s="11"/>
      <c r="AEY712" s="11"/>
      <c r="AEZ712" s="11"/>
      <c r="AFA712" s="11"/>
      <c r="AFB712" s="11"/>
      <c r="AFC712" s="11"/>
      <c r="AFD712" s="11"/>
      <c r="AFE712" s="11"/>
      <c r="AFF712" s="11"/>
      <c r="AFG712" s="11"/>
      <c r="AFH712" s="11"/>
      <c r="AFI712" s="11"/>
      <c r="AFJ712" s="11"/>
      <c r="AFK712" s="11"/>
      <c r="AFL712" s="11"/>
      <c r="AFM712" s="11"/>
      <c r="AFN712" s="11"/>
      <c r="AFO712" s="11"/>
      <c r="AFP712" s="11"/>
      <c r="AFQ712" s="11"/>
      <c r="AFR712" s="11"/>
      <c r="AFS712" s="11"/>
      <c r="AFT712" s="11"/>
      <c r="AFU712" s="11"/>
      <c r="AFV712" s="11"/>
      <c r="AFW712" s="11"/>
      <c r="AFX712" s="11"/>
      <c r="AFY712" s="11"/>
      <c r="AFZ712" s="11"/>
      <c r="AGA712" s="11"/>
      <c r="AGB712" s="11"/>
      <c r="AGC712" s="11"/>
      <c r="AGD712" s="11"/>
      <c r="AGE712" s="11"/>
      <c r="AGF712" s="11"/>
      <c r="AGG712" s="11"/>
      <c r="AGH712" s="11"/>
      <c r="AGI712" s="11"/>
      <c r="AGJ712" s="11"/>
      <c r="AGK712" s="11"/>
      <c r="AGL712" s="11"/>
      <c r="AGM712" s="11"/>
      <c r="AGN712" s="11"/>
      <c r="AGO712" s="11"/>
      <c r="AGP712" s="11"/>
      <c r="AGQ712" s="11"/>
      <c r="AGR712" s="11"/>
      <c r="AGS712" s="11"/>
      <c r="AGT712" s="11"/>
      <c r="AGU712" s="11"/>
      <c r="AGV712" s="11"/>
      <c r="AGW712" s="11"/>
      <c r="AGX712" s="11"/>
      <c r="AGY712" s="11"/>
      <c r="AGZ712" s="11"/>
      <c r="AHA712" s="11"/>
      <c r="AHB712" s="11"/>
      <c r="AHC712" s="11"/>
      <c r="AHD712" s="11"/>
      <c r="AHE712" s="11"/>
      <c r="AHF712" s="11"/>
      <c r="AHG712" s="11"/>
      <c r="AHH712" s="11"/>
      <c r="AHI712" s="11"/>
      <c r="AHJ712" s="11"/>
      <c r="AHK712" s="11"/>
      <c r="AHL712" s="11"/>
      <c r="AHM712" s="11"/>
      <c r="AHN712" s="11"/>
      <c r="AHO712" s="11"/>
      <c r="AHP712" s="11"/>
      <c r="AHQ712" s="11"/>
      <c r="AHR712" s="11"/>
      <c r="AHS712" s="11"/>
      <c r="AHT712" s="11"/>
      <c r="AHU712" s="11"/>
      <c r="AHV712" s="11"/>
      <c r="AHW712" s="11"/>
      <c r="AHX712" s="11"/>
      <c r="AHY712" s="11"/>
      <c r="AHZ712" s="11"/>
      <c r="AIA712" s="11"/>
      <c r="AIB712" s="11"/>
      <c r="AIC712" s="11"/>
      <c r="AID712" s="11"/>
      <c r="AIE712" s="11"/>
      <c r="AIF712" s="11"/>
      <c r="AIG712" s="11"/>
      <c r="AIH712" s="11"/>
      <c r="AII712" s="11"/>
      <c r="AIJ712" s="11"/>
      <c r="AIK712" s="11"/>
      <c r="AIL712" s="11"/>
      <c r="AIM712" s="11"/>
      <c r="AIN712" s="11"/>
      <c r="AIO712" s="11"/>
      <c r="AIP712" s="11"/>
      <c r="AIQ712" s="11"/>
      <c r="AIR712" s="11"/>
      <c r="AIS712" s="11"/>
      <c r="AIT712" s="11"/>
      <c r="AIU712" s="11"/>
      <c r="AIV712" s="11"/>
      <c r="AIW712" s="11"/>
      <c r="AIX712" s="11"/>
      <c r="AIY712" s="11"/>
      <c r="AIZ712" s="11"/>
      <c r="AJA712" s="11"/>
      <c r="AJB712" s="11"/>
      <c r="AJC712" s="11"/>
      <c r="AJD712" s="11"/>
      <c r="AJE712" s="11"/>
      <c r="AJF712" s="11"/>
      <c r="AJG712" s="11"/>
      <c r="AJH712" s="11"/>
      <c r="AJI712" s="11"/>
      <c r="AJJ712" s="11"/>
      <c r="AJK712" s="11"/>
      <c r="AJL712" s="11"/>
      <c r="AJM712" s="11"/>
      <c r="AJN712" s="11"/>
      <c r="AJO712" s="11"/>
      <c r="AJP712" s="11"/>
      <c r="AJQ712" s="11"/>
      <c r="AJR712" s="11"/>
      <c r="AJS712" s="11"/>
      <c r="AJT712" s="11"/>
      <c r="AJU712" s="11"/>
      <c r="AJV712" s="11"/>
      <c r="AJW712" s="11"/>
      <c r="AJX712" s="11"/>
      <c r="AJY712" s="11"/>
      <c r="AJZ712" s="11"/>
      <c r="AKA712" s="11"/>
      <c r="AKB712" s="11"/>
      <c r="AKC712" s="11"/>
      <c r="AKD712" s="11"/>
      <c r="AKE712" s="11"/>
      <c r="AKF712" s="11"/>
      <c r="AKG712" s="11"/>
      <c r="AKH712" s="11"/>
      <c r="AKI712" s="11"/>
      <c r="AKJ712" s="11"/>
      <c r="AKK712" s="11"/>
      <c r="AKL712" s="11"/>
      <c r="AKM712" s="11"/>
      <c r="AKN712" s="11"/>
      <c r="AKO712" s="11"/>
      <c r="AKP712" s="11"/>
      <c r="AKQ712" s="11"/>
      <c r="AKR712" s="11"/>
      <c r="AKS712" s="11"/>
      <c r="AKT712" s="11"/>
      <c r="AKU712" s="11"/>
      <c r="AKV712" s="11"/>
      <c r="AKW712" s="11"/>
      <c r="AKX712" s="11"/>
      <c r="AKY712" s="11"/>
      <c r="AKZ712" s="11"/>
      <c r="ALA712" s="11"/>
      <c r="ALB712" s="11"/>
      <c r="ALC712" s="11"/>
      <c r="ALD712" s="11"/>
      <c r="ALE712" s="11"/>
      <c r="ALF712" s="11"/>
      <c r="ALG712" s="11"/>
      <c r="ALH712" s="11"/>
      <c r="ALI712" s="11"/>
      <c r="ALJ712" s="11"/>
      <c r="ALK712" s="11"/>
      <c r="ALL712" s="11"/>
      <c r="ALM712" s="11"/>
      <c r="ALN712" s="11"/>
      <c r="ALO712" s="11"/>
      <c r="ALP712" s="11"/>
      <c r="ALQ712" s="11"/>
      <c r="ALR712" s="11"/>
      <c r="ALS712" s="11"/>
      <c r="ALT712" s="11"/>
      <c r="ALU712" s="11"/>
      <c r="ALV712" s="11"/>
      <c r="ALW712" s="11"/>
      <c r="ALX712" s="11"/>
      <c r="ALY712" s="11"/>
      <c r="ALZ712" s="11"/>
      <c r="AMA712" s="11"/>
      <c r="AMB712" s="11"/>
      <c r="AMC712" s="11"/>
      <c r="AMD712" s="11"/>
      <c r="AME712" s="11"/>
      <c r="AMF712" s="11"/>
      <c r="AMG712" s="11"/>
      <c r="AMH712" s="11"/>
      <c r="AMI712" s="11"/>
      <c r="AMJ712" s="11"/>
    </row>
    <row r="713" spans="1:1024" ht="27.6">
      <c r="A713" s="8" t="s">
        <v>686</v>
      </c>
      <c r="B713" s="8">
        <v>202505</v>
      </c>
      <c r="D713" s="29"/>
      <c r="E713" s="1">
        <v>0</v>
      </c>
      <c r="F713" s="8">
        <v>6</v>
      </c>
      <c r="G713" s="30">
        <f t="shared" si="36"/>
        <v>2.6666666666666665</v>
      </c>
      <c r="H713" s="8">
        <f t="shared" si="35"/>
        <v>3.3333333333333335</v>
      </c>
      <c r="I713">
        <f t="shared" si="37"/>
        <v>3.3333333333333335</v>
      </c>
      <c r="J713">
        <f>SUMIF(Oeffentlichkeitsarbeit!$D:$D,$B713,Oeffentlichkeitsarbeit!$F:$F)</f>
        <v>0</v>
      </c>
      <c r="K713">
        <f>COUNTIF(Fairteiler!$D:$D,$B713)*1/2</f>
        <v>0</v>
      </c>
      <c r="L713">
        <f>COUNTIF('NP-Betrieb'!D:D,$B713)*1/3</f>
        <v>3.3333333333333335</v>
      </c>
      <c r="M713">
        <f>COUNTIF(Fairteilungen!$D:$D,$B713)*3/4</f>
        <v>0</v>
      </c>
      <c r="N713">
        <f>COUNTIF(Anlieferung!D:D,$B713)*1/2</f>
        <v>0</v>
      </c>
      <c r="O713">
        <f>COUNTIF(Probeabholungen!B:B,$B713)*1/3</f>
        <v>0</v>
      </c>
    </row>
    <row r="714" spans="1:1024" ht="27.6">
      <c r="A714" s="16" t="s">
        <v>687</v>
      </c>
      <c r="B714" s="16">
        <v>98251</v>
      </c>
      <c r="C714" s="16" t="s">
        <v>831</v>
      </c>
      <c r="D714" s="29"/>
      <c r="E714" s="1">
        <v>0</v>
      </c>
      <c r="F714" s="16">
        <v>0</v>
      </c>
      <c r="G714" s="30">
        <f t="shared" si="36"/>
        <v>0</v>
      </c>
      <c r="H714" s="16">
        <f t="shared" si="35"/>
        <v>0</v>
      </c>
      <c r="I714">
        <f t="shared" si="37"/>
        <v>0</v>
      </c>
      <c r="J714">
        <f>SUMIF(Oeffentlichkeitsarbeit!$D:$D,$B714,Oeffentlichkeitsarbeit!$F:$F)</f>
        <v>0</v>
      </c>
      <c r="K714">
        <f>COUNTIF(Fairteiler!$D:$D,$B714)*1/2</f>
        <v>0</v>
      </c>
      <c r="L714">
        <f>COUNTIF('NP-Betrieb'!D:D,$B714)*1/3</f>
        <v>0</v>
      </c>
      <c r="M714">
        <f>COUNTIF(Fairteilungen!$D:$D,$B714)*3/4</f>
        <v>0</v>
      </c>
      <c r="N714">
        <f>COUNTIF(Anlieferung!D:D,$B714)*1/2</f>
        <v>0</v>
      </c>
      <c r="O714">
        <f>COUNTIF(Probeabholungen!B:B,$B714)*1/3</f>
        <v>0</v>
      </c>
    </row>
    <row r="715" spans="1:1024" ht="27.6">
      <c r="A715" s="8" t="s">
        <v>688</v>
      </c>
      <c r="B715" s="8">
        <v>271983</v>
      </c>
      <c r="D715" s="29"/>
      <c r="E715" s="1">
        <v>15.34</v>
      </c>
      <c r="F715" s="8">
        <v>6</v>
      </c>
      <c r="G715" s="30">
        <f t="shared" si="36"/>
        <v>21.34</v>
      </c>
      <c r="H715" s="8">
        <f t="shared" si="35"/>
        <v>-15.34</v>
      </c>
      <c r="I715">
        <f t="shared" si="37"/>
        <v>0</v>
      </c>
      <c r="J715">
        <f>SUMIF(Oeffentlichkeitsarbeit!$D:$D,$B715,Oeffentlichkeitsarbeit!$F:$F)</f>
        <v>0</v>
      </c>
      <c r="K715">
        <f>COUNTIF(Fairteiler!$D:$D,$B715)*1/2</f>
        <v>0</v>
      </c>
      <c r="L715">
        <f>COUNTIF('NP-Betrieb'!D:D,$B715)*1/3</f>
        <v>0</v>
      </c>
      <c r="M715">
        <f>COUNTIF(Fairteilungen!$D:$D,$B715)*3/4</f>
        <v>0</v>
      </c>
      <c r="N715">
        <f>COUNTIF(Anlieferung!D:D,$B715)*1/2</f>
        <v>0</v>
      </c>
      <c r="O715">
        <f>COUNTIF(Probeabholungen!B:B,$B715)*1/3</f>
        <v>0</v>
      </c>
    </row>
    <row r="716" spans="1:1024" ht="27.6">
      <c r="A716" s="14" t="s">
        <v>689</v>
      </c>
      <c r="B716" s="14">
        <v>172555</v>
      </c>
      <c r="C716" s="14" t="s">
        <v>839</v>
      </c>
      <c r="D716" s="29"/>
      <c r="E716" s="1">
        <v>0</v>
      </c>
      <c r="F716" s="14">
        <v>0</v>
      </c>
      <c r="G716" s="30">
        <f t="shared" si="36"/>
        <v>-2</v>
      </c>
      <c r="H716" s="14">
        <f t="shared" si="35"/>
        <v>2</v>
      </c>
      <c r="I716" s="36">
        <f t="shared" si="37"/>
        <v>2</v>
      </c>
      <c r="J716" s="36">
        <f>SUMIF(Oeffentlichkeitsarbeit!$D:$D,$B716,Oeffentlichkeitsarbeit!$F:$F)</f>
        <v>0</v>
      </c>
      <c r="K716" s="36">
        <f>COUNTIF(Fairteiler!$D:$D,$B716)*1/2</f>
        <v>2</v>
      </c>
      <c r="L716" s="36">
        <f>COUNTIF('NP-Betrieb'!D:D,$B716)*1/3</f>
        <v>0</v>
      </c>
      <c r="M716" s="36">
        <f>COUNTIF(Fairteilungen!$D:$D,$B716)*3/4</f>
        <v>0</v>
      </c>
      <c r="N716" s="36">
        <f>COUNTIF(Anlieferung!D:D,$B716)*1/2</f>
        <v>0</v>
      </c>
      <c r="O716" s="36">
        <f>COUNTIF(Probeabholungen!B:B,$B716)*1/3</f>
        <v>0</v>
      </c>
    </row>
    <row r="717" spans="1:1024" ht="27.6">
      <c r="A717" s="14" t="s">
        <v>690</v>
      </c>
      <c r="B717" s="14">
        <v>88041</v>
      </c>
      <c r="C717" s="14" t="s">
        <v>839</v>
      </c>
      <c r="D717" s="29"/>
      <c r="E717" s="1">
        <v>0</v>
      </c>
      <c r="F717" s="14">
        <v>0</v>
      </c>
      <c r="G717" s="30">
        <f t="shared" si="36"/>
        <v>0</v>
      </c>
      <c r="H717" s="14">
        <f t="shared" si="35"/>
        <v>0</v>
      </c>
      <c r="I717">
        <f t="shared" si="37"/>
        <v>0</v>
      </c>
      <c r="J717">
        <f>SUMIF(Oeffentlichkeitsarbeit!$D:$D,$B717,Oeffentlichkeitsarbeit!$F:$F)</f>
        <v>0</v>
      </c>
      <c r="K717">
        <f>COUNTIF(Fairteiler!$D:$D,$B717)*1/2</f>
        <v>0</v>
      </c>
      <c r="L717">
        <f>COUNTIF('NP-Betrieb'!D:D,$B717)*1/3</f>
        <v>0</v>
      </c>
      <c r="M717">
        <f>COUNTIF(Fairteilungen!$D:$D,$B717)*3/4</f>
        <v>0</v>
      </c>
      <c r="N717">
        <f>COUNTIF(Anlieferung!D:D,$B717)*1/2</f>
        <v>0</v>
      </c>
      <c r="O717">
        <f>COUNTIF(Probeabholungen!B:B,$B717)*1/3</f>
        <v>0</v>
      </c>
    </row>
    <row r="718" spans="1:1024" ht="27.6">
      <c r="A718" s="16" t="s">
        <v>691</v>
      </c>
      <c r="B718" s="16">
        <v>228549</v>
      </c>
      <c r="C718" s="16" t="s">
        <v>831</v>
      </c>
      <c r="D718" s="29"/>
      <c r="E718" s="1">
        <v>0</v>
      </c>
      <c r="F718" s="16">
        <v>0</v>
      </c>
      <c r="G718" s="30">
        <f t="shared" si="36"/>
        <v>0</v>
      </c>
      <c r="H718" s="16">
        <f t="shared" si="35"/>
        <v>0</v>
      </c>
      <c r="I718" s="11">
        <f t="shared" si="37"/>
        <v>0</v>
      </c>
      <c r="J718" s="11">
        <f>SUMIF(Oeffentlichkeitsarbeit!$D:$D,$B718,Oeffentlichkeitsarbeit!$F:$F)</f>
        <v>0</v>
      </c>
      <c r="K718" s="11">
        <f>COUNTIF(Fairteiler!$D:$D,$B718)*1/2</f>
        <v>0</v>
      </c>
      <c r="L718" s="11">
        <f>COUNTIF('NP-Betrieb'!D:D,$B718)*1/3</f>
        <v>0</v>
      </c>
      <c r="M718" s="11">
        <f>COUNTIF(Fairteilungen!$D:$D,$B718)*3/4</f>
        <v>0</v>
      </c>
      <c r="N718" s="11">
        <f>COUNTIF(Anlieferung!D:D,$B718)*1/2</f>
        <v>0</v>
      </c>
      <c r="O718" s="11">
        <f>COUNTIF(Probeabholungen!B:B,$B718)*1/3</f>
        <v>0</v>
      </c>
    </row>
    <row r="719" spans="1:1024">
      <c r="A719" s="8" t="s">
        <v>692</v>
      </c>
      <c r="B719" s="8">
        <v>488474</v>
      </c>
      <c r="D719" s="29"/>
      <c r="E719" s="1">
        <v>10.67</v>
      </c>
      <c r="F719" s="8">
        <v>6</v>
      </c>
      <c r="G719" s="30">
        <f t="shared" si="36"/>
        <v>16.670000000000002</v>
      </c>
      <c r="H719" s="8">
        <f t="shared" si="35"/>
        <v>-10.67</v>
      </c>
      <c r="I719">
        <f t="shared" si="37"/>
        <v>0</v>
      </c>
      <c r="J719">
        <f>SUMIF(Oeffentlichkeitsarbeit!$D:$D,$B719,Oeffentlichkeitsarbeit!$F:$F)</f>
        <v>0</v>
      </c>
      <c r="K719">
        <f>COUNTIF(Fairteiler!$D:$D,$B719)*1/2</f>
        <v>0</v>
      </c>
      <c r="L719">
        <f>COUNTIF('NP-Betrieb'!D:D,$B719)*1/3</f>
        <v>0</v>
      </c>
      <c r="M719">
        <f>COUNTIF(Fairteilungen!$D:$D,$B719)*3/4</f>
        <v>0</v>
      </c>
      <c r="N719">
        <f>COUNTIF(Anlieferung!D:D,$B719)*1/2</f>
        <v>0</v>
      </c>
      <c r="O719">
        <f>COUNTIF(Probeabholungen!B:B,$B719)*1/3</f>
        <v>0</v>
      </c>
    </row>
    <row r="720" spans="1:1024">
      <c r="A720" s="8" t="s">
        <v>693</v>
      </c>
      <c r="B720" s="8">
        <v>749267</v>
      </c>
      <c r="D720" s="29">
        <v>45308</v>
      </c>
      <c r="E720" s="1">
        <v>8.6666666666666696</v>
      </c>
      <c r="F720" s="8">
        <v>6</v>
      </c>
      <c r="G720" s="30">
        <f t="shared" si="36"/>
        <v>14.66666666666667</v>
      </c>
      <c r="H720" s="8">
        <f t="shared" si="35"/>
        <v>-8.6666666666666696</v>
      </c>
      <c r="I720">
        <f t="shared" si="37"/>
        <v>0</v>
      </c>
      <c r="J720">
        <f>SUMIF(Oeffentlichkeitsarbeit!$D:$D,$B720,Oeffentlichkeitsarbeit!$F:$F)</f>
        <v>0</v>
      </c>
      <c r="K720">
        <f>COUNTIF(Fairteiler!$D:$D,$B720)*1/2</f>
        <v>0</v>
      </c>
      <c r="L720">
        <f>COUNTIF('NP-Betrieb'!D:D,$B720)*1/3</f>
        <v>0</v>
      </c>
      <c r="M720">
        <f>COUNTIF(Fairteilungen!$D:$D,$B720)*3/4</f>
        <v>0</v>
      </c>
      <c r="N720">
        <f>COUNTIF(Anlieferung!D:D,$B720)*1/2</f>
        <v>0</v>
      </c>
      <c r="O720">
        <f>COUNTIF(Probeabholungen!B:B,$B720)*1/3</f>
        <v>0</v>
      </c>
    </row>
    <row r="721" spans="1:15" ht="27.6">
      <c r="A721" s="8" t="s">
        <v>694</v>
      </c>
      <c r="B721" s="8">
        <v>429425</v>
      </c>
      <c r="D721" s="29"/>
      <c r="E721" s="1">
        <v>0</v>
      </c>
      <c r="F721" s="8">
        <v>6</v>
      </c>
      <c r="G721" s="30">
        <f t="shared" si="36"/>
        <v>1</v>
      </c>
      <c r="H721" s="8">
        <f t="shared" si="35"/>
        <v>5</v>
      </c>
      <c r="I721">
        <f t="shared" si="37"/>
        <v>5</v>
      </c>
      <c r="J721">
        <f>SUMIF(Oeffentlichkeitsarbeit!$D:$D,$B721,Oeffentlichkeitsarbeit!$F:$F)</f>
        <v>0</v>
      </c>
      <c r="K721">
        <f>COUNTIF(Fairteiler!$D:$D,$B721)*1/2</f>
        <v>0</v>
      </c>
      <c r="L721">
        <f>COUNTIF('NP-Betrieb'!D:D,$B721)*1/3</f>
        <v>5</v>
      </c>
      <c r="M721">
        <f>COUNTIF(Fairteilungen!$D:$D,$B721)*3/4</f>
        <v>0</v>
      </c>
      <c r="N721">
        <f>COUNTIF(Anlieferung!D:D,$B721)*1/2</f>
        <v>0</v>
      </c>
      <c r="O721">
        <f>COUNTIF(Probeabholungen!B:B,$B721)*1/3</f>
        <v>0</v>
      </c>
    </row>
    <row r="722" spans="1:15">
      <c r="A722" s="8" t="s">
        <v>695</v>
      </c>
      <c r="B722" s="8">
        <v>169559</v>
      </c>
      <c r="D722" s="29"/>
      <c r="E722" s="1">
        <v>9.6666666666666696</v>
      </c>
      <c r="F722" s="8">
        <v>6</v>
      </c>
      <c r="G722" s="30">
        <f t="shared" si="36"/>
        <v>15.333333333333336</v>
      </c>
      <c r="H722" s="8">
        <f t="shared" si="35"/>
        <v>-9.3333333333333357</v>
      </c>
      <c r="I722">
        <f t="shared" si="37"/>
        <v>0.33333333333333331</v>
      </c>
      <c r="J722">
        <f>SUMIF(Oeffentlichkeitsarbeit!$D:$D,$B722,Oeffentlichkeitsarbeit!$F:$F)</f>
        <v>0</v>
      </c>
      <c r="K722">
        <f>COUNTIF(Fairteiler!$D:$D,$B722)*1/2</f>
        <v>0</v>
      </c>
      <c r="L722">
        <f>COUNTIF('NP-Betrieb'!D:D,$B722)*1/3</f>
        <v>0.33333333333333331</v>
      </c>
      <c r="M722">
        <f>COUNTIF(Fairteilungen!$D:$D,$B722)*3/4</f>
        <v>0</v>
      </c>
      <c r="N722">
        <f>COUNTIF(Anlieferung!D:D,$B722)*1/2</f>
        <v>0</v>
      </c>
      <c r="O722">
        <f>COUNTIF(Probeabholungen!B:B,$B722)*1/3</f>
        <v>0</v>
      </c>
    </row>
    <row r="723" spans="1:15">
      <c r="A723" s="8" t="s">
        <v>696</v>
      </c>
      <c r="B723" s="8">
        <v>814017</v>
      </c>
      <c r="D723" s="29"/>
      <c r="E723" s="1">
        <v>0</v>
      </c>
      <c r="F723" s="8">
        <v>6</v>
      </c>
      <c r="G723" s="30">
        <f t="shared" si="36"/>
        <v>3.6666666666666665</v>
      </c>
      <c r="H723" s="8">
        <f t="shared" si="35"/>
        <v>2.3333333333333335</v>
      </c>
      <c r="I723">
        <f t="shared" si="37"/>
        <v>2.3333333333333335</v>
      </c>
      <c r="J723">
        <f>SUMIF(Oeffentlichkeitsarbeit!$D:$D,$B723,Oeffentlichkeitsarbeit!$F:$F)</f>
        <v>0</v>
      </c>
      <c r="K723">
        <f>COUNTIF(Fairteiler!$D:$D,$B723)*1/2</f>
        <v>0</v>
      </c>
      <c r="L723">
        <f>COUNTIF('NP-Betrieb'!D:D,$B723)*1/3</f>
        <v>2.3333333333333335</v>
      </c>
      <c r="M723">
        <f>COUNTIF(Fairteilungen!$D:$D,$B723)*3/4</f>
        <v>0</v>
      </c>
      <c r="N723">
        <f>COUNTIF(Anlieferung!D:D,$B723)*1/2</f>
        <v>0</v>
      </c>
      <c r="O723">
        <f>COUNTIF(Probeabholungen!B:B,$B723)*1/3</f>
        <v>0</v>
      </c>
    </row>
    <row r="724" spans="1:15" ht="27.6">
      <c r="A724" s="8" t="s">
        <v>697</v>
      </c>
      <c r="B724" s="8">
        <v>970070</v>
      </c>
      <c r="D724" s="24">
        <v>45961</v>
      </c>
      <c r="E724" s="1">
        <v>0</v>
      </c>
      <c r="F724">
        <v>6</v>
      </c>
      <c r="G724" s="30">
        <f t="shared" si="36"/>
        <v>4</v>
      </c>
      <c r="H724" s="8">
        <f t="shared" si="35"/>
        <v>2</v>
      </c>
      <c r="I724">
        <f t="shared" si="37"/>
        <v>2</v>
      </c>
      <c r="J724">
        <f>SUMIF(Oeffentlichkeitsarbeit!$D:$D,$B724,Oeffentlichkeitsarbeit!$F:$F)</f>
        <v>0</v>
      </c>
      <c r="K724">
        <f>COUNTIF(Fairteiler!$D:$D,$B724)*1/2</f>
        <v>0</v>
      </c>
      <c r="L724">
        <f>COUNTIF('NP-Betrieb'!D:D,$B724)*1/3</f>
        <v>2</v>
      </c>
      <c r="M724">
        <f>COUNTIF(Fairteilungen!$D:$D,$B724)*3/4</f>
        <v>0</v>
      </c>
      <c r="N724">
        <f>COUNTIF(Anlieferung!D:D,$B724)*1/2</f>
        <v>0</v>
      </c>
      <c r="O724">
        <f>COUNTIF(Probeabholungen!B:B,$B724)*1/3</f>
        <v>0</v>
      </c>
    </row>
    <row r="725" spans="1:15" ht="27.6">
      <c r="A725" s="8" t="s">
        <v>698</v>
      </c>
      <c r="B725" s="8">
        <v>524486</v>
      </c>
      <c r="D725" s="29"/>
      <c r="E725" s="1">
        <v>0.83333333333333304</v>
      </c>
      <c r="F725" s="8">
        <v>6</v>
      </c>
      <c r="G725" s="30">
        <f t="shared" si="36"/>
        <v>6.833333333333333</v>
      </c>
      <c r="H725" s="8">
        <f t="shared" si="35"/>
        <v>-0.83333333333333304</v>
      </c>
      <c r="I725">
        <f t="shared" si="37"/>
        <v>0</v>
      </c>
      <c r="J725">
        <f>SUMIF(Oeffentlichkeitsarbeit!$D:$D,$B725,Oeffentlichkeitsarbeit!$F:$F)</f>
        <v>0</v>
      </c>
      <c r="K725">
        <f>COUNTIF(Fairteiler!$D:$D,$B725)*1/2</f>
        <v>0</v>
      </c>
      <c r="L725">
        <f>COUNTIF('NP-Betrieb'!D:D,$B725)*1/3</f>
        <v>0</v>
      </c>
      <c r="M725">
        <f>COUNTIF(Fairteilungen!$D:$D,$B725)*3/4</f>
        <v>0</v>
      </c>
      <c r="N725">
        <f>COUNTIF(Anlieferung!D:D,$B725)*1/2</f>
        <v>0</v>
      </c>
      <c r="O725">
        <f>COUNTIF(Probeabholungen!B:B,$B725)*1/3</f>
        <v>0</v>
      </c>
    </row>
    <row r="726" spans="1:15" ht="27.6">
      <c r="A726" s="8" t="s">
        <v>699</v>
      </c>
      <c r="B726" s="8">
        <v>574339</v>
      </c>
      <c r="D726" s="24">
        <v>45771</v>
      </c>
      <c r="E726" s="1">
        <v>3.6666666666666701</v>
      </c>
      <c r="F726">
        <v>6</v>
      </c>
      <c r="G726" s="30">
        <f t="shared" si="36"/>
        <v>9.6666666666666696</v>
      </c>
      <c r="H726" s="8">
        <f t="shared" si="35"/>
        <v>-3.6666666666666701</v>
      </c>
      <c r="I726">
        <f t="shared" si="37"/>
        <v>0</v>
      </c>
      <c r="J726">
        <f>SUMIF(Oeffentlichkeitsarbeit!$D:$D,$B726,Oeffentlichkeitsarbeit!$F:$F)</f>
        <v>0</v>
      </c>
      <c r="K726">
        <f>COUNTIF(Fairteiler!$D:$D,$B726)*1/2</f>
        <v>0</v>
      </c>
      <c r="L726">
        <f>COUNTIF('NP-Betrieb'!D:D,$B726)*1/3</f>
        <v>0</v>
      </c>
      <c r="M726">
        <f>COUNTIF(Fairteilungen!$D:$D,$B726)*3/4</f>
        <v>0</v>
      </c>
      <c r="N726">
        <f>COUNTIF(Anlieferung!D:D,$B726)*1/2</f>
        <v>0</v>
      </c>
      <c r="O726">
        <f>COUNTIF(Probeabholungen!B:B,$B726)*1/3</f>
        <v>0</v>
      </c>
    </row>
    <row r="727" spans="1:15" ht="27.6">
      <c r="A727" s="8" t="s">
        <v>700</v>
      </c>
      <c r="B727" s="8">
        <v>588264</v>
      </c>
      <c r="C727" s="8"/>
      <c r="D727" s="29"/>
      <c r="E727" s="1">
        <v>15.67</v>
      </c>
      <c r="F727" s="8">
        <v>6</v>
      </c>
      <c r="G727" s="30">
        <f t="shared" si="36"/>
        <v>21.67</v>
      </c>
      <c r="H727" s="8">
        <f t="shared" si="35"/>
        <v>-15.67</v>
      </c>
      <c r="I727">
        <f t="shared" si="37"/>
        <v>0</v>
      </c>
      <c r="J727">
        <f>SUMIF(Oeffentlichkeitsarbeit!$D:$D,$B727,Oeffentlichkeitsarbeit!$F:$F)</f>
        <v>0</v>
      </c>
      <c r="K727">
        <f>COUNTIF(Fairteiler!$D:$D,$B727)*1/2</f>
        <v>0</v>
      </c>
      <c r="L727">
        <f>COUNTIF('NP-Betrieb'!D:D,$B727)*1/3</f>
        <v>0</v>
      </c>
      <c r="M727">
        <f>COUNTIF(Fairteilungen!$D:$D,$B727)*3/4</f>
        <v>0</v>
      </c>
      <c r="N727">
        <f>COUNTIF(Anlieferung!D:D,$B727)*1/2</f>
        <v>0</v>
      </c>
      <c r="O727">
        <f>COUNTIF(Probeabholungen!B:B,$B727)*1/3</f>
        <v>0</v>
      </c>
    </row>
    <row r="728" spans="1:15">
      <c r="A728" s="8" t="s">
        <v>701</v>
      </c>
      <c r="B728" s="8">
        <v>156207</v>
      </c>
      <c r="C728" s="8"/>
      <c r="D728" s="29">
        <v>45142</v>
      </c>
      <c r="E728" s="1">
        <v>14.5</v>
      </c>
      <c r="F728" s="8">
        <v>6</v>
      </c>
      <c r="G728" s="30">
        <f t="shared" si="36"/>
        <v>20.5</v>
      </c>
      <c r="H728" s="8">
        <f t="shared" si="35"/>
        <v>-14.5</v>
      </c>
      <c r="I728">
        <f t="shared" si="37"/>
        <v>0</v>
      </c>
      <c r="J728">
        <f>SUMIF(Oeffentlichkeitsarbeit!$D:$D,$B728,Oeffentlichkeitsarbeit!$F:$F)</f>
        <v>0</v>
      </c>
      <c r="K728">
        <f>COUNTIF(Fairteiler!$D:$D,$B728)*1/2</f>
        <v>0</v>
      </c>
      <c r="L728">
        <f>COUNTIF('NP-Betrieb'!D:D,$B728)*1/3</f>
        <v>0</v>
      </c>
      <c r="M728">
        <f>COUNTIF(Fairteilungen!$D:$D,$B728)*3/4</f>
        <v>0</v>
      </c>
      <c r="N728">
        <f>COUNTIF(Anlieferung!D:D,$B728)*1/2</f>
        <v>0</v>
      </c>
      <c r="O728">
        <f>COUNTIF(Probeabholungen!B:B,$B728)*1/3</f>
        <v>0</v>
      </c>
    </row>
    <row r="729" spans="1:15" ht="27.6">
      <c r="A729" s="8" t="s">
        <v>702</v>
      </c>
      <c r="B729" s="8">
        <v>875349</v>
      </c>
      <c r="D729" s="24">
        <v>45594</v>
      </c>
      <c r="E729" s="1">
        <v>3.3333333333333299</v>
      </c>
      <c r="F729" s="8">
        <v>6</v>
      </c>
      <c r="G729" s="30">
        <f t="shared" si="36"/>
        <v>9.3333333333333304</v>
      </c>
      <c r="H729" s="8">
        <f t="shared" si="35"/>
        <v>-3.3333333333333299</v>
      </c>
      <c r="I729">
        <f t="shared" si="37"/>
        <v>0</v>
      </c>
      <c r="J729">
        <f>SUMIF(Oeffentlichkeitsarbeit!$D:$D,$B729,Oeffentlichkeitsarbeit!$F:$F)</f>
        <v>0</v>
      </c>
      <c r="K729">
        <f>COUNTIF(Fairteiler!$D:$D,$B729)*1/2</f>
        <v>0</v>
      </c>
      <c r="L729">
        <f>COUNTIF('NP-Betrieb'!D:D,$B729)*1/3</f>
        <v>0</v>
      </c>
      <c r="M729">
        <f>COUNTIF(Fairteilungen!$D:$D,$B729)*3/4</f>
        <v>0</v>
      </c>
      <c r="N729">
        <f>COUNTIF(Anlieferung!D:D,$B729)*1/2</f>
        <v>0</v>
      </c>
      <c r="O729">
        <f>COUNTIF(Probeabholungen!B:B,$B729)*1/3</f>
        <v>0</v>
      </c>
    </row>
    <row r="730" spans="1:15" ht="27.6">
      <c r="A730" s="8" t="s">
        <v>703</v>
      </c>
      <c r="B730" s="8">
        <v>267</v>
      </c>
      <c r="D730" s="29"/>
      <c r="E730" s="1">
        <v>4.6733333333333302</v>
      </c>
      <c r="F730" s="8">
        <v>6</v>
      </c>
      <c r="G730" s="30">
        <f t="shared" si="36"/>
        <v>10.67333333333333</v>
      </c>
      <c r="H730" s="8">
        <f t="shared" si="35"/>
        <v>-4.6733333333333302</v>
      </c>
      <c r="I730">
        <f t="shared" si="37"/>
        <v>0</v>
      </c>
      <c r="J730">
        <f>SUMIF(Oeffentlichkeitsarbeit!$D:$D,$B730,Oeffentlichkeitsarbeit!$F:$F)</f>
        <v>0</v>
      </c>
      <c r="K730">
        <f>COUNTIF(Fairteiler!$D:$D,$B730)*1/2</f>
        <v>0</v>
      </c>
      <c r="L730">
        <f>COUNTIF('NP-Betrieb'!D:D,$B730)*1/3</f>
        <v>0</v>
      </c>
      <c r="M730">
        <f>COUNTIF(Fairteilungen!$D:$D,$B730)*3/4</f>
        <v>0</v>
      </c>
      <c r="N730">
        <f>COUNTIF(Anlieferung!D:D,$B730)*1/2</f>
        <v>0</v>
      </c>
      <c r="O730">
        <f>COUNTIF(Probeabholungen!B:B,$B730)*1/3</f>
        <v>0</v>
      </c>
    </row>
    <row r="731" spans="1:15" ht="27.6">
      <c r="A731" s="8" t="s">
        <v>704</v>
      </c>
      <c r="B731" s="8">
        <v>303486</v>
      </c>
      <c r="D731" s="29"/>
      <c r="E731" s="1">
        <v>2</v>
      </c>
      <c r="F731" s="8">
        <v>6</v>
      </c>
      <c r="G731" s="30">
        <f t="shared" si="36"/>
        <v>7</v>
      </c>
      <c r="H731" s="8">
        <f t="shared" si="35"/>
        <v>-1</v>
      </c>
      <c r="I731">
        <f t="shared" si="37"/>
        <v>1</v>
      </c>
      <c r="J731">
        <f>SUMIF(Oeffentlichkeitsarbeit!$D:$D,$B731,Oeffentlichkeitsarbeit!$F:$F)</f>
        <v>0</v>
      </c>
      <c r="K731">
        <f>COUNTIF(Fairteiler!$D:$D,$B731)*1/2</f>
        <v>1</v>
      </c>
      <c r="L731">
        <f>COUNTIF('NP-Betrieb'!D:D,$B731)*1/3</f>
        <v>0</v>
      </c>
      <c r="M731">
        <f>COUNTIF(Fairteilungen!$D:$D,$B731)*3/4</f>
        <v>0</v>
      </c>
      <c r="N731">
        <f>COUNTIF(Anlieferung!D:D,$B731)*1/2</f>
        <v>0</v>
      </c>
      <c r="O731">
        <f>COUNTIF(Probeabholungen!B:B,$B731)*1/3</f>
        <v>0</v>
      </c>
    </row>
    <row r="732" spans="1:15">
      <c r="A732" s="8" t="s">
        <v>705</v>
      </c>
      <c r="B732" s="8">
        <v>581488</v>
      </c>
      <c r="D732" s="29"/>
      <c r="E732" s="1">
        <v>0</v>
      </c>
      <c r="F732" s="8">
        <v>6</v>
      </c>
      <c r="G732" s="30">
        <f t="shared" si="36"/>
        <v>6</v>
      </c>
      <c r="H732" s="8">
        <f t="shared" ref="H732:H795" si="38">I732-E732</f>
        <v>0</v>
      </c>
      <c r="I732">
        <f t="shared" si="37"/>
        <v>0</v>
      </c>
      <c r="J732">
        <f>SUMIF(Oeffentlichkeitsarbeit!$D:$D,$B732,Oeffentlichkeitsarbeit!$F:$F)</f>
        <v>0</v>
      </c>
      <c r="K732">
        <f>COUNTIF(Fairteiler!$D:$D,$B732)*1/2</f>
        <v>0</v>
      </c>
      <c r="L732">
        <f>COUNTIF('NP-Betrieb'!D:D,$B732)*1/3</f>
        <v>0</v>
      </c>
      <c r="M732">
        <f>COUNTIF(Fairteilungen!$D:$D,$B732)*3/4</f>
        <v>0</v>
      </c>
      <c r="N732">
        <f>COUNTIF(Anlieferung!D:D,$B732)*1/2</f>
        <v>0</v>
      </c>
      <c r="O732">
        <f>COUNTIF(Probeabholungen!B:B,$B732)*1/3</f>
        <v>0</v>
      </c>
    </row>
    <row r="733" spans="1:15" ht="27.6">
      <c r="A733" s="8" t="s">
        <v>706</v>
      </c>
      <c r="B733" s="8">
        <v>571097</v>
      </c>
      <c r="D733" s="29"/>
      <c r="E733" s="1">
        <v>12</v>
      </c>
      <c r="F733" s="8">
        <v>6</v>
      </c>
      <c r="G733" s="30">
        <f t="shared" si="36"/>
        <v>18</v>
      </c>
      <c r="H733" s="8">
        <f t="shared" si="38"/>
        <v>-12</v>
      </c>
      <c r="I733">
        <f t="shared" si="37"/>
        <v>0</v>
      </c>
      <c r="J733">
        <f>SUMIF(Oeffentlichkeitsarbeit!$D:$D,$B733,Oeffentlichkeitsarbeit!$F:$F)</f>
        <v>0</v>
      </c>
      <c r="K733">
        <f>COUNTIF(Fairteiler!$D:$D,$B733)*1/2</f>
        <v>0</v>
      </c>
      <c r="L733">
        <f>COUNTIF('NP-Betrieb'!D:D,$B733)*1/3</f>
        <v>0</v>
      </c>
      <c r="M733">
        <f>COUNTIF(Fairteilungen!$D:$D,$B733)*3/4</f>
        <v>0</v>
      </c>
      <c r="N733">
        <f>COUNTIF(Anlieferung!D:D,$B733)*1/2</f>
        <v>0</v>
      </c>
      <c r="O733">
        <f>COUNTIF(Probeabholungen!B:B,$B733)*1/3</f>
        <v>0</v>
      </c>
    </row>
    <row r="734" spans="1:15" ht="27.6">
      <c r="A734" s="8" t="s">
        <v>707</v>
      </c>
      <c r="B734" s="8">
        <v>233308</v>
      </c>
      <c r="D734" s="29"/>
      <c r="E734" s="1">
        <v>0</v>
      </c>
      <c r="F734" s="8">
        <v>6</v>
      </c>
      <c r="G734" s="30">
        <f t="shared" si="36"/>
        <v>4.333333333333333</v>
      </c>
      <c r="H734" s="8">
        <f t="shared" si="38"/>
        <v>1.6666666666666667</v>
      </c>
      <c r="I734">
        <f t="shared" si="37"/>
        <v>1.6666666666666667</v>
      </c>
      <c r="J734">
        <f>SUMIF(Oeffentlichkeitsarbeit!$D:$D,$B734,Oeffentlichkeitsarbeit!$F:$F)</f>
        <v>0</v>
      </c>
      <c r="K734">
        <f>COUNTIF(Fairteiler!$D:$D,$B734)*1/2</f>
        <v>0</v>
      </c>
      <c r="L734">
        <f>COUNTIF('NP-Betrieb'!D:D,$B734)*1/3</f>
        <v>1.6666666666666667</v>
      </c>
      <c r="M734">
        <f>COUNTIF(Fairteilungen!$D:$D,$B734)*3/4</f>
        <v>0</v>
      </c>
      <c r="N734">
        <f>COUNTIF(Anlieferung!D:D,$B734)*1/2</f>
        <v>0</v>
      </c>
      <c r="O734">
        <f>COUNTIF(Probeabholungen!B:B,$B734)*1/3</f>
        <v>0</v>
      </c>
    </row>
    <row r="735" spans="1:15" ht="27.6">
      <c r="A735" s="8" t="s">
        <v>708</v>
      </c>
      <c r="B735" s="8">
        <v>237426</v>
      </c>
      <c r="D735" s="29"/>
      <c r="E735" s="1">
        <v>0.66666666666666696</v>
      </c>
      <c r="F735" s="8">
        <v>6</v>
      </c>
      <c r="G735" s="30">
        <f t="shared" si="36"/>
        <v>1.5000000000000009</v>
      </c>
      <c r="H735" s="8">
        <f t="shared" si="38"/>
        <v>4.4999999999999991</v>
      </c>
      <c r="I735">
        <f t="shared" si="37"/>
        <v>5.1666666666666661</v>
      </c>
      <c r="J735">
        <f>SUMIF(Oeffentlichkeitsarbeit!$D:$D,$B735,Oeffentlichkeitsarbeit!$F:$F)</f>
        <v>0</v>
      </c>
      <c r="K735">
        <f>COUNTIF(Fairteiler!$D:$D,$B735)*1/2</f>
        <v>1.5</v>
      </c>
      <c r="L735">
        <f>COUNTIF('NP-Betrieb'!D:D,$B735)*1/3</f>
        <v>3.6666666666666665</v>
      </c>
      <c r="M735">
        <f>COUNTIF(Fairteilungen!$D:$D,$B735)*3/4</f>
        <v>0</v>
      </c>
      <c r="N735">
        <f>COUNTIF(Anlieferung!D:D,$B735)*1/2</f>
        <v>0</v>
      </c>
      <c r="O735">
        <f>COUNTIF(Probeabholungen!B:B,$B735)*1/3</f>
        <v>0</v>
      </c>
    </row>
    <row r="736" spans="1:15">
      <c r="A736" s="8" t="s">
        <v>709</v>
      </c>
      <c r="B736" s="8">
        <v>128554</v>
      </c>
      <c r="D736" s="29"/>
      <c r="E736" s="1">
        <v>0</v>
      </c>
      <c r="F736" s="8">
        <v>6</v>
      </c>
      <c r="G736" s="30">
        <f t="shared" si="36"/>
        <v>2.3333333333333335</v>
      </c>
      <c r="H736" s="8">
        <f t="shared" si="38"/>
        <v>3.6666666666666665</v>
      </c>
      <c r="I736">
        <f t="shared" si="37"/>
        <v>3.6666666666666665</v>
      </c>
      <c r="J736">
        <f>SUMIF(Oeffentlichkeitsarbeit!$D:$D,$B736,Oeffentlichkeitsarbeit!$F:$F)</f>
        <v>0</v>
      </c>
      <c r="K736">
        <f>COUNTIF(Fairteiler!$D:$D,$B736)*1/2</f>
        <v>0</v>
      </c>
      <c r="L736">
        <f>COUNTIF('NP-Betrieb'!D:D,$B736)*1/3</f>
        <v>3.6666666666666665</v>
      </c>
      <c r="M736">
        <f>COUNTIF(Fairteilungen!$D:$D,$B736)*3/4</f>
        <v>0</v>
      </c>
      <c r="N736">
        <f>COUNTIF(Anlieferung!D:D,$B736)*1/2</f>
        <v>0</v>
      </c>
      <c r="O736">
        <f>COUNTIF(Probeabholungen!B:B,$B736)*1/3</f>
        <v>0</v>
      </c>
    </row>
    <row r="737" spans="1:15" ht="27.6">
      <c r="A737" s="8" t="s">
        <v>710</v>
      </c>
      <c r="B737" s="8">
        <v>932989</v>
      </c>
      <c r="D737" s="24">
        <v>45895</v>
      </c>
      <c r="E737" s="1">
        <v>1.3333333333333299</v>
      </c>
      <c r="F737">
        <v>6</v>
      </c>
      <c r="G737" s="30">
        <f t="shared" si="36"/>
        <v>7.3333333333333304</v>
      </c>
      <c r="H737" s="8">
        <f t="shared" si="38"/>
        <v>-1.3333333333333299</v>
      </c>
      <c r="I737">
        <f t="shared" si="37"/>
        <v>0</v>
      </c>
      <c r="J737">
        <f>SUMIF(Oeffentlichkeitsarbeit!$D:$D,$B737,Oeffentlichkeitsarbeit!$F:$F)</f>
        <v>0</v>
      </c>
      <c r="K737">
        <f>COUNTIF(Fairteiler!$D:$D,$B737)*1/2</f>
        <v>0</v>
      </c>
      <c r="L737">
        <f>COUNTIF('NP-Betrieb'!D:D,$B737)*1/3</f>
        <v>0</v>
      </c>
      <c r="M737">
        <f>COUNTIF(Fairteilungen!$D:$D,$B737)*3/4</f>
        <v>0</v>
      </c>
      <c r="N737">
        <f>COUNTIF(Anlieferung!D:D,$B737)*1/2</f>
        <v>0</v>
      </c>
      <c r="O737">
        <f>COUNTIF(Probeabholungen!B:B,$B737)*1/3</f>
        <v>0</v>
      </c>
    </row>
    <row r="738" spans="1:15" ht="27.6">
      <c r="A738" s="8" t="s">
        <v>711</v>
      </c>
      <c r="B738" s="8">
        <v>455603</v>
      </c>
      <c r="D738" s="24">
        <v>45845</v>
      </c>
      <c r="E738" s="1">
        <v>0</v>
      </c>
      <c r="F738">
        <v>6</v>
      </c>
      <c r="G738" s="30">
        <f t="shared" si="36"/>
        <v>3.6666666666666665</v>
      </c>
      <c r="H738" s="8">
        <f t="shared" si="38"/>
        <v>2.3333333333333335</v>
      </c>
      <c r="I738">
        <f t="shared" si="37"/>
        <v>2.3333333333333335</v>
      </c>
      <c r="J738">
        <f>SUMIF(Oeffentlichkeitsarbeit!$D:$D,$B738,Oeffentlichkeitsarbeit!$F:$F)</f>
        <v>0</v>
      </c>
      <c r="K738">
        <f>COUNTIF(Fairteiler!$D:$D,$B738)*1/2</f>
        <v>0</v>
      </c>
      <c r="L738">
        <f>COUNTIF('NP-Betrieb'!D:D,$B738)*1/3</f>
        <v>2.3333333333333335</v>
      </c>
      <c r="M738">
        <f>COUNTIF(Fairteilungen!$D:$D,$B738)*3/4</f>
        <v>0</v>
      </c>
      <c r="N738">
        <f>COUNTIF(Anlieferung!D:D,$B738)*1/2</f>
        <v>0</v>
      </c>
      <c r="O738">
        <f>COUNTIF(Probeabholungen!B:B,$B738)*1/3</f>
        <v>0</v>
      </c>
    </row>
    <row r="739" spans="1:15">
      <c r="A739" s="8" t="s">
        <v>712</v>
      </c>
      <c r="B739" s="8">
        <v>686974</v>
      </c>
      <c r="C739" s="11"/>
      <c r="D739" s="29"/>
      <c r="E739" s="1">
        <v>0</v>
      </c>
      <c r="F739" s="8">
        <v>6</v>
      </c>
      <c r="G739" s="30">
        <f t="shared" si="36"/>
        <v>1</v>
      </c>
      <c r="H739" s="8">
        <f t="shared" si="38"/>
        <v>5</v>
      </c>
      <c r="I739" s="11">
        <f t="shared" si="37"/>
        <v>5</v>
      </c>
      <c r="J739" s="11">
        <f>SUMIF(Oeffentlichkeitsarbeit!$D:$D,$B739,Oeffentlichkeitsarbeit!$F:$F)</f>
        <v>0</v>
      </c>
      <c r="K739" s="11">
        <f>COUNTIF(Fairteiler!$D:$D,$B739)*1/2</f>
        <v>0</v>
      </c>
      <c r="L739" s="11">
        <f>COUNTIF('NP-Betrieb'!D:D,$B739)*1/3</f>
        <v>5</v>
      </c>
      <c r="M739" s="11">
        <f>COUNTIF(Fairteilungen!$D:$D,$B739)*3/4</f>
        <v>0</v>
      </c>
      <c r="N739" s="11">
        <f>COUNTIF(Anlieferung!D:D,$B739)*1/2</f>
        <v>0</v>
      </c>
      <c r="O739" s="11">
        <f>COUNTIF(Probeabholungen!B:B,$B739)*1/3</f>
        <v>0</v>
      </c>
    </row>
    <row r="740" spans="1:15" ht="27.6">
      <c r="A740" s="14" t="s">
        <v>713</v>
      </c>
      <c r="B740" s="14">
        <v>363730</v>
      </c>
      <c r="C740" s="14" t="s">
        <v>839</v>
      </c>
      <c r="D740" s="29"/>
      <c r="E740" s="1">
        <v>0</v>
      </c>
      <c r="F740" s="14">
        <v>0</v>
      </c>
      <c r="G740" s="30">
        <f t="shared" si="36"/>
        <v>-0.33333333333333331</v>
      </c>
      <c r="H740" s="14">
        <f t="shared" si="38"/>
        <v>0.33333333333333331</v>
      </c>
      <c r="I740" s="11">
        <f t="shared" si="37"/>
        <v>0.33333333333333331</v>
      </c>
      <c r="J740" s="11">
        <f>SUMIF(Oeffentlichkeitsarbeit!$D:$D,$B740,Oeffentlichkeitsarbeit!$F:$F)</f>
        <v>0</v>
      </c>
      <c r="K740" s="11">
        <f>COUNTIF(Fairteiler!$D:$D,$B740)*1/2</f>
        <v>0</v>
      </c>
      <c r="L740" s="11">
        <f>COUNTIF('NP-Betrieb'!D:D,$B740)*1/3</f>
        <v>0.33333333333333331</v>
      </c>
      <c r="M740" s="11">
        <f>COUNTIF(Fairteilungen!$D:$D,$B740)*3/4</f>
        <v>0</v>
      </c>
      <c r="N740" s="11">
        <f>COUNTIF(Anlieferung!D:D,$B740)*1/2</f>
        <v>0</v>
      </c>
      <c r="O740" s="11">
        <f>COUNTIF(Probeabholungen!B:B,$B740)*1/3</f>
        <v>0</v>
      </c>
    </row>
    <row r="741" spans="1:15" ht="27.6">
      <c r="A741" s="8" t="s">
        <v>714</v>
      </c>
      <c r="B741" s="8">
        <v>72661</v>
      </c>
      <c r="D741" s="29"/>
      <c r="E741" s="1">
        <v>0</v>
      </c>
      <c r="F741" s="8">
        <v>6</v>
      </c>
      <c r="G741" s="30">
        <f t="shared" si="36"/>
        <v>2</v>
      </c>
      <c r="H741" s="8">
        <f t="shared" si="38"/>
        <v>4</v>
      </c>
      <c r="I741">
        <f t="shared" si="37"/>
        <v>4</v>
      </c>
      <c r="J741">
        <f>SUMIF(Oeffentlichkeitsarbeit!$D:$D,$B741,Oeffentlichkeitsarbeit!$F:$F)</f>
        <v>4</v>
      </c>
      <c r="K741">
        <f>COUNTIF(Fairteiler!$D:$D,$B741)*1/2</f>
        <v>0</v>
      </c>
      <c r="L741">
        <f>COUNTIF('NP-Betrieb'!D:D,$B741)*1/3</f>
        <v>0</v>
      </c>
      <c r="M741">
        <f>COUNTIF(Fairteilungen!$D:$D,$B741)*3/4</f>
        <v>0</v>
      </c>
      <c r="N741">
        <f>COUNTIF(Anlieferung!D:D,$B741)*1/2</f>
        <v>0</v>
      </c>
      <c r="O741">
        <f>COUNTIF(Probeabholungen!B:B,$B741)*1/3</f>
        <v>0</v>
      </c>
    </row>
    <row r="742" spans="1:15" ht="27.6">
      <c r="A742" s="15" t="s">
        <v>715</v>
      </c>
      <c r="B742" s="15">
        <v>586919</v>
      </c>
      <c r="C742" s="15" t="s">
        <v>833</v>
      </c>
      <c r="D742" s="34"/>
      <c r="E742" s="1">
        <v>0</v>
      </c>
      <c r="F742" s="15">
        <v>0</v>
      </c>
      <c r="G742" s="35">
        <f t="shared" si="36"/>
        <v>-2.6666666666666665</v>
      </c>
      <c r="H742" s="15">
        <f t="shared" si="38"/>
        <v>2.6666666666666665</v>
      </c>
      <c r="I742" s="36">
        <f t="shared" si="37"/>
        <v>2.6666666666666665</v>
      </c>
      <c r="J742" s="36">
        <f>SUMIF(Oeffentlichkeitsarbeit!$D:$D,$B742,Oeffentlichkeitsarbeit!$F:$F)</f>
        <v>0</v>
      </c>
      <c r="K742" s="36">
        <f>COUNTIF(Fairteiler!$D:$D,$B742)*1/2</f>
        <v>0</v>
      </c>
      <c r="L742" s="36">
        <f>COUNTIF('NP-Betrieb'!D:D,$B742)*1/3</f>
        <v>2.6666666666666665</v>
      </c>
      <c r="M742" s="36">
        <f>COUNTIF(Fairteilungen!$D:$D,$B742)*3/4</f>
        <v>0</v>
      </c>
      <c r="N742" s="36">
        <f>COUNTIF(Anlieferung!D:D,$B742)*1/2</f>
        <v>0</v>
      </c>
      <c r="O742" s="36">
        <f>COUNTIF(Probeabholungen!B:B,$B742)*1/3</f>
        <v>0</v>
      </c>
    </row>
    <row r="743" spans="1:15" ht="27.6">
      <c r="A743" s="8" t="s">
        <v>716</v>
      </c>
      <c r="B743" s="8">
        <v>797441</v>
      </c>
      <c r="D743" s="24">
        <v>45845</v>
      </c>
      <c r="E743" s="1">
        <v>1.6666666666666701</v>
      </c>
      <c r="F743">
        <v>6</v>
      </c>
      <c r="G743" s="25">
        <f t="shared" si="36"/>
        <v>7.3333333333333366</v>
      </c>
      <c r="H743" s="8">
        <f t="shared" si="38"/>
        <v>-1.3333333333333368</v>
      </c>
      <c r="I743">
        <f t="shared" si="37"/>
        <v>0.33333333333333331</v>
      </c>
      <c r="J743">
        <f>SUMIF(Oeffentlichkeitsarbeit!$D:$D,$B743,Oeffentlichkeitsarbeit!$F:$F)</f>
        <v>0</v>
      </c>
      <c r="K743">
        <f>COUNTIF(Fairteiler!$D:$D,$B743)*1/2</f>
        <v>0</v>
      </c>
      <c r="L743">
        <f>COUNTIF('NP-Betrieb'!D:D,$B743)*1/3</f>
        <v>0.33333333333333331</v>
      </c>
      <c r="M743">
        <f>COUNTIF(Fairteilungen!$D:$D,$B743)*3/4</f>
        <v>0</v>
      </c>
      <c r="N743">
        <f>COUNTIF(Anlieferung!D:D,$B743)*1/2</f>
        <v>0</v>
      </c>
      <c r="O743">
        <f>COUNTIF(Probeabholungen!B:B,$B743)*1/3</f>
        <v>0</v>
      </c>
    </row>
    <row r="744" spans="1:15" ht="27.6">
      <c r="A744" s="8" t="s">
        <v>717</v>
      </c>
      <c r="B744" s="8">
        <v>711761</v>
      </c>
      <c r="D744" s="29">
        <v>45253</v>
      </c>
      <c r="E744" s="1">
        <v>6</v>
      </c>
      <c r="F744" s="8">
        <v>6</v>
      </c>
      <c r="G744" s="30">
        <f t="shared" si="36"/>
        <v>12</v>
      </c>
      <c r="H744" s="8">
        <f t="shared" si="38"/>
        <v>-6</v>
      </c>
      <c r="I744">
        <f t="shared" si="37"/>
        <v>0</v>
      </c>
      <c r="J744">
        <f>SUMIF(Oeffentlichkeitsarbeit!$D:$D,$B744,Oeffentlichkeitsarbeit!$F:$F)</f>
        <v>0</v>
      </c>
      <c r="K744">
        <f>COUNTIF(Fairteiler!$D:$D,$B744)*1/2</f>
        <v>0</v>
      </c>
      <c r="L744">
        <f>COUNTIF('NP-Betrieb'!D:D,$B744)*1/3</f>
        <v>0</v>
      </c>
      <c r="M744">
        <f>COUNTIF(Fairteilungen!$D:$D,$B744)*3/4</f>
        <v>0</v>
      </c>
      <c r="N744">
        <f>COUNTIF(Anlieferung!D:D,$B744)*1/2</f>
        <v>0</v>
      </c>
      <c r="O744">
        <f>COUNTIF(Probeabholungen!B:B,$B744)*1/3</f>
        <v>0</v>
      </c>
    </row>
    <row r="745" spans="1:15" ht="27.6">
      <c r="A745" s="8" t="s">
        <v>718</v>
      </c>
      <c r="B745" s="8">
        <v>815694</v>
      </c>
      <c r="D745" s="24">
        <v>45563</v>
      </c>
      <c r="E745" s="1">
        <v>0</v>
      </c>
      <c r="F745" s="8">
        <v>6</v>
      </c>
      <c r="G745" s="30">
        <f t="shared" si="36"/>
        <v>4.333333333333333</v>
      </c>
      <c r="H745" s="8">
        <f t="shared" si="38"/>
        <v>1.6666666666666667</v>
      </c>
      <c r="I745">
        <f t="shared" si="37"/>
        <v>1.6666666666666667</v>
      </c>
      <c r="J745">
        <f>SUMIF(Oeffentlichkeitsarbeit!$D:$D,$B745,Oeffentlichkeitsarbeit!$F:$F)</f>
        <v>0</v>
      </c>
      <c r="K745">
        <f>COUNTIF(Fairteiler!$D:$D,$B745)*1/2</f>
        <v>0</v>
      </c>
      <c r="L745">
        <f>COUNTIF('NP-Betrieb'!D:D,$B745)*1/3</f>
        <v>1.6666666666666667</v>
      </c>
      <c r="M745">
        <f>COUNTIF(Fairteilungen!$D:$D,$B745)*3/4</f>
        <v>0</v>
      </c>
      <c r="N745">
        <f>COUNTIF(Anlieferung!D:D,$B745)*1/2</f>
        <v>0</v>
      </c>
      <c r="O745">
        <f>COUNTIF(Probeabholungen!B:B,$B745)*1/3</f>
        <v>0</v>
      </c>
    </row>
    <row r="746" spans="1:15" ht="27.6">
      <c r="A746" s="8" t="s">
        <v>719</v>
      </c>
      <c r="B746" s="8">
        <v>131987</v>
      </c>
      <c r="D746" s="29"/>
      <c r="E746" s="1">
        <v>5.6666666666666696</v>
      </c>
      <c r="F746" s="8">
        <v>6</v>
      </c>
      <c r="G746" s="30">
        <f t="shared" si="36"/>
        <v>11.333333333333336</v>
      </c>
      <c r="H746" s="8">
        <f t="shared" si="38"/>
        <v>-5.3333333333333366</v>
      </c>
      <c r="I746">
        <f t="shared" si="37"/>
        <v>0.33333333333333331</v>
      </c>
      <c r="J746">
        <f>SUMIF(Oeffentlichkeitsarbeit!$D:$D,$B746,Oeffentlichkeitsarbeit!$F:$F)</f>
        <v>0</v>
      </c>
      <c r="K746">
        <f>COUNTIF(Fairteiler!$D:$D,$B746)*1/2</f>
        <v>0</v>
      </c>
      <c r="L746">
        <f>COUNTIF('NP-Betrieb'!D:D,$B746)*1/3</f>
        <v>0.33333333333333331</v>
      </c>
      <c r="M746">
        <f>COUNTIF(Fairteilungen!$D:$D,$B746)*3/4</f>
        <v>0</v>
      </c>
      <c r="N746">
        <f>COUNTIF(Anlieferung!D:D,$B746)*1/2</f>
        <v>0</v>
      </c>
      <c r="O746">
        <f>COUNTIF(Probeabholungen!B:B,$B746)*1/3</f>
        <v>0</v>
      </c>
    </row>
    <row r="747" spans="1:15" ht="27.6">
      <c r="A747" s="8" t="s">
        <v>720</v>
      </c>
      <c r="B747" s="8">
        <v>482309</v>
      </c>
      <c r="D747" s="29"/>
      <c r="E747" s="1">
        <v>11</v>
      </c>
      <c r="F747" s="8">
        <v>6</v>
      </c>
      <c r="G747" s="30">
        <f t="shared" si="36"/>
        <v>17</v>
      </c>
      <c r="H747" s="8">
        <f t="shared" si="38"/>
        <v>-11</v>
      </c>
      <c r="I747">
        <f t="shared" si="37"/>
        <v>0</v>
      </c>
      <c r="J747">
        <f>SUMIF(Oeffentlichkeitsarbeit!$D:$D,$B747,Oeffentlichkeitsarbeit!$F:$F)</f>
        <v>0</v>
      </c>
      <c r="K747">
        <f>COUNTIF(Fairteiler!$D:$D,$B747)*1/2</f>
        <v>0</v>
      </c>
      <c r="L747">
        <f>COUNTIF('NP-Betrieb'!D:D,$B747)*1/3</f>
        <v>0</v>
      </c>
      <c r="M747">
        <f>COUNTIF(Fairteilungen!$D:$D,$B747)*3/4</f>
        <v>0</v>
      </c>
      <c r="N747">
        <f>COUNTIF(Anlieferung!D:D,$B747)*1/2</f>
        <v>0</v>
      </c>
      <c r="O747">
        <f>COUNTIF(Probeabholungen!B:B,$B747)*1/3</f>
        <v>0</v>
      </c>
    </row>
    <row r="748" spans="1:15">
      <c r="A748" s="8" t="s">
        <v>876</v>
      </c>
      <c r="B748" s="8">
        <v>969974</v>
      </c>
      <c r="D748" s="24">
        <v>46087</v>
      </c>
      <c r="E748">
        <v>0</v>
      </c>
      <c r="F748">
        <v>5</v>
      </c>
      <c r="G748" s="30">
        <f t="shared" si="36"/>
        <v>5</v>
      </c>
      <c r="H748" s="8">
        <f t="shared" si="38"/>
        <v>0</v>
      </c>
      <c r="I748">
        <f t="shared" si="37"/>
        <v>0</v>
      </c>
      <c r="J748">
        <f>SUMIF(Oeffentlichkeitsarbeit!$D:$D,$B748,Oeffentlichkeitsarbeit!$F:$F)</f>
        <v>0</v>
      </c>
      <c r="K748">
        <f>COUNTIF(Fairteiler!$D:$D,$B748)*1/2</f>
        <v>0</v>
      </c>
      <c r="L748">
        <f>COUNTIF('NP-Betrieb'!D:D,$B748)*1/3</f>
        <v>0</v>
      </c>
      <c r="M748">
        <f>COUNTIF(Fairteilungen!$D:$D,$B748)*3/4</f>
        <v>0</v>
      </c>
      <c r="N748">
        <f>COUNTIF(Anlieferung!D:D,$B748)*1/2</f>
        <v>0</v>
      </c>
      <c r="O748">
        <f>COUNTIF(Probeabholungen!B:B,$B748)*1/3</f>
        <v>0</v>
      </c>
    </row>
    <row r="749" spans="1:15" ht="27.6">
      <c r="A749" s="14" t="s">
        <v>721</v>
      </c>
      <c r="B749" s="14">
        <v>188883</v>
      </c>
      <c r="C749" s="14" t="s">
        <v>839</v>
      </c>
      <c r="D749" s="29"/>
      <c r="E749" s="1">
        <v>0</v>
      </c>
      <c r="F749" s="14">
        <v>0</v>
      </c>
      <c r="G749" s="30">
        <f t="shared" si="36"/>
        <v>-0.66666666666666663</v>
      </c>
      <c r="H749" s="14">
        <f t="shared" si="38"/>
        <v>0.66666666666666663</v>
      </c>
      <c r="I749" s="11">
        <f t="shared" si="37"/>
        <v>0.66666666666666663</v>
      </c>
      <c r="J749" s="11">
        <f>SUMIF(Oeffentlichkeitsarbeit!$D:$D,$B749,Oeffentlichkeitsarbeit!$F:$F)</f>
        <v>0</v>
      </c>
      <c r="K749" s="11">
        <f>COUNTIF(Fairteiler!$D:$D,$B749)*1/2</f>
        <v>0</v>
      </c>
      <c r="L749" s="11">
        <f>COUNTIF('NP-Betrieb'!D:D,$B749)*1/3</f>
        <v>0.66666666666666663</v>
      </c>
      <c r="M749" s="11">
        <f>COUNTIF(Fairteilungen!$D:$D,$B749)*3/4</f>
        <v>0</v>
      </c>
      <c r="N749" s="11">
        <f>COUNTIF(Anlieferung!D:D,$B749)*1/2</f>
        <v>0</v>
      </c>
      <c r="O749" s="11">
        <f>COUNTIF(Probeabholungen!B:B,$B749)*1/3</f>
        <v>0</v>
      </c>
    </row>
    <row r="750" spans="1:15">
      <c r="A750" t="s">
        <v>722</v>
      </c>
      <c r="B750">
        <v>666613</v>
      </c>
      <c r="D750" s="24">
        <v>45427</v>
      </c>
      <c r="E750" s="1">
        <v>9.1666666666666696</v>
      </c>
      <c r="F750" s="8">
        <v>6</v>
      </c>
      <c r="G750" s="30">
        <f t="shared" si="36"/>
        <v>15.16666666666667</v>
      </c>
      <c r="H750" s="8">
        <f t="shared" si="38"/>
        <v>-9.1666666666666696</v>
      </c>
      <c r="I750">
        <f t="shared" si="37"/>
        <v>0</v>
      </c>
      <c r="J750">
        <f>SUMIF(Oeffentlichkeitsarbeit!$D:$D,$B750,Oeffentlichkeitsarbeit!$F:$F)</f>
        <v>0</v>
      </c>
      <c r="K750">
        <f>COUNTIF(Fairteiler!$D:$D,$B750)*1/2</f>
        <v>0</v>
      </c>
      <c r="L750">
        <f>COUNTIF('NP-Betrieb'!D:D,$B750)*1/3</f>
        <v>0</v>
      </c>
      <c r="M750">
        <f>COUNTIF(Fairteilungen!$D:$D,$B750)*3/4</f>
        <v>0</v>
      </c>
      <c r="N750">
        <f>COUNTIF(Anlieferung!D:D,$B750)*1/2</f>
        <v>0</v>
      </c>
      <c r="O750">
        <f>COUNTIF(Probeabholungen!B:B,$B750)*1/3</f>
        <v>0</v>
      </c>
    </row>
    <row r="751" spans="1:15">
      <c r="A751" s="8" t="s">
        <v>723</v>
      </c>
      <c r="B751" s="8">
        <v>574877</v>
      </c>
      <c r="D751" s="29"/>
      <c r="E751" s="1">
        <v>14.6733333333333</v>
      </c>
      <c r="F751" s="8">
        <v>6</v>
      </c>
      <c r="G751" s="30">
        <f t="shared" si="36"/>
        <v>20.6733333333333</v>
      </c>
      <c r="H751" s="8">
        <f t="shared" si="38"/>
        <v>-14.6733333333333</v>
      </c>
      <c r="I751">
        <f t="shared" si="37"/>
        <v>0</v>
      </c>
      <c r="J751">
        <f>SUMIF(Oeffentlichkeitsarbeit!$D:$D,$B751,Oeffentlichkeitsarbeit!$F:$F)</f>
        <v>0</v>
      </c>
      <c r="K751">
        <f>COUNTIF(Fairteiler!$D:$D,$B751)*1/2</f>
        <v>0</v>
      </c>
      <c r="L751">
        <f>COUNTIF('NP-Betrieb'!D:D,$B751)*1/3</f>
        <v>0</v>
      </c>
      <c r="M751">
        <f>COUNTIF(Fairteilungen!$D:$D,$B751)*3/4</f>
        <v>0</v>
      </c>
      <c r="N751">
        <f>COUNTIF(Anlieferung!D:D,$B751)*1/2</f>
        <v>0</v>
      </c>
      <c r="O751">
        <f>COUNTIF(Probeabholungen!B:B,$B751)*1/3</f>
        <v>0</v>
      </c>
    </row>
    <row r="752" spans="1:15" ht="27.6">
      <c r="A752" s="8" t="s">
        <v>724</v>
      </c>
      <c r="B752" s="8">
        <v>768569</v>
      </c>
      <c r="D752" s="24">
        <v>45771</v>
      </c>
      <c r="E752" s="1">
        <v>4</v>
      </c>
      <c r="F752">
        <v>6</v>
      </c>
      <c r="G752" s="30">
        <f t="shared" si="36"/>
        <v>10</v>
      </c>
      <c r="H752" s="8">
        <f t="shared" si="38"/>
        <v>-4</v>
      </c>
      <c r="I752">
        <f t="shared" si="37"/>
        <v>0</v>
      </c>
      <c r="J752">
        <f>SUMIF(Oeffentlichkeitsarbeit!$D:$D,$B752,Oeffentlichkeitsarbeit!$F:$F)</f>
        <v>0</v>
      </c>
      <c r="K752">
        <f>COUNTIF(Fairteiler!$D:$D,$B752)*1/2</f>
        <v>0</v>
      </c>
      <c r="L752">
        <f>COUNTIF('NP-Betrieb'!D:D,$B752)*1/3</f>
        <v>0</v>
      </c>
      <c r="M752">
        <f>COUNTIF(Fairteilungen!$D:$D,$B752)*3/4</f>
        <v>0</v>
      </c>
      <c r="N752">
        <f>COUNTIF(Anlieferung!D:D,$B752)*1/2</f>
        <v>0</v>
      </c>
      <c r="O752">
        <f>COUNTIF(Probeabholungen!B:B,$B752)*1/3</f>
        <v>0</v>
      </c>
    </row>
    <row r="753" spans="1:1024" s="18" customFormat="1">
      <c r="A753" t="s">
        <v>725</v>
      </c>
      <c r="B753">
        <v>887315</v>
      </c>
      <c r="C753"/>
      <c r="D753" s="24">
        <v>45698</v>
      </c>
      <c r="E753" s="1">
        <v>0</v>
      </c>
      <c r="F753" s="8">
        <v>6</v>
      </c>
      <c r="G753" s="30">
        <f t="shared" si="36"/>
        <v>1</v>
      </c>
      <c r="H753" s="8">
        <f t="shared" si="38"/>
        <v>5</v>
      </c>
      <c r="I753">
        <f t="shared" si="37"/>
        <v>5</v>
      </c>
      <c r="J753">
        <f>SUMIF(Oeffentlichkeitsarbeit!$D:$D,$B753,Oeffentlichkeitsarbeit!$F:$F)</f>
        <v>0</v>
      </c>
      <c r="K753">
        <f>COUNTIF(Fairteiler!$D:$D,$B753)*1/2</f>
        <v>0</v>
      </c>
      <c r="L753">
        <f>COUNTIF('NP-Betrieb'!D:D,$B753)*1/3</f>
        <v>5</v>
      </c>
      <c r="M753">
        <f>COUNTIF(Fairteilungen!$D:$D,$B753)*3/4</f>
        <v>0</v>
      </c>
      <c r="N753">
        <f>COUNTIF(Anlieferung!D:D,$B753)*1/2</f>
        <v>0</v>
      </c>
      <c r="O753">
        <f>COUNTIF(Probeabholungen!B:B,$B753)*1/3</f>
        <v>0</v>
      </c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  <c r="BA753"/>
      <c r="BB753"/>
      <c r="BC753"/>
      <c r="BD753"/>
      <c r="BE753"/>
      <c r="BF753"/>
      <c r="BG753"/>
      <c r="BH753"/>
      <c r="BI753"/>
      <c r="BJ753"/>
      <c r="BK753"/>
      <c r="BL753"/>
      <c r="BM753"/>
      <c r="BN753"/>
      <c r="BO753"/>
      <c r="BP753"/>
      <c r="BQ753"/>
      <c r="BR753"/>
      <c r="BS753"/>
      <c r="BT753"/>
      <c r="BU753"/>
      <c r="BV753"/>
      <c r="BW753"/>
      <c r="BX753"/>
      <c r="BY753"/>
      <c r="BZ753"/>
      <c r="CA753"/>
      <c r="CB753"/>
      <c r="CC753"/>
      <c r="CD753"/>
      <c r="CE753"/>
      <c r="CF753"/>
      <c r="CG753"/>
      <c r="CH753"/>
      <c r="CI753"/>
      <c r="CJ753"/>
      <c r="CK753"/>
      <c r="CL753"/>
      <c r="CM753"/>
      <c r="CN753"/>
      <c r="CO753"/>
      <c r="CP753"/>
      <c r="CQ753"/>
      <c r="CR753"/>
      <c r="CS753"/>
      <c r="CT753"/>
      <c r="CU753"/>
      <c r="CV753"/>
      <c r="CW753"/>
      <c r="CX753"/>
      <c r="CY753"/>
      <c r="CZ753"/>
      <c r="DA753"/>
      <c r="DB753"/>
      <c r="DC753"/>
      <c r="DD753"/>
      <c r="DE753"/>
      <c r="DF753"/>
      <c r="DG753"/>
      <c r="DH753"/>
      <c r="DI753"/>
      <c r="DJ753"/>
      <c r="DK753"/>
      <c r="DL753"/>
      <c r="DM753"/>
      <c r="DN753"/>
      <c r="DO753"/>
      <c r="DP753"/>
      <c r="DQ753"/>
      <c r="DR753"/>
      <c r="DS753"/>
      <c r="DT753"/>
      <c r="DU753"/>
      <c r="DV753"/>
      <c r="DW753"/>
      <c r="DX753"/>
      <c r="DY753"/>
      <c r="DZ753"/>
      <c r="EA753"/>
      <c r="EB753"/>
      <c r="EC753"/>
      <c r="ED753"/>
      <c r="EE753"/>
      <c r="EF753"/>
      <c r="EG753"/>
      <c r="EH753"/>
      <c r="EI753"/>
      <c r="EJ753"/>
      <c r="EK753"/>
      <c r="EL753"/>
      <c r="EM753"/>
      <c r="EN753"/>
      <c r="EO753"/>
      <c r="EP753"/>
      <c r="EQ753"/>
      <c r="ER753"/>
      <c r="ES753"/>
      <c r="ET753"/>
      <c r="EU753"/>
      <c r="EV753"/>
      <c r="EW753"/>
      <c r="EX753"/>
      <c r="EY753"/>
      <c r="EZ753"/>
      <c r="FA753"/>
      <c r="FB753"/>
      <c r="FC753"/>
      <c r="FD753"/>
      <c r="FE753"/>
      <c r="FF753"/>
      <c r="FG753"/>
      <c r="FH753"/>
      <c r="FI753"/>
      <c r="FJ753"/>
      <c r="FK753"/>
      <c r="FL753"/>
      <c r="FM753"/>
      <c r="FN753"/>
      <c r="FO753"/>
      <c r="FP753"/>
      <c r="FQ753"/>
      <c r="FR753"/>
      <c r="FS753"/>
      <c r="FT753"/>
      <c r="FU753"/>
      <c r="FV753"/>
      <c r="FW753"/>
      <c r="FX753"/>
      <c r="FY753"/>
      <c r="FZ753"/>
      <c r="GA753"/>
      <c r="GB753"/>
      <c r="GC753"/>
      <c r="GD753"/>
      <c r="GE753"/>
      <c r="GF753"/>
      <c r="GG753"/>
      <c r="GH753"/>
      <c r="GI753"/>
      <c r="GJ753"/>
      <c r="GK753"/>
      <c r="GL753"/>
      <c r="GM753"/>
      <c r="GN753"/>
      <c r="GO753"/>
      <c r="GP753"/>
      <c r="GQ753"/>
      <c r="GR753"/>
      <c r="GS753"/>
      <c r="GT753"/>
      <c r="GU753"/>
      <c r="GV753"/>
      <c r="GW753"/>
      <c r="GX753"/>
      <c r="GY753"/>
      <c r="GZ753"/>
      <c r="HA753"/>
      <c r="HB753"/>
      <c r="HC753"/>
      <c r="HD753"/>
      <c r="HE753"/>
      <c r="HF753"/>
      <c r="HG753"/>
      <c r="HH753"/>
      <c r="HI753"/>
      <c r="HJ753"/>
      <c r="HK753"/>
      <c r="HL753"/>
      <c r="HM753"/>
      <c r="HN753"/>
      <c r="HO753"/>
      <c r="HP753"/>
      <c r="HQ753"/>
      <c r="HR753"/>
      <c r="HS753"/>
      <c r="HT753"/>
      <c r="HU753"/>
      <c r="HV753"/>
      <c r="HW753"/>
      <c r="HX753"/>
      <c r="HY753"/>
      <c r="HZ753"/>
      <c r="IA753"/>
      <c r="IB753"/>
      <c r="IC753"/>
      <c r="ID753"/>
      <c r="IE753"/>
      <c r="IF753"/>
      <c r="IG753"/>
      <c r="IH753"/>
      <c r="II753"/>
      <c r="IJ753"/>
      <c r="IK753"/>
      <c r="IL753"/>
      <c r="IM753"/>
      <c r="IN753"/>
      <c r="IO753"/>
      <c r="IP753"/>
      <c r="IQ753"/>
      <c r="IR753"/>
      <c r="IS753"/>
      <c r="IT753"/>
      <c r="IU753"/>
      <c r="IV753"/>
      <c r="IW753"/>
      <c r="IX753"/>
      <c r="IY753"/>
      <c r="IZ753"/>
      <c r="JA753"/>
      <c r="JB753"/>
      <c r="JC753"/>
      <c r="JD753"/>
      <c r="JE753"/>
      <c r="JF753"/>
      <c r="JG753"/>
      <c r="JH753"/>
      <c r="JI753"/>
      <c r="JJ753"/>
      <c r="JK753"/>
      <c r="JL753"/>
      <c r="JM753"/>
      <c r="JN753"/>
      <c r="JO753"/>
      <c r="JP753"/>
      <c r="JQ753"/>
      <c r="JR753"/>
      <c r="JS753"/>
      <c r="JT753"/>
      <c r="JU753"/>
      <c r="JV753"/>
      <c r="JW753"/>
      <c r="JX753"/>
      <c r="JY753"/>
      <c r="JZ753"/>
      <c r="KA753"/>
      <c r="KB753"/>
      <c r="KC753"/>
      <c r="KD753"/>
      <c r="KE753"/>
      <c r="KF753"/>
      <c r="KG753"/>
      <c r="KH753"/>
      <c r="KI753"/>
      <c r="KJ753"/>
      <c r="KK753"/>
      <c r="KL753"/>
      <c r="KM753"/>
      <c r="KN753"/>
      <c r="KO753"/>
      <c r="KP753"/>
      <c r="KQ753"/>
      <c r="KR753"/>
      <c r="KS753"/>
      <c r="KT753"/>
      <c r="KU753"/>
      <c r="KV753"/>
      <c r="KW753"/>
      <c r="KX753"/>
      <c r="KY753"/>
      <c r="KZ753"/>
      <c r="LA753"/>
      <c r="LB753"/>
      <c r="LC753"/>
      <c r="LD753"/>
      <c r="LE753"/>
      <c r="LF753"/>
      <c r="LG753"/>
      <c r="LH753"/>
      <c r="LI753"/>
      <c r="LJ753"/>
      <c r="LK753"/>
      <c r="LL753"/>
      <c r="LM753"/>
      <c r="LN753"/>
      <c r="LO753"/>
      <c r="LP753"/>
      <c r="LQ753"/>
      <c r="LR753"/>
      <c r="LS753"/>
      <c r="LT753"/>
      <c r="LU753"/>
      <c r="LV753"/>
      <c r="LW753"/>
      <c r="LX753"/>
      <c r="LY753"/>
      <c r="LZ753"/>
      <c r="MA753"/>
      <c r="MB753"/>
      <c r="MC753"/>
      <c r="MD753"/>
      <c r="ME753"/>
      <c r="MF753"/>
      <c r="MG753"/>
      <c r="MH753"/>
      <c r="MI753"/>
      <c r="MJ753"/>
      <c r="MK753"/>
      <c r="ML753"/>
      <c r="MM753"/>
      <c r="MN753"/>
      <c r="MO753"/>
      <c r="MP753"/>
      <c r="MQ753"/>
      <c r="MR753"/>
      <c r="MS753"/>
      <c r="MT753"/>
      <c r="MU753"/>
      <c r="MV753"/>
      <c r="MW753"/>
      <c r="MX753"/>
      <c r="MY753"/>
      <c r="MZ753"/>
      <c r="NA753"/>
      <c r="NB753"/>
      <c r="NC753"/>
      <c r="ND753"/>
      <c r="NE753"/>
      <c r="NF753"/>
      <c r="NG753"/>
      <c r="NH753"/>
      <c r="NI753"/>
      <c r="NJ753"/>
      <c r="NK753"/>
      <c r="NL753"/>
      <c r="NM753"/>
      <c r="NN753"/>
      <c r="NO753"/>
      <c r="NP753"/>
      <c r="NQ753"/>
      <c r="NR753"/>
      <c r="NS753"/>
      <c r="NT753"/>
      <c r="NU753"/>
      <c r="NV753"/>
      <c r="NW753"/>
      <c r="NX753"/>
      <c r="NY753"/>
      <c r="NZ753"/>
      <c r="OA753"/>
      <c r="OB753"/>
      <c r="OC753"/>
      <c r="OD753"/>
      <c r="OE753"/>
      <c r="OF753"/>
      <c r="OG753"/>
      <c r="OH753"/>
      <c r="OI753"/>
      <c r="OJ753"/>
      <c r="OK753"/>
      <c r="OL753"/>
      <c r="OM753"/>
      <c r="ON753"/>
      <c r="OO753"/>
      <c r="OP753"/>
      <c r="OQ753"/>
      <c r="OR753"/>
      <c r="OS753"/>
      <c r="OT753"/>
      <c r="OU753"/>
      <c r="OV753"/>
      <c r="OW753"/>
      <c r="OX753"/>
      <c r="OY753"/>
      <c r="OZ753"/>
      <c r="PA753"/>
      <c r="PB753"/>
      <c r="PC753"/>
      <c r="PD753"/>
      <c r="PE753"/>
      <c r="PF753"/>
      <c r="PG753"/>
      <c r="PH753"/>
      <c r="PI753"/>
      <c r="PJ753"/>
      <c r="PK753"/>
      <c r="PL753"/>
      <c r="PM753"/>
      <c r="PN753"/>
      <c r="PO753"/>
      <c r="PP753"/>
      <c r="PQ753"/>
      <c r="PR753"/>
      <c r="PS753"/>
      <c r="PT753"/>
      <c r="PU753"/>
      <c r="PV753"/>
      <c r="PW753"/>
      <c r="PX753"/>
      <c r="PY753"/>
      <c r="PZ753"/>
      <c r="QA753"/>
      <c r="QB753"/>
      <c r="QC753"/>
      <c r="QD753"/>
      <c r="QE753"/>
      <c r="QF753"/>
      <c r="QG753"/>
      <c r="QH753"/>
      <c r="QI753"/>
      <c r="QJ753"/>
      <c r="QK753"/>
      <c r="QL753"/>
      <c r="QM753"/>
      <c r="QN753"/>
      <c r="QO753"/>
      <c r="QP753"/>
      <c r="QQ753"/>
      <c r="QR753"/>
      <c r="QS753"/>
      <c r="QT753"/>
      <c r="QU753"/>
      <c r="QV753"/>
      <c r="QW753"/>
      <c r="QX753"/>
      <c r="QY753"/>
      <c r="QZ753"/>
      <c r="RA753"/>
      <c r="RB753"/>
      <c r="RC753"/>
      <c r="RD753"/>
      <c r="RE753"/>
      <c r="RF753"/>
      <c r="RG753"/>
      <c r="RH753"/>
      <c r="RI753"/>
      <c r="RJ753"/>
      <c r="RK753"/>
      <c r="RL753"/>
      <c r="RM753"/>
      <c r="RN753"/>
      <c r="RO753"/>
      <c r="RP753"/>
      <c r="RQ753"/>
      <c r="RR753"/>
      <c r="RS753"/>
      <c r="RT753"/>
      <c r="RU753"/>
      <c r="RV753"/>
      <c r="RW753"/>
      <c r="RX753"/>
      <c r="RY753"/>
      <c r="RZ753"/>
      <c r="SA753"/>
      <c r="SB753"/>
      <c r="SC753"/>
      <c r="SD753"/>
      <c r="SE753"/>
      <c r="SF753"/>
      <c r="SG753"/>
      <c r="SH753"/>
      <c r="SI753"/>
      <c r="SJ753"/>
      <c r="SK753"/>
      <c r="SL753"/>
      <c r="SM753"/>
      <c r="SN753"/>
      <c r="SO753"/>
      <c r="SP753"/>
      <c r="SQ753"/>
      <c r="SR753"/>
      <c r="SS753"/>
      <c r="ST753"/>
      <c r="SU753"/>
      <c r="SV753"/>
      <c r="SW753"/>
      <c r="SX753"/>
      <c r="SY753"/>
      <c r="SZ753"/>
      <c r="TA753"/>
      <c r="TB753"/>
      <c r="TC753"/>
      <c r="TD753"/>
      <c r="TE753"/>
      <c r="TF753"/>
      <c r="TG753"/>
      <c r="TH753"/>
      <c r="TI753"/>
      <c r="TJ753"/>
      <c r="TK753"/>
      <c r="TL753"/>
      <c r="TM753"/>
      <c r="TN753"/>
      <c r="TO753"/>
      <c r="TP753"/>
      <c r="TQ753"/>
      <c r="TR753"/>
      <c r="TS753"/>
      <c r="TT753"/>
      <c r="TU753"/>
      <c r="TV753"/>
      <c r="TW753"/>
      <c r="TX753"/>
      <c r="TY753"/>
      <c r="TZ753"/>
      <c r="UA753"/>
      <c r="UB753"/>
      <c r="UC753"/>
      <c r="UD753"/>
      <c r="UE753"/>
      <c r="UF753"/>
      <c r="UG753"/>
      <c r="UH753"/>
      <c r="UI753"/>
      <c r="UJ753"/>
      <c r="UK753"/>
      <c r="UL753"/>
      <c r="UM753"/>
      <c r="UN753"/>
      <c r="UO753"/>
      <c r="UP753"/>
      <c r="UQ753"/>
      <c r="UR753"/>
      <c r="US753"/>
      <c r="UT753"/>
      <c r="UU753"/>
      <c r="UV753"/>
      <c r="UW753"/>
      <c r="UX753"/>
      <c r="UY753"/>
      <c r="UZ753"/>
      <c r="VA753"/>
      <c r="VB753"/>
      <c r="VC753"/>
      <c r="VD753"/>
      <c r="VE753"/>
      <c r="VF753"/>
      <c r="VG753"/>
      <c r="VH753"/>
      <c r="VI753"/>
      <c r="VJ753"/>
      <c r="VK753"/>
      <c r="VL753"/>
      <c r="VM753"/>
      <c r="VN753"/>
      <c r="VO753"/>
      <c r="VP753"/>
      <c r="VQ753"/>
      <c r="VR753"/>
      <c r="VS753"/>
      <c r="VT753"/>
      <c r="VU753"/>
      <c r="VV753"/>
      <c r="VW753"/>
      <c r="VX753"/>
      <c r="VY753"/>
      <c r="VZ753"/>
      <c r="WA753"/>
      <c r="WB753"/>
      <c r="WC753"/>
      <c r="WD753"/>
      <c r="WE753"/>
      <c r="WF753"/>
      <c r="WG753"/>
      <c r="WH753"/>
      <c r="WI753"/>
      <c r="WJ753"/>
      <c r="WK753"/>
      <c r="WL753"/>
      <c r="WM753"/>
      <c r="WN753"/>
      <c r="WO753"/>
      <c r="WP753"/>
      <c r="WQ753"/>
      <c r="WR753"/>
      <c r="WS753"/>
      <c r="WT753"/>
      <c r="WU753"/>
      <c r="WV753"/>
      <c r="WW753"/>
      <c r="WX753"/>
      <c r="WY753"/>
      <c r="WZ753"/>
      <c r="XA753"/>
      <c r="XB753"/>
      <c r="XC753"/>
      <c r="XD753"/>
      <c r="XE753"/>
      <c r="XF753"/>
      <c r="XG753"/>
      <c r="XH753"/>
      <c r="XI753"/>
      <c r="XJ753"/>
      <c r="XK753"/>
      <c r="XL753"/>
      <c r="XM753"/>
      <c r="XN753"/>
      <c r="XO753"/>
      <c r="XP753"/>
      <c r="XQ753"/>
      <c r="XR753"/>
      <c r="XS753"/>
      <c r="XT753"/>
      <c r="XU753"/>
      <c r="XV753"/>
      <c r="XW753"/>
      <c r="XX753"/>
      <c r="XY753"/>
      <c r="XZ753"/>
      <c r="YA753"/>
      <c r="YB753"/>
      <c r="YC753"/>
      <c r="YD753"/>
      <c r="YE753"/>
      <c r="YF753"/>
      <c r="YG753"/>
      <c r="YH753"/>
      <c r="YI753"/>
      <c r="YJ753"/>
      <c r="YK753"/>
      <c r="YL753"/>
      <c r="YM753"/>
      <c r="YN753"/>
      <c r="YO753"/>
      <c r="YP753"/>
      <c r="YQ753"/>
      <c r="YR753"/>
      <c r="YS753"/>
      <c r="YT753"/>
      <c r="YU753"/>
      <c r="YV753"/>
      <c r="YW753"/>
      <c r="YX753"/>
      <c r="YY753"/>
      <c r="YZ753"/>
      <c r="ZA753"/>
      <c r="ZB753"/>
      <c r="ZC753"/>
      <c r="ZD753"/>
      <c r="ZE753"/>
      <c r="ZF753"/>
      <c r="ZG753"/>
      <c r="ZH753"/>
      <c r="ZI753"/>
      <c r="ZJ753"/>
      <c r="ZK753"/>
      <c r="ZL753"/>
      <c r="ZM753"/>
      <c r="ZN753"/>
      <c r="ZO753"/>
      <c r="ZP753"/>
      <c r="ZQ753"/>
      <c r="ZR753"/>
      <c r="ZS753"/>
      <c r="ZT753"/>
      <c r="ZU753"/>
      <c r="ZV753"/>
      <c r="ZW753"/>
      <c r="ZX753"/>
      <c r="ZY753"/>
      <c r="ZZ753"/>
      <c r="AAA753"/>
      <c r="AAB753"/>
      <c r="AAC753"/>
      <c r="AAD753"/>
      <c r="AAE753"/>
      <c r="AAF753"/>
      <c r="AAG753"/>
      <c r="AAH753"/>
      <c r="AAI753"/>
      <c r="AAJ753"/>
      <c r="AAK753"/>
      <c r="AAL753"/>
      <c r="AAM753"/>
      <c r="AAN753"/>
      <c r="AAO753"/>
      <c r="AAP753"/>
      <c r="AAQ753"/>
      <c r="AAR753"/>
      <c r="AAS753"/>
      <c r="AAT753"/>
      <c r="AAU753"/>
      <c r="AAV753"/>
      <c r="AAW753"/>
      <c r="AAX753"/>
      <c r="AAY753"/>
      <c r="AAZ753"/>
      <c r="ABA753"/>
      <c r="ABB753"/>
      <c r="ABC753"/>
      <c r="ABD753"/>
      <c r="ABE753"/>
      <c r="ABF753"/>
      <c r="ABG753"/>
      <c r="ABH753"/>
      <c r="ABI753"/>
      <c r="ABJ753"/>
      <c r="ABK753"/>
      <c r="ABL753"/>
      <c r="ABM753"/>
      <c r="ABN753"/>
      <c r="ABO753"/>
      <c r="ABP753"/>
      <c r="ABQ753"/>
      <c r="ABR753"/>
      <c r="ABS753"/>
      <c r="ABT753"/>
      <c r="ABU753"/>
      <c r="ABV753"/>
      <c r="ABW753"/>
      <c r="ABX753"/>
      <c r="ABY753"/>
      <c r="ABZ753"/>
      <c r="ACA753"/>
      <c r="ACB753"/>
      <c r="ACC753"/>
      <c r="ACD753"/>
      <c r="ACE753"/>
      <c r="ACF753"/>
      <c r="ACG753"/>
      <c r="ACH753"/>
      <c r="ACI753"/>
      <c r="ACJ753"/>
      <c r="ACK753"/>
      <c r="ACL753"/>
      <c r="ACM753"/>
      <c r="ACN753"/>
      <c r="ACO753"/>
      <c r="ACP753"/>
      <c r="ACQ753"/>
      <c r="ACR753"/>
      <c r="ACS753"/>
      <c r="ACT753"/>
      <c r="ACU753"/>
      <c r="ACV753"/>
      <c r="ACW753"/>
      <c r="ACX753"/>
      <c r="ACY753"/>
      <c r="ACZ753"/>
      <c r="ADA753"/>
      <c r="ADB753"/>
      <c r="ADC753"/>
      <c r="ADD753"/>
      <c r="ADE753"/>
      <c r="ADF753"/>
      <c r="ADG753"/>
      <c r="ADH753"/>
      <c r="ADI753"/>
      <c r="ADJ753"/>
      <c r="ADK753"/>
      <c r="ADL753"/>
      <c r="ADM753"/>
      <c r="ADN753"/>
      <c r="ADO753"/>
      <c r="ADP753"/>
      <c r="ADQ753"/>
      <c r="ADR753"/>
      <c r="ADS753"/>
      <c r="ADT753"/>
      <c r="ADU753"/>
      <c r="ADV753"/>
      <c r="ADW753"/>
      <c r="ADX753"/>
      <c r="ADY753"/>
      <c r="ADZ753"/>
      <c r="AEA753"/>
      <c r="AEB753"/>
      <c r="AEC753"/>
      <c r="AED753"/>
      <c r="AEE753"/>
      <c r="AEF753"/>
      <c r="AEG753"/>
      <c r="AEH753"/>
      <c r="AEI753"/>
      <c r="AEJ753"/>
      <c r="AEK753"/>
      <c r="AEL753"/>
      <c r="AEM753"/>
      <c r="AEN753"/>
      <c r="AEO753"/>
      <c r="AEP753"/>
      <c r="AEQ753"/>
      <c r="AER753"/>
      <c r="AES753"/>
      <c r="AET753"/>
      <c r="AEU753"/>
      <c r="AEV753"/>
      <c r="AEW753"/>
      <c r="AEX753"/>
      <c r="AEY753"/>
      <c r="AEZ753"/>
      <c r="AFA753"/>
      <c r="AFB753"/>
      <c r="AFC753"/>
      <c r="AFD753"/>
      <c r="AFE753"/>
      <c r="AFF753"/>
      <c r="AFG753"/>
      <c r="AFH753"/>
      <c r="AFI753"/>
      <c r="AFJ753"/>
      <c r="AFK753"/>
      <c r="AFL753"/>
      <c r="AFM753"/>
      <c r="AFN753"/>
      <c r="AFO753"/>
      <c r="AFP753"/>
      <c r="AFQ753"/>
      <c r="AFR753"/>
      <c r="AFS753"/>
      <c r="AFT753"/>
      <c r="AFU753"/>
      <c r="AFV753"/>
      <c r="AFW753"/>
      <c r="AFX753"/>
      <c r="AFY753"/>
      <c r="AFZ753"/>
      <c r="AGA753"/>
      <c r="AGB753"/>
      <c r="AGC753"/>
      <c r="AGD753"/>
      <c r="AGE753"/>
      <c r="AGF753"/>
      <c r="AGG753"/>
      <c r="AGH753"/>
      <c r="AGI753"/>
      <c r="AGJ753"/>
      <c r="AGK753"/>
      <c r="AGL753"/>
      <c r="AGM753"/>
      <c r="AGN753"/>
      <c r="AGO753"/>
      <c r="AGP753"/>
      <c r="AGQ753"/>
      <c r="AGR753"/>
      <c r="AGS753"/>
      <c r="AGT753"/>
      <c r="AGU753"/>
      <c r="AGV753"/>
      <c r="AGW753"/>
      <c r="AGX753"/>
      <c r="AGY753"/>
      <c r="AGZ753"/>
      <c r="AHA753"/>
      <c r="AHB753"/>
      <c r="AHC753"/>
      <c r="AHD753"/>
      <c r="AHE753"/>
      <c r="AHF753"/>
      <c r="AHG753"/>
      <c r="AHH753"/>
      <c r="AHI753"/>
      <c r="AHJ753"/>
      <c r="AHK753"/>
      <c r="AHL753"/>
      <c r="AHM753"/>
      <c r="AHN753"/>
      <c r="AHO753"/>
      <c r="AHP753"/>
      <c r="AHQ753"/>
      <c r="AHR753"/>
      <c r="AHS753"/>
      <c r="AHT753"/>
      <c r="AHU753"/>
      <c r="AHV753"/>
      <c r="AHW753"/>
      <c r="AHX753"/>
      <c r="AHY753"/>
      <c r="AHZ753"/>
      <c r="AIA753"/>
      <c r="AIB753"/>
      <c r="AIC753"/>
      <c r="AID753"/>
      <c r="AIE753"/>
      <c r="AIF753"/>
      <c r="AIG753"/>
      <c r="AIH753"/>
      <c r="AII753"/>
      <c r="AIJ753"/>
      <c r="AIK753"/>
      <c r="AIL753"/>
      <c r="AIM753"/>
      <c r="AIN753"/>
      <c r="AIO753"/>
      <c r="AIP753"/>
      <c r="AIQ753"/>
      <c r="AIR753"/>
      <c r="AIS753"/>
      <c r="AIT753"/>
      <c r="AIU753"/>
      <c r="AIV753"/>
      <c r="AIW753"/>
      <c r="AIX753"/>
      <c r="AIY753"/>
      <c r="AIZ753"/>
      <c r="AJA753"/>
      <c r="AJB753"/>
      <c r="AJC753"/>
      <c r="AJD753"/>
      <c r="AJE753"/>
      <c r="AJF753"/>
      <c r="AJG753"/>
      <c r="AJH753"/>
      <c r="AJI753"/>
      <c r="AJJ753"/>
      <c r="AJK753"/>
      <c r="AJL753"/>
      <c r="AJM753"/>
      <c r="AJN753"/>
      <c r="AJO753"/>
      <c r="AJP753"/>
      <c r="AJQ753"/>
      <c r="AJR753"/>
      <c r="AJS753"/>
      <c r="AJT753"/>
      <c r="AJU753"/>
      <c r="AJV753"/>
      <c r="AJW753"/>
      <c r="AJX753"/>
      <c r="AJY753"/>
      <c r="AJZ753"/>
      <c r="AKA753"/>
      <c r="AKB753"/>
      <c r="AKC753"/>
      <c r="AKD753"/>
      <c r="AKE753"/>
      <c r="AKF753"/>
      <c r="AKG753"/>
      <c r="AKH753"/>
      <c r="AKI753"/>
      <c r="AKJ753"/>
      <c r="AKK753"/>
      <c r="AKL753"/>
      <c r="AKM753"/>
      <c r="AKN753"/>
      <c r="AKO753"/>
      <c r="AKP753"/>
      <c r="AKQ753"/>
      <c r="AKR753"/>
      <c r="AKS753"/>
      <c r="AKT753"/>
      <c r="AKU753"/>
      <c r="AKV753"/>
      <c r="AKW753"/>
      <c r="AKX753"/>
      <c r="AKY753"/>
      <c r="AKZ753"/>
      <c r="ALA753"/>
      <c r="ALB753"/>
      <c r="ALC753"/>
      <c r="ALD753"/>
      <c r="ALE753"/>
      <c r="ALF753"/>
      <c r="ALG753"/>
      <c r="ALH753"/>
      <c r="ALI753"/>
      <c r="ALJ753"/>
      <c r="ALK753"/>
      <c r="ALL753"/>
      <c r="ALM753"/>
      <c r="ALN753"/>
      <c r="ALO753"/>
      <c r="ALP753"/>
      <c r="ALQ753"/>
      <c r="ALR753"/>
      <c r="ALS753"/>
      <c r="ALT753"/>
      <c r="ALU753"/>
      <c r="ALV753"/>
      <c r="ALW753"/>
      <c r="ALX753"/>
      <c r="ALY753"/>
      <c r="ALZ753"/>
      <c r="AMA753"/>
      <c r="AMB753"/>
      <c r="AMC753"/>
      <c r="AMD753"/>
      <c r="AME753"/>
      <c r="AMF753"/>
      <c r="AMG753"/>
      <c r="AMH753"/>
      <c r="AMI753"/>
      <c r="AMJ753"/>
    </row>
    <row r="754" spans="1:1024" ht="27.6">
      <c r="A754" s="8" t="s">
        <v>726</v>
      </c>
      <c r="B754" s="8">
        <v>751976</v>
      </c>
      <c r="D754" s="29">
        <v>45215</v>
      </c>
      <c r="E754" s="1">
        <v>7.6666666666666998</v>
      </c>
      <c r="F754" s="8">
        <v>6</v>
      </c>
      <c r="G754" s="30">
        <f t="shared" si="36"/>
        <v>13.333333333333368</v>
      </c>
      <c r="H754" s="8">
        <f t="shared" si="38"/>
        <v>-7.3333333333333668</v>
      </c>
      <c r="I754">
        <f t="shared" si="37"/>
        <v>0.33333333333333331</v>
      </c>
      <c r="J754">
        <f>SUMIF(Oeffentlichkeitsarbeit!$D:$D,$B754,Oeffentlichkeitsarbeit!$F:$F)</f>
        <v>0</v>
      </c>
      <c r="K754">
        <f>COUNTIF(Fairteiler!$D:$D,$B754)*1/2</f>
        <v>0</v>
      </c>
      <c r="L754">
        <f>COUNTIF('NP-Betrieb'!D:D,$B754)*1/3</f>
        <v>0.33333333333333331</v>
      </c>
      <c r="M754">
        <f>COUNTIF(Fairteilungen!$D:$D,$B754)*3/4</f>
        <v>0</v>
      </c>
      <c r="N754">
        <f>COUNTIF(Anlieferung!D:D,$B754)*1/2</f>
        <v>0</v>
      </c>
      <c r="O754">
        <f>COUNTIF(Probeabholungen!B:B,$B754)*1/3</f>
        <v>0</v>
      </c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18"/>
      <c r="AV754" s="18"/>
      <c r="AW754" s="18"/>
      <c r="AX754" s="18"/>
      <c r="AY754" s="18"/>
      <c r="AZ754" s="18"/>
      <c r="BA754" s="18"/>
      <c r="BB754" s="18"/>
      <c r="BC754" s="18"/>
      <c r="BD754" s="18"/>
      <c r="BE754" s="18"/>
      <c r="BF754" s="18"/>
      <c r="BG754" s="18"/>
      <c r="BH754" s="18"/>
      <c r="BI754" s="18"/>
      <c r="BJ754" s="18"/>
      <c r="BK754" s="18"/>
      <c r="BL754" s="18"/>
      <c r="BM754" s="18"/>
      <c r="BN754" s="18"/>
      <c r="BO754" s="18"/>
      <c r="BP754" s="18"/>
      <c r="BQ754" s="18"/>
      <c r="BR754" s="18"/>
      <c r="BS754" s="18"/>
      <c r="BT754" s="18"/>
      <c r="BU754" s="18"/>
      <c r="BV754" s="18"/>
      <c r="BW754" s="18"/>
      <c r="BX754" s="18"/>
      <c r="BY754" s="18"/>
      <c r="BZ754" s="18"/>
      <c r="CA754" s="18"/>
      <c r="CB754" s="18"/>
      <c r="CC754" s="18"/>
      <c r="CD754" s="18"/>
      <c r="CE754" s="18"/>
      <c r="CF754" s="18"/>
      <c r="CG754" s="18"/>
      <c r="CH754" s="18"/>
      <c r="CI754" s="18"/>
      <c r="CJ754" s="18"/>
      <c r="CK754" s="18"/>
      <c r="CL754" s="18"/>
      <c r="CM754" s="18"/>
      <c r="CN754" s="18"/>
      <c r="CO754" s="18"/>
      <c r="CP754" s="18"/>
      <c r="CQ754" s="18"/>
      <c r="CR754" s="18"/>
      <c r="CS754" s="18"/>
      <c r="CT754" s="18"/>
      <c r="CU754" s="18"/>
      <c r="CV754" s="18"/>
      <c r="CW754" s="18"/>
      <c r="CX754" s="18"/>
      <c r="CY754" s="18"/>
      <c r="CZ754" s="18"/>
      <c r="DA754" s="18"/>
      <c r="DB754" s="18"/>
      <c r="DC754" s="18"/>
      <c r="DD754" s="18"/>
      <c r="DE754" s="18"/>
      <c r="DF754" s="18"/>
      <c r="DG754" s="18"/>
      <c r="DH754" s="18"/>
      <c r="DI754" s="18"/>
      <c r="DJ754" s="18"/>
      <c r="DK754" s="18"/>
      <c r="DL754" s="18"/>
      <c r="DM754" s="18"/>
      <c r="DN754" s="18"/>
      <c r="DO754" s="18"/>
      <c r="DP754" s="18"/>
      <c r="DQ754" s="18"/>
      <c r="DR754" s="18"/>
      <c r="DS754" s="18"/>
      <c r="DT754" s="18"/>
      <c r="DU754" s="18"/>
      <c r="DV754" s="18"/>
      <c r="DW754" s="18"/>
      <c r="DX754" s="18"/>
      <c r="DY754" s="18"/>
      <c r="DZ754" s="18"/>
      <c r="EA754" s="18"/>
      <c r="EB754" s="18"/>
      <c r="EC754" s="18"/>
      <c r="ED754" s="18"/>
      <c r="EE754" s="18"/>
      <c r="EF754" s="18"/>
      <c r="EG754" s="18"/>
      <c r="EH754" s="18"/>
      <c r="EI754" s="18"/>
      <c r="EJ754" s="18"/>
      <c r="EK754" s="18"/>
      <c r="EL754" s="18"/>
      <c r="EM754" s="18"/>
      <c r="EN754" s="18"/>
      <c r="EO754" s="18"/>
      <c r="EP754" s="18"/>
      <c r="EQ754" s="18"/>
      <c r="ER754" s="18"/>
      <c r="ES754" s="18"/>
      <c r="ET754" s="18"/>
      <c r="EU754" s="18"/>
      <c r="EV754" s="18"/>
      <c r="EW754" s="18"/>
      <c r="EX754" s="18"/>
      <c r="EY754" s="18"/>
      <c r="EZ754" s="18"/>
      <c r="FA754" s="18"/>
      <c r="FB754" s="18"/>
      <c r="FC754" s="18"/>
      <c r="FD754" s="18"/>
      <c r="FE754" s="18"/>
      <c r="FF754" s="18"/>
      <c r="FG754" s="18"/>
      <c r="FH754" s="18"/>
      <c r="FI754" s="18"/>
      <c r="FJ754" s="18"/>
      <c r="FK754" s="18"/>
      <c r="FL754" s="18"/>
      <c r="FM754" s="18"/>
      <c r="FN754" s="18"/>
      <c r="FO754" s="18"/>
      <c r="FP754" s="18"/>
      <c r="FQ754" s="18"/>
      <c r="FR754" s="18"/>
      <c r="FS754" s="18"/>
      <c r="FT754" s="18"/>
      <c r="FU754" s="18"/>
      <c r="FV754" s="18"/>
      <c r="FW754" s="18"/>
      <c r="FX754" s="18"/>
      <c r="FY754" s="18"/>
      <c r="FZ754" s="18"/>
      <c r="GA754" s="18"/>
      <c r="GB754" s="18"/>
      <c r="GC754" s="18"/>
      <c r="GD754" s="18"/>
      <c r="GE754" s="18"/>
      <c r="GF754" s="18"/>
      <c r="GG754" s="18"/>
      <c r="GH754" s="18"/>
      <c r="GI754" s="18"/>
      <c r="GJ754" s="18"/>
      <c r="GK754" s="18"/>
      <c r="GL754" s="18"/>
      <c r="GM754" s="18"/>
      <c r="GN754" s="18"/>
      <c r="GO754" s="18"/>
      <c r="GP754" s="18"/>
      <c r="GQ754" s="18"/>
      <c r="GR754" s="18"/>
      <c r="GS754" s="18"/>
      <c r="GT754" s="18"/>
      <c r="GU754" s="18"/>
      <c r="GV754" s="18"/>
      <c r="GW754" s="18"/>
      <c r="GX754" s="18"/>
      <c r="GY754" s="18"/>
      <c r="GZ754" s="18"/>
      <c r="HA754" s="18"/>
      <c r="HB754" s="18"/>
      <c r="HC754" s="18"/>
      <c r="HD754" s="18"/>
      <c r="HE754" s="18"/>
      <c r="HF754" s="18"/>
      <c r="HG754" s="18"/>
      <c r="HH754" s="18"/>
      <c r="HI754" s="18"/>
      <c r="HJ754" s="18"/>
      <c r="HK754" s="18"/>
      <c r="HL754" s="18"/>
      <c r="HM754" s="18"/>
      <c r="HN754" s="18"/>
      <c r="HO754" s="18"/>
      <c r="HP754" s="18"/>
      <c r="HQ754" s="18"/>
      <c r="HR754" s="18"/>
      <c r="HS754" s="18"/>
      <c r="HT754" s="18"/>
      <c r="HU754" s="18"/>
      <c r="HV754" s="18"/>
      <c r="HW754" s="18"/>
      <c r="HX754" s="18"/>
      <c r="HY754" s="18"/>
      <c r="HZ754" s="18"/>
      <c r="IA754" s="18"/>
      <c r="IB754" s="18"/>
      <c r="IC754" s="18"/>
      <c r="ID754" s="18"/>
      <c r="IE754" s="18"/>
      <c r="IF754" s="18"/>
      <c r="IG754" s="18"/>
      <c r="IH754" s="18"/>
      <c r="II754" s="18"/>
      <c r="IJ754" s="18"/>
      <c r="IK754" s="18"/>
      <c r="IL754" s="18"/>
      <c r="IM754" s="18"/>
      <c r="IN754" s="18"/>
      <c r="IO754" s="18"/>
      <c r="IP754" s="18"/>
      <c r="IQ754" s="18"/>
      <c r="IR754" s="18"/>
      <c r="IS754" s="18"/>
      <c r="IT754" s="18"/>
      <c r="IU754" s="18"/>
      <c r="IV754" s="18"/>
      <c r="IW754" s="18"/>
      <c r="IX754" s="18"/>
      <c r="IY754" s="18"/>
      <c r="IZ754" s="18"/>
      <c r="JA754" s="18"/>
      <c r="JB754" s="18"/>
      <c r="JC754" s="18"/>
      <c r="JD754" s="18"/>
      <c r="JE754" s="18"/>
      <c r="JF754" s="18"/>
      <c r="JG754" s="18"/>
      <c r="JH754" s="18"/>
      <c r="JI754" s="18"/>
      <c r="JJ754" s="18"/>
      <c r="JK754" s="18"/>
      <c r="JL754" s="18"/>
      <c r="JM754" s="18"/>
      <c r="JN754" s="18"/>
      <c r="JO754" s="18"/>
      <c r="JP754" s="18"/>
      <c r="JQ754" s="18"/>
      <c r="JR754" s="18"/>
      <c r="JS754" s="18"/>
      <c r="JT754" s="18"/>
      <c r="JU754" s="18"/>
      <c r="JV754" s="18"/>
      <c r="JW754" s="18"/>
      <c r="JX754" s="18"/>
      <c r="JY754" s="18"/>
      <c r="JZ754" s="18"/>
      <c r="KA754" s="18"/>
      <c r="KB754" s="18"/>
      <c r="KC754" s="18"/>
      <c r="KD754" s="18"/>
      <c r="KE754" s="18"/>
      <c r="KF754" s="18"/>
      <c r="KG754" s="18"/>
      <c r="KH754" s="18"/>
      <c r="KI754" s="18"/>
      <c r="KJ754" s="18"/>
      <c r="KK754" s="18"/>
      <c r="KL754" s="18"/>
      <c r="KM754" s="18"/>
      <c r="KN754" s="18"/>
      <c r="KO754" s="18"/>
      <c r="KP754" s="18"/>
      <c r="KQ754" s="18"/>
      <c r="KR754" s="18"/>
      <c r="KS754" s="18"/>
      <c r="KT754" s="18"/>
      <c r="KU754" s="18"/>
      <c r="KV754" s="18"/>
      <c r="KW754" s="18"/>
      <c r="KX754" s="18"/>
      <c r="KY754" s="18"/>
      <c r="KZ754" s="18"/>
      <c r="LA754" s="18"/>
      <c r="LB754" s="18"/>
      <c r="LC754" s="18"/>
      <c r="LD754" s="18"/>
      <c r="LE754" s="18"/>
      <c r="LF754" s="18"/>
      <c r="LG754" s="18"/>
      <c r="LH754" s="18"/>
      <c r="LI754" s="18"/>
      <c r="LJ754" s="18"/>
      <c r="LK754" s="18"/>
      <c r="LL754" s="18"/>
      <c r="LM754" s="18"/>
      <c r="LN754" s="18"/>
      <c r="LO754" s="18"/>
      <c r="LP754" s="18"/>
      <c r="LQ754" s="18"/>
      <c r="LR754" s="18"/>
      <c r="LS754" s="18"/>
      <c r="LT754" s="18"/>
      <c r="LU754" s="18"/>
      <c r="LV754" s="18"/>
      <c r="LW754" s="18"/>
      <c r="LX754" s="18"/>
      <c r="LY754" s="18"/>
      <c r="LZ754" s="18"/>
      <c r="MA754" s="18"/>
      <c r="MB754" s="18"/>
      <c r="MC754" s="18"/>
      <c r="MD754" s="18"/>
      <c r="ME754" s="18"/>
      <c r="MF754" s="18"/>
      <c r="MG754" s="18"/>
      <c r="MH754" s="18"/>
      <c r="MI754" s="18"/>
      <c r="MJ754" s="18"/>
      <c r="MK754" s="18"/>
      <c r="ML754" s="18"/>
      <c r="MM754" s="18"/>
      <c r="MN754" s="18"/>
      <c r="MO754" s="18"/>
      <c r="MP754" s="18"/>
      <c r="MQ754" s="18"/>
      <c r="MR754" s="18"/>
      <c r="MS754" s="18"/>
      <c r="MT754" s="18"/>
      <c r="MU754" s="18"/>
      <c r="MV754" s="18"/>
      <c r="MW754" s="18"/>
      <c r="MX754" s="18"/>
      <c r="MY754" s="18"/>
      <c r="MZ754" s="18"/>
      <c r="NA754" s="18"/>
      <c r="NB754" s="18"/>
      <c r="NC754" s="18"/>
      <c r="ND754" s="18"/>
      <c r="NE754" s="18"/>
      <c r="NF754" s="18"/>
      <c r="NG754" s="18"/>
      <c r="NH754" s="18"/>
      <c r="NI754" s="18"/>
      <c r="NJ754" s="18"/>
      <c r="NK754" s="18"/>
      <c r="NL754" s="18"/>
      <c r="NM754" s="18"/>
      <c r="NN754" s="18"/>
      <c r="NO754" s="18"/>
      <c r="NP754" s="18"/>
      <c r="NQ754" s="18"/>
      <c r="NR754" s="18"/>
      <c r="NS754" s="18"/>
      <c r="NT754" s="18"/>
      <c r="NU754" s="18"/>
      <c r="NV754" s="18"/>
      <c r="NW754" s="18"/>
      <c r="NX754" s="18"/>
      <c r="NY754" s="18"/>
      <c r="NZ754" s="18"/>
      <c r="OA754" s="18"/>
      <c r="OB754" s="18"/>
      <c r="OC754" s="18"/>
      <c r="OD754" s="18"/>
      <c r="OE754" s="18"/>
      <c r="OF754" s="18"/>
      <c r="OG754" s="18"/>
      <c r="OH754" s="18"/>
      <c r="OI754" s="18"/>
      <c r="OJ754" s="18"/>
      <c r="OK754" s="18"/>
      <c r="OL754" s="18"/>
      <c r="OM754" s="18"/>
      <c r="ON754" s="18"/>
      <c r="OO754" s="18"/>
      <c r="OP754" s="18"/>
      <c r="OQ754" s="18"/>
      <c r="OR754" s="18"/>
      <c r="OS754" s="18"/>
      <c r="OT754" s="18"/>
      <c r="OU754" s="18"/>
      <c r="OV754" s="18"/>
      <c r="OW754" s="18"/>
      <c r="OX754" s="18"/>
      <c r="OY754" s="18"/>
      <c r="OZ754" s="18"/>
      <c r="PA754" s="18"/>
      <c r="PB754" s="18"/>
      <c r="PC754" s="18"/>
      <c r="PD754" s="18"/>
      <c r="PE754" s="18"/>
      <c r="PF754" s="18"/>
      <c r="PG754" s="18"/>
      <c r="PH754" s="18"/>
      <c r="PI754" s="18"/>
      <c r="PJ754" s="18"/>
      <c r="PK754" s="18"/>
      <c r="PL754" s="18"/>
      <c r="PM754" s="18"/>
      <c r="PN754" s="18"/>
      <c r="PO754" s="18"/>
      <c r="PP754" s="18"/>
      <c r="PQ754" s="18"/>
      <c r="PR754" s="18"/>
      <c r="PS754" s="18"/>
      <c r="PT754" s="18"/>
      <c r="PU754" s="18"/>
      <c r="PV754" s="18"/>
      <c r="PW754" s="18"/>
      <c r="PX754" s="18"/>
      <c r="PY754" s="18"/>
      <c r="PZ754" s="18"/>
      <c r="QA754" s="18"/>
      <c r="QB754" s="18"/>
      <c r="QC754" s="18"/>
      <c r="QD754" s="18"/>
      <c r="QE754" s="18"/>
      <c r="QF754" s="18"/>
      <c r="QG754" s="18"/>
      <c r="QH754" s="18"/>
      <c r="QI754" s="18"/>
      <c r="QJ754" s="18"/>
      <c r="QK754" s="18"/>
      <c r="QL754" s="18"/>
      <c r="QM754" s="18"/>
      <c r="QN754" s="18"/>
      <c r="QO754" s="18"/>
      <c r="QP754" s="18"/>
      <c r="QQ754" s="18"/>
      <c r="QR754" s="18"/>
      <c r="QS754" s="18"/>
      <c r="QT754" s="18"/>
      <c r="QU754" s="18"/>
      <c r="QV754" s="18"/>
      <c r="QW754" s="18"/>
      <c r="QX754" s="18"/>
      <c r="QY754" s="18"/>
      <c r="QZ754" s="18"/>
      <c r="RA754" s="18"/>
      <c r="RB754" s="18"/>
      <c r="RC754" s="18"/>
      <c r="RD754" s="18"/>
      <c r="RE754" s="18"/>
      <c r="RF754" s="18"/>
      <c r="RG754" s="18"/>
      <c r="RH754" s="18"/>
      <c r="RI754" s="18"/>
      <c r="RJ754" s="18"/>
      <c r="RK754" s="18"/>
      <c r="RL754" s="18"/>
      <c r="RM754" s="18"/>
      <c r="RN754" s="18"/>
      <c r="RO754" s="18"/>
      <c r="RP754" s="18"/>
      <c r="RQ754" s="18"/>
      <c r="RR754" s="18"/>
      <c r="RS754" s="18"/>
      <c r="RT754" s="18"/>
      <c r="RU754" s="18"/>
      <c r="RV754" s="18"/>
      <c r="RW754" s="18"/>
      <c r="RX754" s="18"/>
      <c r="RY754" s="18"/>
      <c r="RZ754" s="18"/>
      <c r="SA754" s="18"/>
      <c r="SB754" s="18"/>
      <c r="SC754" s="18"/>
      <c r="SD754" s="18"/>
      <c r="SE754" s="18"/>
      <c r="SF754" s="18"/>
      <c r="SG754" s="18"/>
      <c r="SH754" s="18"/>
      <c r="SI754" s="18"/>
      <c r="SJ754" s="18"/>
      <c r="SK754" s="18"/>
      <c r="SL754" s="18"/>
      <c r="SM754" s="18"/>
      <c r="SN754" s="18"/>
      <c r="SO754" s="18"/>
      <c r="SP754" s="18"/>
      <c r="SQ754" s="18"/>
      <c r="SR754" s="18"/>
      <c r="SS754" s="18"/>
      <c r="ST754" s="18"/>
      <c r="SU754" s="18"/>
      <c r="SV754" s="18"/>
      <c r="SW754" s="18"/>
      <c r="SX754" s="18"/>
      <c r="SY754" s="18"/>
      <c r="SZ754" s="18"/>
      <c r="TA754" s="18"/>
      <c r="TB754" s="18"/>
      <c r="TC754" s="18"/>
      <c r="TD754" s="18"/>
      <c r="TE754" s="18"/>
      <c r="TF754" s="18"/>
      <c r="TG754" s="18"/>
      <c r="TH754" s="18"/>
      <c r="TI754" s="18"/>
      <c r="TJ754" s="18"/>
      <c r="TK754" s="18"/>
      <c r="TL754" s="18"/>
      <c r="TM754" s="18"/>
      <c r="TN754" s="18"/>
      <c r="TO754" s="18"/>
      <c r="TP754" s="18"/>
      <c r="TQ754" s="18"/>
      <c r="TR754" s="18"/>
      <c r="TS754" s="18"/>
      <c r="TT754" s="18"/>
      <c r="TU754" s="18"/>
      <c r="TV754" s="18"/>
      <c r="TW754" s="18"/>
      <c r="TX754" s="18"/>
      <c r="TY754" s="18"/>
      <c r="TZ754" s="18"/>
      <c r="UA754" s="18"/>
      <c r="UB754" s="18"/>
      <c r="UC754" s="18"/>
      <c r="UD754" s="18"/>
      <c r="UE754" s="18"/>
      <c r="UF754" s="18"/>
      <c r="UG754" s="18"/>
      <c r="UH754" s="18"/>
      <c r="UI754" s="18"/>
      <c r="UJ754" s="18"/>
      <c r="UK754" s="18"/>
      <c r="UL754" s="18"/>
      <c r="UM754" s="18"/>
      <c r="UN754" s="18"/>
      <c r="UO754" s="18"/>
      <c r="UP754" s="18"/>
      <c r="UQ754" s="18"/>
      <c r="UR754" s="18"/>
      <c r="US754" s="18"/>
      <c r="UT754" s="18"/>
      <c r="UU754" s="18"/>
      <c r="UV754" s="18"/>
      <c r="UW754" s="18"/>
      <c r="UX754" s="18"/>
      <c r="UY754" s="18"/>
      <c r="UZ754" s="18"/>
      <c r="VA754" s="18"/>
      <c r="VB754" s="18"/>
      <c r="VC754" s="18"/>
      <c r="VD754" s="18"/>
      <c r="VE754" s="18"/>
      <c r="VF754" s="18"/>
      <c r="VG754" s="18"/>
      <c r="VH754" s="18"/>
      <c r="VI754" s="18"/>
      <c r="VJ754" s="18"/>
      <c r="VK754" s="18"/>
      <c r="VL754" s="18"/>
      <c r="VM754" s="18"/>
      <c r="VN754" s="18"/>
      <c r="VO754" s="18"/>
      <c r="VP754" s="18"/>
      <c r="VQ754" s="18"/>
      <c r="VR754" s="18"/>
      <c r="VS754" s="18"/>
      <c r="VT754" s="18"/>
      <c r="VU754" s="18"/>
      <c r="VV754" s="18"/>
      <c r="VW754" s="18"/>
      <c r="VX754" s="18"/>
      <c r="VY754" s="18"/>
      <c r="VZ754" s="18"/>
      <c r="WA754" s="18"/>
      <c r="WB754" s="18"/>
      <c r="WC754" s="18"/>
      <c r="WD754" s="18"/>
      <c r="WE754" s="18"/>
      <c r="WF754" s="18"/>
      <c r="WG754" s="18"/>
      <c r="WH754" s="18"/>
      <c r="WI754" s="18"/>
      <c r="WJ754" s="18"/>
      <c r="WK754" s="18"/>
      <c r="WL754" s="18"/>
      <c r="WM754" s="18"/>
      <c r="WN754" s="18"/>
      <c r="WO754" s="18"/>
      <c r="WP754" s="18"/>
      <c r="WQ754" s="18"/>
      <c r="WR754" s="18"/>
      <c r="WS754" s="18"/>
      <c r="WT754" s="18"/>
      <c r="WU754" s="18"/>
      <c r="WV754" s="18"/>
      <c r="WW754" s="18"/>
      <c r="WX754" s="18"/>
      <c r="WY754" s="18"/>
      <c r="WZ754" s="18"/>
      <c r="XA754" s="18"/>
      <c r="XB754" s="18"/>
      <c r="XC754" s="18"/>
      <c r="XD754" s="18"/>
      <c r="XE754" s="18"/>
      <c r="XF754" s="18"/>
      <c r="XG754" s="18"/>
      <c r="XH754" s="18"/>
      <c r="XI754" s="18"/>
      <c r="XJ754" s="18"/>
      <c r="XK754" s="18"/>
      <c r="XL754" s="18"/>
      <c r="XM754" s="18"/>
      <c r="XN754" s="18"/>
      <c r="XO754" s="18"/>
      <c r="XP754" s="18"/>
      <c r="XQ754" s="18"/>
      <c r="XR754" s="18"/>
      <c r="XS754" s="18"/>
      <c r="XT754" s="18"/>
      <c r="XU754" s="18"/>
      <c r="XV754" s="18"/>
      <c r="XW754" s="18"/>
      <c r="XX754" s="18"/>
      <c r="XY754" s="18"/>
      <c r="XZ754" s="18"/>
      <c r="YA754" s="18"/>
      <c r="YB754" s="18"/>
      <c r="YC754" s="18"/>
      <c r="YD754" s="18"/>
      <c r="YE754" s="18"/>
      <c r="YF754" s="18"/>
      <c r="YG754" s="18"/>
      <c r="YH754" s="18"/>
      <c r="YI754" s="18"/>
      <c r="YJ754" s="18"/>
      <c r="YK754" s="18"/>
      <c r="YL754" s="18"/>
      <c r="YM754" s="18"/>
      <c r="YN754" s="18"/>
      <c r="YO754" s="18"/>
      <c r="YP754" s="18"/>
      <c r="YQ754" s="18"/>
      <c r="YR754" s="18"/>
      <c r="YS754" s="18"/>
      <c r="YT754" s="18"/>
      <c r="YU754" s="18"/>
      <c r="YV754" s="18"/>
      <c r="YW754" s="18"/>
      <c r="YX754" s="18"/>
      <c r="YY754" s="18"/>
      <c r="YZ754" s="18"/>
      <c r="ZA754" s="18"/>
      <c r="ZB754" s="18"/>
      <c r="ZC754" s="18"/>
      <c r="ZD754" s="18"/>
      <c r="ZE754" s="18"/>
      <c r="ZF754" s="18"/>
      <c r="ZG754" s="18"/>
      <c r="ZH754" s="18"/>
      <c r="ZI754" s="18"/>
      <c r="ZJ754" s="18"/>
      <c r="ZK754" s="18"/>
      <c r="ZL754" s="18"/>
      <c r="ZM754" s="18"/>
      <c r="ZN754" s="18"/>
      <c r="ZO754" s="18"/>
      <c r="ZP754" s="18"/>
      <c r="ZQ754" s="18"/>
      <c r="ZR754" s="18"/>
      <c r="ZS754" s="18"/>
      <c r="ZT754" s="18"/>
      <c r="ZU754" s="18"/>
      <c r="ZV754" s="18"/>
      <c r="ZW754" s="18"/>
      <c r="ZX754" s="18"/>
      <c r="ZY754" s="18"/>
      <c r="ZZ754" s="18"/>
      <c r="AAA754" s="18"/>
      <c r="AAB754" s="18"/>
      <c r="AAC754" s="18"/>
      <c r="AAD754" s="18"/>
      <c r="AAE754" s="18"/>
      <c r="AAF754" s="18"/>
      <c r="AAG754" s="18"/>
      <c r="AAH754" s="18"/>
      <c r="AAI754" s="18"/>
      <c r="AAJ754" s="18"/>
      <c r="AAK754" s="18"/>
      <c r="AAL754" s="18"/>
      <c r="AAM754" s="18"/>
      <c r="AAN754" s="18"/>
      <c r="AAO754" s="18"/>
      <c r="AAP754" s="18"/>
      <c r="AAQ754" s="18"/>
      <c r="AAR754" s="18"/>
      <c r="AAS754" s="18"/>
      <c r="AAT754" s="18"/>
      <c r="AAU754" s="18"/>
      <c r="AAV754" s="18"/>
      <c r="AAW754" s="18"/>
      <c r="AAX754" s="18"/>
      <c r="AAY754" s="18"/>
      <c r="AAZ754" s="18"/>
      <c r="ABA754" s="18"/>
      <c r="ABB754" s="18"/>
      <c r="ABC754" s="18"/>
      <c r="ABD754" s="18"/>
      <c r="ABE754" s="18"/>
      <c r="ABF754" s="18"/>
      <c r="ABG754" s="18"/>
      <c r="ABH754" s="18"/>
      <c r="ABI754" s="18"/>
      <c r="ABJ754" s="18"/>
      <c r="ABK754" s="18"/>
      <c r="ABL754" s="18"/>
      <c r="ABM754" s="18"/>
      <c r="ABN754" s="18"/>
      <c r="ABO754" s="18"/>
      <c r="ABP754" s="18"/>
      <c r="ABQ754" s="18"/>
      <c r="ABR754" s="18"/>
      <c r="ABS754" s="18"/>
      <c r="ABT754" s="18"/>
      <c r="ABU754" s="18"/>
      <c r="ABV754" s="18"/>
      <c r="ABW754" s="18"/>
      <c r="ABX754" s="18"/>
      <c r="ABY754" s="18"/>
      <c r="ABZ754" s="18"/>
      <c r="ACA754" s="18"/>
      <c r="ACB754" s="18"/>
      <c r="ACC754" s="18"/>
      <c r="ACD754" s="18"/>
      <c r="ACE754" s="18"/>
      <c r="ACF754" s="18"/>
      <c r="ACG754" s="18"/>
      <c r="ACH754" s="18"/>
      <c r="ACI754" s="18"/>
      <c r="ACJ754" s="18"/>
      <c r="ACK754" s="18"/>
      <c r="ACL754" s="18"/>
      <c r="ACM754" s="18"/>
      <c r="ACN754" s="18"/>
      <c r="ACO754" s="18"/>
      <c r="ACP754" s="18"/>
      <c r="ACQ754" s="18"/>
      <c r="ACR754" s="18"/>
      <c r="ACS754" s="18"/>
      <c r="ACT754" s="18"/>
      <c r="ACU754" s="18"/>
      <c r="ACV754" s="18"/>
      <c r="ACW754" s="18"/>
      <c r="ACX754" s="18"/>
      <c r="ACY754" s="18"/>
      <c r="ACZ754" s="18"/>
      <c r="ADA754" s="18"/>
      <c r="ADB754" s="18"/>
      <c r="ADC754" s="18"/>
      <c r="ADD754" s="18"/>
      <c r="ADE754" s="18"/>
      <c r="ADF754" s="18"/>
      <c r="ADG754" s="18"/>
      <c r="ADH754" s="18"/>
      <c r="ADI754" s="18"/>
      <c r="ADJ754" s="18"/>
      <c r="ADK754" s="18"/>
      <c r="ADL754" s="18"/>
      <c r="ADM754" s="18"/>
      <c r="ADN754" s="18"/>
      <c r="ADO754" s="18"/>
      <c r="ADP754" s="18"/>
      <c r="ADQ754" s="18"/>
      <c r="ADR754" s="18"/>
      <c r="ADS754" s="18"/>
      <c r="ADT754" s="18"/>
      <c r="ADU754" s="18"/>
      <c r="ADV754" s="18"/>
      <c r="ADW754" s="18"/>
      <c r="ADX754" s="18"/>
      <c r="ADY754" s="18"/>
      <c r="ADZ754" s="18"/>
      <c r="AEA754" s="18"/>
      <c r="AEB754" s="18"/>
      <c r="AEC754" s="18"/>
      <c r="AED754" s="18"/>
      <c r="AEE754" s="18"/>
      <c r="AEF754" s="18"/>
      <c r="AEG754" s="18"/>
      <c r="AEH754" s="18"/>
      <c r="AEI754" s="18"/>
      <c r="AEJ754" s="18"/>
      <c r="AEK754" s="18"/>
      <c r="AEL754" s="18"/>
      <c r="AEM754" s="18"/>
      <c r="AEN754" s="18"/>
      <c r="AEO754" s="18"/>
      <c r="AEP754" s="18"/>
      <c r="AEQ754" s="18"/>
      <c r="AER754" s="18"/>
      <c r="AES754" s="18"/>
      <c r="AET754" s="18"/>
      <c r="AEU754" s="18"/>
      <c r="AEV754" s="18"/>
      <c r="AEW754" s="18"/>
      <c r="AEX754" s="18"/>
      <c r="AEY754" s="18"/>
      <c r="AEZ754" s="18"/>
      <c r="AFA754" s="18"/>
      <c r="AFB754" s="18"/>
      <c r="AFC754" s="18"/>
      <c r="AFD754" s="18"/>
      <c r="AFE754" s="18"/>
      <c r="AFF754" s="18"/>
      <c r="AFG754" s="18"/>
      <c r="AFH754" s="18"/>
      <c r="AFI754" s="18"/>
      <c r="AFJ754" s="18"/>
      <c r="AFK754" s="18"/>
      <c r="AFL754" s="18"/>
      <c r="AFM754" s="18"/>
      <c r="AFN754" s="18"/>
      <c r="AFO754" s="18"/>
      <c r="AFP754" s="18"/>
      <c r="AFQ754" s="18"/>
      <c r="AFR754" s="18"/>
      <c r="AFS754" s="18"/>
      <c r="AFT754" s="18"/>
      <c r="AFU754" s="18"/>
      <c r="AFV754" s="18"/>
      <c r="AFW754" s="18"/>
      <c r="AFX754" s="18"/>
      <c r="AFY754" s="18"/>
      <c r="AFZ754" s="18"/>
      <c r="AGA754" s="18"/>
      <c r="AGB754" s="18"/>
      <c r="AGC754" s="18"/>
      <c r="AGD754" s="18"/>
      <c r="AGE754" s="18"/>
      <c r="AGF754" s="18"/>
      <c r="AGG754" s="18"/>
      <c r="AGH754" s="18"/>
      <c r="AGI754" s="18"/>
      <c r="AGJ754" s="18"/>
      <c r="AGK754" s="18"/>
      <c r="AGL754" s="18"/>
      <c r="AGM754" s="18"/>
      <c r="AGN754" s="18"/>
      <c r="AGO754" s="18"/>
      <c r="AGP754" s="18"/>
      <c r="AGQ754" s="18"/>
      <c r="AGR754" s="18"/>
      <c r="AGS754" s="18"/>
      <c r="AGT754" s="18"/>
      <c r="AGU754" s="18"/>
      <c r="AGV754" s="18"/>
      <c r="AGW754" s="18"/>
      <c r="AGX754" s="18"/>
      <c r="AGY754" s="18"/>
      <c r="AGZ754" s="18"/>
      <c r="AHA754" s="18"/>
      <c r="AHB754" s="18"/>
      <c r="AHC754" s="18"/>
      <c r="AHD754" s="18"/>
      <c r="AHE754" s="18"/>
      <c r="AHF754" s="18"/>
      <c r="AHG754" s="18"/>
      <c r="AHH754" s="18"/>
      <c r="AHI754" s="18"/>
      <c r="AHJ754" s="18"/>
      <c r="AHK754" s="18"/>
      <c r="AHL754" s="18"/>
      <c r="AHM754" s="18"/>
      <c r="AHN754" s="18"/>
      <c r="AHO754" s="18"/>
      <c r="AHP754" s="18"/>
      <c r="AHQ754" s="18"/>
      <c r="AHR754" s="18"/>
      <c r="AHS754" s="18"/>
      <c r="AHT754" s="18"/>
      <c r="AHU754" s="18"/>
      <c r="AHV754" s="18"/>
      <c r="AHW754" s="18"/>
      <c r="AHX754" s="18"/>
      <c r="AHY754" s="18"/>
      <c r="AHZ754" s="18"/>
      <c r="AIA754" s="18"/>
      <c r="AIB754" s="18"/>
      <c r="AIC754" s="18"/>
      <c r="AID754" s="18"/>
      <c r="AIE754" s="18"/>
      <c r="AIF754" s="18"/>
      <c r="AIG754" s="18"/>
      <c r="AIH754" s="18"/>
      <c r="AII754" s="18"/>
      <c r="AIJ754" s="18"/>
      <c r="AIK754" s="18"/>
      <c r="AIL754" s="18"/>
      <c r="AIM754" s="18"/>
      <c r="AIN754" s="18"/>
      <c r="AIO754" s="18"/>
      <c r="AIP754" s="18"/>
      <c r="AIQ754" s="18"/>
      <c r="AIR754" s="18"/>
      <c r="AIS754" s="18"/>
      <c r="AIT754" s="18"/>
      <c r="AIU754" s="18"/>
      <c r="AIV754" s="18"/>
      <c r="AIW754" s="18"/>
      <c r="AIX754" s="18"/>
      <c r="AIY754" s="18"/>
      <c r="AIZ754" s="18"/>
      <c r="AJA754" s="18"/>
      <c r="AJB754" s="18"/>
      <c r="AJC754" s="18"/>
      <c r="AJD754" s="18"/>
      <c r="AJE754" s="18"/>
      <c r="AJF754" s="18"/>
      <c r="AJG754" s="18"/>
      <c r="AJH754" s="18"/>
      <c r="AJI754" s="18"/>
      <c r="AJJ754" s="18"/>
      <c r="AJK754" s="18"/>
      <c r="AJL754" s="18"/>
      <c r="AJM754" s="18"/>
      <c r="AJN754" s="18"/>
      <c r="AJO754" s="18"/>
      <c r="AJP754" s="18"/>
      <c r="AJQ754" s="18"/>
      <c r="AJR754" s="18"/>
      <c r="AJS754" s="18"/>
      <c r="AJT754" s="18"/>
      <c r="AJU754" s="18"/>
      <c r="AJV754" s="18"/>
      <c r="AJW754" s="18"/>
      <c r="AJX754" s="18"/>
      <c r="AJY754" s="18"/>
      <c r="AJZ754" s="18"/>
      <c r="AKA754" s="18"/>
      <c r="AKB754" s="18"/>
      <c r="AKC754" s="18"/>
      <c r="AKD754" s="18"/>
      <c r="AKE754" s="18"/>
      <c r="AKF754" s="18"/>
      <c r="AKG754" s="18"/>
      <c r="AKH754" s="18"/>
      <c r="AKI754" s="18"/>
      <c r="AKJ754" s="18"/>
      <c r="AKK754" s="18"/>
      <c r="AKL754" s="18"/>
      <c r="AKM754" s="18"/>
      <c r="AKN754" s="18"/>
      <c r="AKO754" s="18"/>
      <c r="AKP754" s="18"/>
      <c r="AKQ754" s="18"/>
      <c r="AKR754" s="18"/>
      <c r="AKS754" s="18"/>
      <c r="AKT754" s="18"/>
      <c r="AKU754" s="18"/>
      <c r="AKV754" s="18"/>
      <c r="AKW754" s="18"/>
      <c r="AKX754" s="18"/>
      <c r="AKY754" s="18"/>
      <c r="AKZ754" s="18"/>
      <c r="ALA754" s="18"/>
      <c r="ALB754" s="18"/>
      <c r="ALC754" s="18"/>
      <c r="ALD754" s="18"/>
      <c r="ALE754" s="18"/>
      <c r="ALF754" s="18"/>
      <c r="ALG754" s="18"/>
      <c r="ALH754" s="18"/>
      <c r="ALI754" s="18"/>
      <c r="ALJ754" s="18"/>
      <c r="ALK754" s="18"/>
      <c r="ALL754" s="18"/>
      <c r="ALM754" s="18"/>
      <c r="ALN754" s="18"/>
      <c r="ALO754" s="18"/>
      <c r="ALP754" s="18"/>
      <c r="ALQ754" s="18"/>
      <c r="ALR754" s="18"/>
      <c r="ALS754" s="18"/>
      <c r="ALT754" s="18"/>
      <c r="ALU754" s="18"/>
      <c r="ALV754" s="18"/>
      <c r="ALW754" s="18"/>
      <c r="ALX754" s="18"/>
      <c r="ALY754" s="18"/>
      <c r="ALZ754" s="18"/>
      <c r="AMA754" s="18"/>
      <c r="AMB754" s="18"/>
      <c r="AMC754" s="18"/>
      <c r="AMD754" s="18"/>
      <c r="AME754" s="18"/>
      <c r="AMF754" s="18"/>
      <c r="AMG754" s="18"/>
      <c r="AMH754" s="18"/>
      <c r="AMI754" s="18"/>
      <c r="AMJ754" s="18"/>
    </row>
    <row r="755" spans="1:1024" ht="27.6">
      <c r="A755" s="8" t="s">
        <v>727</v>
      </c>
      <c r="B755">
        <v>803704</v>
      </c>
      <c r="D755" s="24">
        <v>45474</v>
      </c>
      <c r="E755" s="1">
        <v>0.33333333333332998</v>
      </c>
      <c r="F755" s="8">
        <v>6</v>
      </c>
      <c r="G755" s="30">
        <f t="shared" si="36"/>
        <v>4.3333333333333304</v>
      </c>
      <c r="H755" s="8">
        <f t="shared" si="38"/>
        <v>1.6666666666666701</v>
      </c>
      <c r="I755">
        <f t="shared" si="37"/>
        <v>2</v>
      </c>
      <c r="J755">
        <f>SUMIF(Oeffentlichkeitsarbeit!$D:$D,$B755,Oeffentlichkeitsarbeit!$F:$F)</f>
        <v>0</v>
      </c>
      <c r="K755">
        <f>COUNTIF(Fairteiler!$D:$D,$B755)*1/2</f>
        <v>0</v>
      </c>
      <c r="L755">
        <f>COUNTIF('NP-Betrieb'!D:D,$B755)*1/3</f>
        <v>2</v>
      </c>
      <c r="M755">
        <f>COUNTIF(Fairteilungen!$D:$D,$B755)*3/4</f>
        <v>0</v>
      </c>
      <c r="N755">
        <f>COUNTIF(Anlieferung!D:D,$B755)*1/2</f>
        <v>0</v>
      </c>
      <c r="O755">
        <f>COUNTIF(Probeabholungen!B:B,$B755)*1/3</f>
        <v>0</v>
      </c>
    </row>
    <row r="756" spans="1:1024">
      <c r="A756" s="8" t="s">
        <v>728</v>
      </c>
      <c r="B756" s="8">
        <v>852772</v>
      </c>
      <c r="D756" s="24">
        <v>45539</v>
      </c>
      <c r="E756" s="1">
        <v>7.6666666666666696</v>
      </c>
      <c r="F756" s="8">
        <v>6</v>
      </c>
      <c r="G756" s="30">
        <f t="shared" si="36"/>
        <v>13.66666666666667</v>
      </c>
      <c r="H756" s="8">
        <f t="shared" si="38"/>
        <v>-7.6666666666666696</v>
      </c>
      <c r="I756">
        <f t="shared" si="37"/>
        <v>0</v>
      </c>
      <c r="J756">
        <f>SUMIF(Oeffentlichkeitsarbeit!$D:$D,$B756,Oeffentlichkeitsarbeit!$F:$F)</f>
        <v>0</v>
      </c>
      <c r="K756">
        <f>COUNTIF(Fairteiler!$D:$D,$B756)*1/2</f>
        <v>0</v>
      </c>
      <c r="L756">
        <f>COUNTIF('NP-Betrieb'!D:D,$B756)*1/3</f>
        <v>0</v>
      </c>
      <c r="M756">
        <f>COUNTIF(Fairteilungen!$D:$D,$B756)*3/4</f>
        <v>0</v>
      </c>
      <c r="N756">
        <f>COUNTIF(Anlieferung!D:D,$B756)*1/2</f>
        <v>0</v>
      </c>
      <c r="O756">
        <f>COUNTIF(Probeabholungen!B:B,$B756)*1/3</f>
        <v>0</v>
      </c>
    </row>
    <row r="757" spans="1:1024" ht="27.6">
      <c r="A757" s="8" t="s">
        <v>729</v>
      </c>
      <c r="B757" s="8">
        <v>803535</v>
      </c>
      <c r="D757" s="29"/>
      <c r="E757" s="1">
        <v>0</v>
      </c>
      <c r="F757" s="8">
        <v>6</v>
      </c>
      <c r="G757" s="30">
        <f t="shared" si="36"/>
        <v>-4.6666666666666679</v>
      </c>
      <c r="H757" s="8">
        <f t="shared" si="38"/>
        <v>10.666666666666668</v>
      </c>
      <c r="I757">
        <f t="shared" si="37"/>
        <v>10.666666666666668</v>
      </c>
      <c r="J757">
        <f>SUMIF(Oeffentlichkeitsarbeit!$D:$D,$B757,Oeffentlichkeitsarbeit!$F:$F)</f>
        <v>0</v>
      </c>
      <c r="K757">
        <f>COUNTIF(Fairteiler!$D:$D,$B757)*1/2</f>
        <v>0</v>
      </c>
      <c r="L757">
        <f>COUNTIF('NP-Betrieb'!D:D,$B757)*1/3</f>
        <v>5</v>
      </c>
      <c r="M757">
        <f>COUNTIF(Fairteilungen!$D:$D,$B757)*3/4</f>
        <v>0</v>
      </c>
      <c r="N757">
        <f>COUNTIF(Anlieferung!D:D,$B757)*1/2</f>
        <v>0</v>
      </c>
      <c r="O757">
        <f>COUNTIF(Probeabholungen!B:B,$B757)*1/3</f>
        <v>5.666666666666667</v>
      </c>
    </row>
    <row r="758" spans="1:1024" ht="27.6">
      <c r="A758" s="8" t="s">
        <v>730</v>
      </c>
      <c r="B758" s="8">
        <v>225069</v>
      </c>
      <c r="D758" s="29"/>
      <c r="E758" s="1">
        <v>15.67</v>
      </c>
      <c r="F758" s="8">
        <v>6</v>
      </c>
      <c r="G758" s="30">
        <f t="shared" si="36"/>
        <v>21.67</v>
      </c>
      <c r="H758" s="8">
        <f t="shared" si="38"/>
        <v>-15.67</v>
      </c>
      <c r="I758">
        <f t="shared" si="37"/>
        <v>0</v>
      </c>
      <c r="J758">
        <f>SUMIF(Oeffentlichkeitsarbeit!$D:$D,$B758,Oeffentlichkeitsarbeit!$F:$F)</f>
        <v>0</v>
      </c>
      <c r="K758">
        <f>COUNTIF(Fairteiler!$D:$D,$B758)*1/2</f>
        <v>0</v>
      </c>
      <c r="L758">
        <f>COUNTIF('NP-Betrieb'!D:D,$B758)*1/3</f>
        <v>0</v>
      </c>
      <c r="M758">
        <f>COUNTIF(Fairteilungen!$D:$D,$B758)*3/4</f>
        <v>0</v>
      </c>
      <c r="N758">
        <f>COUNTIF(Anlieferung!D:D,$B758)*1/2</f>
        <v>0</v>
      </c>
      <c r="O758">
        <f>COUNTIF(Probeabholungen!B:B,$B758)*1/3</f>
        <v>0</v>
      </c>
    </row>
    <row r="759" spans="1:1024" ht="27.6">
      <c r="A759" s="8" t="s">
        <v>877</v>
      </c>
      <c r="B759" s="8">
        <v>841219</v>
      </c>
      <c r="D759" s="24">
        <v>46043</v>
      </c>
      <c r="E759" s="1">
        <v>0</v>
      </c>
      <c r="F759" s="8">
        <v>5.5</v>
      </c>
      <c r="G759" s="25">
        <f t="shared" si="36"/>
        <v>4.5</v>
      </c>
      <c r="H759" s="8">
        <f t="shared" si="38"/>
        <v>1</v>
      </c>
      <c r="I759">
        <f t="shared" si="37"/>
        <v>1</v>
      </c>
      <c r="J759">
        <f>SUMIF(Oeffentlichkeitsarbeit!$D:$D,$B759,Oeffentlichkeitsarbeit!$F:$F)</f>
        <v>0</v>
      </c>
      <c r="K759">
        <f>COUNTIF(Fairteiler!$D:$D,$B759)*1/2</f>
        <v>0</v>
      </c>
      <c r="L759">
        <f>COUNTIF('NP-Betrieb'!D:D,$B759)*1/3</f>
        <v>1</v>
      </c>
      <c r="M759">
        <f>COUNTIF(Fairteilungen!$D:$D,$B759)*3/4</f>
        <v>0</v>
      </c>
      <c r="N759">
        <f>COUNTIF(Anlieferung!D:D,$B759)*1/2</f>
        <v>0</v>
      </c>
      <c r="O759">
        <f>COUNTIF(Probeabholungen!B:B,$B759)*1/3</f>
        <v>0</v>
      </c>
    </row>
    <row r="760" spans="1:1024" ht="27.6">
      <c r="A760" s="8" t="s">
        <v>878</v>
      </c>
      <c r="B760" s="8">
        <v>407406</v>
      </c>
      <c r="C760" s="18"/>
      <c r="D760" s="24">
        <v>46077</v>
      </c>
      <c r="E760" s="18">
        <v>0</v>
      </c>
      <c r="F760" s="18">
        <v>5</v>
      </c>
      <c r="G760" s="30">
        <f t="shared" si="36"/>
        <v>5</v>
      </c>
      <c r="H760" s="8">
        <f t="shared" si="38"/>
        <v>0</v>
      </c>
      <c r="I760" s="18">
        <f t="shared" si="37"/>
        <v>0</v>
      </c>
      <c r="J760" s="18">
        <f>SUMIF(Oeffentlichkeitsarbeit!$D:$D,$B760,Oeffentlichkeitsarbeit!$F:$F)</f>
        <v>0</v>
      </c>
      <c r="K760" s="18">
        <f>COUNTIF(Fairteiler!$D:$D,$B760)*1/2</f>
        <v>0</v>
      </c>
      <c r="L760" s="18">
        <f>COUNTIF('NP-Betrieb'!D:D,$B760)*1/3</f>
        <v>0</v>
      </c>
      <c r="M760" s="18">
        <f>COUNTIF(Fairteilungen!$D:$D,$B760)*3/4</f>
        <v>0</v>
      </c>
      <c r="N760" s="18">
        <f>COUNTIF(Anlieferung!D:D,$B760)*1/2</f>
        <v>0</v>
      </c>
      <c r="O760" s="18">
        <f>COUNTIF(Probeabholungen!B:B,$B760)*1/3</f>
        <v>0</v>
      </c>
    </row>
    <row r="761" spans="1:1024" ht="27.6">
      <c r="A761" s="8" t="s">
        <v>731</v>
      </c>
      <c r="B761" s="8">
        <v>135988</v>
      </c>
      <c r="D761" s="29"/>
      <c r="E761" s="1">
        <v>0</v>
      </c>
      <c r="F761" s="8">
        <v>6</v>
      </c>
      <c r="G761" s="30">
        <f t="shared" si="36"/>
        <v>5.666666666666667</v>
      </c>
      <c r="H761" s="8">
        <f t="shared" si="38"/>
        <v>0.33333333333333331</v>
      </c>
      <c r="I761">
        <f t="shared" si="37"/>
        <v>0.33333333333333331</v>
      </c>
      <c r="J761">
        <f>SUMIF(Oeffentlichkeitsarbeit!$D:$D,$B761,Oeffentlichkeitsarbeit!$F:$F)</f>
        <v>0</v>
      </c>
      <c r="K761">
        <f>COUNTIF(Fairteiler!$D:$D,$B761)*1/2</f>
        <v>0</v>
      </c>
      <c r="L761">
        <f>COUNTIF('NP-Betrieb'!D:D,$B761)*1/3</f>
        <v>0.33333333333333331</v>
      </c>
      <c r="M761">
        <f>COUNTIF(Fairteilungen!$D:$D,$B761)*3/4</f>
        <v>0</v>
      </c>
      <c r="N761">
        <f>COUNTIF(Anlieferung!D:D,$B761)*1/2</f>
        <v>0</v>
      </c>
      <c r="O761">
        <f>COUNTIF(Probeabholungen!B:B,$B761)*1/3</f>
        <v>0</v>
      </c>
    </row>
    <row r="762" spans="1:1024" ht="27.6">
      <c r="A762" s="8" t="s">
        <v>732</v>
      </c>
      <c r="B762" s="8">
        <v>759294</v>
      </c>
      <c r="D762" s="29">
        <v>45282</v>
      </c>
      <c r="E762" s="1">
        <v>11.3333333333333</v>
      </c>
      <c r="F762" s="8">
        <v>6</v>
      </c>
      <c r="G762" s="30">
        <f t="shared" si="36"/>
        <v>17.3333333333333</v>
      </c>
      <c r="H762" s="8">
        <f t="shared" si="38"/>
        <v>-11.3333333333333</v>
      </c>
      <c r="I762">
        <f t="shared" si="37"/>
        <v>0</v>
      </c>
      <c r="J762">
        <f>SUMIF(Oeffentlichkeitsarbeit!$D:$D,$B762,Oeffentlichkeitsarbeit!$F:$F)</f>
        <v>0</v>
      </c>
      <c r="K762">
        <f>COUNTIF(Fairteiler!$D:$D,$B762)*1/2</f>
        <v>0</v>
      </c>
      <c r="L762">
        <f>COUNTIF('NP-Betrieb'!D:D,$B762)*1/3</f>
        <v>0</v>
      </c>
      <c r="M762">
        <f>COUNTIF(Fairteilungen!$D:$D,$B762)*3/4</f>
        <v>0</v>
      </c>
      <c r="N762">
        <f>COUNTIF(Anlieferung!D:D,$B762)*1/2</f>
        <v>0</v>
      </c>
      <c r="O762">
        <f>COUNTIF(Probeabholungen!B:B,$B762)*1/3</f>
        <v>0</v>
      </c>
    </row>
    <row r="763" spans="1:1024" ht="27.6">
      <c r="A763" s="8" t="s">
        <v>733</v>
      </c>
      <c r="B763" s="8">
        <v>872540</v>
      </c>
      <c r="D763" s="24">
        <v>45563</v>
      </c>
      <c r="E763" s="1">
        <v>0</v>
      </c>
      <c r="F763" s="8">
        <v>6</v>
      </c>
      <c r="G763" s="30">
        <f t="shared" si="36"/>
        <v>-29.333333333333329</v>
      </c>
      <c r="H763" s="8">
        <f t="shared" si="38"/>
        <v>35.333333333333329</v>
      </c>
      <c r="I763">
        <f t="shared" si="37"/>
        <v>35.333333333333329</v>
      </c>
      <c r="J763">
        <f>SUMIF(Oeffentlichkeitsarbeit!$D:$D,$B763,Oeffentlichkeitsarbeit!$F:$F)</f>
        <v>0</v>
      </c>
      <c r="K763">
        <f>COUNTIF(Fairteiler!$D:$D,$B763)*1/2</f>
        <v>7</v>
      </c>
      <c r="L763">
        <f>COUNTIF('NP-Betrieb'!D:D,$B763)*1/3</f>
        <v>28.333333333333332</v>
      </c>
      <c r="M763">
        <f>COUNTIF(Fairteilungen!$D:$D,$B763)*3/4</f>
        <v>0</v>
      </c>
      <c r="N763">
        <f>COUNTIF(Anlieferung!D:D,$B763)*1/2</f>
        <v>0</v>
      </c>
      <c r="O763">
        <f>COUNTIF(Probeabholungen!B:B,$B763)*1/3</f>
        <v>0</v>
      </c>
    </row>
    <row r="764" spans="1:1024" ht="27.6">
      <c r="A764" s="8" t="s">
        <v>734</v>
      </c>
      <c r="B764" s="8">
        <v>854317</v>
      </c>
      <c r="D764" s="24">
        <v>45563</v>
      </c>
      <c r="E764" s="1">
        <v>0</v>
      </c>
      <c r="F764" s="8">
        <v>6</v>
      </c>
      <c r="G764" s="30">
        <f t="shared" si="36"/>
        <v>1.666666666666667</v>
      </c>
      <c r="H764" s="8">
        <f t="shared" si="38"/>
        <v>4.333333333333333</v>
      </c>
      <c r="I764">
        <f t="shared" si="37"/>
        <v>4.333333333333333</v>
      </c>
      <c r="J764">
        <f>SUMIF(Oeffentlichkeitsarbeit!$D:$D,$B764,Oeffentlichkeitsarbeit!$F:$F)</f>
        <v>0</v>
      </c>
      <c r="K764">
        <f>COUNTIF(Fairteiler!$D:$D,$B764)*1/2</f>
        <v>0</v>
      </c>
      <c r="L764">
        <f>COUNTIF('NP-Betrieb'!D:D,$B764)*1/3</f>
        <v>4.333333333333333</v>
      </c>
      <c r="M764">
        <f>COUNTIF(Fairteilungen!$D:$D,$B764)*3/4</f>
        <v>0</v>
      </c>
      <c r="N764">
        <f>COUNTIF(Anlieferung!D:D,$B764)*1/2</f>
        <v>0</v>
      </c>
      <c r="O764">
        <f>COUNTIF(Probeabholungen!B:B,$B764)*1/3</f>
        <v>0</v>
      </c>
    </row>
    <row r="765" spans="1:1024">
      <c r="A765" s="8" t="s">
        <v>735</v>
      </c>
      <c r="B765" s="8">
        <v>829723</v>
      </c>
      <c r="D765" s="29">
        <v>45404</v>
      </c>
      <c r="E765" s="1">
        <v>0</v>
      </c>
      <c r="F765" s="8">
        <v>6</v>
      </c>
      <c r="G765" s="30">
        <f t="shared" si="36"/>
        <v>3.6666666666666665</v>
      </c>
      <c r="H765" s="8">
        <f t="shared" si="38"/>
        <v>2.3333333333333335</v>
      </c>
      <c r="I765">
        <f t="shared" si="37"/>
        <v>2.3333333333333335</v>
      </c>
      <c r="J765">
        <f>SUMIF(Oeffentlichkeitsarbeit!$D:$D,$B765,Oeffentlichkeitsarbeit!$F:$F)</f>
        <v>0</v>
      </c>
      <c r="K765">
        <f>COUNTIF(Fairteiler!$D:$D,$B765)*1/2</f>
        <v>0</v>
      </c>
      <c r="L765">
        <f>COUNTIF('NP-Betrieb'!D:D,$B765)*1/3</f>
        <v>2.3333333333333335</v>
      </c>
      <c r="M765">
        <f>COUNTIF(Fairteilungen!$D:$D,$B765)*3/4</f>
        <v>0</v>
      </c>
      <c r="N765">
        <f>COUNTIF(Anlieferung!D:D,$B765)*1/2</f>
        <v>0</v>
      </c>
      <c r="O765">
        <f>COUNTIF(Probeabholungen!B:B,$B765)*1/3</f>
        <v>0</v>
      </c>
    </row>
    <row r="766" spans="1:1024" ht="27.6">
      <c r="A766" s="8" t="s">
        <v>736</v>
      </c>
      <c r="B766" s="8">
        <v>918562</v>
      </c>
      <c r="D766" s="24">
        <v>45985</v>
      </c>
      <c r="E766" s="1">
        <v>0</v>
      </c>
      <c r="F766">
        <v>6</v>
      </c>
      <c r="G766" s="30">
        <f t="shared" si="36"/>
        <v>5</v>
      </c>
      <c r="H766" s="8">
        <f t="shared" si="38"/>
        <v>1</v>
      </c>
      <c r="I766">
        <f t="shared" si="37"/>
        <v>1</v>
      </c>
      <c r="J766">
        <f>SUMIF(Oeffentlichkeitsarbeit!$D:$D,$B766,Oeffentlichkeitsarbeit!$F:$F)</f>
        <v>0</v>
      </c>
      <c r="K766">
        <f>COUNTIF(Fairteiler!$D:$D,$B766)*1/2</f>
        <v>0</v>
      </c>
      <c r="L766">
        <f>COUNTIF('NP-Betrieb'!D:D,$B766)*1/3</f>
        <v>1</v>
      </c>
      <c r="M766">
        <f>COUNTIF(Fairteilungen!$D:$D,$B766)*3/4</f>
        <v>0</v>
      </c>
      <c r="N766">
        <f>COUNTIF(Anlieferung!D:D,$B766)*1/2</f>
        <v>0</v>
      </c>
      <c r="O766">
        <f>COUNTIF(Probeabholungen!B:B,$B766)*1/3</f>
        <v>0</v>
      </c>
    </row>
    <row r="767" spans="1:1024" ht="27.6">
      <c r="A767" s="8" t="s">
        <v>737</v>
      </c>
      <c r="B767" s="8">
        <v>550755</v>
      </c>
      <c r="D767" s="29">
        <v>45145</v>
      </c>
      <c r="E767" s="1">
        <v>5.6666666666666696</v>
      </c>
      <c r="F767" s="8">
        <v>6</v>
      </c>
      <c r="G767" s="30">
        <f t="shared" si="36"/>
        <v>11.333333333333336</v>
      </c>
      <c r="H767" s="8">
        <f t="shared" si="38"/>
        <v>-5.3333333333333366</v>
      </c>
      <c r="I767">
        <f t="shared" si="37"/>
        <v>0.33333333333333331</v>
      </c>
      <c r="J767">
        <f>SUMIF(Oeffentlichkeitsarbeit!$D:$D,$B767,Oeffentlichkeitsarbeit!$F:$F)</f>
        <v>0</v>
      </c>
      <c r="K767">
        <f>COUNTIF(Fairteiler!$D:$D,$B767)*1/2</f>
        <v>0</v>
      </c>
      <c r="L767">
        <f>COUNTIF('NP-Betrieb'!D:D,$B767)*1/3</f>
        <v>0.33333333333333331</v>
      </c>
      <c r="M767">
        <f>COUNTIF(Fairteilungen!$D:$D,$B767)*3/4</f>
        <v>0</v>
      </c>
      <c r="N767">
        <f>COUNTIF(Anlieferung!D:D,$B767)*1/2</f>
        <v>0</v>
      </c>
      <c r="O767">
        <f>COUNTIF(Probeabholungen!B:B,$B767)*1/3</f>
        <v>0</v>
      </c>
    </row>
    <row r="768" spans="1:1024" ht="27.6">
      <c r="A768" s="8" t="s">
        <v>738</v>
      </c>
      <c r="B768" s="8">
        <v>689126</v>
      </c>
      <c r="D768" s="29"/>
      <c r="E768" s="1">
        <v>0</v>
      </c>
      <c r="F768" s="8">
        <v>6</v>
      </c>
      <c r="G768" s="30">
        <f t="shared" si="36"/>
        <v>4.5</v>
      </c>
      <c r="H768" s="8">
        <f t="shared" si="38"/>
        <v>1.5</v>
      </c>
      <c r="I768">
        <f t="shared" si="37"/>
        <v>1.5</v>
      </c>
      <c r="J768">
        <f>SUMIF(Oeffentlichkeitsarbeit!$D:$D,$B768,Oeffentlichkeitsarbeit!$F:$F)</f>
        <v>1.5</v>
      </c>
      <c r="K768">
        <f>COUNTIF(Fairteiler!$D:$D,$B768)*1/2</f>
        <v>0</v>
      </c>
      <c r="L768">
        <f>COUNTIF('NP-Betrieb'!D:D,$B768)*1/3</f>
        <v>0</v>
      </c>
      <c r="M768">
        <f>COUNTIF(Fairteilungen!$D:$D,$B768)*3/4</f>
        <v>0</v>
      </c>
      <c r="N768">
        <f>COUNTIF(Anlieferung!D:D,$B768)*1/2</f>
        <v>0</v>
      </c>
      <c r="O768">
        <f>COUNTIF(Probeabholungen!B:B,$B768)*1/3</f>
        <v>0</v>
      </c>
    </row>
    <row r="769" spans="1:15" ht="27.6">
      <c r="A769" s="16" t="s">
        <v>739</v>
      </c>
      <c r="B769" s="16">
        <v>112881</v>
      </c>
      <c r="C769" s="16" t="s">
        <v>879</v>
      </c>
      <c r="D769" s="29"/>
      <c r="E769" s="1">
        <v>0</v>
      </c>
      <c r="F769" s="16">
        <v>0</v>
      </c>
      <c r="G769" s="30">
        <f t="shared" si="36"/>
        <v>0</v>
      </c>
      <c r="H769" s="16">
        <f t="shared" si="38"/>
        <v>0</v>
      </c>
      <c r="I769" s="11">
        <f t="shared" si="37"/>
        <v>0</v>
      </c>
      <c r="J769" s="11">
        <f>SUMIF(Oeffentlichkeitsarbeit!$D:$D,$B769,Oeffentlichkeitsarbeit!$F:$F)</f>
        <v>0</v>
      </c>
      <c r="K769" s="11">
        <f>COUNTIF(Fairteiler!$D:$D,$B769)*1/2</f>
        <v>0</v>
      </c>
      <c r="L769" s="11">
        <f>COUNTIF('NP-Betrieb'!D:D,$B769)*1/3</f>
        <v>0</v>
      </c>
      <c r="M769" s="11">
        <f>COUNTIF(Fairteilungen!$D:$D,$B769)*3/4</f>
        <v>0</v>
      </c>
      <c r="N769" s="11">
        <f>COUNTIF(Anlieferung!D:D,$B769)*1/2</f>
        <v>0</v>
      </c>
      <c r="O769" s="11">
        <f>COUNTIF(Probeabholungen!B:B,$B769)*1/3</f>
        <v>0</v>
      </c>
    </row>
    <row r="770" spans="1:15" ht="27.6">
      <c r="A770" s="8" t="s">
        <v>740</v>
      </c>
      <c r="B770" s="8">
        <v>583731</v>
      </c>
      <c r="D770" s="29"/>
      <c r="E770" s="1">
        <v>0</v>
      </c>
      <c r="F770" s="8">
        <v>6</v>
      </c>
      <c r="G770" s="30">
        <f t="shared" ref="G770:G833" si="39">F770-H770</f>
        <v>3</v>
      </c>
      <c r="H770" s="8">
        <f t="shared" si="38"/>
        <v>3</v>
      </c>
      <c r="I770">
        <f t="shared" ref="I770:I833" si="40">SUM(J770:O770)</f>
        <v>3</v>
      </c>
      <c r="J770">
        <f>SUMIF(Oeffentlichkeitsarbeit!$D:$D,$B770,Oeffentlichkeitsarbeit!$F:$F)</f>
        <v>0</v>
      </c>
      <c r="K770">
        <f>COUNTIF(Fairteiler!$D:$D,$B770)*1/2</f>
        <v>0</v>
      </c>
      <c r="L770">
        <f>COUNTIF('NP-Betrieb'!D:D,$B770)*1/3</f>
        <v>3</v>
      </c>
      <c r="M770">
        <f>COUNTIF(Fairteilungen!$D:$D,$B770)*3/4</f>
        <v>0</v>
      </c>
      <c r="N770">
        <f>COUNTIF(Anlieferung!D:D,$B770)*1/2</f>
        <v>0</v>
      </c>
      <c r="O770">
        <f>COUNTIF(Probeabholungen!B:B,$B770)*1/3</f>
        <v>0</v>
      </c>
    </row>
    <row r="771" spans="1:15" ht="27.6">
      <c r="A771" s="8" t="s">
        <v>741</v>
      </c>
      <c r="B771" s="8">
        <v>480346</v>
      </c>
      <c r="D771" s="29"/>
      <c r="E771" s="1">
        <v>0</v>
      </c>
      <c r="F771" s="8">
        <v>6</v>
      </c>
      <c r="G771" s="30">
        <f t="shared" si="39"/>
        <v>-5.3333333333333339</v>
      </c>
      <c r="H771" s="8">
        <f t="shared" si="38"/>
        <v>11.333333333333334</v>
      </c>
      <c r="I771">
        <f t="shared" si="40"/>
        <v>11.333333333333334</v>
      </c>
      <c r="J771">
        <f>SUMIF(Oeffentlichkeitsarbeit!$D:$D,$B771,Oeffentlichkeitsarbeit!$F:$F)</f>
        <v>0</v>
      </c>
      <c r="K771">
        <f>COUNTIF(Fairteiler!$D:$D,$B771)*1/2</f>
        <v>0</v>
      </c>
      <c r="L771">
        <f>COUNTIF('NP-Betrieb'!D:D,$B771)*1/3</f>
        <v>11.333333333333334</v>
      </c>
      <c r="M771">
        <f>COUNTIF(Fairteilungen!$D:$D,$B771)*3/4</f>
        <v>0</v>
      </c>
      <c r="N771">
        <f>COUNTIF(Anlieferung!D:D,$B771)*1/2</f>
        <v>0</v>
      </c>
      <c r="O771">
        <f>COUNTIF(Probeabholungen!B:B,$B771)*1/3</f>
        <v>0</v>
      </c>
    </row>
    <row r="772" spans="1:15" ht="27.6">
      <c r="A772" s="8" t="s">
        <v>742</v>
      </c>
      <c r="B772" s="8">
        <v>2140</v>
      </c>
      <c r="C772" s="8"/>
      <c r="D772" s="29"/>
      <c r="E772" s="1">
        <v>0</v>
      </c>
      <c r="F772" s="8">
        <v>6</v>
      </c>
      <c r="G772" s="30">
        <f t="shared" si="39"/>
        <v>5.333333333333333</v>
      </c>
      <c r="H772" s="8">
        <f t="shared" si="38"/>
        <v>0.66666666666666663</v>
      </c>
      <c r="I772">
        <f t="shared" si="40"/>
        <v>0.66666666666666663</v>
      </c>
      <c r="J772">
        <f>SUMIF(Oeffentlichkeitsarbeit!$D:$D,$B772,Oeffentlichkeitsarbeit!$F:$F)</f>
        <v>0</v>
      </c>
      <c r="K772">
        <f>COUNTIF(Fairteiler!$D:$D,$B772)*1/2</f>
        <v>0</v>
      </c>
      <c r="L772">
        <f>COUNTIF('NP-Betrieb'!D:D,$B772)*1/3</f>
        <v>0.66666666666666663</v>
      </c>
      <c r="M772">
        <f>COUNTIF(Fairteilungen!$D:$D,$B772)*3/4</f>
        <v>0</v>
      </c>
      <c r="N772">
        <f>COUNTIF(Anlieferung!D:D,$B772)*1/2</f>
        <v>0</v>
      </c>
      <c r="O772">
        <f>COUNTIF(Probeabholungen!B:B,$B772)*1/3</f>
        <v>0</v>
      </c>
    </row>
    <row r="773" spans="1:15" ht="27.6">
      <c r="A773" s="8" t="s">
        <v>743</v>
      </c>
      <c r="B773" s="8">
        <v>510959</v>
      </c>
      <c r="D773" s="29"/>
      <c r="E773" s="1">
        <v>0</v>
      </c>
      <c r="F773" s="8">
        <v>6</v>
      </c>
      <c r="G773" s="30">
        <f t="shared" si="39"/>
        <v>2</v>
      </c>
      <c r="H773" s="8">
        <f t="shared" si="38"/>
        <v>4</v>
      </c>
      <c r="I773">
        <f t="shared" si="40"/>
        <v>4</v>
      </c>
      <c r="J773">
        <f>SUMIF(Oeffentlichkeitsarbeit!$D:$D,$B773,Oeffentlichkeitsarbeit!$F:$F)</f>
        <v>0</v>
      </c>
      <c r="K773">
        <f>COUNTIF(Fairteiler!$D:$D,$B773)*1/2</f>
        <v>4</v>
      </c>
      <c r="L773">
        <f>COUNTIF('NP-Betrieb'!D:D,$B773)*1/3</f>
        <v>0</v>
      </c>
      <c r="M773">
        <f>COUNTIF(Fairteilungen!$D:$D,$B773)*3/4</f>
        <v>0</v>
      </c>
      <c r="N773">
        <f>COUNTIF(Anlieferung!D:D,$B773)*1/2</f>
        <v>0</v>
      </c>
      <c r="O773">
        <f>COUNTIF(Probeabholungen!B:B,$B773)*1/3</f>
        <v>0</v>
      </c>
    </row>
    <row r="774" spans="1:15" ht="27.6">
      <c r="A774" s="8" t="s">
        <v>744</v>
      </c>
      <c r="B774" s="8">
        <v>569017</v>
      </c>
      <c r="D774" s="24">
        <v>45526</v>
      </c>
      <c r="E774" s="1">
        <v>8</v>
      </c>
      <c r="F774" s="8">
        <v>6</v>
      </c>
      <c r="G774" s="30">
        <f t="shared" si="39"/>
        <v>14</v>
      </c>
      <c r="H774" s="8">
        <f t="shared" si="38"/>
        <v>-8</v>
      </c>
      <c r="I774">
        <f t="shared" si="40"/>
        <v>0</v>
      </c>
      <c r="J774">
        <f>SUMIF(Oeffentlichkeitsarbeit!$D:$D,$B774,Oeffentlichkeitsarbeit!$F:$F)</f>
        <v>0</v>
      </c>
      <c r="K774">
        <f>COUNTIF(Fairteiler!$D:$D,$B774)*1/2</f>
        <v>0</v>
      </c>
      <c r="L774">
        <f>COUNTIF('NP-Betrieb'!D:D,$B774)*1/3</f>
        <v>0</v>
      </c>
      <c r="M774">
        <f>COUNTIF(Fairteilungen!$D:$D,$B774)*3/4</f>
        <v>0</v>
      </c>
      <c r="N774">
        <f>COUNTIF(Anlieferung!D:D,$B774)*1/2</f>
        <v>0</v>
      </c>
      <c r="O774">
        <f>COUNTIF(Probeabholungen!B:B,$B774)*1/3</f>
        <v>0</v>
      </c>
    </row>
    <row r="775" spans="1:15" ht="27.6">
      <c r="A775" s="8" t="s">
        <v>745</v>
      </c>
      <c r="B775" s="8">
        <v>924438</v>
      </c>
      <c r="D775" s="24">
        <v>45826</v>
      </c>
      <c r="E775" s="1">
        <v>0</v>
      </c>
      <c r="F775">
        <v>6</v>
      </c>
      <c r="G775" s="30">
        <f t="shared" si="39"/>
        <v>5.333333333333333</v>
      </c>
      <c r="H775" s="8">
        <f t="shared" si="38"/>
        <v>0.66666666666666663</v>
      </c>
      <c r="I775">
        <f t="shared" si="40"/>
        <v>0.66666666666666663</v>
      </c>
      <c r="J775">
        <f>SUMIF(Oeffentlichkeitsarbeit!$D:$D,$B775,Oeffentlichkeitsarbeit!$F:$F)</f>
        <v>0</v>
      </c>
      <c r="K775">
        <f>COUNTIF(Fairteiler!$D:$D,$B775)*1/2</f>
        <v>0</v>
      </c>
      <c r="L775">
        <f>COUNTIF('NP-Betrieb'!D:D,$B775)*1/3</f>
        <v>0.66666666666666663</v>
      </c>
      <c r="M775">
        <f>COUNTIF(Fairteilungen!$D:$D,$B775)*3/4</f>
        <v>0</v>
      </c>
      <c r="N775">
        <f>COUNTIF(Anlieferung!D:D,$B775)*1/2</f>
        <v>0</v>
      </c>
      <c r="O775">
        <f>COUNTIF(Probeabholungen!B:B,$B775)*1/3</f>
        <v>0</v>
      </c>
    </row>
    <row r="776" spans="1:15" ht="27.6">
      <c r="A776" s="8" t="s">
        <v>746</v>
      </c>
      <c r="B776" s="8">
        <v>707649</v>
      </c>
      <c r="D776" s="29"/>
      <c r="E776" s="1">
        <v>0</v>
      </c>
      <c r="F776" s="8">
        <v>6</v>
      </c>
      <c r="G776" s="30">
        <f t="shared" si="39"/>
        <v>1.1666666666666661</v>
      </c>
      <c r="H776" s="8">
        <f t="shared" si="38"/>
        <v>4.8333333333333339</v>
      </c>
      <c r="I776">
        <f t="shared" si="40"/>
        <v>4.8333333333333339</v>
      </c>
      <c r="J776">
        <f>SUMIF(Oeffentlichkeitsarbeit!$D:$D,$B776,Oeffentlichkeitsarbeit!$F:$F)</f>
        <v>0</v>
      </c>
      <c r="K776">
        <f>COUNTIF(Fairteiler!$D:$D,$B776)*1/2</f>
        <v>1.5</v>
      </c>
      <c r="L776">
        <f>COUNTIF('NP-Betrieb'!D:D,$B776)*1/3</f>
        <v>3.3333333333333335</v>
      </c>
      <c r="M776">
        <f>COUNTIF(Fairteilungen!$D:$D,$B776)*3/4</f>
        <v>0</v>
      </c>
      <c r="N776">
        <f>COUNTIF(Anlieferung!D:D,$B776)*1/2</f>
        <v>0</v>
      </c>
      <c r="O776">
        <f>COUNTIF(Probeabholungen!B:B,$B776)*1/3</f>
        <v>0</v>
      </c>
    </row>
    <row r="777" spans="1:15" ht="27.6">
      <c r="A777" s="8" t="s">
        <v>747</v>
      </c>
      <c r="B777" s="8">
        <v>557853</v>
      </c>
      <c r="D777" s="29"/>
      <c r="E777" s="1">
        <v>5.3333333333333304</v>
      </c>
      <c r="F777" s="8">
        <v>6</v>
      </c>
      <c r="G777" s="30">
        <f t="shared" si="39"/>
        <v>7.4999999999999964</v>
      </c>
      <c r="H777" s="8">
        <f t="shared" si="38"/>
        <v>-1.4999999999999969</v>
      </c>
      <c r="I777">
        <f t="shared" si="40"/>
        <v>3.8333333333333335</v>
      </c>
      <c r="J777">
        <f>SUMIF(Oeffentlichkeitsarbeit!$D:$D,$B777,Oeffentlichkeitsarbeit!$F:$F)</f>
        <v>3.5</v>
      </c>
      <c r="K777">
        <f>COUNTIF(Fairteiler!$D:$D,$B777)*1/2</f>
        <v>0</v>
      </c>
      <c r="L777">
        <f>COUNTIF('NP-Betrieb'!D:D,$B777)*1/3</f>
        <v>0.33333333333333331</v>
      </c>
      <c r="M777">
        <f>COUNTIF(Fairteilungen!$D:$D,$B777)*3/4</f>
        <v>0</v>
      </c>
      <c r="N777">
        <f>COUNTIF(Anlieferung!D:D,$B777)*1/2</f>
        <v>0</v>
      </c>
      <c r="O777">
        <f>COUNTIF(Probeabholungen!B:B,$B777)*1/3</f>
        <v>0</v>
      </c>
    </row>
    <row r="778" spans="1:15" ht="27.6">
      <c r="A778" s="8" t="s">
        <v>748</v>
      </c>
      <c r="B778" s="8">
        <v>674990</v>
      </c>
      <c r="D778" s="29"/>
      <c r="E778" s="1">
        <v>0</v>
      </c>
      <c r="F778" s="8">
        <v>6</v>
      </c>
      <c r="G778" s="30">
        <f t="shared" si="39"/>
        <v>3.3333333333333335</v>
      </c>
      <c r="H778" s="8">
        <f t="shared" si="38"/>
        <v>2.6666666666666665</v>
      </c>
      <c r="I778">
        <f t="shared" si="40"/>
        <v>2.6666666666666665</v>
      </c>
      <c r="J778">
        <f>SUMIF(Oeffentlichkeitsarbeit!$D:$D,$B778,Oeffentlichkeitsarbeit!$F:$F)</f>
        <v>0</v>
      </c>
      <c r="K778">
        <f>COUNTIF(Fairteiler!$D:$D,$B778)*1/2</f>
        <v>0</v>
      </c>
      <c r="L778">
        <f>COUNTIF('NP-Betrieb'!D:D,$B778)*1/3</f>
        <v>2.6666666666666665</v>
      </c>
      <c r="M778">
        <f>COUNTIF(Fairteilungen!$D:$D,$B778)*3/4</f>
        <v>0</v>
      </c>
      <c r="N778">
        <f>COUNTIF(Anlieferung!D:D,$B778)*1/2</f>
        <v>0</v>
      </c>
      <c r="O778">
        <f>COUNTIF(Probeabholungen!B:B,$B778)*1/3</f>
        <v>0</v>
      </c>
    </row>
    <row r="779" spans="1:15">
      <c r="A779" s="8" t="s">
        <v>749</v>
      </c>
      <c r="B779" s="8">
        <v>473022</v>
      </c>
      <c r="D779" s="29"/>
      <c r="E779" s="1">
        <v>0</v>
      </c>
      <c r="F779" s="8">
        <v>6</v>
      </c>
      <c r="G779" s="30">
        <f t="shared" si="39"/>
        <v>0.5</v>
      </c>
      <c r="H779" s="8">
        <f t="shared" si="38"/>
        <v>5.5</v>
      </c>
      <c r="I779">
        <f t="shared" si="40"/>
        <v>5.5</v>
      </c>
      <c r="J779">
        <f>SUMIF(Oeffentlichkeitsarbeit!$D:$D,$B779,Oeffentlichkeitsarbeit!$F:$F)</f>
        <v>0</v>
      </c>
      <c r="K779">
        <f>COUNTIF(Fairteiler!$D:$D,$B779)*1/2</f>
        <v>5.5</v>
      </c>
      <c r="L779">
        <f>COUNTIF('NP-Betrieb'!D:D,$B779)*1/3</f>
        <v>0</v>
      </c>
      <c r="M779">
        <f>COUNTIF(Fairteilungen!$D:$D,$B779)*3/4</f>
        <v>0</v>
      </c>
      <c r="N779">
        <f>COUNTIF(Anlieferung!D:D,$B779)*1/2</f>
        <v>0</v>
      </c>
      <c r="O779">
        <f>COUNTIF(Probeabholungen!B:B,$B779)*1/3</f>
        <v>0</v>
      </c>
    </row>
    <row r="780" spans="1:15">
      <c r="A780" s="8" t="s">
        <v>750</v>
      </c>
      <c r="B780" s="8">
        <v>497539</v>
      </c>
      <c r="D780" s="29"/>
      <c r="E780" s="1">
        <v>0</v>
      </c>
      <c r="F780" s="8">
        <v>6</v>
      </c>
      <c r="G780" s="30">
        <f t="shared" si="39"/>
        <v>6</v>
      </c>
      <c r="H780" s="8">
        <f t="shared" si="38"/>
        <v>0</v>
      </c>
      <c r="I780">
        <f t="shared" si="40"/>
        <v>0</v>
      </c>
      <c r="J780">
        <f>SUMIF(Oeffentlichkeitsarbeit!$D:$D,$B780,Oeffentlichkeitsarbeit!$F:$F)</f>
        <v>0</v>
      </c>
      <c r="K780">
        <f>COUNTIF(Fairteiler!$D:$D,$B780)*1/2</f>
        <v>0</v>
      </c>
      <c r="L780">
        <f>COUNTIF('NP-Betrieb'!D:D,$B780)*1/3</f>
        <v>0</v>
      </c>
      <c r="M780">
        <f>COUNTIF(Fairteilungen!$D:$D,$B780)*3/4</f>
        <v>0</v>
      </c>
      <c r="N780">
        <f>COUNTIF(Anlieferung!D:D,$B780)*1/2</f>
        <v>0</v>
      </c>
      <c r="O780">
        <f>COUNTIF(Probeabholungen!B:B,$B780)*1/3</f>
        <v>0</v>
      </c>
    </row>
    <row r="781" spans="1:15">
      <c r="A781" s="8" t="s">
        <v>751</v>
      </c>
      <c r="B781" s="8">
        <v>322182</v>
      </c>
      <c r="D781" s="29"/>
      <c r="E781" s="1">
        <v>0</v>
      </c>
      <c r="F781" s="8">
        <v>6</v>
      </c>
      <c r="G781" s="30">
        <f t="shared" si="39"/>
        <v>4.666666666666667</v>
      </c>
      <c r="H781" s="8">
        <f t="shared" si="38"/>
        <v>1.3333333333333333</v>
      </c>
      <c r="I781">
        <f t="shared" si="40"/>
        <v>1.3333333333333333</v>
      </c>
      <c r="J781">
        <f>SUMIF(Oeffentlichkeitsarbeit!$D:$D,$B781,Oeffentlichkeitsarbeit!$F:$F)</f>
        <v>0</v>
      </c>
      <c r="K781">
        <f>COUNTIF(Fairteiler!$D:$D,$B781)*1/2</f>
        <v>0</v>
      </c>
      <c r="L781">
        <f>COUNTIF('NP-Betrieb'!D:D,$B781)*1/3</f>
        <v>1</v>
      </c>
      <c r="M781">
        <f>COUNTIF(Fairteilungen!$D:$D,$B781)*3/4</f>
        <v>0</v>
      </c>
      <c r="N781">
        <f>COUNTIF(Anlieferung!D:D,$B781)*1/2</f>
        <v>0</v>
      </c>
      <c r="O781">
        <f>COUNTIF(Probeabholungen!B:B,$B781)*1/3</f>
        <v>0.33333333333333331</v>
      </c>
    </row>
    <row r="782" spans="1:15" ht="27.6">
      <c r="A782" s="8" t="s">
        <v>752</v>
      </c>
      <c r="B782" s="8">
        <v>877533</v>
      </c>
      <c r="D782" s="24">
        <v>45732</v>
      </c>
      <c r="E782" s="1">
        <v>4.1666666666666696</v>
      </c>
      <c r="F782">
        <v>6</v>
      </c>
      <c r="G782" s="30">
        <f t="shared" si="39"/>
        <v>10.16666666666667</v>
      </c>
      <c r="H782" s="8">
        <f t="shared" si="38"/>
        <v>-4.1666666666666696</v>
      </c>
      <c r="I782">
        <f t="shared" si="40"/>
        <v>0</v>
      </c>
      <c r="J782">
        <f>SUMIF(Oeffentlichkeitsarbeit!$D:$D,$B782,Oeffentlichkeitsarbeit!$F:$F)</f>
        <v>0</v>
      </c>
      <c r="K782">
        <f>COUNTIF(Fairteiler!$D:$D,$B782)*1/2</f>
        <v>0</v>
      </c>
      <c r="L782">
        <f>COUNTIF('NP-Betrieb'!D:D,$B782)*1/3</f>
        <v>0</v>
      </c>
      <c r="M782">
        <f>COUNTIF(Fairteilungen!$D:$D,$B782)*3/4</f>
        <v>0</v>
      </c>
      <c r="N782">
        <f>COUNTIF(Anlieferung!D:D,$B782)*1/2</f>
        <v>0</v>
      </c>
      <c r="O782">
        <f>COUNTIF(Probeabholungen!B:B,$B782)*1/3</f>
        <v>0</v>
      </c>
    </row>
    <row r="783" spans="1:15" ht="27.6">
      <c r="A783" s="8" t="s">
        <v>753</v>
      </c>
      <c r="B783" s="8">
        <v>420896</v>
      </c>
      <c r="C783" s="18"/>
      <c r="D783" s="29"/>
      <c r="E783" s="1">
        <v>6</v>
      </c>
      <c r="F783" s="8">
        <v>6</v>
      </c>
      <c r="G783" s="30">
        <f t="shared" si="39"/>
        <v>12</v>
      </c>
      <c r="H783" s="8">
        <f t="shared" si="38"/>
        <v>-6</v>
      </c>
      <c r="I783" s="18">
        <f t="shared" si="40"/>
        <v>0</v>
      </c>
      <c r="J783" s="18">
        <f>SUMIF(Oeffentlichkeitsarbeit!$D:$D,$B783,Oeffentlichkeitsarbeit!$F:$F)</f>
        <v>0</v>
      </c>
      <c r="K783" s="18">
        <f>COUNTIF(Fairteiler!$D:$D,$B783)*1/2</f>
        <v>0</v>
      </c>
      <c r="L783" s="18">
        <f>COUNTIF('NP-Betrieb'!D:D,$B783)*1/3</f>
        <v>0</v>
      </c>
      <c r="M783" s="18">
        <f>COUNTIF(Fairteilungen!$D:$D,$B783)*3/4</f>
        <v>0</v>
      </c>
      <c r="N783" s="18">
        <f>COUNTIF(Anlieferung!D:D,$B783)*1/2</f>
        <v>0</v>
      </c>
      <c r="O783" s="18">
        <f>COUNTIF(Probeabholungen!B:B,$B783)*1/3</f>
        <v>0</v>
      </c>
    </row>
    <row r="784" spans="1:15" ht="27.6">
      <c r="A784" s="8" t="s">
        <v>754</v>
      </c>
      <c r="B784" s="8">
        <v>904795</v>
      </c>
      <c r="D784" s="24">
        <v>45749</v>
      </c>
      <c r="E784" s="1">
        <v>0</v>
      </c>
      <c r="F784">
        <v>6</v>
      </c>
      <c r="G784" s="30">
        <f t="shared" si="39"/>
        <v>-3.1666666666666679</v>
      </c>
      <c r="H784" s="8">
        <f t="shared" si="38"/>
        <v>9.1666666666666679</v>
      </c>
      <c r="I784">
        <f t="shared" si="40"/>
        <v>9.1666666666666679</v>
      </c>
      <c r="J784">
        <f>SUMIF(Oeffentlichkeitsarbeit!$D:$D,$B784,Oeffentlichkeitsarbeit!$F:$F)</f>
        <v>0</v>
      </c>
      <c r="K784">
        <f>COUNTIF(Fairteiler!$D:$D,$B784)*1/2</f>
        <v>4.5</v>
      </c>
      <c r="L784">
        <f>COUNTIF('NP-Betrieb'!D:D,$B784)*1/3</f>
        <v>4.666666666666667</v>
      </c>
      <c r="M784">
        <f>COUNTIF(Fairteilungen!$D:$D,$B784)*3/4</f>
        <v>0</v>
      </c>
      <c r="N784">
        <f>COUNTIF(Anlieferung!D:D,$B784)*1/2</f>
        <v>0</v>
      </c>
      <c r="O784">
        <f>COUNTIF(Probeabholungen!B:B,$B784)*1/3</f>
        <v>0</v>
      </c>
    </row>
    <row r="785" spans="1:1024" ht="27.6">
      <c r="A785" s="8" t="s">
        <v>755</v>
      </c>
      <c r="B785" s="8">
        <v>488062</v>
      </c>
      <c r="D785" s="29"/>
      <c r="E785" s="1">
        <v>3</v>
      </c>
      <c r="F785" s="8">
        <v>6</v>
      </c>
      <c r="G785" s="30">
        <f t="shared" si="39"/>
        <v>2.333333333333333</v>
      </c>
      <c r="H785" s="8">
        <f t="shared" si="38"/>
        <v>3.666666666666667</v>
      </c>
      <c r="I785">
        <f t="shared" si="40"/>
        <v>6.666666666666667</v>
      </c>
      <c r="J785">
        <f>SUMIF(Oeffentlichkeitsarbeit!$D:$D,$B785,Oeffentlichkeitsarbeit!$F:$F)</f>
        <v>0</v>
      </c>
      <c r="K785">
        <f>COUNTIF(Fairteiler!$D:$D,$B785)*1/2</f>
        <v>6</v>
      </c>
      <c r="L785">
        <f>COUNTIF('NP-Betrieb'!D:D,$B785)*1/3</f>
        <v>0.66666666666666663</v>
      </c>
      <c r="M785">
        <f>COUNTIF(Fairteilungen!$D:$D,$B785)*3/4</f>
        <v>0</v>
      </c>
      <c r="N785">
        <f>COUNTIF(Anlieferung!D:D,$B785)*1/2</f>
        <v>0</v>
      </c>
      <c r="O785">
        <f>COUNTIF(Probeabholungen!B:B,$B785)*1/3</f>
        <v>0</v>
      </c>
    </row>
    <row r="786" spans="1:1024" ht="27.6">
      <c r="A786" s="8" t="s">
        <v>756</v>
      </c>
      <c r="B786" s="8">
        <v>11467</v>
      </c>
      <c r="D786" s="29"/>
      <c r="E786" s="1">
        <v>0</v>
      </c>
      <c r="F786" s="8">
        <v>6</v>
      </c>
      <c r="G786" s="30">
        <f t="shared" si="39"/>
        <v>0.66666666666666696</v>
      </c>
      <c r="H786" s="8">
        <f t="shared" si="38"/>
        <v>5.333333333333333</v>
      </c>
      <c r="I786">
        <f t="shared" si="40"/>
        <v>5.333333333333333</v>
      </c>
      <c r="J786">
        <f>SUMIF(Oeffentlichkeitsarbeit!$D:$D,$B786,Oeffentlichkeitsarbeit!$F:$F)</f>
        <v>0</v>
      </c>
      <c r="K786">
        <f>COUNTIF(Fairteiler!$D:$D,$B786)*1/2</f>
        <v>0</v>
      </c>
      <c r="L786">
        <f>COUNTIF('NP-Betrieb'!D:D,$B786)*1/3</f>
        <v>5.333333333333333</v>
      </c>
      <c r="M786">
        <f>COUNTIF(Fairteilungen!$D:$D,$B786)*3/4</f>
        <v>0</v>
      </c>
      <c r="N786">
        <f>COUNTIF(Anlieferung!D:D,$B786)*1/2</f>
        <v>0</v>
      </c>
      <c r="O786">
        <f>COUNTIF(Probeabholungen!B:B,$B786)*1/3</f>
        <v>0</v>
      </c>
    </row>
    <row r="787" spans="1:1024" ht="27.6">
      <c r="A787" s="14" t="s">
        <v>757</v>
      </c>
      <c r="B787" s="14">
        <v>610024</v>
      </c>
      <c r="C787" s="38" t="s">
        <v>839</v>
      </c>
      <c r="D787" s="42"/>
      <c r="E787" s="1">
        <v>0</v>
      </c>
      <c r="F787" s="14">
        <v>0</v>
      </c>
      <c r="G787" s="43">
        <f t="shared" si="39"/>
        <v>-1</v>
      </c>
      <c r="H787" s="14">
        <f t="shared" si="38"/>
        <v>1</v>
      </c>
      <c r="I787" s="38">
        <f t="shared" si="40"/>
        <v>1</v>
      </c>
      <c r="J787" s="38">
        <f>SUMIF(Oeffentlichkeitsarbeit!$D:$D,$B787,Oeffentlichkeitsarbeit!$F:$F)</f>
        <v>0</v>
      </c>
      <c r="K787" s="38">
        <f>COUNTIF(Fairteiler!$D:$D,$B787)*1/2</f>
        <v>0</v>
      </c>
      <c r="L787" s="11">
        <f>COUNTIF('NP-Betrieb'!D:D,$B787)*1/3</f>
        <v>1</v>
      </c>
      <c r="M787" s="38">
        <f>COUNTIF(Fairteilungen!$D:$D,$B787)*3/4</f>
        <v>0</v>
      </c>
      <c r="N787" s="38">
        <f>COUNTIF(Anlieferung!D:D,$B787)*1/2</f>
        <v>0</v>
      </c>
      <c r="O787" s="38">
        <f>COUNTIF(Probeabholungen!B:B,$B787)*1/3</f>
        <v>0</v>
      </c>
    </row>
    <row r="788" spans="1:1024">
      <c r="A788" s="8" t="s">
        <v>758</v>
      </c>
      <c r="B788" s="8">
        <v>108126</v>
      </c>
      <c r="C788" s="8"/>
      <c r="D788" s="29"/>
      <c r="E788" s="1">
        <v>13</v>
      </c>
      <c r="F788" s="8">
        <v>6</v>
      </c>
      <c r="G788" s="30">
        <f t="shared" si="39"/>
        <v>19</v>
      </c>
      <c r="H788" s="8">
        <f t="shared" si="38"/>
        <v>-13</v>
      </c>
      <c r="I788">
        <f t="shared" si="40"/>
        <v>0</v>
      </c>
      <c r="J788">
        <f>SUMIF(Oeffentlichkeitsarbeit!$D:$D,$B788,Oeffentlichkeitsarbeit!$F:$F)</f>
        <v>0</v>
      </c>
      <c r="K788">
        <f>COUNTIF(Fairteiler!$D:$D,$B788)*1/2</f>
        <v>0</v>
      </c>
      <c r="L788">
        <f>COUNTIF('NP-Betrieb'!D:D,$B788)*1/3</f>
        <v>0</v>
      </c>
      <c r="M788">
        <f>COUNTIF(Fairteilungen!$D:$D,$B788)*3/4</f>
        <v>0</v>
      </c>
      <c r="N788">
        <f>COUNTIF(Anlieferung!D:D,$B788)*1/2</f>
        <v>0</v>
      </c>
      <c r="O788">
        <f>COUNTIF(Probeabholungen!B:B,$B788)*1/3</f>
        <v>0</v>
      </c>
    </row>
    <row r="789" spans="1:1024">
      <c r="A789" s="8" t="s">
        <v>759</v>
      </c>
      <c r="B789" s="8">
        <v>523693</v>
      </c>
      <c r="D789" s="29"/>
      <c r="E789" s="1">
        <v>11.6666666666667</v>
      </c>
      <c r="F789" s="8">
        <v>6</v>
      </c>
      <c r="G789" s="30">
        <f t="shared" si="39"/>
        <v>17.6666666666667</v>
      </c>
      <c r="H789" s="8">
        <f t="shared" si="38"/>
        <v>-11.6666666666667</v>
      </c>
      <c r="I789">
        <f t="shared" si="40"/>
        <v>0</v>
      </c>
      <c r="J789">
        <f>SUMIF(Oeffentlichkeitsarbeit!$D:$D,$B789,Oeffentlichkeitsarbeit!$F:$F)</f>
        <v>0</v>
      </c>
      <c r="K789">
        <f>COUNTIF(Fairteiler!$D:$D,$B789)*1/2</f>
        <v>0</v>
      </c>
      <c r="L789">
        <f>COUNTIF('NP-Betrieb'!D:D,$B789)*1/3</f>
        <v>0</v>
      </c>
      <c r="M789">
        <f>COUNTIF(Fairteilungen!$D:$D,$B789)*3/4</f>
        <v>0</v>
      </c>
      <c r="N789">
        <f>COUNTIF(Anlieferung!D:D,$B789)*1/2</f>
        <v>0</v>
      </c>
      <c r="O789">
        <f>COUNTIF(Probeabholungen!B:B,$B789)*1/3</f>
        <v>0</v>
      </c>
    </row>
    <row r="790" spans="1:1024" s="44" customFormat="1" ht="27.6">
      <c r="A790" s="8" t="s">
        <v>760</v>
      </c>
      <c r="B790" s="8">
        <v>860528</v>
      </c>
      <c r="C790"/>
      <c r="D790" s="24">
        <v>45607</v>
      </c>
      <c r="E790" s="1">
        <v>6</v>
      </c>
      <c r="F790" s="8">
        <v>6</v>
      </c>
      <c r="G790" s="30">
        <f t="shared" si="39"/>
        <v>12</v>
      </c>
      <c r="H790" s="8">
        <f t="shared" si="38"/>
        <v>-6</v>
      </c>
      <c r="I790">
        <f t="shared" si="40"/>
        <v>0</v>
      </c>
      <c r="J790">
        <f>SUMIF(Oeffentlichkeitsarbeit!$D:$D,$B790,Oeffentlichkeitsarbeit!$F:$F)</f>
        <v>0</v>
      </c>
      <c r="K790">
        <f>COUNTIF(Fairteiler!$D:$D,$B790)*1/2</f>
        <v>0</v>
      </c>
      <c r="L790">
        <f>COUNTIF('NP-Betrieb'!D:D,$B790)*1/3</f>
        <v>0</v>
      </c>
      <c r="M790">
        <f>COUNTIF(Fairteilungen!$D:$D,$B790)*3/4</f>
        <v>0</v>
      </c>
      <c r="N790">
        <f>COUNTIF(Anlieferung!D:D,$B790)*1/2</f>
        <v>0</v>
      </c>
      <c r="O790">
        <f>COUNTIF(Probeabholungen!B:B,$B790)*1/3</f>
        <v>0</v>
      </c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  <c r="AZ790"/>
      <c r="BA790"/>
      <c r="BB790"/>
      <c r="BC790"/>
      <c r="BD790"/>
      <c r="BE790"/>
      <c r="BF790"/>
      <c r="BG790"/>
      <c r="BH790"/>
      <c r="BI790"/>
      <c r="BJ790"/>
      <c r="BK790"/>
      <c r="BL790"/>
      <c r="BM790"/>
      <c r="BN790"/>
      <c r="BO790"/>
      <c r="BP790"/>
      <c r="BQ790"/>
      <c r="BR790"/>
      <c r="BS790"/>
      <c r="BT790"/>
      <c r="BU790"/>
      <c r="BV790"/>
      <c r="BW790"/>
      <c r="BX790"/>
      <c r="BY790"/>
      <c r="BZ790"/>
      <c r="CA790"/>
      <c r="CB790"/>
      <c r="CC790"/>
      <c r="CD790"/>
      <c r="CE790"/>
      <c r="CF790"/>
      <c r="CG790"/>
      <c r="CH790"/>
      <c r="CI790"/>
      <c r="CJ790"/>
      <c r="CK790"/>
      <c r="CL790"/>
      <c r="CM790"/>
      <c r="CN790"/>
      <c r="CO790"/>
      <c r="CP790"/>
      <c r="CQ790"/>
      <c r="CR790"/>
      <c r="CS790"/>
      <c r="CT790"/>
      <c r="CU790"/>
      <c r="CV790"/>
      <c r="CW790"/>
      <c r="CX790"/>
      <c r="CY790"/>
      <c r="CZ790"/>
      <c r="DA790"/>
      <c r="DB790"/>
      <c r="DC790"/>
      <c r="DD790"/>
      <c r="DE790"/>
      <c r="DF790"/>
      <c r="DG790"/>
      <c r="DH790"/>
      <c r="DI790"/>
      <c r="DJ790"/>
      <c r="DK790"/>
      <c r="DL790"/>
      <c r="DM790"/>
      <c r="DN790"/>
      <c r="DO790"/>
      <c r="DP790"/>
      <c r="DQ790"/>
      <c r="DR790"/>
      <c r="DS790"/>
      <c r="DT790"/>
      <c r="DU790"/>
      <c r="DV790"/>
      <c r="DW790"/>
      <c r="DX790"/>
      <c r="DY790"/>
      <c r="DZ790"/>
      <c r="EA790"/>
      <c r="EB790"/>
      <c r="EC790"/>
      <c r="ED790"/>
      <c r="EE790"/>
      <c r="EF790"/>
      <c r="EG790"/>
      <c r="EH790"/>
      <c r="EI790"/>
      <c r="EJ790"/>
      <c r="EK790"/>
      <c r="EL790"/>
      <c r="EM790"/>
      <c r="EN790"/>
      <c r="EO790"/>
      <c r="EP790"/>
      <c r="EQ790"/>
      <c r="ER790"/>
      <c r="ES790"/>
      <c r="ET790"/>
      <c r="EU790"/>
      <c r="EV790"/>
      <c r="EW790"/>
      <c r="EX790"/>
      <c r="EY790"/>
      <c r="EZ790"/>
      <c r="FA790"/>
      <c r="FB790"/>
      <c r="FC790"/>
      <c r="FD790"/>
      <c r="FE790"/>
      <c r="FF790"/>
      <c r="FG790"/>
      <c r="FH790"/>
      <c r="FI790"/>
      <c r="FJ790"/>
      <c r="FK790"/>
      <c r="FL790"/>
      <c r="FM790"/>
      <c r="FN790"/>
      <c r="FO790"/>
      <c r="FP790"/>
      <c r="FQ790"/>
      <c r="FR790"/>
      <c r="FS790"/>
      <c r="FT790"/>
      <c r="FU790"/>
      <c r="FV790"/>
      <c r="FW790"/>
      <c r="FX790"/>
      <c r="FY790"/>
      <c r="FZ790"/>
      <c r="GA790"/>
      <c r="GB790"/>
      <c r="GC790"/>
      <c r="GD790"/>
      <c r="GE790"/>
      <c r="GF790"/>
      <c r="GG790"/>
      <c r="GH790"/>
      <c r="GI790"/>
      <c r="GJ790"/>
      <c r="GK790"/>
      <c r="GL790"/>
      <c r="GM790"/>
      <c r="GN790"/>
      <c r="GO790"/>
      <c r="GP790"/>
      <c r="GQ790"/>
      <c r="GR790"/>
      <c r="GS790"/>
      <c r="GT790"/>
      <c r="GU790"/>
      <c r="GV790"/>
      <c r="GW790"/>
      <c r="GX790"/>
      <c r="GY790"/>
      <c r="GZ790"/>
      <c r="HA790"/>
      <c r="HB790"/>
      <c r="HC790"/>
      <c r="HD790"/>
      <c r="HE790"/>
      <c r="HF790"/>
      <c r="HG790"/>
      <c r="HH790"/>
      <c r="HI790"/>
      <c r="HJ790"/>
      <c r="HK790"/>
      <c r="HL790"/>
      <c r="HM790"/>
      <c r="HN790"/>
      <c r="HO790"/>
      <c r="HP790"/>
      <c r="HQ790"/>
      <c r="HR790"/>
      <c r="HS790"/>
      <c r="HT790"/>
      <c r="HU790"/>
      <c r="HV790"/>
      <c r="HW790"/>
      <c r="HX790"/>
      <c r="HY790"/>
      <c r="HZ790"/>
      <c r="IA790"/>
      <c r="IB790"/>
      <c r="IC790"/>
      <c r="ID790"/>
      <c r="IE790"/>
      <c r="IF790"/>
      <c r="IG790"/>
      <c r="IH790"/>
      <c r="II790"/>
      <c r="IJ790"/>
      <c r="IK790"/>
      <c r="IL790"/>
      <c r="IM790"/>
      <c r="IN790"/>
      <c r="IO790"/>
      <c r="IP790"/>
      <c r="IQ790"/>
      <c r="IR790"/>
      <c r="IS790"/>
      <c r="IT790"/>
      <c r="IU790"/>
      <c r="IV790"/>
      <c r="IW790"/>
      <c r="IX790"/>
      <c r="IY790"/>
      <c r="IZ790"/>
      <c r="JA790"/>
      <c r="JB790"/>
      <c r="JC790"/>
      <c r="JD790"/>
      <c r="JE790"/>
      <c r="JF790"/>
      <c r="JG790"/>
      <c r="JH790"/>
      <c r="JI790"/>
      <c r="JJ790"/>
      <c r="JK790"/>
      <c r="JL790"/>
      <c r="JM790"/>
      <c r="JN790"/>
      <c r="JO790"/>
      <c r="JP790"/>
      <c r="JQ790"/>
      <c r="JR790"/>
      <c r="JS790"/>
      <c r="JT790"/>
      <c r="JU790"/>
      <c r="JV790"/>
      <c r="JW790"/>
      <c r="JX790"/>
      <c r="JY790"/>
      <c r="JZ790"/>
      <c r="KA790"/>
      <c r="KB790"/>
      <c r="KC790"/>
      <c r="KD790"/>
      <c r="KE790"/>
      <c r="KF790"/>
      <c r="KG790"/>
      <c r="KH790"/>
      <c r="KI790"/>
      <c r="KJ790"/>
      <c r="KK790"/>
      <c r="KL790"/>
      <c r="KM790"/>
      <c r="KN790"/>
      <c r="KO790"/>
      <c r="KP790"/>
      <c r="KQ790"/>
      <c r="KR790"/>
      <c r="KS790"/>
      <c r="KT790"/>
      <c r="KU790"/>
      <c r="KV790"/>
      <c r="KW790"/>
      <c r="KX790"/>
      <c r="KY790"/>
      <c r="KZ790"/>
      <c r="LA790"/>
      <c r="LB790"/>
      <c r="LC790"/>
      <c r="LD790"/>
      <c r="LE790"/>
      <c r="LF790"/>
      <c r="LG790"/>
      <c r="LH790"/>
      <c r="LI790"/>
      <c r="LJ790"/>
      <c r="LK790"/>
      <c r="LL790"/>
      <c r="LM790"/>
      <c r="LN790"/>
      <c r="LO790"/>
      <c r="LP790"/>
      <c r="LQ790"/>
      <c r="LR790"/>
      <c r="LS790"/>
      <c r="LT790"/>
      <c r="LU790"/>
      <c r="LV790"/>
      <c r="LW790"/>
      <c r="LX790"/>
      <c r="LY790"/>
      <c r="LZ790"/>
      <c r="MA790"/>
      <c r="MB790"/>
      <c r="MC790"/>
      <c r="MD790"/>
      <c r="ME790"/>
      <c r="MF790"/>
      <c r="MG790"/>
      <c r="MH790"/>
      <c r="MI790"/>
      <c r="MJ790"/>
      <c r="MK790"/>
      <c r="ML790"/>
      <c r="MM790"/>
      <c r="MN790"/>
      <c r="MO790"/>
      <c r="MP790"/>
      <c r="MQ790"/>
      <c r="MR790"/>
      <c r="MS790"/>
      <c r="MT790"/>
      <c r="MU790"/>
      <c r="MV790"/>
      <c r="MW790"/>
      <c r="MX790"/>
      <c r="MY790"/>
      <c r="MZ790"/>
      <c r="NA790"/>
      <c r="NB790"/>
      <c r="NC790"/>
      <c r="ND790"/>
      <c r="NE790"/>
      <c r="NF790"/>
      <c r="NG790"/>
      <c r="NH790"/>
      <c r="NI790"/>
      <c r="NJ790"/>
      <c r="NK790"/>
      <c r="NL790"/>
      <c r="NM790"/>
      <c r="NN790"/>
      <c r="NO790"/>
      <c r="NP790"/>
      <c r="NQ790"/>
      <c r="NR790"/>
      <c r="NS790"/>
      <c r="NT790"/>
      <c r="NU790"/>
      <c r="NV790"/>
      <c r="NW790"/>
      <c r="NX790"/>
      <c r="NY790"/>
      <c r="NZ790"/>
      <c r="OA790"/>
      <c r="OB790"/>
      <c r="OC790"/>
      <c r="OD790"/>
      <c r="OE790"/>
      <c r="OF790"/>
      <c r="OG790"/>
      <c r="OH790"/>
      <c r="OI790"/>
      <c r="OJ790"/>
      <c r="OK790"/>
      <c r="OL790"/>
      <c r="OM790"/>
      <c r="ON790"/>
      <c r="OO790"/>
      <c r="OP790"/>
      <c r="OQ790"/>
      <c r="OR790"/>
      <c r="OS790"/>
      <c r="OT790"/>
      <c r="OU790"/>
      <c r="OV790"/>
      <c r="OW790"/>
      <c r="OX790"/>
      <c r="OY790"/>
      <c r="OZ790"/>
      <c r="PA790"/>
      <c r="PB790"/>
      <c r="PC790"/>
      <c r="PD790"/>
      <c r="PE790"/>
      <c r="PF790"/>
      <c r="PG790"/>
      <c r="PH790"/>
      <c r="PI790"/>
      <c r="PJ790"/>
      <c r="PK790"/>
      <c r="PL790"/>
      <c r="PM790"/>
      <c r="PN790"/>
      <c r="PO790"/>
      <c r="PP790"/>
      <c r="PQ790"/>
      <c r="PR790"/>
      <c r="PS790"/>
      <c r="PT790"/>
      <c r="PU790"/>
      <c r="PV790"/>
      <c r="PW790"/>
      <c r="PX790"/>
      <c r="PY790"/>
      <c r="PZ790"/>
      <c r="QA790"/>
      <c r="QB790"/>
      <c r="QC790"/>
      <c r="QD790"/>
      <c r="QE790"/>
      <c r="QF790"/>
      <c r="QG790"/>
      <c r="QH790"/>
      <c r="QI790"/>
      <c r="QJ790"/>
      <c r="QK790"/>
      <c r="QL790"/>
      <c r="QM790"/>
      <c r="QN790"/>
      <c r="QO790"/>
      <c r="QP790"/>
      <c r="QQ790"/>
      <c r="QR790"/>
      <c r="QS790"/>
      <c r="QT790"/>
      <c r="QU790"/>
      <c r="QV790"/>
      <c r="QW790"/>
      <c r="QX790"/>
      <c r="QY790"/>
      <c r="QZ790"/>
      <c r="RA790"/>
      <c r="RB790"/>
      <c r="RC790"/>
      <c r="RD790"/>
      <c r="RE790"/>
      <c r="RF790"/>
      <c r="RG790"/>
      <c r="RH790"/>
      <c r="RI790"/>
      <c r="RJ790"/>
      <c r="RK790"/>
      <c r="RL790"/>
      <c r="RM790"/>
      <c r="RN790"/>
      <c r="RO790"/>
      <c r="RP790"/>
      <c r="RQ790"/>
      <c r="RR790"/>
      <c r="RS790"/>
      <c r="RT790"/>
      <c r="RU790"/>
      <c r="RV790"/>
      <c r="RW790"/>
      <c r="RX790"/>
      <c r="RY790"/>
      <c r="RZ790"/>
      <c r="SA790"/>
      <c r="SB790"/>
      <c r="SC790"/>
      <c r="SD790"/>
      <c r="SE790"/>
      <c r="SF790"/>
      <c r="SG790"/>
      <c r="SH790"/>
      <c r="SI790"/>
      <c r="SJ790"/>
      <c r="SK790"/>
      <c r="SL790"/>
      <c r="SM790"/>
      <c r="SN790"/>
      <c r="SO790"/>
      <c r="SP790"/>
      <c r="SQ790"/>
      <c r="SR790"/>
      <c r="SS790"/>
      <c r="ST790"/>
      <c r="SU790"/>
      <c r="SV790"/>
      <c r="SW790"/>
      <c r="SX790"/>
      <c r="SY790"/>
      <c r="SZ790"/>
      <c r="TA790"/>
      <c r="TB790"/>
      <c r="TC790"/>
      <c r="TD790"/>
      <c r="TE790"/>
      <c r="TF790"/>
      <c r="TG790"/>
      <c r="TH790"/>
      <c r="TI790"/>
      <c r="TJ790"/>
      <c r="TK790"/>
      <c r="TL790"/>
      <c r="TM790"/>
      <c r="TN790"/>
      <c r="TO790"/>
      <c r="TP790"/>
      <c r="TQ790"/>
      <c r="TR790"/>
      <c r="TS790"/>
      <c r="TT790"/>
      <c r="TU790"/>
      <c r="TV790"/>
      <c r="TW790"/>
      <c r="TX790"/>
      <c r="TY790"/>
      <c r="TZ790"/>
      <c r="UA790"/>
      <c r="UB790"/>
      <c r="UC790"/>
      <c r="UD790"/>
      <c r="UE790"/>
      <c r="UF790"/>
      <c r="UG790"/>
      <c r="UH790"/>
      <c r="UI790"/>
      <c r="UJ790"/>
      <c r="UK790"/>
      <c r="UL790"/>
      <c r="UM790"/>
      <c r="UN790"/>
      <c r="UO790"/>
      <c r="UP790"/>
      <c r="UQ790"/>
      <c r="UR790"/>
      <c r="US790"/>
      <c r="UT790"/>
      <c r="UU790"/>
      <c r="UV790"/>
      <c r="UW790"/>
      <c r="UX790"/>
      <c r="UY790"/>
      <c r="UZ790"/>
      <c r="VA790"/>
      <c r="VB790"/>
      <c r="VC790"/>
      <c r="VD790"/>
      <c r="VE790"/>
      <c r="VF790"/>
      <c r="VG790"/>
      <c r="VH790"/>
      <c r="VI790"/>
      <c r="VJ790"/>
      <c r="VK790"/>
      <c r="VL790"/>
      <c r="VM790"/>
      <c r="VN790"/>
      <c r="VO790"/>
      <c r="VP790"/>
      <c r="VQ790"/>
      <c r="VR790"/>
      <c r="VS790"/>
      <c r="VT790"/>
      <c r="VU790"/>
      <c r="VV790"/>
      <c r="VW790"/>
      <c r="VX790"/>
      <c r="VY790"/>
      <c r="VZ790"/>
      <c r="WA790"/>
      <c r="WB790"/>
      <c r="WC790"/>
      <c r="WD790"/>
      <c r="WE790"/>
      <c r="WF790"/>
      <c r="WG790"/>
      <c r="WH790"/>
      <c r="WI790"/>
      <c r="WJ790"/>
      <c r="WK790"/>
      <c r="WL790"/>
      <c r="WM790"/>
      <c r="WN790"/>
      <c r="WO790"/>
      <c r="WP790"/>
      <c r="WQ790"/>
      <c r="WR790"/>
      <c r="WS790"/>
      <c r="WT790"/>
      <c r="WU790"/>
      <c r="WV790"/>
      <c r="WW790"/>
      <c r="WX790"/>
      <c r="WY790"/>
      <c r="WZ790"/>
      <c r="XA790"/>
      <c r="XB790"/>
      <c r="XC790"/>
      <c r="XD790"/>
      <c r="XE790"/>
      <c r="XF790"/>
      <c r="XG790"/>
      <c r="XH790"/>
      <c r="XI790"/>
      <c r="XJ790"/>
      <c r="XK790"/>
      <c r="XL790"/>
      <c r="XM790"/>
      <c r="XN790"/>
      <c r="XO790"/>
      <c r="XP790"/>
      <c r="XQ790"/>
      <c r="XR790"/>
      <c r="XS790"/>
      <c r="XT790"/>
      <c r="XU790"/>
      <c r="XV790"/>
      <c r="XW790"/>
      <c r="XX790"/>
      <c r="XY790"/>
      <c r="XZ790"/>
      <c r="YA790"/>
      <c r="YB790"/>
      <c r="YC790"/>
      <c r="YD790"/>
      <c r="YE790"/>
      <c r="YF790"/>
      <c r="YG790"/>
      <c r="YH790"/>
      <c r="YI790"/>
      <c r="YJ790"/>
      <c r="YK790"/>
      <c r="YL790"/>
      <c r="YM790"/>
      <c r="YN790"/>
      <c r="YO790"/>
      <c r="YP790"/>
      <c r="YQ790"/>
      <c r="YR790"/>
      <c r="YS790"/>
      <c r="YT790"/>
      <c r="YU790"/>
      <c r="YV790"/>
      <c r="YW790"/>
      <c r="YX790"/>
      <c r="YY790"/>
      <c r="YZ790"/>
      <c r="ZA790"/>
      <c r="ZB790"/>
      <c r="ZC790"/>
      <c r="ZD790"/>
      <c r="ZE790"/>
      <c r="ZF790"/>
      <c r="ZG790"/>
      <c r="ZH790"/>
      <c r="ZI790"/>
      <c r="ZJ790"/>
      <c r="ZK790"/>
      <c r="ZL790"/>
      <c r="ZM790"/>
      <c r="ZN790"/>
      <c r="ZO790"/>
      <c r="ZP790"/>
      <c r="ZQ790"/>
      <c r="ZR790"/>
      <c r="ZS790"/>
      <c r="ZT790"/>
      <c r="ZU790"/>
      <c r="ZV790"/>
      <c r="ZW790"/>
      <c r="ZX790"/>
      <c r="ZY790"/>
      <c r="ZZ790"/>
      <c r="AAA790"/>
      <c r="AAB790"/>
      <c r="AAC790"/>
      <c r="AAD790"/>
      <c r="AAE790"/>
      <c r="AAF790"/>
      <c r="AAG790"/>
      <c r="AAH790"/>
      <c r="AAI790"/>
      <c r="AAJ790"/>
      <c r="AAK790"/>
      <c r="AAL790"/>
      <c r="AAM790"/>
      <c r="AAN790"/>
      <c r="AAO790"/>
      <c r="AAP790"/>
      <c r="AAQ790"/>
      <c r="AAR790"/>
      <c r="AAS790"/>
      <c r="AAT790"/>
      <c r="AAU790"/>
      <c r="AAV790"/>
      <c r="AAW790"/>
      <c r="AAX790"/>
      <c r="AAY790"/>
      <c r="AAZ790"/>
      <c r="ABA790"/>
      <c r="ABB790"/>
      <c r="ABC790"/>
      <c r="ABD790"/>
      <c r="ABE790"/>
      <c r="ABF790"/>
      <c r="ABG790"/>
      <c r="ABH790"/>
      <c r="ABI790"/>
      <c r="ABJ790"/>
      <c r="ABK790"/>
      <c r="ABL790"/>
      <c r="ABM790"/>
      <c r="ABN790"/>
      <c r="ABO790"/>
      <c r="ABP790"/>
      <c r="ABQ790"/>
      <c r="ABR790"/>
      <c r="ABS790"/>
      <c r="ABT790"/>
      <c r="ABU790"/>
      <c r="ABV790"/>
      <c r="ABW790"/>
      <c r="ABX790"/>
      <c r="ABY790"/>
      <c r="ABZ790"/>
      <c r="ACA790"/>
      <c r="ACB790"/>
      <c r="ACC790"/>
      <c r="ACD790"/>
      <c r="ACE790"/>
      <c r="ACF790"/>
      <c r="ACG790"/>
      <c r="ACH790"/>
      <c r="ACI790"/>
      <c r="ACJ790"/>
      <c r="ACK790"/>
      <c r="ACL790"/>
      <c r="ACM790"/>
      <c r="ACN790"/>
      <c r="ACO790"/>
      <c r="ACP790"/>
      <c r="ACQ790"/>
      <c r="ACR790"/>
      <c r="ACS790"/>
      <c r="ACT790"/>
      <c r="ACU790"/>
      <c r="ACV790"/>
      <c r="ACW790"/>
      <c r="ACX790"/>
      <c r="ACY790"/>
      <c r="ACZ790"/>
      <c r="ADA790"/>
      <c r="ADB790"/>
      <c r="ADC790"/>
      <c r="ADD790"/>
      <c r="ADE790"/>
      <c r="ADF790"/>
      <c r="ADG790"/>
      <c r="ADH790"/>
      <c r="ADI790"/>
      <c r="ADJ790"/>
      <c r="ADK790"/>
      <c r="ADL790"/>
      <c r="ADM790"/>
      <c r="ADN790"/>
      <c r="ADO790"/>
      <c r="ADP790"/>
      <c r="ADQ790"/>
      <c r="ADR790"/>
      <c r="ADS790"/>
      <c r="ADT790"/>
      <c r="ADU790"/>
      <c r="ADV790"/>
      <c r="ADW790"/>
      <c r="ADX790"/>
      <c r="ADY790"/>
      <c r="ADZ790"/>
      <c r="AEA790"/>
      <c r="AEB790"/>
      <c r="AEC790"/>
      <c r="AED790"/>
      <c r="AEE790"/>
      <c r="AEF790"/>
      <c r="AEG790"/>
      <c r="AEH790"/>
      <c r="AEI790"/>
      <c r="AEJ790"/>
      <c r="AEK790"/>
      <c r="AEL790"/>
      <c r="AEM790"/>
      <c r="AEN790"/>
      <c r="AEO790"/>
      <c r="AEP790"/>
      <c r="AEQ790"/>
      <c r="AER790"/>
      <c r="AES790"/>
      <c r="AET790"/>
      <c r="AEU790"/>
      <c r="AEV790"/>
      <c r="AEW790"/>
      <c r="AEX790"/>
      <c r="AEY790"/>
      <c r="AEZ790"/>
      <c r="AFA790"/>
      <c r="AFB790"/>
      <c r="AFC790"/>
      <c r="AFD790"/>
      <c r="AFE790"/>
      <c r="AFF790"/>
      <c r="AFG790"/>
      <c r="AFH790"/>
      <c r="AFI790"/>
      <c r="AFJ790"/>
      <c r="AFK790"/>
      <c r="AFL790"/>
      <c r="AFM790"/>
      <c r="AFN790"/>
      <c r="AFO790"/>
      <c r="AFP790"/>
      <c r="AFQ790"/>
      <c r="AFR790"/>
      <c r="AFS790"/>
      <c r="AFT790"/>
      <c r="AFU790"/>
      <c r="AFV790"/>
      <c r="AFW790"/>
      <c r="AFX790"/>
      <c r="AFY790"/>
      <c r="AFZ790"/>
      <c r="AGA790"/>
      <c r="AGB790"/>
      <c r="AGC790"/>
      <c r="AGD790"/>
      <c r="AGE790"/>
      <c r="AGF790"/>
      <c r="AGG790"/>
      <c r="AGH790"/>
      <c r="AGI790"/>
      <c r="AGJ790"/>
      <c r="AGK790"/>
      <c r="AGL790"/>
      <c r="AGM790"/>
      <c r="AGN790"/>
      <c r="AGO790"/>
      <c r="AGP790"/>
      <c r="AGQ790"/>
      <c r="AGR790"/>
      <c r="AGS790"/>
      <c r="AGT790"/>
      <c r="AGU790"/>
      <c r="AGV790"/>
      <c r="AGW790"/>
      <c r="AGX790"/>
      <c r="AGY790"/>
      <c r="AGZ790"/>
      <c r="AHA790"/>
      <c r="AHB790"/>
      <c r="AHC790"/>
      <c r="AHD790"/>
      <c r="AHE790"/>
      <c r="AHF790"/>
      <c r="AHG790"/>
      <c r="AHH790"/>
      <c r="AHI790"/>
      <c r="AHJ790"/>
      <c r="AHK790"/>
      <c r="AHL790"/>
      <c r="AHM790"/>
      <c r="AHN790"/>
      <c r="AHO790"/>
      <c r="AHP790"/>
      <c r="AHQ790"/>
      <c r="AHR790"/>
      <c r="AHS790"/>
      <c r="AHT790"/>
      <c r="AHU790"/>
      <c r="AHV790"/>
      <c r="AHW790"/>
      <c r="AHX790"/>
      <c r="AHY790"/>
      <c r="AHZ790"/>
      <c r="AIA790"/>
      <c r="AIB790"/>
      <c r="AIC790"/>
      <c r="AID790"/>
      <c r="AIE790"/>
      <c r="AIF790"/>
      <c r="AIG790"/>
      <c r="AIH790"/>
      <c r="AII790"/>
      <c r="AIJ790"/>
      <c r="AIK790"/>
      <c r="AIL790"/>
      <c r="AIM790"/>
      <c r="AIN790"/>
      <c r="AIO790"/>
      <c r="AIP790"/>
      <c r="AIQ790"/>
      <c r="AIR790"/>
      <c r="AIS790"/>
      <c r="AIT790"/>
      <c r="AIU790"/>
      <c r="AIV790"/>
      <c r="AIW790"/>
      <c r="AIX790"/>
      <c r="AIY790"/>
      <c r="AIZ790"/>
      <c r="AJA790"/>
      <c r="AJB790"/>
      <c r="AJC790"/>
      <c r="AJD790"/>
      <c r="AJE790"/>
      <c r="AJF790"/>
      <c r="AJG790"/>
      <c r="AJH790"/>
      <c r="AJI790"/>
      <c r="AJJ790"/>
      <c r="AJK790"/>
      <c r="AJL790"/>
      <c r="AJM790"/>
      <c r="AJN790"/>
      <c r="AJO790"/>
      <c r="AJP790"/>
      <c r="AJQ790"/>
      <c r="AJR790"/>
      <c r="AJS790"/>
      <c r="AJT790"/>
      <c r="AJU790"/>
      <c r="AJV790"/>
      <c r="AJW790"/>
      <c r="AJX790"/>
      <c r="AJY790"/>
      <c r="AJZ790"/>
      <c r="AKA790"/>
      <c r="AKB790"/>
      <c r="AKC790"/>
      <c r="AKD790"/>
      <c r="AKE790"/>
      <c r="AKF790"/>
      <c r="AKG790"/>
      <c r="AKH790"/>
      <c r="AKI790"/>
      <c r="AKJ790"/>
      <c r="AKK790"/>
      <c r="AKL790"/>
      <c r="AKM790"/>
      <c r="AKN790"/>
      <c r="AKO790"/>
      <c r="AKP790"/>
      <c r="AKQ790"/>
      <c r="AKR790"/>
      <c r="AKS790"/>
      <c r="AKT790"/>
      <c r="AKU790"/>
      <c r="AKV790"/>
      <c r="AKW790"/>
      <c r="AKX790"/>
      <c r="AKY790"/>
      <c r="AKZ790"/>
      <c r="ALA790"/>
      <c r="ALB790"/>
      <c r="ALC790"/>
      <c r="ALD790"/>
      <c r="ALE790"/>
      <c r="ALF790"/>
      <c r="ALG790"/>
      <c r="ALH790"/>
      <c r="ALI790"/>
      <c r="ALJ790"/>
      <c r="ALK790"/>
      <c r="ALL790"/>
      <c r="ALM790"/>
      <c r="ALN790"/>
      <c r="ALO790"/>
      <c r="ALP790"/>
      <c r="ALQ790"/>
      <c r="ALR790"/>
      <c r="ALS790"/>
      <c r="ALT790"/>
      <c r="ALU790"/>
      <c r="ALV790"/>
      <c r="ALW790"/>
      <c r="ALX790"/>
      <c r="ALY790"/>
      <c r="ALZ790"/>
      <c r="AMA790"/>
      <c r="AMB790"/>
      <c r="AMC790"/>
      <c r="AMD790"/>
      <c r="AME790"/>
      <c r="AMF790"/>
      <c r="AMG790"/>
      <c r="AMH790"/>
      <c r="AMI790"/>
      <c r="AMJ790"/>
    </row>
    <row r="791" spans="1:1024" ht="27.6">
      <c r="A791" s="8" t="s">
        <v>761</v>
      </c>
      <c r="B791" s="8">
        <v>476486</v>
      </c>
      <c r="D791" s="29">
        <v>45259</v>
      </c>
      <c r="E791" s="1">
        <v>0</v>
      </c>
      <c r="F791" s="8">
        <v>6</v>
      </c>
      <c r="G791" s="30">
        <f t="shared" si="39"/>
        <v>6</v>
      </c>
      <c r="H791" s="8">
        <f t="shared" si="38"/>
        <v>0</v>
      </c>
      <c r="I791">
        <f t="shared" si="40"/>
        <v>0</v>
      </c>
      <c r="J791">
        <f>SUMIF(Oeffentlichkeitsarbeit!$D:$D,$B791,Oeffentlichkeitsarbeit!$F:$F)</f>
        <v>0</v>
      </c>
      <c r="K791">
        <f>COUNTIF(Fairteiler!$D:$D,$B791)*1/2</f>
        <v>0</v>
      </c>
      <c r="L791">
        <f>COUNTIF('NP-Betrieb'!D:D,$B791)*1/3</f>
        <v>0</v>
      </c>
      <c r="M791">
        <f>COUNTIF(Fairteilungen!$D:$D,$B791)*3/4</f>
        <v>0</v>
      </c>
      <c r="N791">
        <f>COUNTIF(Anlieferung!D:D,$B791)*1/2</f>
        <v>0</v>
      </c>
      <c r="O791">
        <f>COUNTIF(Probeabholungen!B:B,$B791)*1/3</f>
        <v>0</v>
      </c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  <c r="AD791" s="44"/>
      <c r="AE791" s="44"/>
      <c r="AF791" s="44"/>
      <c r="AG791" s="44"/>
      <c r="AH791" s="44"/>
      <c r="AI791" s="44"/>
      <c r="AJ791" s="44"/>
      <c r="AK791" s="44"/>
      <c r="AL791" s="44"/>
      <c r="AM791" s="44"/>
      <c r="AN791" s="44"/>
      <c r="AO791" s="44"/>
      <c r="AP791" s="44"/>
      <c r="AQ791" s="44"/>
      <c r="AR791" s="44"/>
      <c r="AS791" s="44"/>
      <c r="AT791" s="44"/>
      <c r="AU791" s="44"/>
      <c r="AV791" s="44"/>
      <c r="AW791" s="44"/>
      <c r="AX791" s="44"/>
      <c r="AY791" s="44"/>
      <c r="AZ791" s="44"/>
      <c r="BA791" s="44"/>
      <c r="BB791" s="44"/>
      <c r="BC791" s="44"/>
      <c r="BD791" s="44"/>
      <c r="BE791" s="44"/>
      <c r="BF791" s="44"/>
      <c r="BG791" s="44"/>
      <c r="BH791" s="44"/>
      <c r="BI791" s="44"/>
      <c r="BJ791" s="44"/>
      <c r="BK791" s="44"/>
      <c r="BL791" s="44"/>
      <c r="BM791" s="44"/>
      <c r="BN791" s="44"/>
      <c r="BO791" s="44"/>
      <c r="BP791" s="44"/>
      <c r="BQ791" s="44"/>
      <c r="BR791" s="44"/>
      <c r="BS791" s="44"/>
      <c r="BT791" s="44"/>
      <c r="BU791" s="44"/>
      <c r="BV791" s="44"/>
      <c r="BW791" s="44"/>
      <c r="BX791" s="44"/>
      <c r="BY791" s="44"/>
      <c r="BZ791" s="44"/>
      <c r="CA791" s="44"/>
      <c r="CB791" s="44"/>
      <c r="CC791" s="44"/>
      <c r="CD791" s="44"/>
      <c r="CE791" s="44"/>
      <c r="CF791" s="44"/>
      <c r="CG791" s="44"/>
      <c r="CH791" s="44"/>
      <c r="CI791" s="44"/>
      <c r="CJ791" s="44"/>
      <c r="CK791" s="44"/>
      <c r="CL791" s="44"/>
      <c r="CM791" s="44"/>
      <c r="CN791" s="44"/>
      <c r="CO791" s="44"/>
      <c r="CP791" s="44"/>
      <c r="CQ791" s="44"/>
      <c r="CR791" s="44"/>
      <c r="CS791" s="44"/>
      <c r="CT791" s="44"/>
      <c r="CU791" s="44"/>
      <c r="CV791" s="44"/>
      <c r="CW791" s="44"/>
      <c r="CX791" s="44"/>
      <c r="CY791" s="44"/>
      <c r="CZ791" s="44"/>
      <c r="DA791" s="44"/>
      <c r="DB791" s="44"/>
      <c r="DC791" s="44"/>
      <c r="DD791" s="44"/>
      <c r="DE791" s="44"/>
      <c r="DF791" s="44"/>
      <c r="DG791" s="44"/>
      <c r="DH791" s="44"/>
      <c r="DI791" s="44"/>
      <c r="DJ791" s="44"/>
      <c r="DK791" s="44"/>
      <c r="DL791" s="44"/>
      <c r="DM791" s="44"/>
      <c r="DN791" s="44"/>
      <c r="DO791" s="44"/>
      <c r="DP791" s="44"/>
      <c r="DQ791" s="44"/>
      <c r="DR791" s="44"/>
      <c r="DS791" s="44"/>
      <c r="DT791" s="44"/>
      <c r="DU791" s="44"/>
      <c r="DV791" s="44"/>
      <c r="DW791" s="44"/>
      <c r="DX791" s="44"/>
      <c r="DY791" s="44"/>
      <c r="DZ791" s="44"/>
      <c r="EA791" s="44"/>
      <c r="EB791" s="44"/>
      <c r="EC791" s="44"/>
      <c r="ED791" s="44"/>
      <c r="EE791" s="44"/>
      <c r="EF791" s="44"/>
      <c r="EG791" s="44"/>
      <c r="EH791" s="44"/>
      <c r="EI791" s="44"/>
      <c r="EJ791" s="44"/>
      <c r="EK791" s="44"/>
      <c r="EL791" s="44"/>
      <c r="EM791" s="44"/>
      <c r="EN791" s="44"/>
      <c r="EO791" s="44"/>
      <c r="EP791" s="44"/>
      <c r="EQ791" s="44"/>
      <c r="ER791" s="44"/>
      <c r="ES791" s="44"/>
      <c r="ET791" s="44"/>
      <c r="EU791" s="44"/>
      <c r="EV791" s="44"/>
      <c r="EW791" s="44"/>
      <c r="EX791" s="44"/>
      <c r="EY791" s="44"/>
      <c r="EZ791" s="44"/>
      <c r="FA791" s="44"/>
      <c r="FB791" s="44"/>
      <c r="FC791" s="44"/>
      <c r="FD791" s="44"/>
      <c r="FE791" s="44"/>
      <c r="FF791" s="44"/>
      <c r="FG791" s="44"/>
      <c r="FH791" s="44"/>
      <c r="FI791" s="44"/>
      <c r="FJ791" s="44"/>
      <c r="FK791" s="44"/>
      <c r="FL791" s="44"/>
      <c r="FM791" s="44"/>
      <c r="FN791" s="44"/>
      <c r="FO791" s="44"/>
      <c r="FP791" s="44"/>
      <c r="FQ791" s="44"/>
      <c r="FR791" s="44"/>
      <c r="FS791" s="44"/>
      <c r="FT791" s="44"/>
      <c r="FU791" s="44"/>
      <c r="FV791" s="44"/>
      <c r="FW791" s="44"/>
      <c r="FX791" s="44"/>
      <c r="FY791" s="44"/>
      <c r="FZ791" s="44"/>
      <c r="GA791" s="44"/>
      <c r="GB791" s="44"/>
      <c r="GC791" s="44"/>
      <c r="GD791" s="44"/>
      <c r="GE791" s="44"/>
      <c r="GF791" s="44"/>
      <c r="GG791" s="44"/>
      <c r="GH791" s="44"/>
      <c r="GI791" s="44"/>
      <c r="GJ791" s="44"/>
      <c r="GK791" s="44"/>
      <c r="GL791" s="44"/>
      <c r="GM791" s="44"/>
      <c r="GN791" s="44"/>
      <c r="GO791" s="44"/>
      <c r="GP791" s="44"/>
      <c r="GQ791" s="44"/>
      <c r="GR791" s="44"/>
      <c r="GS791" s="44"/>
      <c r="GT791" s="44"/>
      <c r="GU791" s="44"/>
      <c r="GV791" s="44"/>
      <c r="GW791" s="44"/>
      <c r="GX791" s="44"/>
      <c r="GY791" s="44"/>
      <c r="GZ791" s="44"/>
      <c r="HA791" s="44"/>
      <c r="HB791" s="44"/>
      <c r="HC791" s="44"/>
      <c r="HD791" s="44"/>
      <c r="HE791" s="44"/>
      <c r="HF791" s="44"/>
      <c r="HG791" s="44"/>
      <c r="HH791" s="44"/>
      <c r="HI791" s="44"/>
      <c r="HJ791" s="44"/>
      <c r="HK791" s="44"/>
      <c r="HL791" s="44"/>
      <c r="HM791" s="44"/>
      <c r="HN791" s="44"/>
      <c r="HO791" s="44"/>
      <c r="HP791" s="44"/>
      <c r="HQ791" s="44"/>
      <c r="HR791" s="44"/>
      <c r="HS791" s="44"/>
      <c r="HT791" s="44"/>
      <c r="HU791" s="44"/>
      <c r="HV791" s="44"/>
      <c r="HW791" s="44"/>
      <c r="HX791" s="44"/>
      <c r="HY791" s="44"/>
      <c r="HZ791" s="44"/>
      <c r="IA791" s="44"/>
      <c r="IB791" s="44"/>
      <c r="IC791" s="44"/>
      <c r="ID791" s="44"/>
      <c r="IE791" s="44"/>
      <c r="IF791" s="44"/>
      <c r="IG791" s="44"/>
      <c r="IH791" s="44"/>
      <c r="II791" s="44"/>
      <c r="IJ791" s="44"/>
      <c r="IK791" s="44"/>
      <c r="IL791" s="44"/>
      <c r="IM791" s="44"/>
      <c r="IN791" s="44"/>
      <c r="IO791" s="44"/>
      <c r="IP791" s="44"/>
      <c r="IQ791" s="44"/>
      <c r="IR791" s="44"/>
      <c r="IS791" s="44"/>
      <c r="IT791" s="44"/>
      <c r="IU791" s="44"/>
      <c r="IV791" s="44"/>
      <c r="IW791" s="44"/>
      <c r="IX791" s="44"/>
      <c r="IY791" s="44"/>
      <c r="IZ791" s="44"/>
      <c r="JA791" s="44"/>
      <c r="JB791" s="44"/>
      <c r="JC791" s="44"/>
      <c r="JD791" s="44"/>
      <c r="JE791" s="44"/>
      <c r="JF791" s="44"/>
      <c r="JG791" s="44"/>
      <c r="JH791" s="44"/>
      <c r="JI791" s="44"/>
      <c r="JJ791" s="44"/>
      <c r="JK791" s="44"/>
      <c r="JL791" s="44"/>
      <c r="JM791" s="44"/>
      <c r="JN791" s="44"/>
      <c r="JO791" s="44"/>
      <c r="JP791" s="44"/>
      <c r="JQ791" s="44"/>
      <c r="JR791" s="44"/>
      <c r="JS791" s="44"/>
      <c r="JT791" s="44"/>
      <c r="JU791" s="44"/>
      <c r="JV791" s="44"/>
      <c r="JW791" s="44"/>
      <c r="JX791" s="44"/>
      <c r="JY791" s="44"/>
      <c r="JZ791" s="44"/>
      <c r="KA791" s="44"/>
      <c r="KB791" s="44"/>
      <c r="KC791" s="44"/>
      <c r="KD791" s="44"/>
      <c r="KE791" s="44"/>
      <c r="KF791" s="44"/>
      <c r="KG791" s="44"/>
      <c r="KH791" s="44"/>
      <c r="KI791" s="44"/>
      <c r="KJ791" s="44"/>
      <c r="KK791" s="44"/>
      <c r="KL791" s="44"/>
      <c r="KM791" s="44"/>
      <c r="KN791" s="44"/>
      <c r="KO791" s="44"/>
      <c r="KP791" s="44"/>
      <c r="KQ791" s="44"/>
      <c r="KR791" s="44"/>
      <c r="KS791" s="44"/>
      <c r="KT791" s="44"/>
      <c r="KU791" s="44"/>
      <c r="KV791" s="44"/>
      <c r="KW791" s="44"/>
      <c r="KX791" s="44"/>
      <c r="KY791" s="44"/>
      <c r="KZ791" s="44"/>
      <c r="LA791" s="44"/>
      <c r="LB791" s="44"/>
      <c r="LC791" s="44"/>
      <c r="LD791" s="44"/>
      <c r="LE791" s="44"/>
      <c r="LF791" s="44"/>
      <c r="LG791" s="44"/>
      <c r="LH791" s="44"/>
      <c r="LI791" s="44"/>
      <c r="LJ791" s="44"/>
      <c r="LK791" s="44"/>
      <c r="LL791" s="44"/>
      <c r="LM791" s="44"/>
      <c r="LN791" s="44"/>
      <c r="LO791" s="44"/>
      <c r="LP791" s="44"/>
      <c r="LQ791" s="44"/>
      <c r="LR791" s="44"/>
      <c r="LS791" s="44"/>
      <c r="LT791" s="44"/>
      <c r="LU791" s="44"/>
      <c r="LV791" s="44"/>
      <c r="LW791" s="44"/>
      <c r="LX791" s="44"/>
      <c r="LY791" s="44"/>
      <c r="LZ791" s="44"/>
      <c r="MA791" s="44"/>
      <c r="MB791" s="44"/>
      <c r="MC791" s="44"/>
      <c r="MD791" s="44"/>
      <c r="ME791" s="44"/>
      <c r="MF791" s="44"/>
      <c r="MG791" s="44"/>
      <c r="MH791" s="44"/>
      <c r="MI791" s="44"/>
      <c r="MJ791" s="44"/>
      <c r="MK791" s="44"/>
      <c r="ML791" s="44"/>
      <c r="MM791" s="44"/>
      <c r="MN791" s="44"/>
      <c r="MO791" s="44"/>
      <c r="MP791" s="44"/>
      <c r="MQ791" s="44"/>
      <c r="MR791" s="44"/>
      <c r="MS791" s="44"/>
      <c r="MT791" s="44"/>
      <c r="MU791" s="44"/>
      <c r="MV791" s="44"/>
      <c r="MW791" s="44"/>
      <c r="MX791" s="44"/>
      <c r="MY791" s="44"/>
      <c r="MZ791" s="44"/>
      <c r="NA791" s="44"/>
      <c r="NB791" s="44"/>
      <c r="NC791" s="44"/>
      <c r="ND791" s="44"/>
      <c r="NE791" s="44"/>
      <c r="NF791" s="44"/>
      <c r="NG791" s="44"/>
      <c r="NH791" s="44"/>
      <c r="NI791" s="44"/>
      <c r="NJ791" s="44"/>
      <c r="NK791" s="44"/>
      <c r="NL791" s="44"/>
      <c r="NM791" s="44"/>
      <c r="NN791" s="44"/>
      <c r="NO791" s="44"/>
      <c r="NP791" s="44"/>
      <c r="NQ791" s="44"/>
      <c r="NR791" s="44"/>
      <c r="NS791" s="44"/>
      <c r="NT791" s="44"/>
      <c r="NU791" s="44"/>
      <c r="NV791" s="44"/>
      <c r="NW791" s="44"/>
      <c r="NX791" s="44"/>
      <c r="NY791" s="44"/>
      <c r="NZ791" s="44"/>
      <c r="OA791" s="44"/>
      <c r="OB791" s="44"/>
      <c r="OC791" s="44"/>
      <c r="OD791" s="44"/>
      <c r="OE791" s="44"/>
      <c r="OF791" s="44"/>
      <c r="OG791" s="44"/>
      <c r="OH791" s="44"/>
      <c r="OI791" s="44"/>
      <c r="OJ791" s="44"/>
      <c r="OK791" s="44"/>
      <c r="OL791" s="44"/>
      <c r="OM791" s="44"/>
      <c r="ON791" s="44"/>
      <c r="OO791" s="44"/>
      <c r="OP791" s="44"/>
      <c r="OQ791" s="44"/>
      <c r="OR791" s="44"/>
      <c r="OS791" s="44"/>
      <c r="OT791" s="44"/>
      <c r="OU791" s="44"/>
      <c r="OV791" s="44"/>
      <c r="OW791" s="44"/>
      <c r="OX791" s="44"/>
      <c r="OY791" s="44"/>
      <c r="OZ791" s="44"/>
      <c r="PA791" s="44"/>
      <c r="PB791" s="44"/>
      <c r="PC791" s="44"/>
      <c r="PD791" s="44"/>
      <c r="PE791" s="44"/>
      <c r="PF791" s="44"/>
      <c r="PG791" s="44"/>
      <c r="PH791" s="44"/>
      <c r="PI791" s="44"/>
      <c r="PJ791" s="44"/>
      <c r="PK791" s="44"/>
      <c r="PL791" s="44"/>
      <c r="PM791" s="44"/>
      <c r="PN791" s="44"/>
      <c r="PO791" s="44"/>
      <c r="PP791" s="44"/>
      <c r="PQ791" s="44"/>
      <c r="PR791" s="44"/>
      <c r="PS791" s="44"/>
      <c r="PT791" s="44"/>
      <c r="PU791" s="44"/>
      <c r="PV791" s="44"/>
      <c r="PW791" s="44"/>
      <c r="PX791" s="44"/>
      <c r="PY791" s="44"/>
      <c r="PZ791" s="44"/>
      <c r="QA791" s="44"/>
      <c r="QB791" s="44"/>
      <c r="QC791" s="44"/>
      <c r="QD791" s="44"/>
      <c r="QE791" s="44"/>
      <c r="QF791" s="44"/>
      <c r="QG791" s="44"/>
      <c r="QH791" s="44"/>
      <c r="QI791" s="44"/>
      <c r="QJ791" s="44"/>
      <c r="QK791" s="44"/>
      <c r="QL791" s="44"/>
      <c r="QM791" s="44"/>
      <c r="QN791" s="44"/>
      <c r="QO791" s="44"/>
      <c r="QP791" s="44"/>
      <c r="QQ791" s="44"/>
      <c r="QR791" s="44"/>
      <c r="QS791" s="44"/>
      <c r="QT791" s="44"/>
      <c r="QU791" s="44"/>
      <c r="QV791" s="44"/>
      <c r="QW791" s="44"/>
      <c r="QX791" s="44"/>
      <c r="QY791" s="44"/>
      <c r="QZ791" s="44"/>
      <c r="RA791" s="44"/>
      <c r="RB791" s="44"/>
      <c r="RC791" s="44"/>
      <c r="RD791" s="44"/>
      <c r="RE791" s="44"/>
      <c r="RF791" s="44"/>
      <c r="RG791" s="44"/>
      <c r="RH791" s="44"/>
      <c r="RI791" s="44"/>
      <c r="RJ791" s="44"/>
      <c r="RK791" s="44"/>
      <c r="RL791" s="44"/>
      <c r="RM791" s="44"/>
      <c r="RN791" s="44"/>
      <c r="RO791" s="44"/>
      <c r="RP791" s="44"/>
      <c r="RQ791" s="44"/>
      <c r="RR791" s="44"/>
      <c r="RS791" s="44"/>
      <c r="RT791" s="44"/>
      <c r="RU791" s="44"/>
      <c r="RV791" s="44"/>
      <c r="RW791" s="44"/>
      <c r="RX791" s="44"/>
      <c r="RY791" s="44"/>
      <c r="RZ791" s="44"/>
      <c r="SA791" s="44"/>
      <c r="SB791" s="44"/>
      <c r="SC791" s="44"/>
      <c r="SD791" s="44"/>
      <c r="SE791" s="44"/>
      <c r="SF791" s="44"/>
      <c r="SG791" s="44"/>
      <c r="SH791" s="44"/>
      <c r="SI791" s="44"/>
      <c r="SJ791" s="44"/>
      <c r="SK791" s="44"/>
      <c r="SL791" s="44"/>
      <c r="SM791" s="44"/>
      <c r="SN791" s="44"/>
      <c r="SO791" s="44"/>
      <c r="SP791" s="44"/>
      <c r="SQ791" s="44"/>
      <c r="SR791" s="44"/>
      <c r="SS791" s="44"/>
      <c r="ST791" s="44"/>
      <c r="SU791" s="44"/>
      <c r="SV791" s="44"/>
      <c r="SW791" s="44"/>
      <c r="SX791" s="44"/>
      <c r="SY791" s="44"/>
      <c r="SZ791" s="44"/>
      <c r="TA791" s="44"/>
      <c r="TB791" s="44"/>
      <c r="TC791" s="44"/>
      <c r="TD791" s="44"/>
      <c r="TE791" s="44"/>
      <c r="TF791" s="44"/>
      <c r="TG791" s="44"/>
      <c r="TH791" s="44"/>
      <c r="TI791" s="44"/>
      <c r="TJ791" s="44"/>
      <c r="TK791" s="44"/>
      <c r="TL791" s="44"/>
      <c r="TM791" s="44"/>
      <c r="TN791" s="44"/>
      <c r="TO791" s="44"/>
      <c r="TP791" s="44"/>
      <c r="TQ791" s="44"/>
      <c r="TR791" s="44"/>
      <c r="TS791" s="44"/>
      <c r="TT791" s="44"/>
      <c r="TU791" s="44"/>
      <c r="TV791" s="44"/>
      <c r="TW791" s="44"/>
      <c r="TX791" s="44"/>
      <c r="TY791" s="44"/>
      <c r="TZ791" s="44"/>
      <c r="UA791" s="44"/>
      <c r="UB791" s="44"/>
      <c r="UC791" s="44"/>
      <c r="UD791" s="44"/>
      <c r="UE791" s="44"/>
      <c r="UF791" s="44"/>
      <c r="UG791" s="44"/>
      <c r="UH791" s="44"/>
      <c r="UI791" s="44"/>
      <c r="UJ791" s="44"/>
      <c r="UK791" s="44"/>
      <c r="UL791" s="44"/>
      <c r="UM791" s="44"/>
      <c r="UN791" s="44"/>
      <c r="UO791" s="44"/>
      <c r="UP791" s="44"/>
      <c r="UQ791" s="44"/>
      <c r="UR791" s="44"/>
      <c r="US791" s="44"/>
      <c r="UT791" s="44"/>
      <c r="UU791" s="44"/>
      <c r="UV791" s="44"/>
      <c r="UW791" s="44"/>
      <c r="UX791" s="44"/>
      <c r="UY791" s="44"/>
      <c r="UZ791" s="44"/>
      <c r="VA791" s="44"/>
      <c r="VB791" s="44"/>
      <c r="VC791" s="44"/>
      <c r="VD791" s="44"/>
      <c r="VE791" s="44"/>
      <c r="VF791" s="44"/>
      <c r="VG791" s="44"/>
      <c r="VH791" s="44"/>
      <c r="VI791" s="44"/>
      <c r="VJ791" s="44"/>
      <c r="VK791" s="44"/>
      <c r="VL791" s="44"/>
      <c r="VM791" s="44"/>
      <c r="VN791" s="44"/>
      <c r="VO791" s="44"/>
      <c r="VP791" s="44"/>
      <c r="VQ791" s="44"/>
      <c r="VR791" s="44"/>
      <c r="VS791" s="44"/>
      <c r="VT791" s="44"/>
      <c r="VU791" s="44"/>
      <c r="VV791" s="44"/>
      <c r="VW791" s="44"/>
      <c r="VX791" s="44"/>
      <c r="VY791" s="44"/>
      <c r="VZ791" s="44"/>
      <c r="WA791" s="44"/>
      <c r="WB791" s="44"/>
      <c r="WC791" s="44"/>
      <c r="WD791" s="44"/>
      <c r="WE791" s="44"/>
      <c r="WF791" s="44"/>
      <c r="WG791" s="44"/>
      <c r="WH791" s="44"/>
      <c r="WI791" s="44"/>
      <c r="WJ791" s="44"/>
      <c r="WK791" s="44"/>
      <c r="WL791" s="44"/>
      <c r="WM791" s="44"/>
      <c r="WN791" s="44"/>
      <c r="WO791" s="44"/>
      <c r="WP791" s="44"/>
      <c r="WQ791" s="44"/>
      <c r="WR791" s="44"/>
      <c r="WS791" s="44"/>
      <c r="WT791" s="44"/>
      <c r="WU791" s="44"/>
      <c r="WV791" s="44"/>
      <c r="WW791" s="44"/>
      <c r="WX791" s="44"/>
      <c r="WY791" s="44"/>
      <c r="WZ791" s="44"/>
      <c r="XA791" s="44"/>
      <c r="XB791" s="44"/>
      <c r="XC791" s="44"/>
      <c r="XD791" s="44"/>
      <c r="XE791" s="44"/>
      <c r="XF791" s="44"/>
      <c r="XG791" s="44"/>
      <c r="XH791" s="44"/>
      <c r="XI791" s="44"/>
      <c r="XJ791" s="44"/>
      <c r="XK791" s="44"/>
      <c r="XL791" s="44"/>
      <c r="XM791" s="44"/>
      <c r="XN791" s="44"/>
      <c r="XO791" s="44"/>
      <c r="XP791" s="44"/>
      <c r="XQ791" s="44"/>
      <c r="XR791" s="44"/>
      <c r="XS791" s="44"/>
      <c r="XT791" s="44"/>
      <c r="XU791" s="44"/>
      <c r="XV791" s="44"/>
      <c r="XW791" s="44"/>
      <c r="XX791" s="44"/>
      <c r="XY791" s="44"/>
      <c r="XZ791" s="44"/>
      <c r="YA791" s="44"/>
      <c r="YB791" s="44"/>
      <c r="YC791" s="44"/>
      <c r="YD791" s="44"/>
      <c r="YE791" s="44"/>
      <c r="YF791" s="44"/>
      <c r="YG791" s="44"/>
      <c r="YH791" s="44"/>
      <c r="YI791" s="44"/>
      <c r="YJ791" s="44"/>
      <c r="YK791" s="44"/>
      <c r="YL791" s="44"/>
      <c r="YM791" s="44"/>
      <c r="YN791" s="44"/>
      <c r="YO791" s="44"/>
      <c r="YP791" s="44"/>
      <c r="YQ791" s="44"/>
      <c r="YR791" s="44"/>
      <c r="YS791" s="44"/>
      <c r="YT791" s="44"/>
      <c r="YU791" s="44"/>
      <c r="YV791" s="44"/>
      <c r="YW791" s="44"/>
      <c r="YX791" s="44"/>
      <c r="YY791" s="44"/>
      <c r="YZ791" s="44"/>
      <c r="ZA791" s="44"/>
      <c r="ZB791" s="44"/>
      <c r="ZC791" s="44"/>
      <c r="ZD791" s="44"/>
      <c r="ZE791" s="44"/>
      <c r="ZF791" s="44"/>
      <c r="ZG791" s="44"/>
      <c r="ZH791" s="44"/>
      <c r="ZI791" s="44"/>
      <c r="ZJ791" s="44"/>
      <c r="ZK791" s="44"/>
      <c r="ZL791" s="44"/>
      <c r="ZM791" s="44"/>
      <c r="ZN791" s="44"/>
      <c r="ZO791" s="44"/>
      <c r="ZP791" s="44"/>
      <c r="ZQ791" s="44"/>
      <c r="ZR791" s="44"/>
      <c r="ZS791" s="44"/>
      <c r="ZT791" s="44"/>
      <c r="ZU791" s="44"/>
      <c r="ZV791" s="44"/>
      <c r="ZW791" s="44"/>
      <c r="ZX791" s="44"/>
      <c r="ZY791" s="44"/>
      <c r="ZZ791" s="44"/>
      <c r="AAA791" s="44"/>
      <c r="AAB791" s="44"/>
      <c r="AAC791" s="44"/>
      <c r="AAD791" s="44"/>
      <c r="AAE791" s="44"/>
      <c r="AAF791" s="44"/>
      <c r="AAG791" s="44"/>
      <c r="AAH791" s="44"/>
      <c r="AAI791" s="44"/>
      <c r="AAJ791" s="44"/>
      <c r="AAK791" s="44"/>
      <c r="AAL791" s="44"/>
      <c r="AAM791" s="44"/>
      <c r="AAN791" s="44"/>
      <c r="AAO791" s="44"/>
      <c r="AAP791" s="44"/>
      <c r="AAQ791" s="44"/>
      <c r="AAR791" s="44"/>
      <c r="AAS791" s="44"/>
      <c r="AAT791" s="44"/>
      <c r="AAU791" s="44"/>
      <c r="AAV791" s="44"/>
      <c r="AAW791" s="44"/>
      <c r="AAX791" s="44"/>
      <c r="AAY791" s="44"/>
      <c r="AAZ791" s="44"/>
      <c r="ABA791" s="44"/>
      <c r="ABB791" s="44"/>
      <c r="ABC791" s="44"/>
      <c r="ABD791" s="44"/>
      <c r="ABE791" s="44"/>
      <c r="ABF791" s="44"/>
      <c r="ABG791" s="44"/>
      <c r="ABH791" s="44"/>
      <c r="ABI791" s="44"/>
      <c r="ABJ791" s="44"/>
      <c r="ABK791" s="44"/>
      <c r="ABL791" s="44"/>
      <c r="ABM791" s="44"/>
      <c r="ABN791" s="44"/>
      <c r="ABO791" s="44"/>
      <c r="ABP791" s="44"/>
      <c r="ABQ791" s="44"/>
      <c r="ABR791" s="44"/>
      <c r="ABS791" s="44"/>
      <c r="ABT791" s="44"/>
      <c r="ABU791" s="44"/>
      <c r="ABV791" s="44"/>
      <c r="ABW791" s="44"/>
      <c r="ABX791" s="44"/>
      <c r="ABY791" s="44"/>
      <c r="ABZ791" s="44"/>
      <c r="ACA791" s="44"/>
      <c r="ACB791" s="44"/>
      <c r="ACC791" s="44"/>
      <c r="ACD791" s="44"/>
      <c r="ACE791" s="44"/>
      <c r="ACF791" s="44"/>
      <c r="ACG791" s="44"/>
      <c r="ACH791" s="44"/>
      <c r="ACI791" s="44"/>
      <c r="ACJ791" s="44"/>
      <c r="ACK791" s="44"/>
      <c r="ACL791" s="44"/>
      <c r="ACM791" s="44"/>
      <c r="ACN791" s="44"/>
      <c r="ACO791" s="44"/>
      <c r="ACP791" s="44"/>
      <c r="ACQ791" s="44"/>
      <c r="ACR791" s="44"/>
      <c r="ACS791" s="44"/>
      <c r="ACT791" s="44"/>
      <c r="ACU791" s="44"/>
      <c r="ACV791" s="44"/>
      <c r="ACW791" s="44"/>
      <c r="ACX791" s="44"/>
      <c r="ACY791" s="44"/>
      <c r="ACZ791" s="44"/>
      <c r="ADA791" s="44"/>
      <c r="ADB791" s="44"/>
      <c r="ADC791" s="44"/>
      <c r="ADD791" s="44"/>
      <c r="ADE791" s="44"/>
      <c r="ADF791" s="44"/>
      <c r="ADG791" s="44"/>
      <c r="ADH791" s="44"/>
      <c r="ADI791" s="44"/>
      <c r="ADJ791" s="44"/>
      <c r="ADK791" s="44"/>
      <c r="ADL791" s="44"/>
      <c r="ADM791" s="44"/>
      <c r="ADN791" s="44"/>
      <c r="ADO791" s="44"/>
      <c r="ADP791" s="44"/>
      <c r="ADQ791" s="44"/>
      <c r="ADR791" s="44"/>
      <c r="ADS791" s="44"/>
      <c r="ADT791" s="44"/>
      <c r="ADU791" s="44"/>
      <c r="ADV791" s="44"/>
      <c r="ADW791" s="44"/>
      <c r="ADX791" s="44"/>
      <c r="ADY791" s="44"/>
      <c r="ADZ791" s="44"/>
      <c r="AEA791" s="44"/>
      <c r="AEB791" s="44"/>
      <c r="AEC791" s="44"/>
      <c r="AED791" s="44"/>
      <c r="AEE791" s="44"/>
      <c r="AEF791" s="44"/>
      <c r="AEG791" s="44"/>
      <c r="AEH791" s="44"/>
      <c r="AEI791" s="44"/>
      <c r="AEJ791" s="44"/>
      <c r="AEK791" s="44"/>
      <c r="AEL791" s="44"/>
      <c r="AEM791" s="44"/>
      <c r="AEN791" s="44"/>
      <c r="AEO791" s="44"/>
      <c r="AEP791" s="44"/>
      <c r="AEQ791" s="44"/>
      <c r="AER791" s="44"/>
      <c r="AES791" s="44"/>
      <c r="AET791" s="44"/>
      <c r="AEU791" s="44"/>
      <c r="AEV791" s="44"/>
      <c r="AEW791" s="44"/>
      <c r="AEX791" s="44"/>
      <c r="AEY791" s="44"/>
      <c r="AEZ791" s="44"/>
      <c r="AFA791" s="44"/>
      <c r="AFB791" s="44"/>
      <c r="AFC791" s="44"/>
      <c r="AFD791" s="44"/>
      <c r="AFE791" s="44"/>
      <c r="AFF791" s="44"/>
      <c r="AFG791" s="44"/>
      <c r="AFH791" s="44"/>
      <c r="AFI791" s="44"/>
      <c r="AFJ791" s="44"/>
      <c r="AFK791" s="44"/>
      <c r="AFL791" s="44"/>
      <c r="AFM791" s="44"/>
      <c r="AFN791" s="44"/>
      <c r="AFO791" s="44"/>
      <c r="AFP791" s="44"/>
      <c r="AFQ791" s="44"/>
      <c r="AFR791" s="44"/>
      <c r="AFS791" s="44"/>
      <c r="AFT791" s="44"/>
      <c r="AFU791" s="44"/>
      <c r="AFV791" s="44"/>
      <c r="AFW791" s="44"/>
      <c r="AFX791" s="44"/>
      <c r="AFY791" s="44"/>
      <c r="AFZ791" s="44"/>
      <c r="AGA791" s="44"/>
      <c r="AGB791" s="44"/>
      <c r="AGC791" s="44"/>
      <c r="AGD791" s="44"/>
      <c r="AGE791" s="44"/>
      <c r="AGF791" s="44"/>
      <c r="AGG791" s="44"/>
      <c r="AGH791" s="44"/>
      <c r="AGI791" s="44"/>
      <c r="AGJ791" s="44"/>
      <c r="AGK791" s="44"/>
      <c r="AGL791" s="44"/>
      <c r="AGM791" s="44"/>
      <c r="AGN791" s="44"/>
      <c r="AGO791" s="44"/>
      <c r="AGP791" s="44"/>
      <c r="AGQ791" s="44"/>
      <c r="AGR791" s="44"/>
      <c r="AGS791" s="44"/>
      <c r="AGT791" s="44"/>
      <c r="AGU791" s="44"/>
      <c r="AGV791" s="44"/>
      <c r="AGW791" s="44"/>
      <c r="AGX791" s="44"/>
      <c r="AGY791" s="44"/>
      <c r="AGZ791" s="44"/>
      <c r="AHA791" s="44"/>
      <c r="AHB791" s="44"/>
      <c r="AHC791" s="44"/>
      <c r="AHD791" s="44"/>
      <c r="AHE791" s="44"/>
      <c r="AHF791" s="44"/>
      <c r="AHG791" s="44"/>
      <c r="AHH791" s="44"/>
      <c r="AHI791" s="44"/>
      <c r="AHJ791" s="44"/>
      <c r="AHK791" s="44"/>
      <c r="AHL791" s="44"/>
      <c r="AHM791" s="44"/>
      <c r="AHN791" s="44"/>
      <c r="AHO791" s="44"/>
      <c r="AHP791" s="44"/>
      <c r="AHQ791" s="44"/>
      <c r="AHR791" s="44"/>
      <c r="AHS791" s="44"/>
      <c r="AHT791" s="44"/>
      <c r="AHU791" s="44"/>
      <c r="AHV791" s="44"/>
      <c r="AHW791" s="44"/>
      <c r="AHX791" s="44"/>
      <c r="AHY791" s="44"/>
      <c r="AHZ791" s="44"/>
      <c r="AIA791" s="44"/>
      <c r="AIB791" s="44"/>
      <c r="AIC791" s="44"/>
      <c r="AID791" s="44"/>
      <c r="AIE791" s="44"/>
      <c r="AIF791" s="44"/>
      <c r="AIG791" s="44"/>
      <c r="AIH791" s="44"/>
      <c r="AII791" s="44"/>
      <c r="AIJ791" s="44"/>
      <c r="AIK791" s="44"/>
      <c r="AIL791" s="44"/>
      <c r="AIM791" s="44"/>
      <c r="AIN791" s="44"/>
      <c r="AIO791" s="44"/>
      <c r="AIP791" s="44"/>
      <c r="AIQ791" s="44"/>
      <c r="AIR791" s="44"/>
      <c r="AIS791" s="44"/>
      <c r="AIT791" s="44"/>
      <c r="AIU791" s="44"/>
      <c r="AIV791" s="44"/>
      <c r="AIW791" s="44"/>
      <c r="AIX791" s="44"/>
      <c r="AIY791" s="44"/>
      <c r="AIZ791" s="44"/>
      <c r="AJA791" s="44"/>
      <c r="AJB791" s="44"/>
      <c r="AJC791" s="44"/>
      <c r="AJD791" s="44"/>
      <c r="AJE791" s="44"/>
      <c r="AJF791" s="44"/>
      <c r="AJG791" s="44"/>
      <c r="AJH791" s="44"/>
      <c r="AJI791" s="44"/>
      <c r="AJJ791" s="44"/>
      <c r="AJK791" s="44"/>
      <c r="AJL791" s="44"/>
      <c r="AJM791" s="44"/>
      <c r="AJN791" s="44"/>
      <c r="AJO791" s="44"/>
      <c r="AJP791" s="44"/>
      <c r="AJQ791" s="44"/>
      <c r="AJR791" s="44"/>
      <c r="AJS791" s="44"/>
      <c r="AJT791" s="44"/>
      <c r="AJU791" s="44"/>
      <c r="AJV791" s="44"/>
      <c r="AJW791" s="44"/>
      <c r="AJX791" s="44"/>
      <c r="AJY791" s="44"/>
      <c r="AJZ791" s="44"/>
      <c r="AKA791" s="44"/>
      <c r="AKB791" s="44"/>
      <c r="AKC791" s="44"/>
      <c r="AKD791" s="44"/>
      <c r="AKE791" s="44"/>
      <c r="AKF791" s="44"/>
      <c r="AKG791" s="44"/>
      <c r="AKH791" s="44"/>
      <c r="AKI791" s="44"/>
      <c r="AKJ791" s="44"/>
      <c r="AKK791" s="44"/>
      <c r="AKL791" s="44"/>
      <c r="AKM791" s="44"/>
      <c r="AKN791" s="44"/>
      <c r="AKO791" s="44"/>
      <c r="AKP791" s="44"/>
      <c r="AKQ791" s="44"/>
      <c r="AKR791" s="44"/>
      <c r="AKS791" s="44"/>
      <c r="AKT791" s="44"/>
      <c r="AKU791" s="44"/>
      <c r="AKV791" s="44"/>
      <c r="AKW791" s="44"/>
      <c r="AKX791" s="44"/>
      <c r="AKY791" s="44"/>
      <c r="AKZ791" s="44"/>
      <c r="ALA791" s="44"/>
      <c r="ALB791" s="44"/>
      <c r="ALC791" s="44"/>
      <c r="ALD791" s="44"/>
      <c r="ALE791" s="44"/>
      <c r="ALF791" s="44"/>
      <c r="ALG791" s="44"/>
      <c r="ALH791" s="44"/>
      <c r="ALI791" s="44"/>
      <c r="ALJ791" s="44"/>
      <c r="ALK791" s="44"/>
      <c r="ALL791" s="44"/>
      <c r="ALM791" s="44"/>
      <c r="ALN791" s="44"/>
      <c r="ALO791" s="44"/>
      <c r="ALP791" s="44"/>
      <c r="ALQ791" s="44"/>
      <c r="ALR791" s="44"/>
      <c r="ALS791" s="44"/>
      <c r="ALT791" s="44"/>
      <c r="ALU791" s="44"/>
      <c r="ALV791" s="44"/>
      <c r="ALW791" s="44"/>
      <c r="ALX791" s="44"/>
      <c r="ALY791" s="44"/>
      <c r="ALZ791" s="44"/>
      <c r="AMA791" s="44"/>
      <c r="AMB791" s="44"/>
      <c r="AMC791" s="44"/>
      <c r="AMD791" s="44"/>
      <c r="AME791" s="44"/>
      <c r="AMF791" s="44"/>
      <c r="AMG791" s="44"/>
      <c r="AMH791" s="44"/>
      <c r="AMI791" s="44"/>
      <c r="AMJ791" s="44"/>
    </row>
    <row r="792" spans="1:1024" ht="27.6">
      <c r="A792" s="16" t="s">
        <v>762</v>
      </c>
      <c r="B792" s="16">
        <v>147814</v>
      </c>
      <c r="C792" s="16" t="s">
        <v>831</v>
      </c>
      <c r="D792" s="29"/>
      <c r="E792" s="1">
        <v>0</v>
      </c>
      <c r="F792" s="16">
        <v>0</v>
      </c>
      <c r="G792" s="30">
        <f t="shared" si="39"/>
        <v>-1.3333333333333333</v>
      </c>
      <c r="H792" s="16">
        <f t="shared" si="38"/>
        <v>1.3333333333333333</v>
      </c>
      <c r="I792" s="11">
        <f t="shared" si="40"/>
        <v>1.3333333333333333</v>
      </c>
      <c r="J792" s="11">
        <f>SUMIF(Oeffentlichkeitsarbeit!$D:$D,$B792,Oeffentlichkeitsarbeit!$F:$F)</f>
        <v>0</v>
      </c>
      <c r="K792" s="11">
        <f>COUNTIF(Fairteiler!$D:$D,$B792)*1/2</f>
        <v>0</v>
      </c>
      <c r="L792" s="11">
        <f>COUNTIF('NP-Betrieb'!D:D,$B792)*1/3</f>
        <v>1.3333333333333333</v>
      </c>
      <c r="M792" s="11">
        <f>COUNTIF(Fairteilungen!$D:$D,$B792)*3/4</f>
        <v>0</v>
      </c>
      <c r="N792" s="11">
        <f>COUNTIF(Anlieferung!D:D,$B792)*1/2</f>
        <v>0</v>
      </c>
      <c r="O792" s="11">
        <f>COUNTIF(Probeabholungen!B:B,$B792)*1/3</f>
        <v>0</v>
      </c>
    </row>
    <row r="793" spans="1:1024" ht="27.6">
      <c r="A793" s="8" t="s">
        <v>763</v>
      </c>
      <c r="B793" s="8">
        <v>397881</v>
      </c>
      <c r="D793" s="24">
        <v>45771</v>
      </c>
      <c r="E793" s="1">
        <v>3.6666666666666701</v>
      </c>
      <c r="F793">
        <v>6</v>
      </c>
      <c r="G793" s="30">
        <f t="shared" si="39"/>
        <v>9.6666666666666696</v>
      </c>
      <c r="H793" s="8">
        <f t="shared" si="38"/>
        <v>-3.6666666666666701</v>
      </c>
      <c r="I793">
        <f t="shared" si="40"/>
        <v>0</v>
      </c>
      <c r="J793">
        <f>SUMIF(Oeffentlichkeitsarbeit!$D:$D,$B793,Oeffentlichkeitsarbeit!$F:$F)</f>
        <v>0</v>
      </c>
      <c r="K793">
        <f>COUNTIF(Fairteiler!$D:$D,$B793)*1/2</f>
        <v>0</v>
      </c>
      <c r="L793">
        <f>COUNTIF('NP-Betrieb'!D:D,$B793)*1/3</f>
        <v>0</v>
      </c>
      <c r="M793">
        <f>COUNTIF(Fairteilungen!$D:$D,$B793)*3/4</f>
        <v>0</v>
      </c>
      <c r="N793">
        <f>COUNTIF(Anlieferung!D:D,$B793)*1/2</f>
        <v>0</v>
      </c>
      <c r="O793">
        <f>COUNTIF(Probeabholungen!B:B,$B793)*1/3</f>
        <v>0</v>
      </c>
    </row>
    <row r="794" spans="1:1024" ht="27.6">
      <c r="A794" s="8" t="s">
        <v>764</v>
      </c>
      <c r="B794" s="8">
        <v>858450</v>
      </c>
      <c r="D794" s="24">
        <v>45622</v>
      </c>
      <c r="E794" s="1">
        <v>0</v>
      </c>
      <c r="F794" s="8">
        <v>6</v>
      </c>
      <c r="G794" s="30">
        <f t="shared" si="39"/>
        <v>4.333333333333333</v>
      </c>
      <c r="H794" s="8">
        <f t="shared" si="38"/>
        <v>1.6666666666666667</v>
      </c>
      <c r="I794">
        <f t="shared" si="40"/>
        <v>1.6666666666666667</v>
      </c>
      <c r="J794">
        <f>SUMIF(Oeffentlichkeitsarbeit!$D:$D,$B794,Oeffentlichkeitsarbeit!$F:$F)</f>
        <v>0</v>
      </c>
      <c r="K794">
        <f>COUNTIF(Fairteiler!$D:$D,$B794)*1/2</f>
        <v>0</v>
      </c>
      <c r="L794">
        <f>COUNTIF('NP-Betrieb'!D:D,$B794)*1/3</f>
        <v>1.6666666666666667</v>
      </c>
      <c r="M794">
        <f>COUNTIF(Fairteilungen!$D:$D,$B794)*3/4</f>
        <v>0</v>
      </c>
      <c r="N794">
        <f>COUNTIF(Anlieferung!D:D,$B794)*1/2</f>
        <v>0</v>
      </c>
      <c r="O794">
        <f>COUNTIF(Probeabholungen!B:B,$B794)*1/3</f>
        <v>0</v>
      </c>
    </row>
    <row r="795" spans="1:1024" ht="41.4">
      <c r="A795" s="8" t="s">
        <v>765</v>
      </c>
      <c r="B795" s="8">
        <v>795657</v>
      </c>
      <c r="D795" s="29">
        <v>45277</v>
      </c>
      <c r="E795" s="1">
        <v>5.5</v>
      </c>
      <c r="F795" s="8">
        <v>6</v>
      </c>
      <c r="G795" s="30">
        <f t="shared" si="39"/>
        <v>11.5</v>
      </c>
      <c r="H795" s="8">
        <f t="shared" si="38"/>
        <v>-5.5</v>
      </c>
      <c r="I795">
        <f t="shared" si="40"/>
        <v>0</v>
      </c>
      <c r="J795">
        <f>SUMIF(Oeffentlichkeitsarbeit!$D:$D,$B795,Oeffentlichkeitsarbeit!$F:$F)</f>
        <v>0</v>
      </c>
      <c r="K795">
        <f>COUNTIF(Fairteiler!$D:$D,$B795)*1/2</f>
        <v>0</v>
      </c>
      <c r="L795">
        <f>COUNTIF('NP-Betrieb'!D:D,$B795)*1/3</f>
        <v>0</v>
      </c>
      <c r="M795">
        <f>COUNTIF(Fairteilungen!$D:$D,$B795)*3/4</f>
        <v>0</v>
      </c>
      <c r="N795">
        <f>COUNTIF(Anlieferung!D:D,$B795)*1/2</f>
        <v>0</v>
      </c>
      <c r="O795">
        <f>COUNTIF(Probeabholungen!B:B,$B795)*1/3</f>
        <v>0</v>
      </c>
    </row>
    <row r="796" spans="1:1024" ht="41.4">
      <c r="A796" s="8" t="s">
        <v>766</v>
      </c>
      <c r="B796" s="8">
        <v>340388</v>
      </c>
      <c r="D796" s="29">
        <v>45183</v>
      </c>
      <c r="E796" s="1">
        <v>9.84</v>
      </c>
      <c r="F796" s="8">
        <v>6</v>
      </c>
      <c r="G796" s="30">
        <f t="shared" si="39"/>
        <v>15.84</v>
      </c>
      <c r="H796" s="8">
        <f t="shared" ref="H796:H859" si="41">I796-E796</f>
        <v>-9.84</v>
      </c>
      <c r="I796">
        <f t="shared" si="40"/>
        <v>0</v>
      </c>
      <c r="J796">
        <f>SUMIF(Oeffentlichkeitsarbeit!$D:$D,$B796,Oeffentlichkeitsarbeit!$F:$F)</f>
        <v>0</v>
      </c>
      <c r="K796">
        <f>COUNTIF(Fairteiler!$D:$D,$B796)*1/2</f>
        <v>0</v>
      </c>
      <c r="L796">
        <f>COUNTIF('NP-Betrieb'!D:D,$B796)*1/3</f>
        <v>0</v>
      </c>
      <c r="M796">
        <f>COUNTIF(Fairteilungen!$D:$D,$B796)*3/4</f>
        <v>0</v>
      </c>
      <c r="N796">
        <f>COUNTIF(Anlieferung!D:D,$B796)*1/2</f>
        <v>0</v>
      </c>
      <c r="O796">
        <f>COUNTIF(Probeabholungen!B:B,$B796)*1/3</f>
        <v>0</v>
      </c>
    </row>
    <row r="797" spans="1:1024">
      <c r="A797" s="44" t="s">
        <v>767</v>
      </c>
      <c r="B797" s="44">
        <v>905187</v>
      </c>
      <c r="C797" s="44"/>
      <c r="D797" s="24">
        <v>45720</v>
      </c>
      <c r="E797" s="1">
        <v>0</v>
      </c>
      <c r="F797" s="44">
        <v>6</v>
      </c>
      <c r="G797" s="30">
        <f t="shared" si="39"/>
        <v>4.166666666666667</v>
      </c>
      <c r="H797" s="8">
        <f t="shared" si="41"/>
        <v>1.8333333333333333</v>
      </c>
      <c r="I797" s="44">
        <f t="shared" si="40"/>
        <v>1.8333333333333333</v>
      </c>
      <c r="J797" s="44">
        <f>SUMIF(Oeffentlichkeitsarbeit!$D:$D,$B797,Oeffentlichkeitsarbeit!$F:$F)</f>
        <v>0</v>
      </c>
      <c r="K797" s="44">
        <f>COUNTIF(Fairteiler!$D:$D,$B797)*1/2</f>
        <v>0</v>
      </c>
      <c r="L797" s="44">
        <f>COUNTIF('NP-Betrieb'!D:D,$B797)*1/3</f>
        <v>0.33333333333333331</v>
      </c>
      <c r="M797" s="44">
        <f>COUNTIF(Fairteilungen!$D:$D,$B797)*3/4</f>
        <v>0</v>
      </c>
      <c r="N797" s="44">
        <f>COUNTIF(Anlieferung!D:D,$B797)*1/2</f>
        <v>1.5</v>
      </c>
      <c r="O797" s="44">
        <f>COUNTIF(Probeabholungen!B:B,$B797)*1/3</f>
        <v>0</v>
      </c>
    </row>
    <row r="798" spans="1:1024" ht="27.6">
      <c r="A798" s="8" t="s">
        <v>768</v>
      </c>
      <c r="B798" s="8">
        <v>723096</v>
      </c>
      <c r="D798" s="29">
        <v>45228</v>
      </c>
      <c r="E798" s="1">
        <v>0</v>
      </c>
      <c r="F798" s="8">
        <v>6</v>
      </c>
      <c r="G798" s="30">
        <f t="shared" si="39"/>
        <v>4.333333333333333</v>
      </c>
      <c r="H798" s="8">
        <f t="shared" si="41"/>
        <v>1.6666666666666667</v>
      </c>
      <c r="I798">
        <f t="shared" si="40"/>
        <v>1.6666666666666667</v>
      </c>
      <c r="J798">
        <f>SUMIF(Oeffentlichkeitsarbeit!$D:$D,$B798,Oeffentlichkeitsarbeit!$F:$F)</f>
        <v>0</v>
      </c>
      <c r="K798">
        <f>COUNTIF(Fairteiler!$D:$D,$B798)*1/2</f>
        <v>0</v>
      </c>
      <c r="L798">
        <f>COUNTIF('NP-Betrieb'!D:D,$B798)*1/3</f>
        <v>1.6666666666666667</v>
      </c>
      <c r="M798">
        <f>COUNTIF(Fairteilungen!$D:$D,$B798)*3/4</f>
        <v>0</v>
      </c>
      <c r="N798">
        <f>COUNTIF(Anlieferung!D:D,$B798)*1/2</f>
        <v>0</v>
      </c>
      <c r="O798">
        <f>COUNTIF(Probeabholungen!B:B,$B798)*1/3</f>
        <v>0</v>
      </c>
    </row>
    <row r="799" spans="1:1024">
      <c r="A799" s="8" t="s">
        <v>769</v>
      </c>
      <c r="B799" s="8">
        <v>806909</v>
      </c>
      <c r="C799" s="8"/>
      <c r="D799" s="29">
        <v>45404</v>
      </c>
      <c r="E799" s="1">
        <v>0</v>
      </c>
      <c r="F799" s="8">
        <v>6</v>
      </c>
      <c r="G799" s="30">
        <f t="shared" si="39"/>
        <v>1.5</v>
      </c>
      <c r="H799" s="8">
        <f t="shared" si="41"/>
        <v>4.5</v>
      </c>
      <c r="I799">
        <f t="shared" si="40"/>
        <v>4.5</v>
      </c>
      <c r="J799">
        <f>SUMIF(Oeffentlichkeitsarbeit!$D:$D,$B799,Oeffentlichkeitsarbeit!$F:$F)</f>
        <v>0</v>
      </c>
      <c r="K799">
        <f>COUNTIF(Fairteiler!$D:$D,$B799)*1/2</f>
        <v>0</v>
      </c>
      <c r="L799">
        <f>COUNTIF('NP-Betrieb'!D:D,$B799)*1/3</f>
        <v>4</v>
      </c>
      <c r="M799">
        <f>COUNTIF(Fairteilungen!$D:$D,$B799)*3/4</f>
        <v>0</v>
      </c>
      <c r="N799">
        <f>COUNTIF(Anlieferung!D:D,$B799)*1/2</f>
        <v>0.5</v>
      </c>
      <c r="O799">
        <f>COUNTIF(Probeabholungen!B:B,$B799)*1/3</f>
        <v>0</v>
      </c>
    </row>
    <row r="800" spans="1:1024">
      <c r="A800" s="8" t="s">
        <v>770</v>
      </c>
      <c r="B800" s="8">
        <v>891376</v>
      </c>
      <c r="D800" s="24">
        <v>45749</v>
      </c>
      <c r="E800" s="1">
        <v>0</v>
      </c>
      <c r="F800">
        <v>6</v>
      </c>
      <c r="G800" s="30">
        <f t="shared" si="39"/>
        <v>3.3333333333333335</v>
      </c>
      <c r="H800" s="8">
        <f t="shared" si="41"/>
        <v>2.6666666666666665</v>
      </c>
      <c r="I800">
        <f t="shared" si="40"/>
        <v>2.6666666666666665</v>
      </c>
      <c r="J800">
        <f>SUMIF(Oeffentlichkeitsarbeit!$D:$D,$B800,Oeffentlichkeitsarbeit!$F:$F)</f>
        <v>0</v>
      </c>
      <c r="K800">
        <f>COUNTIF(Fairteiler!$D:$D,$B800)*1/2</f>
        <v>0</v>
      </c>
      <c r="L800">
        <f>COUNTIF('NP-Betrieb'!D:D,$B800)*1/3</f>
        <v>2.6666666666666665</v>
      </c>
      <c r="M800">
        <f>COUNTIF(Fairteilungen!$D:$D,$B800)*3/4</f>
        <v>0</v>
      </c>
      <c r="N800">
        <f>COUNTIF(Anlieferung!D:D,$B800)*1/2</f>
        <v>0</v>
      </c>
      <c r="O800">
        <f>COUNTIF(Probeabholungen!B:B,$B800)*1/3</f>
        <v>0</v>
      </c>
    </row>
    <row r="801" spans="1:1024" ht="27.6">
      <c r="A801" s="8" t="s">
        <v>771</v>
      </c>
      <c r="B801" s="8">
        <v>935091</v>
      </c>
      <c r="D801" s="24">
        <v>46005</v>
      </c>
      <c r="E801" s="1">
        <v>0</v>
      </c>
      <c r="F801">
        <v>6</v>
      </c>
      <c r="G801" s="30">
        <f t="shared" si="39"/>
        <v>1.666666666666667</v>
      </c>
      <c r="H801" s="8">
        <f t="shared" si="41"/>
        <v>4.333333333333333</v>
      </c>
      <c r="I801">
        <f t="shared" si="40"/>
        <v>4.333333333333333</v>
      </c>
      <c r="J801">
        <f>SUMIF(Oeffentlichkeitsarbeit!$D:$D,$B801,Oeffentlichkeitsarbeit!$F:$F)</f>
        <v>0</v>
      </c>
      <c r="K801">
        <f>COUNTIF(Fairteiler!$D:$D,$B801)*1/2</f>
        <v>0</v>
      </c>
      <c r="L801">
        <f>COUNTIF('NP-Betrieb'!D:D,$B801)*1/3</f>
        <v>4.333333333333333</v>
      </c>
      <c r="M801">
        <f>COUNTIF(Fairteilungen!$D:$D,$B801)*3/4</f>
        <v>0</v>
      </c>
      <c r="N801">
        <f>COUNTIF(Anlieferung!D:D,$B801)*1/2</f>
        <v>0</v>
      </c>
      <c r="O801">
        <f>COUNTIF(Probeabholungen!B:B,$B801)*1/3</f>
        <v>0</v>
      </c>
    </row>
    <row r="802" spans="1:1024" ht="27.6">
      <c r="A802" s="8" t="s">
        <v>772</v>
      </c>
      <c r="B802" s="8">
        <v>774526</v>
      </c>
      <c r="D802" s="29">
        <v>45247</v>
      </c>
      <c r="E802" s="1">
        <v>0</v>
      </c>
      <c r="F802" s="8">
        <v>6</v>
      </c>
      <c r="G802" s="30">
        <f t="shared" si="39"/>
        <v>3.3333333333333335</v>
      </c>
      <c r="H802" s="8">
        <f t="shared" si="41"/>
        <v>2.6666666666666665</v>
      </c>
      <c r="I802">
        <f t="shared" si="40"/>
        <v>2.6666666666666665</v>
      </c>
      <c r="J802">
        <f>SUMIF(Oeffentlichkeitsarbeit!$D:$D,$B802,Oeffentlichkeitsarbeit!$F:$F)</f>
        <v>0</v>
      </c>
      <c r="K802">
        <f>COUNTIF(Fairteiler!$D:$D,$B802)*1/2</f>
        <v>0</v>
      </c>
      <c r="L802">
        <f>COUNTIF('NP-Betrieb'!D:D,$B802)*1/3</f>
        <v>2.6666666666666665</v>
      </c>
      <c r="M802">
        <f>COUNTIF(Fairteilungen!$D:$D,$B802)*3/4</f>
        <v>0</v>
      </c>
      <c r="N802">
        <f>COUNTIF(Anlieferung!D:D,$B802)*1/2</f>
        <v>0</v>
      </c>
      <c r="O802">
        <f>COUNTIF(Probeabholungen!B:B,$B802)*1/3</f>
        <v>0</v>
      </c>
    </row>
    <row r="803" spans="1:1024" ht="27.6">
      <c r="A803" s="8" t="s">
        <v>773</v>
      </c>
      <c r="B803" s="8">
        <v>580938</v>
      </c>
      <c r="D803" s="29"/>
      <c r="E803" s="1">
        <v>7.67333333333334</v>
      </c>
      <c r="F803" s="8">
        <v>6</v>
      </c>
      <c r="G803" s="30">
        <f t="shared" si="39"/>
        <v>13.673333333333339</v>
      </c>
      <c r="H803" s="8">
        <f t="shared" si="41"/>
        <v>-7.67333333333334</v>
      </c>
      <c r="I803">
        <f t="shared" si="40"/>
        <v>0</v>
      </c>
      <c r="J803">
        <f>SUMIF(Oeffentlichkeitsarbeit!$D:$D,$B803,Oeffentlichkeitsarbeit!$F:$F)</f>
        <v>0</v>
      </c>
      <c r="K803">
        <f>COUNTIF(Fairteiler!$D:$D,$B803)*1/2</f>
        <v>0</v>
      </c>
      <c r="L803">
        <f>COUNTIF('NP-Betrieb'!D:D,$B803)*1/3</f>
        <v>0</v>
      </c>
      <c r="M803">
        <f>COUNTIF(Fairteilungen!$D:$D,$B803)*3/4</f>
        <v>0</v>
      </c>
      <c r="N803">
        <f>COUNTIF(Anlieferung!D:D,$B803)*1/2</f>
        <v>0</v>
      </c>
      <c r="O803">
        <f>COUNTIF(Probeabholungen!B:B,$B803)*1/3</f>
        <v>0</v>
      </c>
    </row>
    <row r="804" spans="1:1024">
      <c r="A804" s="8" t="s">
        <v>774</v>
      </c>
      <c r="B804" s="8">
        <v>734422</v>
      </c>
      <c r="D804" s="29">
        <v>45992</v>
      </c>
      <c r="E804" s="1">
        <v>0</v>
      </c>
      <c r="F804">
        <v>6</v>
      </c>
      <c r="G804" s="30">
        <f t="shared" si="39"/>
        <v>6</v>
      </c>
      <c r="H804" s="8">
        <f t="shared" si="41"/>
        <v>0</v>
      </c>
      <c r="I804">
        <f t="shared" si="40"/>
        <v>0</v>
      </c>
      <c r="J804">
        <f>SUMIF(Oeffentlichkeitsarbeit!$D:$D,$B804,Oeffentlichkeitsarbeit!$F:$F)</f>
        <v>0</v>
      </c>
      <c r="K804">
        <f>COUNTIF(Fairteiler!$D:$D,$B804)*1/2</f>
        <v>0</v>
      </c>
      <c r="L804">
        <f>COUNTIF('NP-Betrieb'!D:D,$B804)*1/3</f>
        <v>0</v>
      </c>
      <c r="M804">
        <f>COUNTIF(Fairteilungen!$D:$D,$B804)*3/4</f>
        <v>0</v>
      </c>
      <c r="N804">
        <f>COUNTIF(Anlieferung!D:D,$B804)*1/2</f>
        <v>0</v>
      </c>
      <c r="O804">
        <f>COUNTIF(Probeabholungen!B:B,$B804)*1/3</f>
        <v>0</v>
      </c>
    </row>
    <row r="805" spans="1:1024" s="22" customFormat="1" ht="27.6">
      <c r="A805" s="8" t="s">
        <v>775</v>
      </c>
      <c r="B805" s="8">
        <v>285949</v>
      </c>
      <c r="C805"/>
      <c r="D805" s="29">
        <v>45387</v>
      </c>
      <c r="E805" s="1">
        <v>10</v>
      </c>
      <c r="F805" s="8">
        <v>6</v>
      </c>
      <c r="G805" s="30">
        <f t="shared" si="39"/>
        <v>16</v>
      </c>
      <c r="H805" s="8">
        <f t="shared" si="41"/>
        <v>-10</v>
      </c>
      <c r="I805">
        <f t="shared" si="40"/>
        <v>0</v>
      </c>
      <c r="J805">
        <f>SUMIF(Oeffentlichkeitsarbeit!$D:$D,$B805,Oeffentlichkeitsarbeit!$F:$F)</f>
        <v>0</v>
      </c>
      <c r="K805">
        <f>COUNTIF(Fairteiler!$D:$D,$B805)*1/2</f>
        <v>0</v>
      </c>
      <c r="L805">
        <f>COUNTIF('NP-Betrieb'!D:D,$B805)*1/3</f>
        <v>0</v>
      </c>
      <c r="M805">
        <f>COUNTIF(Fairteilungen!$D:$D,$B805)*3/4</f>
        <v>0</v>
      </c>
      <c r="N805">
        <f>COUNTIF(Anlieferung!D:D,$B805)*1/2</f>
        <v>0</v>
      </c>
      <c r="O805">
        <f>COUNTIF(Probeabholungen!B:B,$B805)*1/3</f>
        <v>0</v>
      </c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/>
      <c r="BD805"/>
      <c r="BE805"/>
      <c r="BF805"/>
      <c r="BG805"/>
      <c r="BH805"/>
      <c r="BI805"/>
      <c r="BJ805"/>
      <c r="BK805"/>
      <c r="BL805"/>
      <c r="BM805"/>
      <c r="BN805"/>
      <c r="BO805"/>
      <c r="BP805"/>
      <c r="BQ805"/>
      <c r="BR805"/>
      <c r="BS805"/>
      <c r="BT805"/>
      <c r="BU805"/>
      <c r="BV805"/>
      <c r="BW805"/>
      <c r="BX805"/>
      <c r="BY805"/>
      <c r="BZ805"/>
      <c r="CA805"/>
      <c r="CB805"/>
      <c r="CC805"/>
      <c r="CD805"/>
      <c r="CE805"/>
      <c r="CF805"/>
      <c r="CG805"/>
      <c r="CH805"/>
      <c r="CI805"/>
      <c r="CJ805"/>
      <c r="CK805"/>
      <c r="CL805"/>
      <c r="CM805"/>
      <c r="CN805"/>
      <c r="CO805"/>
      <c r="CP805"/>
      <c r="CQ805"/>
      <c r="CR805"/>
      <c r="CS805"/>
      <c r="CT805"/>
      <c r="CU805"/>
      <c r="CV805"/>
      <c r="CW805"/>
      <c r="CX805"/>
      <c r="CY805"/>
      <c r="CZ805"/>
      <c r="DA805"/>
      <c r="DB805"/>
      <c r="DC805"/>
      <c r="DD805"/>
      <c r="DE805"/>
      <c r="DF805"/>
      <c r="DG805"/>
      <c r="DH805"/>
      <c r="DI805"/>
      <c r="DJ805"/>
      <c r="DK805"/>
      <c r="DL805"/>
      <c r="DM805"/>
      <c r="DN805"/>
      <c r="DO805"/>
      <c r="DP805"/>
      <c r="DQ805"/>
      <c r="DR805"/>
      <c r="DS805"/>
      <c r="DT805"/>
      <c r="DU805"/>
      <c r="DV805"/>
      <c r="DW805"/>
      <c r="DX805"/>
      <c r="DY805"/>
      <c r="DZ805"/>
      <c r="EA805"/>
      <c r="EB805"/>
      <c r="EC805"/>
      <c r="ED805"/>
      <c r="EE805"/>
      <c r="EF805"/>
      <c r="EG805"/>
      <c r="EH805"/>
      <c r="EI805"/>
      <c r="EJ805"/>
      <c r="EK805"/>
      <c r="EL805"/>
      <c r="EM805"/>
      <c r="EN805"/>
      <c r="EO805"/>
      <c r="EP805"/>
      <c r="EQ805"/>
      <c r="ER805"/>
      <c r="ES805"/>
      <c r="ET805"/>
      <c r="EU805"/>
      <c r="EV805"/>
      <c r="EW805"/>
      <c r="EX805"/>
      <c r="EY805"/>
      <c r="EZ805"/>
      <c r="FA805"/>
      <c r="FB805"/>
      <c r="FC805"/>
      <c r="FD805"/>
      <c r="FE805"/>
      <c r="FF805"/>
      <c r="FG805"/>
      <c r="FH805"/>
      <c r="FI805"/>
      <c r="FJ805"/>
      <c r="FK805"/>
      <c r="FL805"/>
      <c r="FM805"/>
      <c r="FN805"/>
      <c r="FO805"/>
      <c r="FP805"/>
      <c r="FQ805"/>
      <c r="FR805"/>
      <c r="FS805"/>
      <c r="FT805"/>
      <c r="FU805"/>
      <c r="FV805"/>
      <c r="FW805"/>
      <c r="FX805"/>
      <c r="FY805"/>
      <c r="FZ805"/>
      <c r="GA805"/>
      <c r="GB805"/>
      <c r="GC805"/>
      <c r="GD805"/>
      <c r="GE805"/>
      <c r="GF805"/>
      <c r="GG805"/>
      <c r="GH805"/>
      <c r="GI805"/>
      <c r="GJ805"/>
      <c r="GK805"/>
      <c r="GL805"/>
      <c r="GM805"/>
      <c r="GN805"/>
      <c r="GO805"/>
      <c r="GP805"/>
      <c r="GQ805"/>
      <c r="GR805"/>
      <c r="GS805"/>
      <c r="GT805"/>
      <c r="GU805"/>
      <c r="GV805"/>
      <c r="GW805"/>
      <c r="GX805"/>
      <c r="GY805"/>
      <c r="GZ805"/>
      <c r="HA805"/>
      <c r="HB805"/>
      <c r="HC805"/>
      <c r="HD805"/>
      <c r="HE805"/>
      <c r="HF805"/>
      <c r="HG805"/>
      <c r="HH805"/>
      <c r="HI805"/>
      <c r="HJ805"/>
      <c r="HK805"/>
      <c r="HL805"/>
      <c r="HM805"/>
      <c r="HN805"/>
      <c r="HO805"/>
      <c r="HP805"/>
      <c r="HQ805"/>
      <c r="HR805"/>
      <c r="HS805"/>
      <c r="HT805"/>
      <c r="HU805"/>
      <c r="HV805"/>
      <c r="HW805"/>
      <c r="HX805"/>
      <c r="HY805"/>
      <c r="HZ805"/>
      <c r="IA805"/>
      <c r="IB805"/>
      <c r="IC805"/>
      <c r="ID805"/>
      <c r="IE805"/>
      <c r="IF805"/>
      <c r="IG805"/>
      <c r="IH805"/>
      <c r="II805"/>
      <c r="IJ805"/>
      <c r="IK805"/>
      <c r="IL805"/>
      <c r="IM805"/>
      <c r="IN805"/>
      <c r="IO805"/>
      <c r="IP805"/>
      <c r="IQ805"/>
      <c r="IR805"/>
      <c r="IS805"/>
      <c r="IT805"/>
      <c r="IU805"/>
      <c r="IV805"/>
      <c r="IW805"/>
      <c r="IX805"/>
      <c r="IY805"/>
      <c r="IZ805"/>
      <c r="JA805"/>
      <c r="JB805"/>
      <c r="JC805"/>
      <c r="JD805"/>
      <c r="JE805"/>
      <c r="JF805"/>
      <c r="JG805"/>
      <c r="JH805"/>
      <c r="JI805"/>
      <c r="JJ805"/>
      <c r="JK805"/>
      <c r="JL805"/>
      <c r="JM805"/>
      <c r="JN805"/>
      <c r="JO805"/>
      <c r="JP805"/>
      <c r="JQ805"/>
      <c r="JR805"/>
      <c r="JS805"/>
      <c r="JT805"/>
      <c r="JU805"/>
      <c r="JV805"/>
      <c r="JW805"/>
      <c r="JX805"/>
      <c r="JY805"/>
      <c r="JZ805"/>
      <c r="KA805"/>
      <c r="KB805"/>
      <c r="KC805"/>
      <c r="KD805"/>
      <c r="KE805"/>
      <c r="KF805"/>
      <c r="KG805"/>
      <c r="KH805"/>
      <c r="KI805"/>
      <c r="KJ805"/>
      <c r="KK805"/>
      <c r="KL805"/>
      <c r="KM805"/>
      <c r="KN805"/>
      <c r="KO805"/>
      <c r="KP805"/>
      <c r="KQ805"/>
      <c r="KR805"/>
      <c r="KS805"/>
      <c r="KT805"/>
      <c r="KU805"/>
      <c r="KV805"/>
      <c r="KW805"/>
      <c r="KX805"/>
      <c r="KY805"/>
      <c r="KZ805"/>
      <c r="LA805"/>
      <c r="LB805"/>
      <c r="LC805"/>
      <c r="LD805"/>
      <c r="LE805"/>
      <c r="LF805"/>
      <c r="LG805"/>
      <c r="LH805"/>
      <c r="LI805"/>
      <c r="LJ805"/>
      <c r="LK805"/>
      <c r="LL805"/>
      <c r="LM805"/>
      <c r="LN805"/>
      <c r="LO805"/>
      <c r="LP805"/>
      <c r="LQ805"/>
      <c r="LR805"/>
      <c r="LS805"/>
      <c r="LT805"/>
      <c r="LU805"/>
      <c r="LV805"/>
      <c r="LW805"/>
      <c r="LX805"/>
      <c r="LY805"/>
      <c r="LZ805"/>
      <c r="MA805"/>
      <c r="MB805"/>
      <c r="MC805"/>
      <c r="MD805"/>
      <c r="ME805"/>
      <c r="MF805"/>
      <c r="MG805"/>
      <c r="MH805"/>
      <c r="MI805"/>
      <c r="MJ805"/>
      <c r="MK805"/>
      <c r="ML805"/>
      <c r="MM805"/>
      <c r="MN805"/>
      <c r="MO805"/>
      <c r="MP805"/>
      <c r="MQ805"/>
      <c r="MR805"/>
      <c r="MS805"/>
      <c r="MT805"/>
      <c r="MU805"/>
      <c r="MV805"/>
      <c r="MW805"/>
      <c r="MX805"/>
      <c r="MY805"/>
      <c r="MZ805"/>
      <c r="NA805"/>
      <c r="NB805"/>
      <c r="NC805"/>
      <c r="ND805"/>
      <c r="NE805"/>
      <c r="NF805"/>
      <c r="NG805"/>
      <c r="NH805"/>
      <c r="NI805"/>
      <c r="NJ805"/>
      <c r="NK805"/>
      <c r="NL805"/>
      <c r="NM805"/>
      <c r="NN805"/>
      <c r="NO805"/>
      <c r="NP805"/>
      <c r="NQ805"/>
      <c r="NR805"/>
      <c r="NS805"/>
      <c r="NT805"/>
      <c r="NU805"/>
      <c r="NV805"/>
      <c r="NW805"/>
      <c r="NX805"/>
      <c r="NY805"/>
      <c r="NZ805"/>
      <c r="OA805"/>
      <c r="OB805"/>
      <c r="OC805"/>
      <c r="OD805"/>
      <c r="OE805"/>
      <c r="OF805"/>
      <c r="OG805"/>
      <c r="OH805"/>
      <c r="OI805"/>
      <c r="OJ805"/>
      <c r="OK805"/>
      <c r="OL805"/>
      <c r="OM805"/>
      <c r="ON805"/>
      <c r="OO805"/>
      <c r="OP805"/>
      <c r="OQ805"/>
      <c r="OR805"/>
      <c r="OS805"/>
      <c r="OT805"/>
      <c r="OU805"/>
      <c r="OV805"/>
      <c r="OW805"/>
      <c r="OX805"/>
      <c r="OY805"/>
      <c r="OZ805"/>
      <c r="PA805"/>
      <c r="PB805"/>
      <c r="PC805"/>
      <c r="PD805"/>
      <c r="PE805"/>
      <c r="PF805"/>
      <c r="PG805"/>
      <c r="PH805"/>
      <c r="PI805"/>
      <c r="PJ805"/>
      <c r="PK805"/>
      <c r="PL805"/>
      <c r="PM805"/>
      <c r="PN805"/>
      <c r="PO805"/>
      <c r="PP805"/>
      <c r="PQ805"/>
      <c r="PR805"/>
      <c r="PS805"/>
      <c r="PT805"/>
      <c r="PU805"/>
      <c r="PV805"/>
      <c r="PW805"/>
      <c r="PX805"/>
      <c r="PY805"/>
      <c r="PZ805"/>
      <c r="QA805"/>
      <c r="QB805"/>
      <c r="QC805"/>
      <c r="QD805"/>
      <c r="QE805"/>
      <c r="QF805"/>
      <c r="QG805"/>
      <c r="QH805"/>
      <c r="QI805"/>
      <c r="QJ805"/>
      <c r="QK805"/>
      <c r="QL805"/>
      <c r="QM805"/>
      <c r="QN805"/>
      <c r="QO805"/>
      <c r="QP805"/>
      <c r="QQ805"/>
      <c r="QR805"/>
      <c r="QS805"/>
      <c r="QT805"/>
      <c r="QU805"/>
      <c r="QV805"/>
      <c r="QW805"/>
      <c r="QX805"/>
      <c r="QY805"/>
      <c r="QZ805"/>
      <c r="RA805"/>
      <c r="RB805"/>
      <c r="RC805"/>
      <c r="RD805"/>
      <c r="RE805"/>
      <c r="RF805"/>
      <c r="RG805"/>
      <c r="RH805"/>
      <c r="RI805"/>
      <c r="RJ805"/>
      <c r="RK805"/>
      <c r="RL805"/>
      <c r="RM805"/>
      <c r="RN805"/>
      <c r="RO805"/>
      <c r="RP805"/>
      <c r="RQ805"/>
      <c r="RR805"/>
      <c r="RS805"/>
      <c r="RT805"/>
      <c r="RU805"/>
      <c r="RV805"/>
      <c r="RW805"/>
      <c r="RX805"/>
      <c r="RY805"/>
      <c r="RZ805"/>
      <c r="SA805"/>
      <c r="SB805"/>
      <c r="SC805"/>
      <c r="SD805"/>
      <c r="SE805"/>
      <c r="SF805"/>
      <c r="SG805"/>
      <c r="SH805"/>
      <c r="SI805"/>
      <c r="SJ805"/>
      <c r="SK805"/>
      <c r="SL805"/>
      <c r="SM805"/>
      <c r="SN805"/>
      <c r="SO805"/>
      <c r="SP805"/>
      <c r="SQ805"/>
      <c r="SR805"/>
      <c r="SS805"/>
      <c r="ST805"/>
      <c r="SU805"/>
      <c r="SV805"/>
      <c r="SW805"/>
      <c r="SX805"/>
      <c r="SY805"/>
      <c r="SZ805"/>
      <c r="TA805"/>
      <c r="TB805"/>
      <c r="TC805"/>
      <c r="TD805"/>
      <c r="TE805"/>
      <c r="TF805"/>
      <c r="TG805"/>
      <c r="TH805"/>
      <c r="TI805"/>
      <c r="TJ805"/>
      <c r="TK805"/>
      <c r="TL805"/>
      <c r="TM805"/>
      <c r="TN805"/>
      <c r="TO805"/>
      <c r="TP805"/>
      <c r="TQ805"/>
      <c r="TR805"/>
      <c r="TS805"/>
      <c r="TT805"/>
      <c r="TU805"/>
      <c r="TV805"/>
      <c r="TW805"/>
      <c r="TX805"/>
      <c r="TY805"/>
      <c r="TZ805"/>
      <c r="UA805"/>
      <c r="UB805"/>
      <c r="UC805"/>
      <c r="UD805"/>
      <c r="UE805"/>
      <c r="UF805"/>
      <c r="UG805"/>
      <c r="UH805"/>
      <c r="UI805"/>
      <c r="UJ805"/>
      <c r="UK805"/>
      <c r="UL805"/>
      <c r="UM805"/>
      <c r="UN805"/>
      <c r="UO805"/>
      <c r="UP805"/>
      <c r="UQ805"/>
      <c r="UR805"/>
      <c r="US805"/>
      <c r="UT805"/>
      <c r="UU805"/>
      <c r="UV805"/>
      <c r="UW805"/>
      <c r="UX805"/>
      <c r="UY805"/>
      <c r="UZ805"/>
      <c r="VA805"/>
      <c r="VB805"/>
      <c r="VC805"/>
      <c r="VD805"/>
      <c r="VE805"/>
      <c r="VF805"/>
      <c r="VG805"/>
      <c r="VH805"/>
      <c r="VI805"/>
      <c r="VJ805"/>
      <c r="VK805"/>
      <c r="VL805"/>
      <c r="VM805"/>
      <c r="VN805"/>
      <c r="VO805"/>
      <c r="VP805"/>
      <c r="VQ805"/>
      <c r="VR805"/>
      <c r="VS805"/>
      <c r="VT805"/>
      <c r="VU805"/>
      <c r="VV805"/>
      <c r="VW805"/>
      <c r="VX805"/>
      <c r="VY805"/>
      <c r="VZ805"/>
      <c r="WA805"/>
      <c r="WB805"/>
      <c r="WC805"/>
      <c r="WD805"/>
      <c r="WE805"/>
      <c r="WF805"/>
      <c r="WG805"/>
      <c r="WH805"/>
      <c r="WI805"/>
      <c r="WJ805"/>
      <c r="WK805"/>
      <c r="WL805"/>
      <c r="WM805"/>
      <c r="WN805"/>
      <c r="WO805"/>
      <c r="WP805"/>
      <c r="WQ805"/>
      <c r="WR805"/>
      <c r="WS805"/>
      <c r="WT805"/>
      <c r="WU805"/>
      <c r="WV805"/>
      <c r="WW805"/>
      <c r="WX805"/>
      <c r="WY805"/>
      <c r="WZ805"/>
      <c r="XA805"/>
      <c r="XB805"/>
      <c r="XC805"/>
      <c r="XD805"/>
      <c r="XE805"/>
      <c r="XF805"/>
      <c r="XG805"/>
      <c r="XH805"/>
      <c r="XI805"/>
      <c r="XJ805"/>
      <c r="XK805"/>
      <c r="XL805"/>
      <c r="XM805"/>
      <c r="XN805"/>
      <c r="XO805"/>
      <c r="XP805"/>
      <c r="XQ805"/>
      <c r="XR805"/>
      <c r="XS805"/>
      <c r="XT805"/>
      <c r="XU805"/>
      <c r="XV805"/>
      <c r="XW805"/>
      <c r="XX805"/>
      <c r="XY805"/>
      <c r="XZ805"/>
      <c r="YA805"/>
      <c r="YB805"/>
      <c r="YC805"/>
      <c r="YD805"/>
      <c r="YE805"/>
      <c r="YF805"/>
      <c r="YG805"/>
      <c r="YH805"/>
      <c r="YI805"/>
      <c r="YJ805"/>
      <c r="YK805"/>
      <c r="YL805"/>
      <c r="YM805"/>
      <c r="YN805"/>
      <c r="YO805"/>
      <c r="YP805"/>
      <c r="YQ805"/>
      <c r="YR805"/>
      <c r="YS805"/>
      <c r="YT805"/>
      <c r="YU805"/>
      <c r="YV805"/>
      <c r="YW805"/>
      <c r="YX805"/>
      <c r="YY805"/>
      <c r="YZ805"/>
      <c r="ZA805"/>
      <c r="ZB805"/>
      <c r="ZC805"/>
      <c r="ZD805"/>
      <c r="ZE805"/>
      <c r="ZF805"/>
      <c r="ZG805"/>
      <c r="ZH805"/>
      <c r="ZI805"/>
      <c r="ZJ805"/>
      <c r="ZK805"/>
      <c r="ZL805"/>
      <c r="ZM805"/>
      <c r="ZN805"/>
      <c r="ZO805"/>
      <c r="ZP805"/>
      <c r="ZQ805"/>
      <c r="ZR805"/>
      <c r="ZS805"/>
      <c r="ZT805"/>
      <c r="ZU805"/>
      <c r="ZV805"/>
      <c r="ZW805"/>
      <c r="ZX805"/>
      <c r="ZY805"/>
      <c r="ZZ805"/>
      <c r="AAA805"/>
      <c r="AAB805"/>
      <c r="AAC805"/>
      <c r="AAD805"/>
      <c r="AAE805"/>
      <c r="AAF805"/>
      <c r="AAG805"/>
      <c r="AAH805"/>
      <c r="AAI805"/>
      <c r="AAJ805"/>
      <c r="AAK805"/>
      <c r="AAL805"/>
      <c r="AAM805"/>
      <c r="AAN805"/>
      <c r="AAO805"/>
      <c r="AAP805"/>
      <c r="AAQ805"/>
      <c r="AAR805"/>
      <c r="AAS805"/>
      <c r="AAT805"/>
      <c r="AAU805"/>
      <c r="AAV805"/>
      <c r="AAW805"/>
      <c r="AAX805"/>
      <c r="AAY805"/>
      <c r="AAZ805"/>
      <c r="ABA805"/>
      <c r="ABB805"/>
      <c r="ABC805"/>
      <c r="ABD805"/>
      <c r="ABE805"/>
      <c r="ABF805"/>
      <c r="ABG805"/>
      <c r="ABH805"/>
      <c r="ABI805"/>
      <c r="ABJ805"/>
      <c r="ABK805"/>
      <c r="ABL805"/>
      <c r="ABM805"/>
      <c r="ABN805"/>
      <c r="ABO805"/>
      <c r="ABP805"/>
      <c r="ABQ805"/>
      <c r="ABR805"/>
      <c r="ABS805"/>
      <c r="ABT805"/>
      <c r="ABU805"/>
      <c r="ABV805"/>
      <c r="ABW805"/>
      <c r="ABX805"/>
      <c r="ABY805"/>
      <c r="ABZ805"/>
      <c r="ACA805"/>
      <c r="ACB805"/>
      <c r="ACC805"/>
      <c r="ACD805"/>
      <c r="ACE805"/>
      <c r="ACF805"/>
      <c r="ACG805"/>
      <c r="ACH805"/>
      <c r="ACI805"/>
      <c r="ACJ805"/>
      <c r="ACK805"/>
      <c r="ACL805"/>
      <c r="ACM805"/>
      <c r="ACN805"/>
      <c r="ACO805"/>
      <c r="ACP805"/>
      <c r="ACQ805"/>
      <c r="ACR805"/>
      <c r="ACS805"/>
      <c r="ACT805"/>
      <c r="ACU805"/>
      <c r="ACV805"/>
      <c r="ACW805"/>
      <c r="ACX805"/>
      <c r="ACY805"/>
      <c r="ACZ805"/>
      <c r="ADA805"/>
      <c r="ADB805"/>
      <c r="ADC805"/>
      <c r="ADD805"/>
      <c r="ADE805"/>
      <c r="ADF805"/>
      <c r="ADG805"/>
      <c r="ADH805"/>
      <c r="ADI805"/>
      <c r="ADJ805"/>
      <c r="ADK805"/>
      <c r="ADL805"/>
      <c r="ADM805"/>
      <c r="ADN805"/>
      <c r="ADO805"/>
      <c r="ADP805"/>
      <c r="ADQ805"/>
      <c r="ADR805"/>
      <c r="ADS805"/>
      <c r="ADT805"/>
      <c r="ADU805"/>
      <c r="ADV805"/>
      <c r="ADW805"/>
      <c r="ADX805"/>
      <c r="ADY805"/>
      <c r="ADZ805"/>
      <c r="AEA805"/>
      <c r="AEB805"/>
      <c r="AEC805"/>
      <c r="AED805"/>
      <c r="AEE805"/>
      <c r="AEF805"/>
      <c r="AEG805"/>
      <c r="AEH805"/>
      <c r="AEI805"/>
      <c r="AEJ805"/>
      <c r="AEK805"/>
      <c r="AEL805"/>
      <c r="AEM805"/>
      <c r="AEN805"/>
      <c r="AEO805"/>
      <c r="AEP805"/>
      <c r="AEQ805"/>
      <c r="AER805"/>
      <c r="AES805"/>
      <c r="AET805"/>
      <c r="AEU805"/>
      <c r="AEV805"/>
      <c r="AEW805"/>
      <c r="AEX805"/>
      <c r="AEY805"/>
      <c r="AEZ805"/>
      <c r="AFA805"/>
      <c r="AFB805"/>
      <c r="AFC805"/>
      <c r="AFD805"/>
      <c r="AFE805"/>
      <c r="AFF805"/>
      <c r="AFG805"/>
      <c r="AFH805"/>
      <c r="AFI805"/>
      <c r="AFJ805"/>
      <c r="AFK805"/>
      <c r="AFL805"/>
      <c r="AFM805"/>
      <c r="AFN805"/>
      <c r="AFO805"/>
      <c r="AFP805"/>
      <c r="AFQ805"/>
      <c r="AFR805"/>
      <c r="AFS805"/>
      <c r="AFT805"/>
      <c r="AFU805"/>
      <c r="AFV805"/>
      <c r="AFW805"/>
      <c r="AFX805"/>
      <c r="AFY805"/>
      <c r="AFZ805"/>
      <c r="AGA805"/>
      <c r="AGB805"/>
      <c r="AGC805"/>
      <c r="AGD805"/>
      <c r="AGE805"/>
      <c r="AGF805"/>
      <c r="AGG805"/>
      <c r="AGH805"/>
      <c r="AGI805"/>
      <c r="AGJ805"/>
      <c r="AGK805"/>
      <c r="AGL805"/>
      <c r="AGM805"/>
      <c r="AGN805"/>
      <c r="AGO805"/>
      <c r="AGP805"/>
      <c r="AGQ805"/>
      <c r="AGR805"/>
      <c r="AGS805"/>
      <c r="AGT805"/>
      <c r="AGU805"/>
      <c r="AGV805"/>
      <c r="AGW805"/>
      <c r="AGX805"/>
      <c r="AGY805"/>
      <c r="AGZ805"/>
      <c r="AHA805"/>
      <c r="AHB805"/>
      <c r="AHC805"/>
      <c r="AHD805"/>
      <c r="AHE805"/>
      <c r="AHF805"/>
      <c r="AHG805"/>
      <c r="AHH805"/>
      <c r="AHI805"/>
      <c r="AHJ805"/>
      <c r="AHK805"/>
      <c r="AHL805"/>
      <c r="AHM805"/>
      <c r="AHN805"/>
      <c r="AHO805"/>
      <c r="AHP805"/>
      <c r="AHQ805"/>
      <c r="AHR805"/>
      <c r="AHS805"/>
      <c r="AHT805"/>
      <c r="AHU805"/>
      <c r="AHV805"/>
      <c r="AHW805"/>
      <c r="AHX805"/>
      <c r="AHY805"/>
      <c r="AHZ805"/>
      <c r="AIA805"/>
      <c r="AIB805"/>
      <c r="AIC805"/>
      <c r="AID805"/>
      <c r="AIE805"/>
      <c r="AIF805"/>
      <c r="AIG805"/>
      <c r="AIH805"/>
      <c r="AII805"/>
      <c r="AIJ805"/>
      <c r="AIK805"/>
      <c r="AIL805"/>
      <c r="AIM805"/>
      <c r="AIN805"/>
      <c r="AIO805"/>
      <c r="AIP805"/>
      <c r="AIQ805"/>
      <c r="AIR805"/>
      <c r="AIS805"/>
      <c r="AIT805"/>
      <c r="AIU805"/>
      <c r="AIV805"/>
      <c r="AIW805"/>
      <c r="AIX805"/>
      <c r="AIY805"/>
      <c r="AIZ805"/>
      <c r="AJA805"/>
      <c r="AJB805"/>
      <c r="AJC805"/>
      <c r="AJD805"/>
      <c r="AJE805"/>
      <c r="AJF805"/>
      <c r="AJG805"/>
      <c r="AJH805"/>
      <c r="AJI805"/>
      <c r="AJJ805"/>
      <c r="AJK805"/>
      <c r="AJL805"/>
      <c r="AJM805"/>
      <c r="AJN805"/>
      <c r="AJO805"/>
      <c r="AJP805"/>
      <c r="AJQ805"/>
      <c r="AJR805"/>
      <c r="AJS805"/>
      <c r="AJT805"/>
      <c r="AJU805"/>
      <c r="AJV805"/>
      <c r="AJW805"/>
      <c r="AJX805"/>
      <c r="AJY805"/>
      <c r="AJZ805"/>
      <c r="AKA805"/>
      <c r="AKB805"/>
      <c r="AKC805"/>
      <c r="AKD805"/>
      <c r="AKE805"/>
      <c r="AKF805"/>
      <c r="AKG805"/>
      <c r="AKH805"/>
      <c r="AKI805"/>
      <c r="AKJ805"/>
      <c r="AKK805"/>
      <c r="AKL805"/>
      <c r="AKM805"/>
      <c r="AKN805"/>
      <c r="AKO805"/>
      <c r="AKP805"/>
      <c r="AKQ805"/>
      <c r="AKR805"/>
      <c r="AKS805"/>
      <c r="AKT805"/>
      <c r="AKU805"/>
      <c r="AKV805"/>
      <c r="AKW805"/>
      <c r="AKX805"/>
      <c r="AKY805"/>
      <c r="AKZ805"/>
      <c r="ALA805"/>
      <c r="ALB805"/>
      <c r="ALC805"/>
      <c r="ALD805"/>
      <c r="ALE805"/>
      <c r="ALF805"/>
      <c r="ALG805"/>
      <c r="ALH805"/>
      <c r="ALI805"/>
      <c r="ALJ805"/>
      <c r="ALK805"/>
      <c r="ALL805"/>
      <c r="ALM805"/>
      <c r="ALN805"/>
      <c r="ALO805"/>
      <c r="ALP805"/>
      <c r="ALQ805"/>
      <c r="ALR805"/>
      <c r="ALS805"/>
      <c r="ALT805"/>
      <c r="ALU805"/>
      <c r="ALV805"/>
      <c r="ALW805"/>
      <c r="ALX805"/>
      <c r="ALY805"/>
      <c r="ALZ805"/>
      <c r="AMA805"/>
      <c r="AMB805"/>
      <c r="AMC805"/>
      <c r="AMD805"/>
      <c r="AME805"/>
      <c r="AMF805"/>
      <c r="AMG805"/>
      <c r="AMH805"/>
      <c r="AMI805"/>
      <c r="AMJ805"/>
    </row>
    <row r="806" spans="1:1024">
      <c r="A806" s="8" t="s">
        <v>776</v>
      </c>
      <c r="B806" s="8">
        <v>725251</v>
      </c>
      <c r="D806" s="24">
        <v>45594</v>
      </c>
      <c r="E806" s="1">
        <v>0</v>
      </c>
      <c r="F806" s="8">
        <v>6</v>
      </c>
      <c r="G806" s="30">
        <f t="shared" si="39"/>
        <v>6</v>
      </c>
      <c r="H806" s="8">
        <f t="shared" si="41"/>
        <v>0</v>
      </c>
      <c r="I806">
        <f t="shared" si="40"/>
        <v>0</v>
      </c>
      <c r="J806">
        <f>SUMIF(Oeffentlichkeitsarbeit!$D:$D,$B806,Oeffentlichkeitsarbeit!$F:$F)</f>
        <v>0</v>
      </c>
      <c r="K806">
        <f>COUNTIF(Fairteiler!$D:$D,$B806)*1/2</f>
        <v>0</v>
      </c>
      <c r="L806">
        <f>COUNTIF('NP-Betrieb'!D:D,$B806)*1/3</f>
        <v>0</v>
      </c>
      <c r="M806">
        <f>COUNTIF(Fairteilungen!$D:$D,$B806)*3/4</f>
        <v>0</v>
      </c>
      <c r="N806">
        <f>COUNTIF(Anlieferung!D:D,$B806)*1/2</f>
        <v>0</v>
      </c>
      <c r="O806">
        <f>COUNTIF(Probeabholungen!B:B,$B806)*1/3</f>
        <v>0</v>
      </c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  <c r="AK806" s="22"/>
      <c r="AL806" s="22"/>
      <c r="AM806" s="22"/>
      <c r="AN806" s="22"/>
      <c r="AO806" s="22"/>
      <c r="AP806" s="22"/>
      <c r="AQ806" s="22"/>
      <c r="AR806" s="22"/>
      <c r="AS806" s="22"/>
      <c r="AT806" s="22"/>
      <c r="AU806" s="22"/>
      <c r="AV806" s="22"/>
      <c r="AW806" s="22"/>
      <c r="AX806" s="22"/>
      <c r="AY806" s="22"/>
      <c r="AZ806" s="22"/>
      <c r="BA806" s="22"/>
      <c r="BB806" s="22"/>
      <c r="BC806" s="22"/>
      <c r="BD806" s="22"/>
      <c r="BE806" s="22"/>
      <c r="BF806" s="22"/>
      <c r="BG806" s="22"/>
      <c r="BH806" s="22"/>
      <c r="BI806" s="22"/>
      <c r="BJ806" s="22"/>
      <c r="BK806" s="22"/>
      <c r="BL806" s="22"/>
      <c r="BM806" s="22"/>
      <c r="BN806" s="22"/>
      <c r="BO806" s="22"/>
      <c r="BP806" s="22"/>
      <c r="BQ806" s="22"/>
      <c r="BR806" s="22"/>
      <c r="BS806" s="22"/>
      <c r="BT806" s="22"/>
      <c r="BU806" s="22"/>
      <c r="BV806" s="22"/>
      <c r="BW806" s="22"/>
      <c r="BX806" s="22"/>
      <c r="BY806" s="22"/>
      <c r="BZ806" s="22"/>
      <c r="CA806" s="22"/>
      <c r="CB806" s="22"/>
      <c r="CC806" s="22"/>
      <c r="CD806" s="22"/>
      <c r="CE806" s="22"/>
      <c r="CF806" s="22"/>
      <c r="CG806" s="22"/>
      <c r="CH806" s="22"/>
      <c r="CI806" s="22"/>
      <c r="CJ806" s="22"/>
      <c r="CK806" s="22"/>
      <c r="CL806" s="22"/>
      <c r="CM806" s="22"/>
      <c r="CN806" s="22"/>
      <c r="CO806" s="22"/>
      <c r="CP806" s="22"/>
      <c r="CQ806" s="22"/>
      <c r="CR806" s="22"/>
      <c r="CS806" s="22"/>
      <c r="CT806" s="22"/>
      <c r="CU806" s="22"/>
      <c r="CV806" s="22"/>
      <c r="CW806" s="22"/>
      <c r="CX806" s="22"/>
      <c r="CY806" s="22"/>
      <c r="CZ806" s="22"/>
      <c r="DA806" s="22"/>
      <c r="DB806" s="22"/>
      <c r="DC806" s="22"/>
      <c r="DD806" s="22"/>
      <c r="DE806" s="22"/>
      <c r="DF806" s="22"/>
      <c r="DG806" s="22"/>
      <c r="DH806" s="22"/>
      <c r="DI806" s="22"/>
      <c r="DJ806" s="22"/>
      <c r="DK806" s="22"/>
      <c r="DL806" s="22"/>
      <c r="DM806" s="22"/>
      <c r="DN806" s="22"/>
      <c r="DO806" s="22"/>
      <c r="DP806" s="22"/>
      <c r="DQ806" s="22"/>
      <c r="DR806" s="22"/>
      <c r="DS806" s="22"/>
      <c r="DT806" s="22"/>
      <c r="DU806" s="22"/>
      <c r="DV806" s="22"/>
      <c r="DW806" s="22"/>
      <c r="DX806" s="22"/>
      <c r="DY806" s="22"/>
      <c r="DZ806" s="22"/>
      <c r="EA806" s="22"/>
      <c r="EB806" s="22"/>
      <c r="EC806" s="22"/>
      <c r="ED806" s="22"/>
      <c r="EE806" s="22"/>
      <c r="EF806" s="22"/>
      <c r="EG806" s="22"/>
      <c r="EH806" s="22"/>
      <c r="EI806" s="22"/>
      <c r="EJ806" s="22"/>
      <c r="EK806" s="22"/>
      <c r="EL806" s="22"/>
      <c r="EM806" s="22"/>
      <c r="EN806" s="22"/>
      <c r="EO806" s="22"/>
      <c r="EP806" s="22"/>
      <c r="EQ806" s="22"/>
      <c r="ER806" s="22"/>
      <c r="ES806" s="22"/>
      <c r="ET806" s="22"/>
      <c r="EU806" s="22"/>
      <c r="EV806" s="22"/>
      <c r="EW806" s="22"/>
      <c r="EX806" s="22"/>
      <c r="EY806" s="22"/>
      <c r="EZ806" s="22"/>
      <c r="FA806" s="22"/>
      <c r="FB806" s="22"/>
      <c r="FC806" s="22"/>
      <c r="FD806" s="22"/>
      <c r="FE806" s="22"/>
      <c r="FF806" s="22"/>
      <c r="FG806" s="22"/>
      <c r="FH806" s="22"/>
      <c r="FI806" s="22"/>
      <c r="FJ806" s="22"/>
      <c r="FK806" s="22"/>
      <c r="FL806" s="22"/>
      <c r="FM806" s="22"/>
      <c r="FN806" s="22"/>
      <c r="FO806" s="22"/>
      <c r="FP806" s="22"/>
      <c r="FQ806" s="22"/>
      <c r="FR806" s="22"/>
      <c r="FS806" s="22"/>
      <c r="FT806" s="22"/>
      <c r="FU806" s="22"/>
      <c r="FV806" s="22"/>
      <c r="FW806" s="22"/>
      <c r="FX806" s="22"/>
      <c r="FY806" s="22"/>
      <c r="FZ806" s="22"/>
      <c r="GA806" s="22"/>
      <c r="GB806" s="22"/>
      <c r="GC806" s="22"/>
      <c r="GD806" s="22"/>
      <c r="GE806" s="22"/>
      <c r="GF806" s="22"/>
      <c r="GG806" s="22"/>
      <c r="GH806" s="22"/>
      <c r="GI806" s="22"/>
      <c r="GJ806" s="22"/>
      <c r="GK806" s="22"/>
      <c r="GL806" s="22"/>
      <c r="GM806" s="22"/>
      <c r="GN806" s="22"/>
      <c r="GO806" s="22"/>
      <c r="GP806" s="22"/>
      <c r="GQ806" s="22"/>
      <c r="GR806" s="22"/>
      <c r="GS806" s="22"/>
      <c r="GT806" s="22"/>
      <c r="GU806" s="22"/>
      <c r="GV806" s="22"/>
      <c r="GW806" s="22"/>
      <c r="GX806" s="22"/>
      <c r="GY806" s="22"/>
      <c r="GZ806" s="22"/>
      <c r="HA806" s="22"/>
      <c r="HB806" s="22"/>
      <c r="HC806" s="22"/>
      <c r="HD806" s="22"/>
      <c r="HE806" s="22"/>
      <c r="HF806" s="22"/>
      <c r="HG806" s="22"/>
      <c r="HH806" s="22"/>
      <c r="HI806" s="22"/>
      <c r="HJ806" s="22"/>
      <c r="HK806" s="22"/>
      <c r="HL806" s="22"/>
      <c r="HM806" s="22"/>
      <c r="HN806" s="22"/>
      <c r="HO806" s="22"/>
      <c r="HP806" s="22"/>
      <c r="HQ806" s="22"/>
      <c r="HR806" s="22"/>
      <c r="HS806" s="22"/>
      <c r="HT806" s="22"/>
      <c r="HU806" s="22"/>
      <c r="HV806" s="22"/>
      <c r="HW806" s="22"/>
      <c r="HX806" s="22"/>
      <c r="HY806" s="22"/>
      <c r="HZ806" s="22"/>
      <c r="IA806" s="22"/>
      <c r="IB806" s="22"/>
      <c r="IC806" s="22"/>
      <c r="ID806" s="22"/>
      <c r="IE806" s="22"/>
      <c r="IF806" s="22"/>
      <c r="IG806" s="22"/>
      <c r="IH806" s="22"/>
      <c r="II806" s="22"/>
      <c r="IJ806" s="22"/>
      <c r="IK806" s="22"/>
      <c r="IL806" s="22"/>
      <c r="IM806" s="22"/>
      <c r="IN806" s="22"/>
      <c r="IO806" s="22"/>
      <c r="IP806" s="22"/>
      <c r="IQ806" s="22"/>
      <c r="IR806" s="22"/>
      <c r="IS806" s="22"/>
      <c r="IT806" s="22"/>
      <c r="IU806" s="22"/>
      <c r="IV806" s="22"/>
      <c r="IW806" s="22"/>
      <c r="IX806" s="22"/>
      <c r="IY806" s="22"/>
      <c r="IZ806" s="22"/>
      <c r="JA806" s="22"/>
      <c r="JB806" s="22"/>
      <c r="JC806" s="22"/>
      <c r="JD806" s="22"/>
      <c r="JE806" s="22"/>
      <c r="JF806" s="22"/>
      <c r="JG806" s="22"/>
      <c r="JH806" s="22"/>
      <c r="JI806" s="22"/>
      <c r="JJ806" s="22"/>
      <c r="JK806" s="22"/>
      <c r="JL806" s="22"/>
      <c r="JM806" s="22"/>
      <c r="JN806" s="22"/>
      <c r="JO806" s="22"/>
      <c r="JP806" s="22"/>
      <c r="JQ806" s="22"/>
      <c r="JR806" s="22"/>
      <c r="JS806" s="22"/>
      <c r="JT806" s="22"/>
      <c r="JU806" s="22"/>
      <c r="JV806" s="22"/>
      <c r="JW806" s="22"/>
      <c r="JX806" s="22"/>
      <c r="JY806" s="22"/>
      <c r="JZ806" s="22"/>
      <c r="KA806" s="22"/>
      <c r="KB806" s="22"/>
      <c r="KC806" s="22"/>
      <c r="KD806" s="22"/>
      <c r="KE806" s="22"/>
      <c r="KF806" s="22"/>
      <c r="KG806" s="22"/>
      <c r="KH806" s="22"/>
      <c r="KI806" s="22"/>
      <c r="KJ806" s="22"/>
      <c r="KK806" s="22"/>
      <c r="KL806" s="22"/>
      <c r="KM806" s="22"/>
      <c r="KN806" s="22"/>
      <c r="KO806" s="22"/>
      <c r="KP806" s="22"/>
      <c r="KQ806" s="22"/>
      <c r="KR806" s="22"/>
      <c r="KS806" s="22"/>
      <c r="KT806" s="22"/>
      <c r="KU806" s="22"/>
      <c r="KV806" s="22"/>
      <c r="KW806" s="22"/>
      <c r="KX806" s="22"/>
      <c r="KY806" s="22"/>
      <c r="KZ806" s="22"/>
      <c r="LA806" s="22"/>
      <c r="LB806" s="22"/>
      <c r="LC806" s="22"/>
      <c r="LD806" s="22"/>
      <c r="LE806" s="22"/>
      <c r="LF806" s="22"/>
      <c r="LG806" s="22"/>
      <c r="LH806" s="22"/>
      <c r="LI806" s="22"/>
      <c r="LJ806" s="22"/>
      <c r="LK806" s="22"/>
      <c r="LL806" s="22"/>
      <c r="LM806" s="22"/>
      <c r="LN806" s="22"/>
      <c r="LO806" s="22"/>
      <c r="LP806" s="22"/>
      <c r="LQ806" s="22"/>
      <c r="LR806" s="22"/>
      <c r="LS806" s="22"/>
      <c r="LT806" s="22"/>
      <c r="LU806" s="22"/>
      <c r="LV806" s="22"/>
      <c r="LW806" s="22"/>
      <c r="LX806" s="22"/>
      <c r="LY806" s="22"/>
      <c r="LZ806" s="22"/>
      <c r="MA806" s="22"/>
      <c r="MB806" s="22"/>
      <c r="MC806" s="22"/>
      <c r="MD806" s="22"/>
      <c r="ME806" s="22"/>
      <c r="MF806" s="22"/>
      <c r="MG806" s="22"/>
      <c r="MH806" s="22"/>
      <c r="MI806" s="22"/>
      <c r="MJ806" s="22"/>
      <c r="MK806" s="22"/>
      <c r="ML806" s="22"/>
      <c r="MM806" s="22"/>
      <c r="MN806" s="22"/>
      <c r="MO806" s="22"/>
      <c r="MP806" s="22"/>
      <c r="MQ806" s="22"/>
      <c r="MR806" s="22"/>
      <c r="MS806" s="22"/>
      <c r="MT806" s="22"/>
      <c r="MU806" s="22"/>
      <c r="MV806" s="22"/>
      <c r="MW806" s="22"/>
      <c r="MX806" s="22"/>
      <c r="MY806" s="22"/>
      <c r="MZ806" s="22"/>
      <c r="NA806" s="22"/>
      <c r="NB806" s="22"/>
      <c r="NC806" s="22"/>
      <c r="ND806" s="22"/>
      <c r="NE806" s="22"/>
      <c r="NF806" s="22"/>
      <c r="NG806" s="22"/>
      <c r="NH806" s="22"/>
      <c r="NI806" s="22"/>
      <c r="NJ806" s="22"/>
      <c r="NK806" s="22"/>
      <c r="NL806" s="22"/>
      <c r="NM806" s="22"/>
      <c r="NN806" s="22"/>
      <c r="NO806" s="22"/>
      <c r="NP806" s="22"/>
      <c r="NQ806" s="22"/>
      <c r="NR806" s="22"/>
      <c r="NS806" s="22"/>
      <c r="NT806" s="22"/>
      <c r="NU806" s="22"/>
      <c r="NV806" s="22"/>
      <c r="NW806" s="22"/>
      <c r="NX806" s="22"/>
      <c r="NY806" s="22"/>
      <c r="NZ806" s="22"/>
      <c r="OA806" s="22"/>
      <c r="OB806" s="22"/>
      <c r="OC806" s="22"/>
      <c r="OD806" s="22"/>
      <c r="OE806" s="22"/>
      <c r="OF806" s="22"/>
      <c r="OG806" s="22"/>
      <c r="OH806" s="22"/>
      <c r="OI806" s="22"/>
      <c r="OJ806" s="22"/>
      <c r="OK806" s="22"/>
      <c r="OL806" s="22"/>
      <c r="OM806" s="22"/>
      <c r="ON806" s="22"/>
      <c r="OO806" s="22"/>
      <c r="OP806" s="22"/>
      <c r="OQ806" s="22"/>
      <c r="OR806" s="22"/>
      <c r="OS806" s="22"/>
      <c r="OT806" s="22"/>
      <c r="OU806" s="22"/>
      <c r="OV806" s="22"/>
      <c r="OW806" s="22"/>
      <c r="OX806" s="22"/>
      <c r="OY806" s="22"/>
      <c r="OZ806" s="22"/>
      <c r="PA806" s="22"/>
      <c r="PB806" s="22"/>
      <c r="PC806" s="22"/>
      <c r="PD806" s="22"/>
      <c r="PE806" s="22"/>
      <c r="PF806" s="22"/>
      <c r="PG806" s="22"/>
      <c r="PH806" s="22"/>
      <c r="PI806" s="22"/>
      <c r="PJ806" s="22"/>
      <c r="PK806" s="22"/>
      <c r="PL806" s="22"/>
      <c r="PM806" s="22"/>
      <c r="PN806" s="22"/>
      <c r="PO806" s="22"/>
      <c r="PP806" s="22"/>
      <c r="PQ806" s="22"/>
      <c r="PR806" s="22"/>
      <c r="PS806" s="22"/>
      <c r="PT806" s="22"/>
      <c r="PU806" s="22"/>
      <c r="PV806" s="22"/>
      <c r="PW806" s="22"/>
      <c r="PX806" s="22"/>
      <c r="PY806" s="22"/>
      <c r="PZ806" s="22"/>
      <c r="QA806" s="22"/>
      <c r="QB806" s="22"/>
      <c r="QC806" s="22"/>
      <c r="QD806" s="22"/>
      <c r="QE806" s="22"/>
      <c r="QF806" s="22"/>
      <c r="QG806" s="22"/>
      <c r="QH806" s="22"/>
      <c r="QI806" s="22"/>
      <c r="QJ806" s="22"/>
      <c r="QK806" s="22"/>
      <c r="QL806" s="22"/>
      <c r="QM806" s="22"/>
      <c r="QN806" s="22"/>
      <c r="QO806" s="22"/>
      <c r="QP806" s="22"/>
      <c r="QQ806" s="22"/>
      <c r="QR806" s="22"/>
      <c r="QS806" s="22"/>
      <c r="QT806" s="22"/>
      <c r="QU806" s="22"/>
      <c r="QV806" s="22"/>
      <c r="QW806" s="22"/>
      <c r="QX806" s="22"/>
      <c r="QY806" s="22"/>
      <c r="QZ806" s="22"/>
      <c r="RA806" s="22"/>
      <c r="RB806" s="22"/>
      <c r="RC806" s="22"/>
      <c r="RD806" s="22"/>
      <c r="RE806" s="22"/>
      <c r="RF806" s="22"/>
      <c r="RG806" s="22"/>
      <c r="RH806" s="22"/>
      <c r="RI806" s="22"/>
      <c r="RJ806" s="22"/>
      <c r="RK806" s="22"/>
      <c r="RL806" s="22"/>
      <c r="RM806" s="22"/>
      <c r="RN806" s="22"/>
      <c r="RO806" s="22"/>
      <c r="RP806" s="22"/>
      <c r="RQ806" s="22"/>
      <c r="RR806" s="22"/>
      <c r="RS806" s="22"/>
      <c r="RT806" s="22"/>
      <c r="RU806" s="22"/>
      <c r="RV806" s="22"/>
      <c r="RW806" s="22"/>
      <c r="RX806" s="22"/>
      <c r="RY806" s="22"/>
      <c r="RZ806" s="22"/>
      <c r="SA806" s="22"/>
      <c r="SB806" s="22"/>
      <c r="SC806" s="22"/>
      <c r="SD806" s="22"/>
      <c r="SE806" s="22"/>
      <c r="SF806" s="22"/>
      <c r="SG806" s="22"/>
      <c r="SH806" s="22"/>
      <c r="SI806" s="22"/>
      <c r="SJ806" s="22"/>
      <c r="SK806" s="22"/>
      <c r="SL806" s="22"/>
      <c r="SM806" s="22"/>
      <c r="SN806" s="22"/>
      <c r="SO806" s="22"/>
      <c r="SP806" s="22"/>
      <c r="SQ806" s="22"/>
      <c r="SR806" s="22"/>
      <c r="SS806" s="22"/>
      <c r="ST806" s="22"/>
      <c r="SU806" s="22"/>
      <c r="SV806" s="22"/>
      <c r="SW806" s="22"/>
      <c r="SX806" s="22"/>
      <c r="SY806" s="22"/>
      <c r="SZ806" s="22"/>
      <c r="TA806" s="22"/>
      <c r="TB806" s="22"/>
      <c r="TC806" s="22"/>
      <c r="TD806" s="22"/>
      <c r="TE806" s="22"/>
      <c r="TF806" s="22"/>
      <c r="TG806" s="22"/>
      <c r="TH806" s="22"/>
      <c r="TI806" s="22"/>
      <c r="TJ806" s="22"/>
      <c r="TK806" s="22"/>
      <c r="TL806" s="22"/>
      <c r="TM806" s="22"/>
      <c r="TN806" s="22"/>
      <c r="TO806" s="22"/>
      <c r="TP806" s="22"/>
      <c r="TQ806" s="22"/>
      <c r="TR806" s="22"/>
      <c r="TS806" s="22"/>
      <c r="TT806" s="22"/>
      <c r="TU806" s="22"/>
      <c r="TV806" s="22"/>
      <c r="TW806" s="22"/>
      <c r="TX806" s="22"/>
      <c r="TY806" s="22"/>
      <c r="TZ806" s="22"/>
      <c r="UA806" s="22"/>
      <c r="UB806" s="22"/>
      <c r="UC806" s="22"/>
      <c r="UD806" s="22"/>
      <c r="UE806" s="22"/>
      <c r="UF806" s="22"/>
      <c r="UG806" s="22"/>
      <c r="UH806" s="22"/>
      <c r="UI806" s="22"/>
      <c r="UJ806" s="22"/>
      <c r="UK806" s="22"/>
      <c r="UL806" s="22"/>
      <c r="UM806" s="22"/>
      <c r="UN806" s="22"/>
      <c r="UO806" s="22"/>
      <c r="UP806" s="22"/>
      <c r="UQ806" s="22"/>
      <c r="UR806" s="22"/>
      <c r="US806" s="22"/>
      <c r="UT806" s="22"/>
      <c r="UU806" s="22"/>
      <c r="UV806" s="22"/>
      <c r="UW806" s="22"/>
      <c r="UX806" s="22"/>
      <c r="UY806" s="22"/>
      <c r="UZ806" s="22"/>
      <c r="VA806" s="22"/>
      <c r="VB806" s="22"/>
      <c r="VC806" s="22"/>
      <c r="VD806" s="22"/>
      <c r="VE806" s="22"/>
      <c r="VF806" s="22"/>
      <c r="VG806" s="22"/>
      <c r="VH806" s="22"/>
      <c r="VI806" s="22"/>
      <c r="VJ806" s="22"/>
      <c r="VK806" s="22"/>
      <c r="VL806" s="22"/>
      <c r="VM806" s="22"/>
      <c r="VN806" s="22"/>
      <c r="VO806" s="22"/>
      <c r="VP806" s="22"/>
      <c r="VQ806" s="22"/>
      <c r="VR806" s="22"/>
      <c r="VS806" s="22"/>
      <c r="VT806" s="22"/>
      <c r="VU806" s="22"/>
      <c r="VV806" s="22"/>
      <c r="VW806" s="22"/>
      <c r="VX806" s="22"/>
      <c r="VY806" s="22"/>
      <c r="VZ806" s="22"/>
      <c r="WA806" s="22"/>
      <c r="WB806" s="22"/>
      <c r="WC806" s="22"/>
      <c r="WD806" s="22"/>
      <c r="WE806" s="22"/>
      <c r="WF806" s="22"/>
      <c r="WG806" s="22"/>
      <c r="WH806" s="22"/>
      <c r="WI806" s="22"/>
      <c r="WJ806" s="22"/>
      <c r="WK806" s="22"/>
      <c r="WL806" s="22"/>
      <c r="WM806" s="22"/>
      <c r="WN806" s="22"/>
      <c r="WO806" s="22"/>
      <c r="WP806" s="22"/>
      <c r="WQ806" s="22"/>
      <c r="WR806" s="22"/>
      <c r="WS806" s="22"/>
      <c r="WT806" s="22"/>
      <c r="WU806" s="22"/>
      <c r="WV806" s="22"/>
      <c r="WW806" s="22"/>
      <c r="WX806" s="22"/>
      <c r="WY806" s="22"/>
      <c r="WZ806" s="22"/>
      <c r="XA806" s="22"/>
      <c r="XB806" s="22"/>
      <c r="XC806" s="22"/>
      <c r="XD806" s="22"/>
      <c r="XE806" s="22"/>
      <c r="XF806" s="22"/>
      <c r="XG806" s="22"/>
      <c r="XH806" s="22"/>
      <c r="XI806" s="22"/>
      <c r="XJ806" s="22"/>
      <c r="XK806" s="22"/>
      <c r="XL806" s="22"/>
      <c r="XM806" s="22"/>
      <c r="XN806" s="22"/>
      <c r="XO806" s="22"/>
      <c r="XP806" s="22"/>
      <c r="XQ806" s="22"/>
      <c r="XR806" s="22"/>
      <c r="XS806" s="22"/>
      <c r="XT806" s="22"/>
      <c r="XU806" s="22"/>
      <c r="XV806" s="22"/>
      <c r="XW806" s="22"/>
      <c r="XX806" s="22"/>
      <c r="XY806" s="22"/>
      <c r="XZ806" s="22"/>
      <c r="YA806" s="22"/>
      <c r="YB806" s="22"/>
      <c r="YC806" s="22"/>
      <c r="YD806" s="22"/>
      <c r="YE806" s="22"/>
      <c r="YF806" s="22"/>
      <c r="YG806" s="22"/>
      <c r="YH806" s="22"/>
      <c r="YI806" s="22"/>
      <c r="YJ806" s="22"/>
      <c r="YK806" s="22"/>
      <c r="YL806" s="22"/>
      <c r="YM806" s="22"/>
      <c r="YN806" s="22"/>
      <c r="YO806" s="22"/>
      <c r="YP806" s="22"/>
      <c r="YQ806" s="22"/>
      <c r="YR806" s="22"/>
      <c r="YS806" s="22"/>
      <c r="YT806" s="22"/>
      <c r="YU806" s="22"/>
      <c r="YV806" s="22"/>
      <c r="YW806" s="22"/>
      <c r="YX806" s="22"/>
      <c r="YY806" s="22"/>
      <c r="YZ806" s="22"/>
      <c r="ZA806" s="22"/>
      <c r="ZB806" s="22"/>
      <c r="ZC806" s="22"/>
      <c r="ZD806" s="22"/>
      <c r="ZE806" s="22"/>
      <c r="ZF806" s="22"/>
      <c r="ZG806" s="22"/>
      <c r="ZH806" s="22"/>
      <c r="ZI806" s="22"/>
      <c r="ZJ806" s="22"/>
      <c r="ZK806" s="22"/>
      <c r="ZL806" s="22"/>
      <c r="ZM806" s="22"/>
      <c r="ZN806" s="22"/>
      <c r="ZO806" s="22"/>
      <c r="ZP806" s="22"/>
      <c r="ZQ806" s="22"/>
      <c r="ZR806" s="22"/>
      <c r="ZS806" s="22"/>
      <c r="ZT806" s="22"/>
      <c r="ZU806" s="22"/>
      <c r="ZV806" s="22"/>
      <c r="ZW806" s="22"/>
      <c r="ZX806" s="22"/>
      <c r="ZY806" s="22"/>
      <c r="ZZ806" s="22"/>
      <c r="AAA806" s="22"/>
      <c r="AAB806" s="22"/>
      <c r="AAC806" s="22"/>
      <c r="AAD806" s="22"/>
      <c r="AAE806" s="22"/>
      <c r="AAF806" s="22"/>
      <c r="AAG806" s="22"/>
      <c r="AAH806" s="22"/>
      <c r="AAI806" s="22"/>
      <c r="AAJ806" s="22"/>
      <c r="AAK806" s="22"/>
      <c r="AAL806" s="22"/>
      <c r="AAM806" s="22"/>
      <c r="AAN806" s="22"/>
      <c r="AAO806" s="22"/>
      <c r="AAP806" s="22"/>
      <c r="AAQ806" s="22"/>
      <c r="AAR806" s="22"/>
      <c r="AAS806" s="22"/>
      <c r="AAT806" s="22"/>
      <c r="AAU806" s="22"/>
      <c r="AAV806" s="22"/>
      <c r="AAW806" s="22"/>
      <c r="AAX806" s="22"/>
      <c r="AAY806" s="22"/>
      <c r="AAZ806" s="22"/>
      <c r="ABA806" s="22"/>
      <c r="ABB806" s="22"/>
      <c r="ABC806" s="22"/>
      <c r="ABD806" s="22"/>
      <c r="ABE806" s="22"/>
      <c r="ABF806" s="22"/>
      <c r="ABG806" s="22"/>
      <c r="ABH806" s="22"/>
      <c r="ABI806" s="22"/>
      <c r="ABJ806" s="22"/>
      <c r="ABK806" s="22"/>
      <c r="ABL806" s="22"/>
      <c r="ABM806" s="22"/>
      <c r="ABN806" s="22"/>
      <c r="ABO806" s="22"/>
      <c r="ABP806" s="22"/>
      <c r="ABQ806" s="22"/>
      <c r="ABR806" s="22"/>
      <c r="ABS806" s="22"/>
      <c r="ABT806" s="22"/>
      <c r="ABU806" s="22"/>
      <c r="ABV806" s="22"/>
      <c r="ABW806" s="22"/>
      <c r="ABX806" s="22"/>
      <c r="ABY806" s="22"/>
      <c r="ABZ806" s="22"/>
      <c r="ACA806" s="22"/>
      <c r="ACB806" s="22"/>
      <c r="ACC806" s="22"/>
      <c r="ACD806" s="22"/>
      <c r="ACE806" s="22"/>
      <c r="ACF806" s="22"/>
      <c r="ACG806" s="22"/>
      <c r="ACH806" s="22"/>
      <c r="ACI806" s="22"/>
      <c r="ACJ806" s="22"/>
      <c r="ACK806" s="22"/>
      <c r="ACL806" s="22"/>
      <c r="ACM806" s="22"/>
      <c r="ACN806" s="22"/>
      <c r="ACO806" s="22"/>
      <c r="ACP806" s="22"/>
      <c r="ACQ806" s="22"/>
      <c r="ACR806" s="22"/>
      <c r="ACS806" s="22"/>
      <c r="ACT806" s="22"/>
      <c r="ACU806" s="22"/>
      <c r="ACV806" s="22"/>
      <c r="ACW806" s="22"/>
      <c r="ACX806" s="22"/>
      <c r="ACY806" s="22"/>
      <c r="ACZ806" s="22"/>
      <c r="ADA806" s="22"/>
      <c r="ADB806" s="22"/>
      <c r="ADC806" s="22"/>
      <c r="ADD806" s="22"/>
      <c r="ADE806" s="22"/>
      <c r="ADF806" s="22"/>
      <c r="ADG806" s="22"/>
      <c r="ADH806" s="22"/>
      <c r="ADI806" s="22"/>
      <c r="ADJ806" s="22"/>
      <c r="ADK806" s="22"/>
      <c r="ADL806" s="22"/>
      <c r="ADM806" s="22"/>
      <c r="ADN806" s="22"/>
      <c r="ADO806" s="22"/>
      <c r="ADP806" s="22"/>
      <c r="ADQ806" s="22"/>
      <c r="ADR806" s="22"/>
      <c r="ADS806" s="22"/>
      <c r="ADT806" s="22"/>
      <c r="ADU806" s="22"/>
      <c r="ADV806" s="22"/>
      <c r="ADW806" s="22"/>
      <c r="ADX806" s="22"/>
      <c r="ADY806" s="22"/>
      <c r="ADZ806" s="22"/>
      <c r="AEA806" s="22"/>
      <c r="AEB806" s="22"/>
      <c r="AEC806" s="22"/>
      <c r="AED806" s="22"/>
      <c r="AEE806" s="22"/>
      <c r="AEF806" s="22"/>
      <c r="AEG806" s="22"/>
      <c r="AEH806" s="22"/>
      <c r="AEI806" s="22"/>
      <c r="AEJ806" s="22"/>
      <c r="AEK806" s="22"/>
      <c r="AEL806" s="22"/>
      <c r="AEM806" s="22"/>
      <c r="AEN806" s="22"/>
      <c r="AEO806" s="22"/>
      <c r="AEP806" s="22"/>
      <c r="AEQ806" s="22"/>
      <c r="AER806" s="22"/>
      <c r="AES806" s="22"/>
      <c r="AET806" s="22"/>
      <c r="AEU806" s="22"/>
      <c r="AEV806" s="22"/>
      <c r="AEW806" s="22"/>
      <c r="AEX806" s="22"/>
      <c r="AEY806" s="22"/>
      <c r="AEZ806" s="22"/>
      <c r="AFA806" s="22"/>
      <c r="AFB806" s="22"/>
      <c r="AFC806" s="22"/>
      <c r="AFD806" s="22"/>
      <c r="AFE806" s="22"/>
      <c r="AFF806" s="22"/>
      <c r="AFG806" s="22"/>
      <c r="AFH806" s="22"/>
      <c r="AFI806" s="22"/>
      <c r="AFJ806" s="22"/>
      <c r="AFK806" s="22"/>
      <c r="AFL806" s="22"/>
      <c r="AFM806" s="22"/>
      <c r="AFN806" s="22"/>
      <c r="AFO806" s="22"/>
      <c r="AFP806" s="22"/>
      <c r="AFQ806" s="22"/>
      <c r="AFR806" s="22"/>
      <c r="AFS806" s="22"/>
      <c r="AFT806" s="22"/>
      <c r="AFU806" s="22"/>
      <c r="AFV806" s="22"/>
      <c r="AFW806" s="22"/>
      <c r="AFX806" s="22"/>
      <c r="AFY806" s="22"/>
      <c r="AFZ806" s="22"/>
      <c r="AGA806" s="22"/>
      <c r="AGB806" s="22"/>
      <c r="AGC806" s="22"/>
      <c r="AGD806" s="22"/>
      <c r="AGE806" s="22"/>
      <c r="AGF806" s="22"/>
      <c r="AGG806" s="22"/>
      <c r="AGH806" s="22"/>
      <c r="AGI806" s="22"/>
      <c r="AGJ806" s="22"/>
      <c r="AGK806" s="22"/>
      <c r="AGL806" s="22"/>
      <c r="AGM806" s="22"/>
      <c r="AGN806" s="22"/>
      <c r="AGO806" s="22"/>
      <c r="AGP806" s="22"/>
      <c r="AGQ806" s="22"/>
      <c r="AGR806" s="22"/>
      <c r="AGS806" s="22"/>
      <c r="AGT806" s="22"/>
      <c r="AGU806" s="22"/>
      <c r="AGV806" s="22"/>
      <c r="AGW806" s="22"/>
      <c r="AGX806" s="22"/>
      <c r="AGY806" s="22"/>
      <c r="AGZ806" s="22"/>
      <c r="AHA806" s="22"/>
      <c r="AHB806" s="22"/>
      <c r="AHC806" s="22"/>
      <c r="AHD806" s="22"/>
      <c r="AHE806" s="22"/>
      <c r="AHF806" s="22"/>
      <c r="AHG806" s="22"/>
      <c r="AHH806" s="22"/>
      <c r="AHI806" s="22"/>
      <c r="AHJ806" s="22"/>
      <c r="AHK806" s="22"/>
      <c r="AHL806" s="22"/>
      <c r="AHM806" s="22"/>
      <c r="AHN806" s="22"/>
      <c r="AHO806" s="22"/>
      <c r="AHP806" s="22"/>
      <c r="AHQ806" s="22"/>
      <c r="AHR806" s="22"/>
      <c r="AHS806" s="22"/>
      <c r="AHT806" s="22"/>
      <c r="AHU806" s="22"/>
      <c r="AHV806" s="22"/>
      <c r="AHW806" s="22"/>
      <c r="AHX806" s="22"/>
      <c r="AHY806" s="22"/>
      <c r="AHZ806" s="22"/>
      <c r="AIA806" s="22"/>
      <c r="AIB806" s="22"/>
      <c r="AIC806" s="22"/>
      <c r="AID806" s="22"/>
      <c r="AIE806" s="22"/>
      <c r="AIF806" s="22"/>
      <c r="AIG806" s="22"/>
      <c r="AIH806" s="22"/>
      <c r="AII806" s="22"/>
      <c r="AIJ806" s="22"/>
      <c r="AIK806" s="22"/>
      <c r="AIL806" s="22"/>
      <c r="AIM806" s="22"/>
      <c r="AIN806" s="22"/>
      <c r="AIO806" s="22"/>
      <c r="AIP806" s="22"/>
      <c r="AIQ806" s="22"/>
      <c r="AIR806" s="22"/>
      <c r="AIS806" s="22"/>
      <c r="AIT806" s="22"/>
      <c r="AIU806" s="22"/>
      <c r="AIV806" s="22"/>
      <c r="AIW806" s="22"/>
      <c r="AIX806" s="22"/>
      <c r="AIY806" s="22"/>
      <c r="AIZ806" s="22"/>
      <c r="AJA806" s="22"/>
      <c r="AJB806" s="22"/>
      <c r="AJC806" s="22"/>
      <c r="AJD806" s="22"/>
      <c r="AJE806" s="22"/>
      <c r="AJF806" s="22"/>
      <c r="AJG806" s="22"/>
      <c r="AJH806" s="22"/>
      <c r="AJI806" s="22"/>
      <c r="AJJ806" s="22"/>
      <c r="AJK806" s="22"/>
      <c r="AJL806" s="22"/>
      <c r="AJM806" s="22"/>
      <c r="AJN806" s="22"/>
      <c r="AJO806" s="22"/>
      <c r="AJP806" s="22"/>
      <c r="AJQ806" s="22"/>
      <c r="AJR806" s="22"/>
      <c r="AJS806" s="22"/>
      <c r="AJT806" s="22"/>
      <c r="AJU806" s="22"/>
      <c r="AJV806" s="22"/>
      <c r="AJW806" s="22"/>
      <c r="AJX806" s="22"/>
      <c r="AJY806" s="22"/>
      <c r="AJZ806" s="22"/>
      <c r="AKA806" s="22"/>
      <c r="AKB806" s="22"/>
      <c r="AKC806" s="22"/>
      <c r="AKD806" s="22"/>
      <c r="AKE806" s="22"/>
      <c r="AKF806" s="22"/>
      <c r="AKG806" s="22"/>
      <c r="AKH806" s="22"/>
      <c r="AKI806" s="22"/>
      <c r="AKJ806" s="22"/>
      <c r="AKK806" s="22"/>
      <c r="AKL806" s="22"/>
      <c r="AKM806" s="22"/>
      <c r="AKN806" s="22"/>
      <c r="AKO806" s="22"/>
      <c r="AKP806" s="22"/>
      <c r="AKQ806" s="22"/>
      <c r="AKR806" s="22"/>
      <c r="AKS806" s="22"/>
      <c r="AKT806" s="22"/>
      <c r="AKU806" s="22"/>
      <c r="AKV806" s="22"/>
      <c r="AKW806" s="22"/>
      <c r="AKX806" s="22"/>
      <c r="AKY806" s="22"/>
      <c r="AKZ806" s="22"/>
      <c r="ALA806" s="22"/>
      <c r="ALB806" s="22"/>
      <c r="ALC806" s="22"/>
      <c r="ALD806" s="22"/>
      <c r="ALE806" s="22"/>
      <c r="ALF806" s="22"/>
      <c r="ALG806" s="22"/>
      <c r="ALH806" s="22"/>
      <c r="ALI806" s="22"/>
      <c r="ALJ806" s="22"/>
      <c r="ALK806" s="22"/>
      <c r="ALL806" s="22"/>
      <c r="ALM806" s="22"/>
      <c r="ALN806" s="22"/>
      <c r="ALO806" s="22"/>
      <c r="ALP806" s="22"/>
      <c r="ALQ806" s="22"/>
      <c r="ALR806" s="22"/>
      <c r="ALS806" s="22"/>
      <c r="ALT806" s="22"/>
      <c r="ALU806" s="22"/>
      <c r="ALV806" s="22"/>
      <c r="ALW806" s="22"/>
      <c r="ALX806" s="22"/>
      <c r="ALY806" s="22"/>
      <c r="ALZ806" s="22"/>
      <c r="AMA806" s="22"/>
      <c r="AMB806" s="22"/>
      <c r="AMC806" s="22"/>
      <c r="AMD806" s="22"/>
      <c r="AME806" s="22"/>
      <c r="AMF806" s="22"/>
      <c r="AMG806" s="22"/>
      <c r="AMH806" s="22"/>
      <c r="AMI806" s="22"/>
      <c r="AMJ806" s="22"/>
    </row>
    <row r="807" spans="1:1024">
      <c r="A807" s="8" t="s">
        <v>777</v>
      </c>
      <c r="B807" s="8">
        <v>205757</v>
      </c>
      <c r="D807" s="29"/>
      <c r="E807" s="1">
        <v>0</v>
      </c>
      <c r="F807" s="8">
        <v>6</v>
      </c>
      <c r="G807" s="30">
        <f t="shared" si="39"/>
        <v>6</v>
      </c>
      <c r="H807" s="8">
        <f t="shared" si="41"/>
        <v>0</v>
      </c>
      <c r="I807">
        <f t="shared" si="40"/>
        <v>0</v>
      </c>
      <c r="J807">
        <f>SUMIF(Oeffentlichkeitsarbeit!$D:$D,$B807,Oeffentlichkeitsarbeit!$F:$F)</f>
        <v>0</v>
      </c>
      <c r="K807">
        <f>COUNTIF(Fairteiler!$D:$D,$B807)*1/2</f>
        <v>0</v>
      </c>
      <c r="L807">
        <f>COUNTIF('NP-Betrieb'!D:D,$B807)*1/3</f>
        <v>0</v>
      </c>
      <c r="M807">
        <f>COUNTIF(Fairteilungen!$D:$D,$B807)*3/4</f>
        <v>0</v>
      </c>
      <c r="N807">
        <f>COUNTIF(Anlieferung!D:D,$B807)*1/2</f>
        <v>0</v>
      </c>
      <c r="O807">
        <f>COUNTIF(Probeabholungen!B:B,$B807)*1/3</f>
        <v>0</v>
      </c>
    </row>
    <row r="808" spans="1:1024" ht="27.6">
      <c r="A808" s="8" t="s">
        <v>778</v>
      </c>
      <c r="B808" s="8">
        <v>388280</v>
      </c>
      <c r="D808" s="29"/>
      <c r="E808" s="1">
        <v>11.67</v>
      </c>
      <c r="F808" s="8">
        <v>6</v>
      </c>
      <c r="G808" s="30">
        <f t="shared" si="39"/>
        <v>17.670000000000002</v>
      </c>
      <c r="H808" s="8">
        <f t="shared" si="41"/>
        <v>-11.67</v>
      </c>
      <c r="I808">
        <f t="shared" si="40"/>
        <v>0</v>
      </c>
      <c r="J808">
        <f>SUMIF(Oeffentlichkeitsarbeit!$D:$D,$B808,Oeffentlichkeitsarbeit!$F:$F)</f>
        <v>0</v>
      </c>
      <c r="K808">
        <f>COUNTIF(Fairteiler!$D:$D,$B808)*1/2</f>
        <v>0</v>
      </c>
      <c r="L808">
        <f>COUNTIF('NP-Betrieb'!D:D,$B808)*1/3</f>
        <v>0</v>
      </c>
      <c r="M808">
        <f>COUNTIF(Fairteilungen!$D:$D,$B808)*3/4</f>
        <v>0</v>
      </c>
      <c r="N808">
        <f>COUNTIF(Anlieferung!D:D,$B808)*1/2</f>
        <v>0</v>
      </c>
      <c r="O808">
        <f>COUNTIF(Probeabholungen!B:B,$B808)*1/3</f>
        <v>0</v>
      </c>
    </row>
    <row r="809" spans="1:1024" ht="27.6">
      <c r="A809" s="8" t="s">
        <v>779</v>
      </c>
      <c r="B809" s="8">
        <v>743324</v>
      </c>
      <c r="D809" s="29">
        <v>45264</v>
      </c>
      <c r="E809" s="1">
        <v>12.5</v>
      </c>
      <c r="F809" s="8">
        <v>6</v>
      </c>
      <c r="G809" s="30">
        <f t="shared" si="39"/>
        <v>18.5</v>
      </c>
      <c r="H809" s="8">
        <f t="shared" si="41"/>
        <v>-12.5</v>
      </c>
      <c r="I809">
        <f t="shared" si="40"/>
        <v>0</v>
      </c>
      <c r="J809">
        <f>SUMIF(Oeffentlichkeitsarbeit!$D:$D,$B809,Oeffentlichkeitsarbeit!$F:$F)</f>
        <v>0</v>
      </c>
      <c r="K809">
        <f>COUNTIF(Fairteiler!$D:$D,$B809)*1/2</f>
        <v>0</v>
      </c>
      <c r="L809">
        <f>COUNTIF('NP-Betrieb'!D:D,$B809)*1/3</f>
        <v>0</v>
      </c>
      <c r="M809">
        <f>COUNTIF(Fairteilungen!$D:$D,$B809)*3/4</f>
        <v>0</v>
      </c>
      <c r="N809">
        <f>COUNTIF(Anlieferung!D:D,$B809)*1/2</f>
        <v>0</v>
      </c>
      <c r="O809">
        <f>COUNTIF(Probeabholungen!B:B,$B809)*1/3</f>
        <v>0</v>
      </c>
    </row>
    <row r="810" spans="1:1024" ht="27.6">
      <c r="A810" s="8" t="s">
        <v>780</v>
      </c>
      <c r="B810" s="8">
        <v>4735</v>
      </c>
      <c r="D810" s="29"/>
      <c r="E810" s="1">
        <v>0</v>
      </c>
      <c r="F810" s="8">
        <v>6</v>
      </c>
      <c r="G810" s="30">
        <f t="shared" si="39"/>
        <v>6</v>
      </c>
      <c r="H810" s="8">
        <f t="shared" si="41"/>
        <v>0</v>
      </c>
      <c r="I810">
        <f t="shared" si="40"/>
        <v>0</v>
      </c>
      <c r="J810">
        <f>SUMIF(Oeffentlichkeitsarbeit!$D:$D,$B810,Oeffentlichkeitsarbeit!$F:$F)</f>
        <v>0</v>
      </c>
      <c r="K810">
        <f>COUNTIF(Fairteiler!$D:$D,$B810)*1/2</f>
        <v>0</v>
      </c>
      <c r="L810">
        <f>COUNTIF('NP-Betrieb'!D:D,$B810)*1/3</f>
        <v>0</v>
      </c>
      <c r="M810">
        <f>COUNTIF(Fairteilungen!$D:$D,$B810)*3/4</f>
        <v>0</v>
      </c>
      <c r="N810">
        <f>COUNTIF(Anlieferung!D:D,$B810)*1/2</f>
        <v>0</v>
      </c>
      <c r="O810">
        <f>COUNTIF(Probeabholungen!B:B,$B810)*1/3</f>
        <v>0</v>
      </c>
    </row>
    <row r="811" spans="1:1024" ht="27.6">
      <c r="A811" s="8" t="s">
        <v>781</v>
      </c>
      <c r="B811" s="8">
        <v>496999</v>
      </c>
      <c r="D811" s="29"/>
      <c r="E811" s="1">
        <v>0</v>
      </c>
      <c r="F811" s="8">
        <v>6</v>
      </c>
      <c r="G811" s="30">
        <f t="shared" si="39"/>
        <v>1.5</v>
      </c>
      <c r="H811" s="8">
        <f t="shared" si="41"/>
        <v>4.5</v>
      </c>
      <c r="I811">
        <f t="shared" si="40"/>
        <v>4.5</v>
      </c>
      <c r="J811">
        <f>SUMIF(Oeffentlichkeitsarbeit!$D:$D,$B811,Oeffentlichkeitsarbeit!$F:$F)</f>
        <v>0</v>
      </c>
      <c r="K811">
        <f>COUNTIF(Fairteiler!$D:$D,$B811)*1/2</f>
        <v>0.5</v>
      </c>
      <c r="L811">
        <f>COUNTIF('NP-Betrieb'!D:D,$B811)*1/3</f>
        <v>4</v>
      </c>
      <c r="M811">
        <f>COUNTIF(Fairteilungen!$D:$D,$B811)*3/4</f>
        <v>0</v>
      </c>
      <c r="N811">
        <f>COUNTIF(Anlieferung!D:D,$B811)*1/2</f>
        <v>0</v>
      </c>
      <c r="O811">
        <f>COUNTIF(Probeabholungen!B:B,$B811)*1/3</f>
        <v>0</v>
      </c>
    </row>
    <row r="812" spans="1:1024" ht="27.6">
      <c r="A812" s="8" t="s">
        <v>782</v>
      </c>
      <c r="B812" s="8">
        <v>413594</v>
      </c>
      <c r="C812" s="22"/>
      <c r="D812" s="29"/>
      <c r="E812" s="1">
        <v>0</v>
      </c>
      <c r="F812" s="8">
        <v>6</v>
      </c>
      <c r="G812" s="30">
        <f t="shared" si="39"/>
        <v>-0.5</v>
      </c>
      <c r="H812" s="8">
        <f t="shared" si="41"/>
        <v>6.5</v>
      </c>
      <c r="I812" s="22">
        <f t="shared" si="40"/>
        <v>6.5</v>
      </c>
      <c r="J812" s="22">
        <f>SUMIF(Oeffentlichkeitsarbeit!$D:$D,$B812,Oeffentlichkeitsarbeit!$F:$F)</f>
        <v>1.5</v>
      </c>
      <c r="K812" s="22">
        <f>COUNTIF(Fairteiler!$D:$D,$B812)*1/2</f>
        <v>3</v>
      </c>
      <c r="L812" s="22">
        <f>COUNTIF('NP-Betrieb'!D:D,$B812)*1/3</f>
        <v>2</v>
      </c>
      <c r="M812" s="22">
        <f>COUNTIF(Fairteilungen!$D:$D,$B812)*3/4</f>
        <v>0</v>
      </c>
      <c r="N812" s="22">
        <f>COUNTIF(Anlieferung!D:D,$B812)*1/2</f>
        <v>0</v>
      </c>
      <c r="O812" s="22">
        <f>COUNTIF(Probeabholungen!B:B,$B812)*1/3</f>
        <v>0</v>
      </c>
    </row>
    <row r="813" spans="1:1024" ht="27.6">
      <c r="A813" s="8" t="s">
        <v>783</v>
      </c>
      <c r="B813" s="8">
        <v>618122</v>
      </c>
      <c r="D813" s="29"/>
      <c r="E813" s="1">
        <v>0</v>
      </c>
      <c r="F813" s="8">
        <v>6</v>
      </c>
      <c r="G813" s="30">
        <f t="shared" si="39"/>
        <v>-1.166666666666667</v>
      </c>
      <c r="H813" s="8">
        <f t="shared" si="41"/>
        <v>7.166666666666667</v>
      </c>
      <c r="I813">
        <f t="shared" si="40"/>
        <v>7.166666666666667</v>
      </c>
      <c r="J813">
        <f>SUMIF(Oeffentlichkeitsarbeit!$D:$D,$B813,Oeffentlichkeitsarbeit!$F:$F)</f>
        <v>0</v>
      </c>
      <c r="K813">
        <f>COUNTIF(Fairteiler!$D:$D,$B813)*1/2</f>
        <v>0.5</v>
      </c>
      <c r="L813">
        <f>COUNTIF('NP-Betrieb'!D:D,$B813)*1/3</f>
        <v>6.666666666666667</v>
      </c>
      <c r="M813">
        <f>COUNTIF(Fairteilungen!$D:$D,$B813)*3/4</f>
        <v>0</v>
      </c>
      <c r="N813">
        <f>COUNTIF(Anlieferung!D:D,$B813)*1/2</f>
        <v>0</v>
      </c>
      <c r="O813">
        <f>COUNTIF(Probeabholungen!B:B,$B813)*1/3</f>
        <v>0</v>
      </c>
    </row>
    <row r="814" spans="1:1024" ht="27.6">
      <c r="A814" s="8" t="s">
        <v>784</v>
      </c>
      <c r="B814" s="8">
        <v>8789</v>
      </c>
      <c r="D814" s="29"/>
      <c r="E814" s="1">
        <v>0</v>
      </c>
      <c r="F814" s="8">
        <v>6</v>
      </c>
      <c r="G814" s="30">
        <f t="shared" si="39"/>
        <v>5.666666666666667</v>
      </c>
      <c r="H814" s="8">
        <f t="shared" si="41"/>
        <v>0.33333333333333331</v>
      </c>
      <c r="I814">
        <f t="shared" si="40"/>
        <v>0.33333333333333331</v>
      </c>
      <c r="J814">
        <f>SUMIF(Oeffentlichkeitsarbeit!$D:$D,$B814,Oeffentlichkeitsarbeit!$F:$F)</f>
        <v>0</v>
      </c>
      <c r="K814">
        <f>COUNTIF(Fairteiler!$D:$D,$B814)*1/2</f>
        <v>0</v>
      </c>
      <c r="L814">
        <f>COUNTIF('NP-Betrieb'!D:D,$B814)*1/3</f>
        <v>0.33333333333333331</v>
      </c>
      <c r="M814">
        <f>COUNTIF(Fairteilungen!$D:$D,$B814)*3/4</f>
        <v>0</v>
      </c>
      <c r="N814">
        <f>COUNTIF(Anlieferung!D:D,$B814)*1/2</f>
        <v>0</v>
      </c>
      <c r="O814">
        <f>COUNTIF(Probeabholungen!B:B,$B814)*1/3</f>
        <v>0</v>
      </c>
    </row>
    <row r="815" spans="1:1024" s="38" customFormat="1">
      <c r="A815" s="8" t="s">
        <v>785</v>
      </c>
      <c r="B815" s="8">
        <v>885140</v>
      </c>
      <c r="C815"/>
      <c r="D815" s="24">
        <v>45775</v>
      </c>
      <c r="E815" s="1">
        <v>0</v>
      </c>
      <c r="F815">
        <v>6</v>
      </c>
      <c r="G815" s="30">
        <f t="shared" si="39"/>
        <v>5.666666666666667</v>
      </c>
      <c r="H815" s="8">
        <f t="shared" si="41"/>
        <v>0.33333333333333331</v>
      </c>
      <c r="I815">
        <f t="shared" si="40"/>
        <v>0.33333333333333331</v>
      </c>
      <c r="J815">
        <f>SUMIF(Oeffentlichkeitsarbeit!$D:$D,$B815,Oeffentlichkeitsarbeit!$F:$F)</f>
        <v>0</v>
      </c>
      <c r="K815">
        <f>COUNTIF(Fairteiler!$D:$D,$B815)*1/2</f>
        <v>0</v>
      </c>
      <c r="L815">
        <f>COUNTIF('NP-Betrieb'!D:D,$B815)*1/3</f>
        <v>0.33333333333333331</v>
      </c>
      <c r="M815">
        <f>COUNTIF(Fairteilungen!$D:$D,$B815)*3/4</f>
        <v>0</v>
      </c>
      <c r="N815">
        <f>COUNTIF(Anlieferung!D:D,$B815)*1/2</f>
        <v>0</v>
      </c>
      <c r="O815">
        <f>COUNTIF(Probeabholungen!B:B,$B815)*1/3</f>
        <v>0</v>
      </c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  <c r="AZ815"/>
      <c r="BA815"/>
      <c r="BB815"/>
      <c r="BC815"/>
      <c r="BD815"/>
      <c r="BE815"/>
      <c r="BF815"/>
      <c r="BG815"/>
      <c r="BH815"/>
      <c r="BI815"/>
      <c r="BJ815"/>
      <c r="BK815"/>
      <c r="BL815"/>
      <c r="BM815"/>
      <c r="BN815"/>
      <c r="BO815"/>
      <c r="BP815"/>
      <c r="BQ815"/>
      <c r="BR815"/>
      <c r="BS815"/>
      <c r="BT815"/>
      <c r="BU815"/>
      <c r="BV815"/>
      <c r="BW815"/>
      <c r="BX815"/>
      <c r="BY815"/>
      <c r="BZ815"/>
      <c r="CA815"/>
      <c r="CB815"/>
      <c r="CC815"/>
      <c r="CD815"/>
      <c r="CE815"/>
      <c r="CF815"/>
      <c r="CG815"/>
      <c r="CH815"/>
      <c r="CI815"/>
      <c r="CJ815"/>
      <c r="CK815"/>
      <c r="CL815"/>
      <c r="CM815"/>
      <c r="CN815"/>
      <c r="CO815"/>
      <c r="CP815"/>
      <c r="CQ815"/>
      <c r="CR815"/>
      <c r="CS815"/>
      <c r="CT815"/>
      <c r="CU815"/>
      <c r="CV815"/>
      <c r="CW815"/>
      <c r="CX815"/>
      <c r="CY815"/>
      <c r="CZ815"/>
      <c r="DA815"/>
      <c r="DB815"/>
      <c r="DC815"/>
      <c r="DD815"/>
      <c r="DE815"/>
      <c r="DF815"/>
      <c r="DG815"/>
      <c r="DH815"/>
      <c r="DI815"/>
      <c r="DJ815"/>
      <c r="DK815"/>
      <c r="DL815"/>
      <c r="DM815"/>
      <c r="DN815"/>
      <c r="DO815"/>
      <c r="DP815"/>
      <c r="DQ815"/>
      <c r="DR815"/>
      <c r="DS815"/>
      <c r="DT815"/>
      <c r="DU815"/>
      <c r="DV815"/>
      <c r="DW815"/>
      <c r="DX815"/>
      <c r="DY815"/>
      <c r="DZ815"/>
      <c r="EA815"/>
      <c r="EB815"/>
      <c r="EC815"/>
      <c r="ED815"/>
      <c r="EE815"/>
      <c r="EF815"/>
      <c r="EG815"/>
      <c r="EH815"/>
      <c r="EI815"/>
      <c r="EJ815"/>
      <c r="EK815"/>
      <c r="EL815"/>
      <c r="EM815"/>
      <c r="EN815"/>
      <c r="EO815"/>
      <c r="EP815"/>
      <c r="EQ815"/>
      <c r="ER815"/>
      <c r="ES815"/>
      <c r="ET815"/>
      <c r="EU815"/>
      <c r="EV815"/>
      <c r="EW815"/>
      <c r="EX815"/>
      <c r="EY815"/>
      <c r="EZ815"/>
      <c r="FA815"/>
      <c r="FB815"/>
      <c r="FC815"/>
      <c r="FD815"/>
      <c r="FE815"/>
      <c r="FF815"/>
      <c r="FG815"/>
      <c r="FH815"/>
      <c r="FI815"/>
      <c r="FJ815"/>
      <c r="FK815"/>
      <c r="FL815"/>
      <c r="FM815"/>
      <c r="FN815"/>
      <c r="FO815"/>
      <c r="FP815"/>
      <c r="FQ815"/>
      <c r="FR815"/>
      <c r="FS815"/>
      <c r="FT815"/>
      <c r="FU815"/>
      <c r="FV815"/>
      <c r="FW815"/>
      <c r="FX815"/>
      <c r="FY815"/>
      <c r="FZ815"/>
      <c r="GA815"/>
      <c r="GB815"/>
      <c r="GC815"/>
      <c r="GD815"/>
      <c r="GE815"/>
      <c r="GF815"/>
      <c r="GG815"/>
      <c r="GH815"/>
      <c r="GI815"/>
      <c r="GJ815"/>
      <c r="GK815"/>
      <c r="GL815"/>
      <c r="GM815"/>
      <c r="GN815"/>
      <c r="GO815"/>
      <c r="GP815"/>
      <c r="GQ815"/>
      <c r="GR815"/>
      <c r="GS815"/>
      <c r="GT815"/>
      <c r="GU815"/>
      <c r="GV815"/>
      <c r="GW815"/>
      <c r="GX815"/>
      <c r="GY815"/>
      <c r="GZ815"/>
      <c r="HA815"/>
      <c r="HB815"/>
      <c r="HC815"/>
      <c r="HD815"/>
      <c r="HE815"/>
      <c r="HF815"/>
      <c r="HG815"/>
      <c r="HH815"/>
      <c r="HI815"/>
      <c r="HJ815"/>
      <c r="HK815"/>
      <c r="HL815"/>
      <c r="HM815"/>
      <c r="HN815"/>
      <c r="HO815"/>
      <c r="HP815"/>
      <c r="HQ815"/>
      <c r="HR815"/>
      <c r="HS815"/>
      <c r="HT815"/>
      <c r="HU815"/>
      <c r="HV815"/>
      <c r="HW815"/>
      <c r="HX815"/>
      <c r="HY815"/>
      <c r="HZ815"/>
      <c r="IA815"/>
      <c r="IB815"/>
      <c r="IC815"/>
      <c r="ID815"/>
      <c r="IE815"/>
      <c r="IF815"/>
      <c r="IG815"/>
      <c r="IH815"/>
      <c r="II815"/>
      <c r="IJ815"/>
      <c r="IK815"/>
      <c r="IL815"/>
      <c r="IM815"/>
      <c r="IN815"/>
      <c r="IO815"/>
      <c r="IP815"/>
      <c r="IQ815"/>
      <c r="IR815"/>
      <c r="IS815"/>
      <c r="IT815"/>
      <c r="IU815"/>
      <c r="IV815"/>
      <c r="IW815"/>
      <c r="IX815"/>
      <c r="IY815"/>
      <c r="IZ815"/>
      <c r="JA815"/>
      <c r="JB815"/>
      <c r="JC815"/>
      <c r="JD815"/>
      <c r="JE815"/>
      <c r="JF815"/>
      <c r="JG815"/>
      <c r="JH815"/>
      <c r="JI815"/>
      <c r="JJ815"/>
      <c r="JK815"/>
      <c r="JL815"/>
      <c r="JM815"/>
      <c r="JN815"/>
      <c r="JO815"/>
      <c r="JP815"/>
      <c r="JQ815"/>
      <c r="JR815"/>
      <c r="JS815"/>
      <c r="JT815"/>
      <c r="JU815"/>
      <c r="JV815"/>
      <c r="JW815"/>
      <c r="JX815"/>
      <c r="JY815"/>
      <c r="JZ815"/>
      <c r="KA815"/>
      <c r="KB815"/>
      <c r="KC815"/>
      <c r="KD815"/>
      <c r="KE815"/>
      <c r="KF815"/>
      <c r="KG815"/>
      <c r="KH815"/>
      <c r="KI815"/>
      <c r="KJ815"/>
      <c r="KK815"/>
      <c r="KL815"/>
      <c r="KM815"/>
      <c r="KN815"/>
      <c r="KO815"/>
      <c r="KP815"/>
      <c r="KQ815"/>
      <c r="KR815"/>
      <c r="KS815"/>
      <c r="KT815"/>
      <c r="KU815"/>
      <c r="KV815"/>
      <c r="KW815"/>
      <c r="KX815"/>
      <c r="KY815"/>
      <c r="KZ815"/>
      <c r="LA815"/>
      <c r="LB815"/>
      <c r="LC815"/>
      <c r="LD815"/>
      <c r="LE815"/>
      <c r="LF815"/>
      <c r="LG815"/>
      <c r="LH815"/>
      <c r="LI815"/>
      <c r="LJ815"/>
      <c r="LK815"/>
      <c r="LL815"/>
      <c r="LM815"/>
      <c r="LN815"/>
      <c r="LO815"/>
      <c r="LP815"/>
      <c r="LQ815"/>
      <c r="LR815"/>
      <c r="LS815"/>
      <c r="LT815"/>
      <c r="LU815"/>
      <c r="LV815"/>
      <c r="LW815"/>
      <c r="LX815"/>
      <c r="LY815"/>
      <c r="LZ815"/>
      <c r="MA815"/>
      <c r="MB815"/>
      <c r="MC815"/>
      <c r="MD815"/>
      <c r="ME815"/>
      <c r="MF815"/>
      <c r="MG815"/>
      <c r="MH815"/>
      <c r="MI815"/>
      <c r="MJ815"/>
      <c r="MK815"/>
      <c r="ML815"/>
      <c r="MM815"/>
      <c r="MN815"/>
      <c r="MO815"/>
      <c r="MP815"/>
      <c r="MQ815"/>
      <c r="MR815"/>
      <c r="MS815"/>
      <c r="MT815"/>
      <c r="MU815"/>
      <c r="MV815"/>
      <c r="MW815"/>
      <c r="MX815"/>
      <c r="MY815"/>
      <c r="MZ815"/>
      <c r="NA815"/>
      <c r="NB815"/>
      <c r="NC815"/>
      <c r="ND815"/>
      <c r="NE815"/>
      <c r="NF815"/>
      <c r="NG815"/>
      <c r="NH815"/>
      <c r="NI815"/>
      <c r="NJ815"/>
      <c r="NK815"/>
      <c r="NL815"/>
      <c r="NM815"/>
      <c r="NN815"/>
      <c r="NO815"/>
      <c r="NP815"/>
      <c r="NQ815"/>
      <c r="NR815"/>
      <c r="NS815"/>
      <c r="NT815"/>
      <c r="NU815"/>
      <c r="NV815"/>
      <c r="NW815"/>
      <c r="NX815"/>
      <c r="NY815"/>
      <c r="NZ815"/>
      <c r="OA815"/>
      <c r="OB815"/>
      <c r="OC815"/>
      <c r="OD815"/>
      <c r="OE815"/>
      <c r="OF815"/>
      <c r="OG815"/>
      <c r="OH815"/>
      <c r="OI815"/>
      <c r="OJ815"/>
      <c r="OK815"/>
      <c r="OL815"/>
      <c r="OM815"/>
      <c r="ON815"/>
      <c r="OO815"/>
      <c r="OP815"/>
      <c r="OQ815"/>
      <c r="OR815"/>
      <c r="OS815"/>
      <c r="OT815"/>
      <c r="OU815"/>
      <c r="OV815"/>
      <c r="OW815"/>
      <c r="OX815"/>
      <c r="OY815"/>
      <c r="OZ815"/>
      <c r="PA815"/>
      <c r="PB815"/>
      <c r="PC815"/>
      <c r="PD815"/>
      <c r="PE815"/>
      <c r="PF815"/>
      <c r="PG815"/>
      <c r="PH815"/>
      <c r="PI815"/>
      <c r="PJ815"/>
      <c r="PK815"/>
      <c r="PL815"/>
      <c r="PM815"/>
      <c r="PN815"/>
      <c r="PO815"/>
      <c r="PP815"/>
      <c r="PQ815"/>
      <c r="PR815"/>
      <c r="PS815"/>
      <c r="PT815"/>
      <c r="PU815"/>
      <c r="PV815"/>
      <c r="PW815"/>
      <c r="PX815"/>
      <c r="PY815"/>
      <c r="PZ815"/>
      <c r="QA815"/>
      <c r="QB815"/>
      <c r="QC815"/>
      <c r="QD815"/>
      <c r="QE815"/>
      <c r="QF815"/>
      <c r="QG815"/>
      <c r="QH815"/>
      <c r="QI815"/>
      <c r="QJ815"/>
      <c r="QK815"/>
      <c r="QL815"/>
      <c r="QM815"/>
      <c r="QN815"/>
      <c r="QO815"/>
      <c r="QP815"/>
      <c r="QQ815"/>
      <c r="QR815"/>
      <c r="QS815"/>
      <c r="QT815"/>
      <c r="QU815"/>
      <c r="QV815"/>
      <c r="QW815"/>
      <c r="QX815"/>
      <c r="QY815"/>
      <c r="QZ815"/>
      <c r="RA815"/>
      <c r="RB815"/>
      <c r="RC815"/>
      <c r="RD815"/>
      <c r="RE815"/>
      <c r="RF815"/>
      <c r="RG815"/>
      <c r="RH815"/>
      <c r="RI815"/>
      <c r="RJ815"/>
      <c r="RK815"/>
      <c r="RL815"/>
      <c r="RM815"/>
      <c r="RN815"/>
      <c r="RO815"/>
      <c r="RP815"/>
      <c r="RQ815"/>
      <c r="RR815"/>
      <c r="RS815"/>
      <c r="RT815"/>
      <c r="RU815"/>
      <c r="RV815"/>
      <c r="RW815"/>
      <c r="RX815"/>
      <c r="RY815"/>
      <c r="RZ815"/>
      <c r="SA815"/>
      <c r="SB815"/>
      <c r="SC815"/>
      <c r="SD815"/>
      <c r="SE815"/>
      <c r="SF815"/>
      <c r="SG815"/>
      <c r="SH815"/>
      <c r="SI815"/>
      <c r="SJ815"/>
      <c r="SK815"/>
      <c r="SL815"/>
      <c r="SM815"/>
      <c r="SN815"/>
      <c r="SO815"/>
      <c r="SP815"/>
      <c r="SQ815"/>
      <c r="SR815"/>
      <c r="SS815"/>
      <c r="ST815"/>
      <c r="SU815"/>
      <c r="SV815"/>
      <c r="SW815"/>
      <c r="SX815"/>
      <c r="SY815"/>
      <c r="SZ815"/>
      <c r="TA815"/>
      <c r="TB815"/>
      <c r="TC815"/>
      <c r="TD815"/>
      <c r="TE815"/>
      <c r="TF815"/>
      <c r="TG815"/>
      <c r="TH815"/>
      <c r="TI815"/>
      <c r="TJ815"/>
      <c r="TK815"/>
      <c r="TL815"/>
      <c r="TM815"/>
      <c r="TN815"/>
      <c r="TO815"/>
      <c r="TP815"/>
      <c r="TQ815"/>
      <c r="TR815"/>
      <c r="TS815"/>
      <c r="TT815"/>
      <c r="TU815"/>
      <c r="TV815"/>
      <c r="TW815"/>
      <c r="TX815"/>
      <c r="TY815"/>
      <c r="TZ815"/>
      <c r="UA815"/>
      <c r="UB815"/>
      <c r="UC815"/>
      <c r="UD815"/>
      <c r="UE815"/>
      <c r="UF815"/>
      <c r="UG815"/>
      <c r="UH815"/>
      <c r="UI815"/>
      <c r="UJ815"/>
      <c r="UK815"/>
      <c r="UL815"/>
      <c r="UM815"/>
      <c r="UN815"/>
      <c r="UO815"/>
      <c r="UP815"/>
      <c r="UQ815"/>
      <c r="UR815"/>
      <c r="US815"/>
      <c r="UT815"/>
      <c r="UU815"/>
      <c r="UV815"/>
      <c r="UW815"/>
      <c r="UX815"/>
      <c r="UY815"/>
      <c r="UZ815"/>
      <c r="VA815"/>
      <c r="VB815"/>
      <c r="VC815"/>
      <c r="VD815"/>
      <c r="VE815"/>
      <c r="VF815"/>
      <c r="VG815"/>
      <c r="VH815"/>
      <c r="VI815"/>
      <c r="VJ815"/>
      <c r="VK815"/>
      <c r="VL815"/>
      <c r="VM815"/>
      <c r="VN815"/>
      <c r="VO815"/>
      <c r="VP815"/>
      <c r="VQ815"/>
      <c r="VR815"/>
      <c r="VS815"/>
      <c r="VT815"/>
      <c r="VU815"/>
      <c r="VV815"/>
      <c r="VW815"/>
      <c r="VX815"/>
      <c r="VY815"/>
      <c r="VZ815"/>
      <c r="WA815"/>
      <c r="WB815"/>
      <c r="WC815"/>
      <c r="WD815"/>
      <c r="WE815"/>
      <c r="WF815"/>
      <c r="WG815"/>
      <c r="WH815"/>
      <c r="WI815"/>
      <c r="WJ815"/>
      <c r="WK815"/>
      <c r="WL815"/>
      <c r="WM815"/>
      <c r="WN815"/>
      <c r="WO815"/>
      <c r="WP815"/>
      <c r="WQ815"/>
      <c r="WR815"/>
      <c r="WS815"/>
      <c r="WT815"/>
      <c r="WU815"/>
      <c r="WV815"/>
      <c r="WW815"/>
      <c r="WX815"/>
      <c r="WY815"/>
      <c r="WZ815"/>
      <c r="XA815"/>
      <c r="XB815"/>
      <c r="XC815"/>
      <c r="XD815"/>
      <c r="XE815"/>
      <c r="XF815"/>
      <c r="XG815"/>
      <c r="XH815"/>
      <c r="XI815"/>
      <c r="XJ815"/>
      <c r="XK815"/>
      <c r="XL815"/>
      <c r="XM815"/>
      <c r="XN815"/>
      <c r="XO815"/>
      <c r="XP815"/>
      <c r="XQ815"/>
      <c r="XR815"/>
      <c r="XS815"/>
      <c r="XT815"/>
      <c r="XU815"/>
      <c r="XV815"/>
      <c r="XW815"/>
      <c r="XX815"/>
      <c r="XY815"/>
      <c r="XZ815"/>
      <c r="YA815"/>
      <c r="YB815"/>
      <c r="YC815"/>
      <c r="YD815"/>
      <c r="YE815"/>
      <c r="YF815"/>
      <c r="YG815"/>
      <c r="YH815"/>
      <c r="YI815"/>
      <c r="YJ815"/>
      <c r="YK815"/>
      <c r="YL815"/>
      <c r="YM815"/>
      <c r="YN815"/>
      <c r="YO815"/>
      <c r="YP815"/>
      <c r="YQ815"/>
      <c r="YR815"/>
      <c r="YS815"/>
      <c r="YT815"/>
      <c r="YU815"/>
      <c r="YV815"/>
      <c r="YW815"/>
      <c r="YX815"/>
      <c r="YY815"/>
      <c r="YZ815"/>
      <c r="ZA815"/>
      <c r="ZB815"/>
      <c r="ZC815"/>
      <c r="ZD815"/>
      <c r="ZE815"/>
      <c r="ZF815"/>
      <c r="ZG815"/>
      <c r="ZH815"/>
      <c r="ZI815"/>
      <c r="ZJ815"/>
      <c r="ZK815"/>
      <c r="ZL815"/>
      <c r="ZM815"/>
      <c r="ZN815"/>
      <c r="ZO815"/>
      <c r="ZP815"/>
      <c r="ZQ815"/>
      <c r="ZR815"/>
      <c r="ZS815"/>
      <c r="ZT815"/>
      <c r="ZU815"/>
      <c r="ZV815"/>
      <c r="ZW815"/>
      <c r="ZX815"/>
      <c r="ZY815"/>
      <c r="ZZ815"/>
      <c r="AAA815"/>
      <c r="AAB815"/>
      <c r="AAC815"/>
      <c r="AAD815"/>
      <c r="AAE815"/>
      <c r="AAF815"/>
      <c r="AAG815"/>
      <c r="AAH815"/>
      <c r="AAI815"/>
      <c r="AAJ815"/>
      <c r="AAK815"/>
      <c r="AAL815"/>
      <c r="AAM815"/>
      <c r="AAN815"/>
      <c r="AAO815"/>
      <c r="AAP815"/>
      <c r="AAQ815"/>
      <c r="AAR815"/>
      <c r="AAS815"/>
      <c r="AAT815"/>
      <c r="AAU815"/>
      <c r="AAV815"/>
      <c r="AAW815"/>
      <c r="AAX815"/>
      <c r="AAY815"/>
      <c r="AAZ815"/>
      <c r="ABA815"/>
      <c r="ABB815"/>
      <c r="ABC815"/>
      <c r="ABD815"/>
      <c r="ABE815"/>
      <c r="ABF815"/>
      <c r="ABG815"/>
      <c r="ABH815"/>
      <c r="ABI815"/>
      <c r="ABJ815"/>
      <c r="ABK815"/>
      <c r="ABL815"/>
      <c r="ABM815"/>
      <c r="ABN815"/>
      <c r="ABO815"/>
      <c r="ABP815"/>
      <c r="ABQ815"/>
      <c r="ABR815"/>
      <c r="ABS815"/>
      <c r="ABT815"/>
      <c r="ABU815"/>
      <c r="ABV815"/>
      <c r="ABW815"/>
      <c r="ABX815"/>
      <c r="ABY815"/>
      <c r="ABZ815"/>
      <c r="ACA815"/>
      <c r="ACB815"/>
      <c r="ACC815"/>
      <c r="ACD815"/>
      <c r="ACE815"/>
      <c r="ACF815"/>
      <c r="ACG815"/>
      <c r="ACH815"/>
      <c r="ACI815"/>
      <c r="ACJ815"/>
      <c r="ACK815"/>
      <c r="ACL815"/>
      <c r="ACM815"/>
      <c r="ACN815"/>
      <c r="ACO815"/>
      <c r="ACP815"/>
      <c r="ACQ815"/>
      <c r="ACR815"/>
      <c r="ACS815"/>
      <c r="ACT815"/>
      <c r="ACU815"/>
      <c r="ACV815"/>
      <c r="ACW815"/>
      <c r="ACX815"/>
      <c r="ACY815"/>
      <c r="ACZ815"/>
      <c r="ADA815"/>
      <c r="ADB815"/>
      <c r="ADC815"/>
      <c r="ADD815"/>
      <c r="ADE815"/>
      <c r="ADF815"/>
      <c r="ADG815"/>
      <c r="ADH815"/>
      <c r="ADI815"/>
      <c r="ADJ815"/>
      <c r="ADK815"/>
      <c r="ADL815"/>
      <c r="ADM815"/>
      <c r="ADN815"/>
      <c r="ADO815"/>
      <c r="ADP815"/>
      <c r="ADQ815"/>
      <c r="ADR815"/>
      <c r="ADS815"/>
      <c r="ADT815"/>
      <c r="ADU815"/>
      <c r="ADV815"/>
      <c r="ADW815"/>
      <c r="ADX815"/>
      <c r="ADY815"/>
      <c r="ADZ815"/>
      <c r="AEA815"/>
      <c r="AEB815"/>
      <c r="AEC815"/>
      <c r="AED815"/>
      <c r="AEE815"/>
      <c r="AEF815"/>
      <c r="AEG815"/>
      <c r="AEH815"/>
      <c r="AEI815"/>
      <c r="AEJ815"/>
      <c r="AEK815"/>
      <c r="AEL815"/>
      <c r="AEM815"/>
      <c r="AEN815"/>
      <c r="AEO815"/>
      <c r="AEP815"/>
      <c r="AEQ815"/>
      <c r="AER815"/>
      <c r="AES815"/>
      <c r="AET815"/>
      <c r="AEU815"/>
      <c r="AEV815"/>
      <c r="AEW815"/>
      <c r="AEX815"/>
      <c r="AEY815"/>
      <c r="AEZ815"/>
      <c r="AFA815"/>
      <c r="AFB815"/>
      <c r="AFC815"/>
      <c r="AFD815"/>
      <c r="AFE815"/>
      <c r="AFF815"/>
      <c r="AFG815"/>
      <c r="AFH815"/>
      <c r="AFI815"/>
      <c r="AFJ815"/>
      <c r="AFK815"/>
      <c r="AFL815"/>
      <c r="AFM815"/>
      <c r="AFN815"/>
      <c r="AFO815"/>
      <c r="AFP815"/>
      <c r="AFQ815"/>
      <c r="AFR815"/>
      <c r="AFS815"/>
      <c r="AFT815"/>
      <c r="AFU815"/>
      <c r="AFV815"/>
      <c r="AFW815"/>
      <c r="AFX815"/>
      <c r="AFY815"/>
      <c r="AFZ815"/>
      <c r="AGA815"/>
      <c r="AGB815"/>
      <c r="AGC815"/>
      <c r="AGD815"/>
      <c r="AGE815"/>
      <c r="AGF815"/>
      <c r="AGG815"/>
      <c r="AGH815"/>
      <c r="AGI815"/>
      <c r="AGJ815"/>
      <c r="AGK815"/>
      <c r="AGL815"/>
      <c r="AGM815"/>
      <c r="AGN815"/>
      <c r="AGO815"/>
      <c r="AGP815"/>
      <c r="AGQ815"/>
      <c r="AGR815"/>
      <c r="AGS815"/>
      <c r="AGT815"/>
      <c r="AGU815"/>
      <c r="AGV815"/>
      <c r="AGW815"/>
      <c r="AGX815"/>
      <c r="AGY815"/>
      <c r="AGZ815"/>
      <c r="AHA815"/>
      <c r="AHB815"/>
      <c r="AHC815"/>
      <c r="AHD815"/>
      <c r="AHE815"/>
      <c r="AHF815"/>
      <c r="AHG815"/>
      <c r="AHH815"/>
      <c r="AHI815"/>
      <c r="AHJ815"/>
      <c r="AHK815"/>
      <c r="AHL815"/>
      <c r="AHM815"/>
      <c r="AHN815"/>
      <c r="AHO815"/>
      <c r="AHP815"/>
      <c r="AHQ815"/>
      <c r="AHR815"/>
      <c r="AHS815"/>
      <c r="AHT815"/>
      <c r="AHU815"/>
      <c r="AHV815"/>
      <c r="AHW815"/>
      <c r="AHX815"/>
      <c r="AHY815"/>
      <c r="AHZ815"/>
      <c r="AIA815"/>
      <c r="AIB815"/>
      <c r="AIC815"/>
      <c r="AID815"/>
      <c r="AIE815"/>
      <c r="AIF815"/>
      <c r="AIG815"/>
      <c r="AIH815"/>
      <c r="AII815"/>
      <c r="AIJ815"/>
      <c r="AIK815"/>
      <c r="AIL815"/>
      <c r="AIM815"/>
      <c r="AIN815"/>
      <c r="AIO815"/>
      <c r="AIP815"/>
      <c r="AIQ815"/>
      <c r="AIR815"/>
      <c r="AIS815"/>
      <c r="AIT815"/>
      <c r="AIU815"/>
      <c r="AIV815"/>
      <c r="AIW815"/>
      <c r="AIX815"/>
      <c r="AIY815"/>
      <c r="AIZ815"/>
      <c r="AJA815"/>
      <c r="AJB815"/>
      <c r="AJC815"/>
      <c r="AJD815"/>
      <c r="AJE815"/>
      <c r="AJF815"/>
      <c r="AJG815"/>
      <c r="AJH815"/>
      <c r="AJI815"/>
      <c r="AJJ815"/>
      <c r="AJK815"/>
      <c r="AJL815"/>
      <c r="AJM815"/>
      <c r="AJN815"/>
      <c r="AJO815"/>
      <c r="AJP815"/>
      <c r="AJQ815"/>
      <c r="AJR815"/>
      <c r="AJS815"/>
      <c r="AJT815"/>
      <c r="AJU815"/>
      <c r="AJV815"/>
      <c r="AJW815"/>
      <c r="AJX815"/>
      <c r="AJY815"/>
      <c r="AJZ815"/>
      <c r="AKA815"/>
      <c r="AKB815"/>
      <c r="AKC815"/>
      <c r="AKD815"/>
      <c r="AKE815"/>
      <c r="AKF815"/>
      <c r="AKG815"/>
      <c r="AKH815"/>
      <c r="AKI815"/>
      <c r="AKJ815"/>
      <c r="AKK815"/>
      <c r="AKL815"/>
      <c r="AKM815"/>
      <c r="AKN815"/>
      <c r="AKO815"/>
      <c r="AKP815"/>
      <c r="AKQ815"/>
      <c r="AKR815"/>
      <c r="AKS815"/>
      <c r="AKT815"/>
      <c r="AKU815"/>
      <c r="AKV815"/>
      <c r="AKW815"/>
      <c r="AKX815"/>
      <c r="AKY815"/>
      <c r="AKZ815"/>
      <c r="ALA815"/>
      <c r="ALB815"/>
      <c r="ALC815"/>
      <c r="ALD815"/>
      <c r="ALE815"/>
      <c r="ALF815"/>
      <c r="ALG815"/>
      <c r="ALH815"/>
      <c r="ALI815"/>
      <c r="ALJ815"/>
      <c r="ALK815"/>
      <c r="ALL815"/>
      <c r="ALM815"/>
      <c r="ALN815"/>
      <c r="ALO815"/>
      <c r="ALP815"/>
      <c r="ALQ815"/>
      <c r="ALR815"/>
      <c r="ALS815"/>
      <c r="ALT815"/>
      <c r="ALU815"/>
      <c r="ALV815"/>
      <c r="ALW815"/>
      <c r="ALX815"/>
      <c r="ALY815"/>
      <c r="ALZ815"/>
      <c r="AMA815"/>
      <c r="AMB815"/>
      <c r="AMC815"/>
      <c r="AMD815"/>
      <c r="AME815"/>
      <c r="AMF815"/>
      <c r="AMG815"/>
      <c r="AMH815"/>
      <c r="AMI815"/>
      <c r="AMJ815"/>
    </row>
    <row r="816" spans="1:1024">
      <c r="A816" t="s">
        <v>786</v>
      </c>
      <c r="B816">
        <v>906758</v>
      </c>
      <c r="D816" s="24">
        <v>45720</v>
      </c>
      <c r="E816" s="1">
        <v>0</v>
      </c>
      <c r="F816" s="8">
        <v>0</v>
      </c>
      <c r="G816" s="30">
        <f t="shared" si="39"/>
        <v>-0.66666666666666663</v>
      </c>
      <c r="H816" s="8">
        <f t="shared" si="41"/>
        <v>0.66666666666666663</v>
      </c>
      <c r="I816">
        <f t="shared" si="40"/>
        <v>0.66666666666666663</v>
      </c>
      <c r="J816">
        <f>SUMIF(Oeffentlichkeitsarbeit!$D:$D,$B816,Oeffentlichkeitsarbeit!$F:$F)</f>
        <v>0</v>
      </c>
      <c r="K816">
        <f>COUNTIF(Fairteiler!$D:$D,$B816)*1/2</f>
        <v>0</v>
      </c>
      <c r="L816">
        <f>COUNTIF('NP-Betrieb'!D:D,$B816)*1/3</f>
        <v>0.66666666666666663</v>
      </c>
      <c r="M816">
        <f>COUNTIF(Fairteilungen!$D:$D,$B816)*3/4</f>
        <v>0</v>
      </c>
      <c r="N816">
        <f>COUNTIF(Anlieferung!D:D,$B816)*1/2</f>
        <v>0</v>
      </c>
      <c r="O816">
        <f>COUNTIF(Probeabholungen!B:B,$B816)*1/3</f>
        <v>0</v>
      </c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  <c r="AB816" s="38"/>
      <c r="AC816" s="38"/>
      <c r="AD816" s="38"/>
      <c r="AE816" s="38"/>
      <c r="AF816" s="38"/>
      <c r="AG816" s="38"/>
      <c r="AH816" s="38"/>
      <c r="AI816" s="38"/>
      <c r="AJ816" s="38"/>
      <c r="AK816" s="38"/>
      <c r="AL816" s="38"/>
      <c r="AM816" s="38"/>
      <c r="AN816" s="38"/>
      <c r="AO816" s="38"/>
      <c r="AP816" s="38"/>
      <c r="AQ816" s="38"/>
      <c r="AR816" s="38"/>
      <c r="AS816" s="38"/>
      <c r="AT816" s="38"/>
      <c r="AU816" s="38"/>
      <c r="AV816" s="38"/>
      <c r="AW816" s="38"/>
      <c r="AX816" s="38"/>
      <c r="AY816" s="38"/>
      <c r="AZ816" s="38"/>
      <c r="BA816" s="38"/>
      <c r="BB816" s="38"/>
      <c r="BC816" s="38"/>
      <c r="BD816" s="38"/>
      <c r="BE816" s="38"/>
      <c r="BF816" s="38"/>
      <c r="BG816" s="38"/>
      <c r="BH816" s="38"/>
      <c r="BI816" s="38"/>
      <c r="BJ816" s="38"/>
      <c r="BK816" s="38"/>
      <c r="BL816" s="38"/>
      <c r="BM816" s="38"/>
      <c r="BN816" s="38"/>
      <c r="BO816" s="38"/>
      <c r="BP816" s="38"/>
      <c r="BQ816" s="38"/>
      <c r="BR816" s="38"/>
      <c r="BS816" s="38"/>
      <c r="BT816" s="38"/>
      <c r="BU816" s="38"/>
      <c r="BV816" s="38"/>
      <c r="BW816" s="38"/>
      <c r="BX816" s="38"/>
      <c r="BY816" s="38"/>
      <c r="BZ816" s="38"/>
      <c r="CA816" s="38"/>
      <c r="CB816" s="38"/>
      <c r="CC816" s="38"/>
      <c r="CD816" s="38"/>
      <c r="CE816" s="38"/>
      <c r="CF816" s="38"/>
      <c r="CG816" s="38"/>
      <c r="CH816" s="38"/>
      <c r="CI816" s="38"/>
      <c r="CJ816" s="38"/>
      <c r="CK816" s="38"/>
      <c r="CL816" s="38"/>
      <c r="CM816" s="38"/>
      <c r="CN816" s="38"/>
      <c r="CO816" s="38"/>
      <c r="CP816" s="38"/>
      <c r="CQ816" s="38"/>
      <c r="CR816" s="38"/>
      <c r="CS816" s="38"/>
      <c r="CT816" s="38"/>
      <c r="CU816" s="38"/>
      <c r="CV816" s="38"/>
      <c r="CW816" s="38"/>
      <c r="CX816" s="38"/>
      <c r="CY816" s="38"/>
      <c r="CZ816" s="38"/>
      <c r="DA816" s="38"/>
      <c r="DB816" s="38"/>
      <c r="DC816" s="38"/>
      <c r="DD816" s="38"/>
      <c r="DE816" s="38"/>
      <c r="DF816" s="38"/>
      <c r="DG816" s="38"/>
      <c r="DH816" s="38"/>
      <c r="DI816" s="38"/>
      <c r="DJ816" s="38"/>
      <c r="DK816" s="38"/>
      <c r="DL816" s="38"/>
      <c r="DM816" s="38"/>
      <c r="DN816" s="38"/>
      <c r="DO816" s="38"/>
      <c r="DP816" s="38"/>
      <c r="DQ816" s="38"/>
      <c r="DR816" s="38"/>
      <c r="DS816" s="38"/>
      <c r="DT816" s="38"/>
      <c r="DU816" s="38"/>
      <c r="DV816" s="38"/>
      <c r="DW816" s="38"/>
      <c r="DX816" s="38"/>
      <c r="DY816" s="38"/>
      <c r="DZ816" s="38"/>
      <c r="EA816" s="38"/>
      <c r="EB816" s="38"/>
      <c r="EC816" s="38"/>
      <c r="ED816" s="38"/>
      <c r="EE816" s="38"/>
      <c r="EF816" s="38"/>
      <c r="EG816" s="38"/>
      <c r="EH816" s="38"/>
      <c r="EI816" s="38"/>
      <c r="EJ816" s="38"/>
      <c r="EK816" s="38"/>
      <c r="EL816" s="38"/>
      <c r="EM816" s="38"/>
      <c r="EN816" s="38"/>
      <c r="EO816" s="38"/>
      <c r="EP816" s="38"/>
      <c r="EQ816" s="38"/>
      <c r="ER816" s="38"/>
      <c r="ES816" s="38"/>
      <c r="ET816" s="38"/>
      <c r="EU816" s="38"/>
      <c r="EV816" s="38"/>
      <c r="EW816" s="38"/>
      <c r="EX816" s="38"/>
      <c r="EY816" s="38"/>
      <c r="EZ816" s="38"/>
      <c r="FA816" s="38"/>
      <c r="FB816" s="38"/>
      <c r="FC816" s="38"/>
      <c r="FD816" s="38"/>
      <c r="FE816" s="38"/>
      <c r="FF816" s="38"/>
      <c r="FG816" s="38"/>
      <c r="FH816" s="38"/>
      <c r="FI816" s="38"/>
      <c r="FJ816" s="38"/>
      <c r="FK816" s="38"/>
      <c r="FL816" s="38"/>
      <c r="FM816" s="38"/>
      <c r="FN816" s="38"/>
      <c r="FO816" s="38"/>
      <c r="FP816" s="38"/>
      <c r="FQ816" s="38"/>
      <c r="FR816" s="38"/>
      <c r="FS816" s="38"/>
      <c r="FT816" s="38"/>
      <c r="FU816" s="38"/>
      <c r="FV816" s="38"/>
      <c r="FW816" s="38"/>
      <c r="FX816" s="38"/>
      <c r="FY816" s="38"/>
      <c r="FZ816" s="38"/>
      <c r="GA816" s="38"/>
      <c r="GB816" s="38"/>
      <c r="GC816" s="38"/>
      <c r="GD816" s="38"/>
      <c r="GE816" s="38"/>
      <c r="GF816" s="38"/>
      <c r="GG816" s="38"/>
      <c r="GH816" s="38"/>
      <c r="GI816" s="38"/>
      <c r="GJ816" s="38"/>
      <c r="GK816" s="38"/>
      <c r="GL816" s="38"/>
      <c r="GM816" s="38"/>
      <c r="GN816" s="38"/>
      <c r="GO816" s="38"/>
      <c r="GP816" s="38"/>
      <c r="GQ816" s="38"/>
      <c r="GR816" s="38"/>
      <c r="GS816" s="38"/>
      <c r="GT816" s="38"/>
      <c r="GU816" s="38"/>
      <c r="GV816" s="38"/>
      <c r="GW816" s="38"/>
      <c r="GX816" s="38"/>
      <c r="GY816" s="38"/>
      <c r="GZ816" s="38"/>
      <c r="HA816" s="38"/>
      <c r="HB816" s="38"/>
      <c r="HC816" s="38"/>
      <c r="HD816" s="38"/>
      <c r="HE816" s="38"/>
      <c r="HF816" s="38"/>
      <c r="HG816" s="38"/>
      <c r="HH816" s="38"/>
      <c r="HI816" s="38"/>
      <c r="HJ816" s="38"/>
      <c r="HK816" s="38"/>
      <c r="HL816" s="38"/>
      <c r="HM816" s="38"/>
      <c r="HN816" s="38"/>
      <c r="HO816" s="38"/>
      <c r="HP816" s="38"/>
      <c r="HQ816" s="38"/>
      <c r="HR816" s="38"/>
      <c r="HS816" s="38"/>
      <c r="HT816" s="38"/>
      <c r="HU816" s="38"/>
      <c r="HV816" s="38"/>
      <c r="HW816" s="38"/>
      <c r="HX816" s="38"/>
      <c r="HY816" s="38"/>
      <c r="HZ816" s="38"/>
      <c r="IA816" s="38"/>
      <c r="IB816" s="38"/>
      <c r="IC816" s="38"/>
      <c r="ID816" s="38"/>
      <c r="IE816" s="38"/>
      <c r="IF816" s="38"/>
      <c r="IG816" s="38"/>
      <c r="IH816" s="38"/>
      <c r="II816" s="38"/>
      <c r="IJ816" s="38"/>
      <c r="IK816" s="38"/>
      <c r="IL816" s="38"/>
      <c r="IM816" s="38"/>
      <c r="IN816" s="38"/>
      <c r="IO816" s="38"/>
      <c r="IP816" s="38"/>
      <c r="IQ816" s="38"/>
      <c r="IR816" s="38"/>
      <c r="IS816" s="38"/>
      <c r="IT816" s="38"/>
      <c r="IU816" s="38"/>
      <c r="IV816" s="38"/>
      <c r="IW816" s="38"/>
      <c r="IX816" s="38"/>
      <c r="IY816" s="38"/>
      <c r="IZ816" s="38"/>
      <c r="JA816" s="38"/>
      <c r="JB816" s="38"/>
      <c r="JC816" s="38"/>
      <c r="JD816" s="38"/>
      <c r="JE816" s="38"/>
      <c r="JF816" s="38"/>
      <c r="JG816" s="38"/>
      <c r="JH816" s="38"/>
      <c r="JI816" s="38"/>
      <c r="JJ816" s="38"/>
      <c r="JK816" s="38"/>
      <c r="JL816" s="38"/>
      <c r="JM816" s="38"/>
      <c r="JN816" s="38"/>
      <c r="JO816" s="38"/>
      <c r="JP816" s="38"/>
      <c r="JQ816" s="38"/>
      <c r="JR816" s="38"/>
      <c r="JS816" s="38"/>
      <c r="JT816" s="38"/>
      <c r="JU816" s="38"/>
      <c r="JV816" s="38"/>
      <c r="JW816" s="38"/>
      <c r="JX816" s="38"/>
      <c r="JY816" s="38"/>
      <c r="JZ816" s="38"/>
      <c r="KA816" s="38"/>
      <c r="KB816" s="38"/>
      <c r="KC816" s="38"/>
      <c r="KD816" s="38"/>
      <c r="KE816" s="38"/>
      <c r="KF816" s="38"/>
      <c r="KG816" s="38"/>
      <c r="KH816" s="38"/>
      <c r="KI816" s="38"/>
      <c r="KJ816" s="38"/>
      <c r="KK816" s="38"/>
      <c r="KL816" s="38"/>
      <c r="KM816" s="38"/>
      <c r="KN816" s="38"/>
      <c r="KO816" s="38"/>
      <c r="KP816" s="38"/>
      <c r="KQ816" s="38"/>
      <c r="KR816" s="38"/>
      <c r="KS816" s="38"/>
      <c r="KT816" s="38"/>
      <c r="KU816" s="38"/>
      <c r="KV816" s="38"/>
      <c r="KW816" s="38"/>
      <c r="KX816" s="38"/>
      <c r="KY816" s="38"/>
      <c r="KZ816" s="38"/>
      <c r="LA816" s="38"/>
      <c r="LB816" s="38"/>
      <c r="LC816" s="38"/>
      <c r="LD816" s="38"/>
      <c r="LE816" s="38"/>
      <c r="LF816" s="38"/>
      <c r="LG816" s="38"/>
      <c r="LH816" s="38"/>
      <c r="LI816" s="38"/>
      <c r="LJ816" s="38"/>
      <c r="LK816" s="38"/>
      <c r="LL816" s="38"/>
      <c r="LM816" s="38"/>
      <c r="LN816" s="38"/>
      <c r="LO816" s="38"/>
      <c r="LP816" s="38"/>
      <c r="LQ816" s="38"/>
      <c r="LR816" s="38"/>
      <c r="LS816" s="38"/>
      <c r="LT816" s="38"/>
      <c r="LU816" s="38"/>
      <c r="LV816" s="38"/>
      <c r="LW816" s="38"/>
      <c r="LX816" s="38"/>
      <c r="LY816" s="38"/>
      <c r="LZ816" s="38"/>
      <c r="MA816" s="38"/>
      <c r="MB816" s="38"/>
      <c r="MC816" s="38"/>
      <c r="MD816" s="38"/>
      <c r="ME816" s="38"/>
      <c r="MF816" s="38"/>
      <c r="MG816" s="38"/>
      <c r="MH816" s="38"/>
      <c r="MI816" s="38"/>
      <c r="MJ816" s="38"/>
      <c r="MK816" s="38"/>
      <c r="ML816" s="38"/>
      <c r="MM816" s="38"/>
      <c r="MN816" s="38"/>
      <c r="MO816" s="38"/>
      <c r="MP816" s="38"/>
      <c r="MQ816" s="38"/>
      <c r="MR816" s="38"/>
      <c r="MS816" s="38"/>
      <c r="MT816" s="38"/>
      <c r="MU816" s="38"/>
      <c r="MV816" s="38"/>
      <c r="MW816" s="38"/>
      <c r="MX816" s="38"/>
      <c r="MY816" s="38"/>
      <c r="MZ816" s="38"/>
      <c r="NA816" s="38"/>
      <c r="NB816" s="38"/>
      <c r="NC816" s="38"/>
      <c r="ND816" s="38"/>
      <c r="NE816" s="38"/>
      <c r="NF816" s="38"/>
      <c r="NG816" s="38"/>
      <c r="NH816" s="38"/>
      <c r="NI816" s="38"/>
      <c r="NJ816" s="38"/>
      <c r="NK816" s="38"/>
      <c r="NL816" s="38"/>
      <c r="NM816" s="38"/>
      <c r="NN816" s="38"/>
      <c r="NO816" s="38"/>
      <c r="NP816" s="38"/>
      <c r="NQ816" s="38"/>
      <c r="NR816" s="38"/>
      <c r="NS816" s="38"/>
      <c r="NT816" s="38"/>
      <c r="NU816" s="38"/>
      <c r="NV816" s="38"/>
      <c r="NW816" s="38"/>
      <c r="NX816" s="38"/>
      <c r="NY816" s="38"/>
      <c r="NZ816" s="38"/>
      <c r="OA816" s="38"/>
      <c r="OB816" s="38"/>
      <c r="OC816" s="38"/>
      <c r="OD816" s="38"/>
      <c r="OE816" s="38"/>
      <c r="OF816" s="38"/>
      <c r="OG816" s="38"/>
      <c r="OH816" s="38"/>
      <c r="OI816" s="38"/>
      <c r="OJ816" s="38"/>
      <c r="OK816" s="38"/>
      <c r="OL816" s="38"/>
      <c r="OM816" s="38"/>
      <c r="ON816" s="38"/>
      <c r="OO816" s="38"/>
      <c r="OP816" s="38"/>
      <c r="OQ816" s="38"/>
      <c r="OR816" s="38"/>
      <c r="OS816" s="38"/>
      <c r="OT816" s="38"/>
      <c r="OU816" s="38"/>
      <c r="OV816" s="38"/>
      <c r="OW816" s="38"/>
      <c r="OX816" s="38"/>
      <c r="OY816" s="38"/>
      <c r="OZ816" s="38"/>
      <c r="PA816" s="38"/>
      <c r="PB816" s="38"/>
      <c r="PC816" s="38"/>
      <c r="PD816" s="38"/>
      <c r="PE816" s="38"/>
      <c r="PF816" s="38"/>
      <c r="PG816" s="38"/>
      <c r="PH816" s="38"/>
      <c r="PI816" s="38"/>
      <c r="PJ816" s="38"/>
      <c r="PK816" s="38"/>
      <c r="PL816" s="38"/>
      <c r="PM816" s="38"/>
      <c r="PN816" s="38"/>
      <c r="PO816" s="38"/>
      <c r="PP816" s="38"/>
      <c r="PQ816" s="38"/>
      <c r="PR816" s="38"/>
      <c r="PS816" s="38"/>
      <c r="PT816" s="38"/>
      <c r="PU816" s="38"/>
      <c r="PV816" s="38"/>
      <c r="PW816" s="38"/>
      <c r="PX816" s="38"/>
      <c r="PY816" s="38"/>
      <c r="PZ816" s="38"/>
      <c r="QA816" s="38"/>
      <c r="QB816" s="38"/>
      <c r="QC816" s="38"/>
      <c r="QD816" s="38"/>
      <c r="QE816" s="38"/>
      <c r="QF816" s="38"/>
      <c r="QG816" s="38"/>
      <c r="QH816" s="38"/>
      <c r="QI816" s="38"/>
      <c r="QJ816" s="38"/>
      <c r="QK816" s="38"/>
      <c r="QL816" s="38"/>
      <c r="QM816" s="38"/>
      <c r="QN816" s="38"/>
      <c r="QO816" s="38"/>
      <c r="QP816" s="38"/>
      <c r="QQ816" s="38"/>
      <c r="QR816" s="38"/>
      <c r="QS816" s="38"/>
      <c r="QT816" s="38"/>
      <c r="QU816" s="38"/>
      <c r="QV816" s="38"/>
      <c r="QW816" s="38"/>
      <c r="QX816" s="38"/>
      <c r="QY816" s="38"/>
      <c r="QZ816" s="38"/>
      <c r="RA816" s="38"/>
      <c r="RB816" s="38"/>
      <c r="RC816" s="38"/>
      <c r="RD816" s="38"/>
      <c r="RE816" s="38"/>
      <c r="RF816" s="38"/>
      <c r="RG816" s="38"/>
      <c r="RH816" s="38"/>
      <c r="RI816" s="38"/>
      <c r="RJ816" s="38"/>
      <c r="RK816" s="38"/>
      <c r="RL816" s="38"/>
      <c r="RM816" s="38"/>
      <c r="RN816" s="38"/>
      <c r="RO816" s="38"/>
      <c r="RP816" s="38"/>
      <c r="RQ816" s="38"/>
      <c r="RR816" s="38"/>
      <c r="RS816" s="38"/>
      <c r="RT816" s="38"/>
      <c r="RU816" s="38"/>
      <c r="RV816" s="38"/>
      <c r="RW816" s="38"/>
      <c r="RX816" s="38"/>
      <c r="RY816" s="38"/>
      <c r="RZ816" s="38"/>
      <c r="SA816" s="38"/>
      <c r="SB816" s="38"/>
      <c r="SC816" s="38"/>
      <c r="SD816" s="38"/>
      <c r="SE816" s="38"/>
      <c r="SF816" s="38"/>
      <c r="SG816" s="38"/>
      <c r="SH816" s="38"/>
      <c r="SI816" s="38"/>
      <c r="SJ816" s="38"/>
      <c r="SK816" s="38"/>
      <c r="SL816" s="38"/>
      <c r="SM816" s="38"/>
      <c r="SN816" s="38"/>
      <c r="SO816" s="38"/>
      <c r="SP816" s="38"/>
      <c r="SQ816" s="38"/>
      <c r="SR816" s="38"/>
      <c r="SS816" s="38"/>
      <c r="ST816" s="38"/>
      <c r="SU816" s="38"/>
      <c r="SV816" s="38"/>
      <c r="SW816" s="38"/>
      <c r="SX816" s="38"/>
      <c r="SY816" s="38"/>
      <c r="SZ816" s="38"/>
      <c r="TA816" s="38"/>
      <c r="TB816" s="38"/>
      <c r="TC816" s="38"/>
      <c r="TD816" s="38"/>
      <c r="TE816" s="38"/>
      <c r="TF816" s="38"/>
      <c r="TG816" s="38"/>
      <c r="TH816" s="38"/>
      <c r="TI816" s="38"/>
      <c r="TJ816" s="38"/>
      <c r="TK816" s="38"/>
      <c r="TL816" s="38"/>
      <c r="TM816" s="38"/>
      <c r="TN816" s="38"/>
      <c r="TO816" s="38"/>
      <c r="TP816" s="38"/>
      <c r="TQ816" s="38"/>
      <c r="TR816" s="38"/>
      <c r="TS816" s="38"/>
      <c r="TT816" s="38"/>
      <c r="TU816" s="38"/>
      <c r="TV816" s="38"/>
      <c r="TW816" s="38"/>
      <c r="TX816" s="38"/>
      <c r="TY816" s="38"/>
      <c r="TZ816" s="38"/>
      <c r="UA816" s="38"/>
      <c r="UB816" s="38"/>
      <c r="UC816" s="38"/>
      <c r="UD816" s="38"/>
      <c r="UE816" s="38"/>
      <c r="UF816" s="38"/>
      <c r="UG816" s="38"/>
      <c r="UH816" s="38"/>
      <c r="UI816" s="38"/>
      <c r="UJ816" s="38"/>
      <c r="UK816" s="38"/>
      <c r="UL816" s="38"/>
      <c r="UM816" s="38"/>
      <c r="UN816" s="38"/>
      <c r="UO816" s="38"/>
      <c r="UP816" s="38"/>
      <c r="UQ816" s="38"/>
      <c r="UR816" s="38"/>
      <c r="US816" s="38"/>
      <c r="UT816" s="38"/>
      <c r="UU816" s="38"/>
      <c r="UV816" s="38"/>
      <c r="UW816" s="38"/>
      <c r="UX816" s="38"/>
      <c r="UY816" s="38"/>
      <c r="UZ816" s="38"/>
      <c r="VA816" s="38"/>
      <c r="VB816" s="38"/>
      <c r="VC816" s="38"/>
      <c r="VD816" s="38"/>
      <c r="VE816" s="38"/>
      <c r="VF816" s="38"/>
      <c r="VG816" s="38"/>
      <c r="VH816" s="38"/>
      <c r="VI816" s="38"/>
      <c r="VJ816" s="38"/>
      <c r="VK816" s="38"/>
      <c r="VL816" s="38"/>
      <c r="VM816" s="38"/>
      <c r="VN816" s="38"/>
      <c r="VO816" s="38"/>
      <c r="VP816" s="38"/>
      <c r="VQ816" s="38"/>
      <c r="VR816" s="38"/>
      <c r="VS816" s="38"/>
      <c r="VT816" s="38"/>
      <c r="VU816" s="38"/>
      <c r="VV816" s="38"/>
      <c r="VW816" s="38"/>
      <c r="VX816" s="38"/>
      <c r="VY816" s="38"/>
      <c r="VZ816" s="38"/>
      <c r="WA816" s="38"/>
      <c r="WB816" s="38"/>
      <c r="WC816" s="38"/>
      <c r="WD816" s="38"/>
      <c r="WE816" s="38"/>
      <c r="WF816" s="38"/>
      <c r="WG816" s="38"/>
      <c r="WH816" s="38"/>
      <c r="WI816" s="38"/>
      <c r="WJ816" s="38"/>
      <c r="WK816" s="38"/>
      <c r="WL816" s="38"/>
      <c r="WM816" s="38"/>
      <c r="WN816" s="38"/>
      <c r="WO816" s="38"/>
      <c r="WP816" s="38"/>
      <c r="WQ816" s="38"/>
      <c r="WR816" s="38"/>
      <c r="WS816" s="38"/>
      <c r="WT816" s="38"/>
      <c r="WU816" s="38"/>
      <c r="WV816" s="38"/>
      <c r="WW816" s="38"/>
      <c r="WX816" s="38"/>
      <c r="WY816" s="38"/>
      <c r="WZ816" s="38"/>
      <c r="XA816" s="38"/>
      <c r="XB816" s="38"/>
      <c r="XC816" s="38"/>
      <c r="XD816" s="38"/>
      <c r="XE816" s="38"/>
      <c r="XF816" s="38"/>
      <c r="XG816" s="38"/>
      <c r="XH816" s="38"/>
      <c r="XI816" s="38"/>
      <c r="XJ816" s="38"/>
      <c r="XK816" s="38"/>
      <c r="XL816" s="38"/>
      <c r="XM816" s="38"/>
      <c r="XN816" s="38"/>
      <c r="XO816" s="38"/>
      <c r="XP816" s="38"/>
      <c r="XQ816" s="38"/>
      <c r="XR816" s="38"/>
      <c r="XS816" s="38"/>
      <c r="XT816" s="38"/>
      <c r="XU816" s="38"/>
      <c r="XV816" s="38"/>
      <c r="XW816" s="38"/>
      <c r="XX816" s="38"/>
      <c r="XY816" s="38"/>
      <c r="XZ816" s="38"/>
      <c r="YA816" s="38"/>
      <c r="YB816" s="38"/>
      <c r="YC816" s="38"/>
      <c r="YD816" s="38"/>
      <c r="YE816" s="38"/>
      <c r="YF816" s="38"/>
      <c r="YG816" s="38"/>
      <c r="YH816" s="38"/>
      <c r="YI816" s="38"/>
      <c r="YJ816" s="38"/>
      <c r="YK816" s="38"/>
      <c r="YL816" s="38"/>
      <c r="YM816" s="38"/>
      <c r="YN816" s="38"/>
      <c r="YO816" s="38"/>
      <c r="YP816" s="38"/>
      <c r="YQ816" s="38"/>
      <c r="YR816" s="38"/>
      <c r="YS816" s="38"/>
      <c r="YT816" s="38"/>
      <c r="YU816" s="38"/>
      <c r="YV816" s="38"/>
      <c r="YW816" s="38"/>
      <c r="YX816" s="38"/>
      <c r="YY816" s="38"/>
      <c r="YZ816" s="38"/>
      <c r="ZA816" s="38"/>
      <c r="ZB816" s="38"/>
      <c r="ZC816" s="38"/>
      <c r="ZD816" s="38"/>
      <c r="ZE816" s="38"/>
      <c r="ZF816" s="38"/>
      <c r="ZG816" s="38"/>
      <c r="ZH816" s="38"/>
      <c r="ZI816" s="38"/>
      <c r="ZJ816" s="38"/>
      <c r="ZK816" s="38"/>
      <c r="ZL816" s="38"/>
      <c r="ZM816" s="38"/>
      <c r="ZN816" s="38"/>
      <c r="ZO816" s="38"/>
      <c r="ZP816" s="38"/>
      <c r="ZQ816" s="38"/>
      <c r="ZR816" s="38"/>
      <c r="ZS816" s="38"/>
      <c r="ZT816" s="38"/>
      <c r="ZU816" s="38"/>
      <c r="ZV816" s="38"/>
      <c r="ZW816" s="38"/>
      <c r="ZX816" s="38"/>
      <c r="ZY816" s="38"/>
      <c r="ZZ816" s="38"/>
      <c r="AAA816" s="38"/>
      <c r="AAB816" s="38"/>
      <c r="AAC816" s="38"/>
      <c r="AAD816" s="38"/>
      <c r="AAE816" s="38"/>
      <c r="AAF816" s="38"/>
      <c r="AAG816" s="38"/>
      <c r="AAH816" s="38"/>
      <c r="AAI816" s="38"/>
      <c r="AAJ816" s="38"/>
      <c r="AAK816" s="38"/>
      <c r="AAL816" s="38"/>
      <c r="AAM816" s="38"/>
      <c r="AAN816" s="38"/>
      <c r="AAO816" s="38"/>
      <c r="AAP816" s="38"/>
      <c r="AAQ816" s="38"/>
      <c r="AAR816" s="38"/>
      <c r="AAS816" s="38"/>
      <c r="AAT816" s="38"/>
      <c r="AAU816" s="38"/>
      <c r="AAV816" s="38"/>
      <c r="AAW816" s="38"/>
      <c r="AAX816" s="38"/>
      <c r="AAY816" s="38"/>
      <c r="AAZ816" s="38"/>
      <c r="ABA816" s="38"/>
      <c r="ABB816" s="38"/>
      <c r="ABC816" s="38"/>
      <c r="ABD816" s="38"/>
      <c r="ABE816" s="38"/>
      <c r="ABF816" s="38"/>
      <c r="ABG816" s="38"/>
      <c r="ABH816" s="38"/>
      <c r="ABI816" s="38"/>
      <c r="ABJ816" s="38"/>
      <c r="ABK816" s="38"/>
      <c r="ABL816" s="38"/>
      <c r="ABM816" s="38"/>
      <c r="ABN816" s="38"/>
      <c r="ABO816" s="38"/>
      <c r="ABP816" s="38"/>
      <c r="ABQ816" s="38"/>
      <c r="ABR816" s="38"/>
      <c r="ABS816" s="38"/>
      <c r="ABT816" s="38"/>
      <c r="ABU816" s="38"/>
      <c r="ABV816" s="38"/>
      <c r="ABW816" s="38"/>
      <c r="ABX816" s="38"/>
      <c r="ABY816" s="38"/>
      <c r="ABZ816" s="38"/>
      <c r="ACA816" s="38"/>
      <c r="ACB816" s="38"/>
      <c r="ACC816" s="38"/>
      <c r="ACD816" s="38"/>
      <c r="ACE816" s="38"/>
      <c r="ACF816" s="38"/>
      <c r="ACG816" s="38"/>
      <c r="ACH816" s="38"/>
      <c r="ACI816" s="38"/>
      <c r="ACJ816" s="38"/>
      <c r="ACK816" s="38"/>
      <c r="ACL816" s="38"/>
      <c r="ACM816" s="38"/>
      <c r="ACN816" s="38"/>
      <c r="ACO816" s="38"/>
      <c r="ACP816" s="38"/>
      <c r="ACQ816" s="38"/>
      <c r="ACR816" s="38"/>
      <c r="ACS816" s="38"/>
      <c r="ACT816" s="38"/>
      <c r="ACU816" s="38"/>
      <c r="ACV816" s="38"/>
      <c r="ACW816" s="38"/>
      <c r="ACX816" s="38"/>
      <c r="ACY816" s="38"/>
      <c r="ACZ816" s="38"/>
      <c r="ADA816" s="38"/>
      <c r="ADB816" s="38"/>
      <c r="ADC816" s="38"/>
      <c r="ADD816" s="38"/>
      <c r="ADE816" s="38"/>
      <c r="ADF816" s="38"/>
      <c r="ADG816" s="38"/>
      <c r="ADH816" s="38"/>
      <c r="ADI816" s="38"/>
      <c r="ADJ816" s="38"/>
      <c r="ADK816" s="38"/>
      <c r="ADL816" s="38"/>
      <c r="ADM816" s="38"/>
      <c r="ADN816" s="38"/>
      <c r="ADO816" s="38"/>
      <c r="ADP816" s="38"/>
      <c r="ADQ816" s="38"/>
      <c r="ADR816" s="38"/>
      <c r="ADS816" s="38"/>
      <c r="ADT816" s="38"/>
      <c r="ADU816" s="38"/>
      <c r="ADV816" s="38"/>
      <c r="ADW816" s="38"/>
      <c r="ADX816" s="38"/>
      <c r="ADY816" s="38"/>
      <c r="ADZ816" s="38"/>
      <c r="AEA816" s="38"/>
      <c r="AEB816" s="38"/>
      <c r="AEC816" s="38"/>
      <c r="AED816" s="38"/>
      <c r="AEE816" s="38"/>
      <c r="AEF816" s="38"/>
      <c r="AEG816" s="38"/>
      <c r="AEH816" s="38"/>
      <c r="AEI816" s="38"/>
      <c r="AEJ816" s="38"/>
      <c r="AEK816" s="38"/>
      <c r="AEL816" s="38"/>
      <c r="AEM816" s="38"/>
      <c r="AEN816" s="38"/>
      <c r="AEO816" s="38"/>
      <c r="AEP816" s="38"/>
      <c r="AEQ816" s="38"/>
      <c r="AER816" s="38"/>
      <c r="AES816" s="38"/>
      <c r="AET816" s="38"/>
      <c r="AEU816" s="38"/>
      <c r="AEV816" s="38"/>
      <c r="AEW816" s="38"/>
      <c r="AEX816" s="38"/>
      <c r="AEY816" s="38"/>
      <c r="AEZ816" s="38"/>
      <c r="AFA816" s="38"/>
      <c r="AFB816" s="38"/>
      <c r="AFC816" s="38"/>
      <c r="AFD816" s="38"/>
      <c r="AFE816" s="38"/>
      <c r="AFF816" s="38"/>
      <c r="AFG816" s="38"/>
      <c r="AFH816" s="38"/>
      <c r="AFI816" s="38"/>
      <c r="AFJ816" s="38"/>
      <c r="AFK816" s="38"/>
      <c r="AFL816" s="38"/>
      <c r="AFM816" s="38"/>
      <c r="AFN816" s="38"/>
      <c r="AFO816" s="38"/>
      <c r="AFP816" s="38"/>
      <c r="AFQ816" s="38"/>
      <c r="AFR816" s="38"/>
      <c r="AFS816" s="38"/>
      <c r="AFT816" s="38"/>
      <c r="AFU816" s="38"/>
      <c r="AFV816" s="38"/>
      <c r="AFW816" s="38"/>
      <c r="AFX816" s="38"/>
      <c r="AFY816" s="38"/>
      <c r="AFZ816" s="38"/>
      <c r="AGA816" s="38"/>
      <c r="AGB816" s="38"/>
      <c r="AGC816" s="38"/>
      <c r="AGD816" s="38"/>
      <c r="AGE816" s="38"/>
      <c r="AGF816" s="38"/>
      <c r="AGG816" s="38"/>
      <c r="AGH816" s="38"/>
      <c r="AGI816" s="38"/>
      <c r="AGJ816" s="38"/>
      <c r="AGK816" s="38"/>
      <c r="AGL816" s="38"/>
      <c r="AGM816" s="38"/>
      <c r="AGN816" s="38"/>
      <c r="AGO816" s="38"/>
      <c r="AGP816" s="38"/>
      <c r="AGQ816" s="38"/>
      <c r="AGR816" s="38"/>
      <c r="AGS816" s="38"/>
      <c r="AGT816" s="38"/>
      <c r="AGU816" s="38"/>
      <c r="AGV816" s="38"/>
      <c r="AGW816" s="38"/>
      <c r="AGX816" s="38"/>
      <c r="AGY816" s="38"/>
      <c r="AGZ816" s="38"/>
      <c r="AHA816" s="38"/>
      <c r="AHB816" s="38"/>
      <c r="AHC816" s="38"/>
      <c r="AHD816" s="38"/>
      <c r="AHE816" s="38"/>
      <c r="AHF816" s="38"/>
      <c r="AHG816" s="38"/>
      <c r="AHH816" s="38"/>
      <c r="AHI816" s="38"/>
      <c r="AHJ816" s="38"/>
      <c r="AHK816" s="38"/>
      <c r="AHL816" s="38"/>
      <c r="AHM816" s="38"/>
      <c r="AHN816" s="38"/>
      <c r="AHO816" s="38"/>
      <c r="AHP816" s="38"/>
      <c r="AHQ816" s="38"/>
      <c r="AHR816" s="38"/>
      <c r="AHS816" s="38"/>
      <c r="AHT816" s="38"/>
      <c r="AHU816" s="38"/>
      <c r="AHV816" s="38"/>
      <c r="AHW816" s="38"/>
      <c r="AHX816" s="38"/>
      <c r="AHY816" s="38"/>
      <c r="AHZ816" s="38"/>
      <c r="AIA816" s="38"/>
      <c r="AIB816" s="38"/>
      <c r="AIC816" s="38"/>
      <c r="AID816" s="38"/>
      <c r="AIE816" s="38"/>
      <c r="AIF816" s="38"/>
      <c r="AIG816" s="38"/>
      <c r="AIH816" s="38"/>
      <c r="AII816" s="38"/>
      <c r="AIJ816" s="38"/>
      <c r="AIK816" s="38"/>
      <c r="AIL816" s="38"/>
      <c r="AIM816" s="38"/>
      <c r="AIN816" s="38"/>
      <c r="AIO816" s="38"/>
      <c r="AIP816" s="38"/>
      <c r="AIQ816" s="38"/>
      <c r="AIR816" s="38"/>
      <c r="AIS816" s="38"/>
      <c r="AIT816" s="38"/>
      <c r="AIU816" s="38"/>
      <c r="AIV816" s="38"/>
      <c r="AIW816" s="38"/>
      <c r="AIX816" s="38"/>
      <c r="AIY816" s="38"/>
      <c r="AIZ816" s="38"/>
      <c r="AJA816" s="38"/>
      <c r="AJB816" s="38"/>
      <c r="AJC816" s="38"/>
      <c r="AJD816" s="38"/>
      <c r="AJE816" s="38"/>
      <c r="AJF816" s="38"/>
      <c r="AJG816" s="38"/>
      <c r="AJH816" s="38"/>
      <c r="AJI816" s="38"/>
      <c r="AJJ816" s="38"/>
      <c r="AJK816" s="38"/>
      <c r="AJL816" s="38"/>
      <c r="AJM816" s="38"/>
      <c r="AJN816" s="38"/>
      <c r="AJO816" s="38"/>
      <c r="AJP816" s="38"/>
      <c r="AJQ816" s="38"/>
      <c r="AJR816" s="38"/>
      <c r="AJS816" s="38"/>
      <c r="AJT816" s="38"/>
      <c r="AJU816" s="38"/>
      <c r="AJV816" s="38"/>
      <c r="AJW816" s="38"/>
      <c r="AJX816" s="38"/>
      <c r="AJY816" s="38"/>
      <c r="AJZ816" s="38"/>
      <c r="AKA816" s="38"/>
      <c r="AKB816" s="38"/>
      <c r="AKC816" s="38"/>
      <c r="AKD816" s="38"/>
      <c r="AKE816" s="38"/>
      <c r="AKF816" s="38"/>
      <c r="AKG816" s="38"/>
      <c r="AKH816" s="38"/>
      <c r="AKI816" s="38"/>
      <c r="AKJ816" s="38"/>
      <c r="AKK816" s="38"/>
      <c r="AKL816" s="38"/>
      <c r="AKM816" s="38"/>
      <c r="AKN816" s="38"/>
      <c r="AKO816" s="38"/>
      <c r="AKP816" s="38"/>
      <c r="AKQ816" s="38"/>
      <c r="AKR816" s="38"/>
      <c r="AKS816" s="38"/>
      <c r="AKT816" s="38"/>
      <c r="AKU816" s="38"/>
      <c r="AKV816" s="38"/>
      <c r="AKW816" s="38"/>
      <c r="AKX816" s="38"/>
      <c r="AKY816" s="38"/>
      <c r="AKZ816" s="38"/>
      <c r="ALA816" s="38"/>
      <c r="ALB816" s="38"/>
      <c r="ALC816" s="38"/>
      <c r="ALD816" s="38"/>
      <c r="ALE816" s="38"/>
      <c r="ALF816" s="38"/>
      <c r="ALG816" s="38"/>
      <c r="ALH816" s="38"/>
      <c r="ALI816" s="38"/>
      <c r="ALJ816" s="38"/>
      <c r="ALK816" s="38"/>
      <c r="ALL816" s="38"/>
      <c r="ALM816" s="38"/>
      <c r="ALN816" s="38"/>
      <c r="ALO816" s="38"/>
      <c r="ALP816" s="38"/>
      <c r="ALQ816" s="38"/>
      <c r="ALR816" s="38"/>
      <c r="ALS816" s="38"/>
      <c r="ALT816" s="38"/>
      <c r="ALU816" s="38"/>
      <c r="ALV816" s="38"/>
      <c r="ALW816" s="38"/>
      <c r="ALX816" s="38"/>
      <c r="ALY816" s="38"/>
      <c r="ALZ816" s="38"/>
      <c r="AMA816" s="38"/>
      <c r="AMB816" s="38"/>
      <c r="AMC816" s="38"/>
      <c r="AMD816" s="38"/>
      <c r="AME816" s="38"/>
      <c r="AMF816" s="38"/>
      <c r="AMG816" s="38"/>
      <c r="AMH816" s="38"/>
      <c r="AMI816" s="38"/>
      <c r="AMJ816" s="38"/>
    </row>
    <row r="817" spans="1:15" ht="27.6">
      <c r="A817" s="8" t="s">
        <v>787</v>
      </c>
      <c r="B817" s="8">
        <v>240785</v>
      </c>
      <c r="D817" s="29"/>
      <c r="E817" s="1">
        <v>2.5099999999999998</v>
      </c>
      <c r="F817" s="8">
        <v>6</v>
      </c>
      <c r="G817" s="30">
        <f t="shared" si="39"/>
        <v>8.51</v>
      </c>
      <c r="H817" s="8">
        <f t="shared" si="41"/>
        <v>-2.5099999999999998</v>
      </c>
      <c r="I817">
        <f t="shared" si="40"/>
        <v>0</v>
      </c>
      <c r="J817">
        <f>SUMIF(Oeffentlichkeitsarbeit!$D:$D,$B817,Oeffentlichkeitsarbeit!$F:$F)</f>
        <v>0</v>
      </c>
      <c r="K817">
        <f>COUNTIF(Fairteiler!$D:$D,$B817)*1/2</f>
        <v>0</v>
      </c>
      <c r="L817">
        <f>COUNTIF('NP-Betrieb'!D:D,$B817)*1/3</f>
        <v>0</v>
      </c>
      <c r="M817">
        <f>COUNTIF(Fairteilungen!$D:$D,$B817)*3/4</f>
        <v>0</v>
      </c>
      <c r="N817">
        <f>COUNTIF(Anlieferung!D:D,$B817)*1/2</f>
        <v>0</v>
      </c>
      <c r="O817">
        <f>COUNTIF(Probeabholungen!B:B,$B817)*1/3</f>
        <v>0</v>
      </c>
    </row>
    <row r="818" spans="1:15" ht="27.6">
      <c r="A818" s="8" t="s">
        <v>788</v>
      </c>
      <c r="B818" s="8">
        <v>373</v>
      </c>
      <c r="D818" s="29"/>
      <c r="E818" s="1">
        <v>14</v>
      </c>
      <c r="F818" s="8">
        <v>6</v>
      </c>
      <c r="G818" s="30">
        <f t="shared" si="39"/>
        <v>20</v>
      </c>
      <c r="H818" s="8">
        <f t="shared" si="41"/>
        <v>-14</v>
      </c>
      <c r="I818">
        <f t="shared" si="40"/>
        <v>0</v>
      </c>
      <c r="J818">
        <f>SUMIF(Oeffentlichkeitsarbeit!$D:$D,$B818,Oeffentlichkeitsarbeit!$F:$F)</f>
        <v>0</v>
      </c>
      <c r="K818">
        <f>COUNTIF(Fairteiler!$D:$D,$B818)*1/2</f>
        <v>0</v>
      </c>
      <c r="L818">
        <f>COUNTIF('NP-Betrieb'!D:D,$B818)*1/3</f>
        <v>0</v>
      </c>
      <c r="M818">
        <f>COUNTIF(Fairteilungen!$D:$D,$B818)*3/4</f>
        <v>0</v>
      </c>
      <c r="N818">
        <f>COUNTIF(Anlieferung!D:D,$B818)*1/2</f>
        <v>0</v>
      </c>
      <c r="O818">
        <f>COUNTIF(Probeabholungen!B:B,$B818)*1/3</f>
        <v>0</v>
      </c>
    </row>
    <row r="819" spans="1:15" ht="27.6">
      <c r="A819" s="8" t="s">
        <v>789</v>
      </c>
      <c r="B819" s="8">
        <v>150669</v>
      </c>
      <c r="D819" s="29"/>
      <c r="E819" s="1">
        <v>1.6666666666666601</v>
      </c>
      <c r="F819" s="8">
        <v>6</v>
      </c>
      <c r="G819" s="30">
        <f t="shared" si="39"/>
        <v>6.6666666666666599</v>
      </c>
      <c r="H819" s="8">
        <f t="shared" si="41"/>
        <v>-0.66666666666666008</v>
      </c>
      <c r="I819">
        <f t="shared" si="40"/>
        <v>1</v>
      </c>
      <c r="J819">
        <f>SUMIF(Oeffentlichkeitsarbeit!$D:$D,$B819,Oeffentlichkeitsarbeit!$F:$F)</f>
        <v>0</v>
      </c>
      <c r="K819">
        <f>COUNTIF(Fairteiler!$D:$D,$B819)*1/2</f>
        <v>0</v>
      </c>
      <c r="L819">
        <f>COUNTIF('NP-Betrieb'!D:D,$B819)*1/3</f>
        <v>1</v>
      </c>
      <c r="M819">
        <f>COUNTIF(Fairteilungen!$D:$D,$B819)*3/4</f>
        <v>0</v>
      </c>
      <c r="N819">
        <f>COUNTIF(Anlieferung!D:D,$B819)*1/2</f>
        <v>0</v>
      </c>
      <c r="O819">
        <f>COUNTIF(Probeabholungen!B:B,$B819)*1/3</f>
        <v>0</v>
      </c>
    </row>
    <row r="820" spans="1:15" ht="27.6">
      <c r="A820" s="16" t="s">
        <v>790</v>
      </c>
      <c r="B820" s="16">
        <v>105687</v>
      </c>
      <c r="C820" s="16" t="s">
        <v>831</v>
      </c>
      <c r="D820" s="29"/>
      <c r="E820" s="1">
        <v>0</v>
      </c>
      <c r="F820" s="16">
        <v>0</v>
      </c>
      <c r="G820" s="30">
        <f t="shared" si="39"/>
        <v>-1</v>
      </c>
      <c r="H820" s="16">
        <f t="shared" si="41"/>
        <v>1</v>
      </c>
      <c r="I820" s="31">
        <f t="shared" si="40"/>
        <v>1</v>
      </c>
      <c r="J820" s="31">
        <f>SUMIF(Oeffentlichkeitsarbeit!$D:$D,$B820,Oeffentlichkeitsarbeit!$F:$F)</f>
        <v>0</v>
      </c>
      <c r="K820" s="31">
        <f>COUNTIF(Fairteiler!$D:$D,$B820)*1/2</f>
        <v>0</v>
      </c>
      <c r="L820" s="31">
        <f>COUNTIF('NP-Betrieb'!D:D,$B820)*1/3</f>
        <v>1</v>
      </c>
      <c r="M820" s="31">
        <f>COUNTIF(Fairteilungen!$D:$D,$B820)*3/4</f>
        <v>0</v>
      </c>
      <c r="N820" s="31">
        <f>COUNTIF(Anlieferung!D:D,$B820)*1/2</f>
        <v>0</v>
      </c>
      <c r="O820" s="31">
        <f>COUNTIF(Probeabholungen!B:B,$B820)*1/3</f>
        <v>0</v>
      </c>
    </row>
    <row r="821" spans="1:15">
      <c r="A821" s="8" t="s">
        <v>791</v>
      </c>
      <c r="B821" s="8">
        <v>111876</v>
      </c>
      <c r="C821" s="8"/>
      <c r="D821" s="29"/>
      <c r="E821" s="1">
        <v>0</v>
      </c>
      <c r="F821" s="8">
        <v>6</v>
      </c>
      <c r="G821" s="30">
        <f t="shared" si="39"/>
        <v>6</v>
      </c>
      <c r="H821" s="8">
        <f t="shared" si="41"/>
        <v>0</v>
      </c>
      <c r="I821">
        <f t="shared" si="40"/>
        <v>0</v>
      </c>
      <c r="J821">
        <f>SUMIF(Oeffentlichkeitsarbeit!$D:$D,$B821,Oeffentlichkeitsarbeit!$F:$F)</f>
        <v>0</v>
      </c>
      <c r="K821">
        <f>COUNTIF(Fairteiler!$D:$D,$B821)*1/2</f>
        <v>0</v>
      </c>
      <c r="L821">
        <f>COUNTIF('NP-Betrieb'!D:D,$B821)*1/3</f>
        <v>0</v>
      </c>
      <c r="M821">
        <f>COUNTIF(Fairteilungen!$D:$D,$B821)*3/4</f>
        <v>0</v>
      </c>
      <c r="N821">
        <f>COUNTIF(Anlieferung!D:D,$B821)*1/2</f>
        <v>0</v>
      </c>
      <c r="O821">
        <f>COUNTIF(Probeabholungen!B:B,$B821)*1/3</f>
        <v>0</v>
      </c>
    </row>
    <row r="822" spans="1:15" ht="27.6">
      <c r="A822" s="8" t="s">
        <v>792</v>
      </c>
      <c r="B822" s="8">
        <v>829843</v>
      </c>
      <c r="C822" s="38"/>
      <c r="D822" s="24">
        <v>45563</v>
      </c>
      <c r="E822" s="1">
        <v>0</v>
      </c>
      <c r="F822" s="8">
        <v>6</v>
      </c>
      <c r="G822" s="30">
        <f t="shared" si="39"/>
        <v>2</v>
      </c>
      <c r="H822" s="8">
        <f t="shared" si="41"/>
        <v>4</v>
      </c>
      <c r="I822" s="38">
        <f t="shared" si="40"/>
        <v>4</v>
      </c>
      <c r="J822" s="38">
        <f>SUMIF(Oeffentlichkeitsarbeit!$D:$D,$B822,Oeffentlichkeitsarbeit!$F:$F)</f>
        <v>0</v>
      </c>
      <c r="K822" s="38">
        <f>COUNTIF(Fairteiler!$D:$D,$B822)*1/2</f>
        <v>0</v>
      </c>
      <c r="L822" s="38">
        <f>COUNTIF('NP-Betrieb'!D:D,$B822)*1/3</f>
        <v>1</v>
      </c>
      <c r="M822" s="38">
        <f>COUNTIF(Fairteilungen!$D:$D,$B822)*3/4</f>
        <v>0</v>
      </c>
      <c r="N822" s="38">
        <f>COUNTIF(Anlieferung!D:D,$B822)*1/2</f>
        <v>3</v>
      </c>
      <c r="O822" s="38">
        <f>COUNTIF(Probeabholungen!B:B,$B822)*1/3</f>
        <v>0</v>
      </c>
    </row>
    <row r="823" spans="1:15" ht="27.6">
      <c r="A823" s="8" t="s">
        <v>793</v>
      </c>
      <c r="B823">
        <v>838168</v>
      </c>
      <c r="D823" s="24">
        <v>45668</v>
      </c>
      <c r="E823" s="1">
        <v>6</v>
      </c>
      <c r="F823">
        <v>6</v>
      </c>
      <c r="G823" s="30">
        <f t="shared" si="39"/>
        <v>12</v>
      </c>
      <c r="H823" s="8">
        <f t="shared" si="41"/>
        <v>-6</v>
      </c>
      <c r="I823">
        <f t="shared" si="40"/>
        <v>0</v>
      </c>
      <c r="J823">
        <f>SUMIF(Oeffentlichkeitsarbeit!$D:$D,$B823,Oeffentlichkeitsarbeit!$F:$F)</f>
        <v>0</v>
      </c>
      <c r="K823">
        <f>COUNTIF(Fairteiler!$D:$D,$B823)*1/2</f>
        <v>0</v>
      </c>
      <c r="L823">
        <f>COUNTIF('NP-Betrieb'!D:D,$B823)*1/3</f>
        <v>0</v>
      </c>
      <c r="M823">
        <f>COUNTIF(Fairteilungen!$D:$D,$B823)*3/4</f>
        <v>0</v>
      </c>
      <c r="N823">
        <f>COUNTIF(Anlieferung!D:D,$B823)*1/2</f>
        <v>0</v>
      </c>
      <c r="O823">
        <f>COUNTIF(Probeabholungen!B:B,$B823)*1/3</f>
        <v>0</v>
      </c>
    </row>
    <row r="824" spans="1:15" ht="27.6">
      <c r="A824" s="16" t="s">
        <v>794</v>
      </c>
      <c r="B824" s="16">
        <v>233605</v>
      </c>
      <c r="C824" s="16" t="s">
        <v>831</v>
      </c>
      <c r="D824" s="29"/>
      <c r="E824" s="1">
        <v>0</v>
      </c>
      <c r="F824" s="16">
        <v>0</v>
      </c>
      <c r="G824" s="30">
        <f t="shared" si="39"/>
        <v>0</v>
      </c>
      <c r="H824" s="16">
        <f t="shared" si="41"/>
        <v>0</v>
      </c>
      <c r="I824" s="11">
        <f t="shared" si="40"/>
        <v>0</v>
      </c>
      <c r="J824" s="11">
        <f>SUMIF(Oeffentlichkeitsarbeit!$D:$D,$B824,Oeffentlichkeitsarbeit!$F:$F)</f>
        <v>0</v>
      </c>
      <c r="K824" s="11">
        <f>COUNTIF(Fairteiler!$D:$D,$B824)*1/2</f>
        <v>0</v>
      </c>
      <c r="L824" s="11">
        <f>COUNTIF('NP-Betrieb'!D:D,$B824)*1/3</f>
        <v>0</v>
      </c>
      <c r="M824" s="11">
        <f>COUNTIF(Fairteilungen!$D:$D,$B824)*3/4</f>
        <v>0</v>
      </c>
      <c r="N824" s="11">
        <f>COUNTIF(Anlieferung!D:D,$B824)*1/2</f>
        <v>0</v>
      </c>
      <c r="O824" s="11">
        <f>COUNTIF(Probeabholungen!B:B,$B824)*1/3</f>
        <v>0</v>
      </c>
    </row>
    <row r="825" spans="1:15" ht="27.6">
      <c r="A825" s="8" t="s">
        <v>795</v>
      </c>
      <c r="B825" s="8">
        <v>239443</v>
      </c>
      <c r="D825" s="29"/>
      <c r="E825" s="1">
        <v>11</v>
      </c>
      <c r="F825" s="8">
        <v>6</v>
      </c>
      <c r="G825" s="30">
        <f t="shared" si="39"/>
        <v>17</v>
      </c>
      <c r="H825" s="8">
        <f t="shared" si="41"/>
        <v>-11</v>
      </c>
      <c r="I825">
        <f t="shared" si="40"/>
        <v>0</v>
      </c>
      <c r="J825">
        <f>SUMIF(Oeffentlichkeitsarbeit!$D:$D,$B825,Oeffentlichkeitsarbeit!$F:$F)</f>
        <v>0</v>
      </c>
      <c r="K825">
        <f>COUNTIF(Fairteiler!$D:$D,$B825)*1/2</f>
        <v>0</v>
      </c>
      <c r="L825">
        <f>COUNTIF('NP-Betrieb'!D:D,$B825)*1/3</f>
        <v>0</v>
      </c>
      <c r="M825">
        <f>COUNTIF(Fairteilungen!$D:$D,$B825)*3/4</f>
        <v>0</v>
      </c>
      <c r="N825">
        <f>COUNTIF(Anlieferung!D:D,$B825)*1/2</f>
        <v>0</v>
      </c>
      <c r="O825">
        <f>COUNTIF(Probeabholungen!B:B,$B825)*1/3</f>
        <v>0</v>
      </c>
    </row>
    <row r="826" spans="1:15" ht="27.6">
      <c r="A826" s="8" t="s">
        <v>796</v>
      </c>
      <c r="B826" s="8">
        <v>959536</v>
      </c>
      <c r="D826" s="24">
        <v>45940</v>
      </c>
      <c r="E826" s="1">
        <v>0</v>
      </c>
      <c r="F826">
        <v>6</v>
      </c>
      <c r="G826" s="30">
        <f t="shared" si="39"/>
        <v>-8</v>
      </c>
      <c r="H826" s="8">
        <f t="shared" si="41"/>
        <v>14</v>
      </c>
      <c r="I826">
        <f t="shared" si="40"/>
        <v>14</v>
      </c>
      <c r="J826">
        <f>SUMIF(Oeffentlichkeitsarbeit!$D:$D,$B826,Oeffentlichkeitsarbeit!$F:$F)</f>
        <v>0</v>
      </c>
      <c r="K826">
        <f>COUNTIF(Fairteiler!$D:$D,$B826)*1/2</f>
        <v>0</v>
      </c>
      <c r="L826">
        <f>COUNTIF('NP-Betrieb'!D:D,$B826)*1/3</f>
        <v>14</v>
      </c>
      <c r="M826">
        <f>COUNTIF(Fairteilungen!$D:$D,$B826)*3/4</f>
        <v>0</v>
      </c>
      <c r="N826">
        <f>COUNTIF(Anlieferung!D:D,$B826)*1/2</f>
        <v>0</v>
      </c>
      <c r="O826">
        <f>COUNTIF(Probeabholungen!B:B,$B826)*1/3</f>
        <v>0</v>
      </c>
    </row>
    <row r="827" spans="1:15" ht="27.6">
      <c r="A827" s="8" t="s">
        <v>797</v>
      </c>
      <c r="B827" s="8">
        <v>162003</v>
      </c>
      <c r="D827" s="29">
        <v>45183</v>
      </c>
      <c r="E827" s="1">
        <v>0</v>
      </c>
      <c r="F827" s="8">
        <v>6</v>
      </c>
      <c r="G827" s="30">
        <f t="shared" si="39"/>
        <v>2.9999999999999996</v>
      </c>
      <c r="H827" s="8">
        <f t="shared" si="41"/>
        <v>3.0000000000000004</v>
      </c>
      <c r="I827">
        <f t="shared" si="40"/>
        <v>3.0000000000000004</v>
      </c>
      <c r="J827">
        <f>SUMIF(Oeffentlichkeitsarbeit!$D:$D,$B827,Oeffentlichkeitsarbeit!$F:$F)</f>
        <v>0</v>
      </c>
      <c r="K827">
        <f>COUNTIF(Fairteiler!$D:$D,$B827)*1/2</f>
        <v>1</v>
      </c>
      <c r="L827">
        <f>COUNTIF('NP-Betrieb'!D:D,$B827)*1/3</f>
        <v>1.6666666666666667</v>
      </c>
      <c r="M827">
        <f>COUNTIF(Fairteilungen!$D:$D,$B827)*3/4</f>
        <v>0</v>
      </c>
      <c r="N827">
        <f>COUNTIF(Anlieferung!D:D,$B827)*1/2</f>
        <v>0</v>
      </c>
      <c r="O827">
        <f>COUNTIF(Probeabholungen!B:B,$B827)*1/3</f>
        <v>0.33333333333333331</v>
      </c>
    </row>
    <row r="828" spans="1:15" ht="27.6">
      <c r="A828" s="16" t="s">
        <v>798</v>
      </c>
      <c r="B828" s="16">
        <v>381298</v>
      </c>
      <c r="C828" s="16" t="s">
        <v>831</v>
      </c>
      <c r="D828" s="29"/>
      <c r="E828" s="1">
        <v>0</v>
      </c>
      <c r="F828" s="16">
        <v>0</v>
      </c>
      <c r="G828" s="30">
        <f t="shared" si="39"/>
        <v>0</v>
      </c>
      <c r="H828" s="16">
        <f t="shared" si="41"/>
        <v>0</v>
      </c>
      <c r="I828" s="11">
        <f t="shared" si="40"/>
        <v>0</v>
      </c>
      <c r="J828" s="11">
        <f>SUMIF(Oeffentlichkeitsarbeit!$D:$D,$B828,Oeffentlichkeitsarbeit!$F:$F)</f>
        <v>0</v>
      </c>
      <c r="K828" s="11">
        <f>COUNTIF(Fairteiler!$D:$D,$B828)*1/2</f>
        <v>0</v>
      </c>
      <c r="L828" s="11">
        <f>COUNTIF('NP-Betrieb'!D:D,$B828)*1/3</f>
        <v>0</v>
      </c>
      <c r="M828" s="11">
        <f>COUNTIF(Fairteilungen!$D:$D,$B828)*3/4</f>
        <v>0</v>
      </c>
      <c r="N828" s="11">
        <f>COUNTIF(Anlieferung!D:D,$B828)*1/2</f>
        <v>0</v>
      </c>
      <c r="O828" s="11">
        <f>COUNTIF(Probeabholungen!B:B,$B828)*1/3</f>
        <v>0</v>
      </c>
    </row>
    <row r="829" spans="1:15">
      <c r="A829" s="8" t="s">
        <v>799</v>
      </c>
      <c r="B829" s="8">
        <v>665059</v>
      </c>
      <c r="D829" s="29"/>
      <c r="E829" s="1">
        <v>15.67</v>
      </c>
      <c r="F829" s="8">
        <v>6</v>
      </c>
      <c r="G829" s="30">
        <f t="shared" si="39"/>
        <v>21.67</v>
      </c>
      <c r="H829" s="8">
        <f t="shared" si="41"/>
        <v>-15.67</v>
      </c>
      <c r="I829">
        <f t="shared" si="40"/>
        <v>0</v>
      </c>
      <c r="J829">
        <f>SUMIF(Oeffentlichkeitsarbeit!$D:$D,$B829,Oeffentlichkeitsarbeit!$F:$F)</f>
        <v>0</v>
      </c>
      <c r="K829">
        <f>COUNTIF(Fairteiler!$D:$D,$B829)*1/2</f>
        <v>0</v>
      </c>
      <c r="L829">
        <f>COUNTIF('NP-Betrieb'!D:D,$B829)*1/3</f>
        <v>0</v>
      </c>
      <c r="M829">
        <f>COUNTIF(Fairteilungen!$D:$D,$B829)*3/4</f>
        <v>0</v>
      </c>
      <c r="N829">
        <f>COUNTIF(Anlieferung!D:D,$B829)*1/2</f>
        <v>0</v>
      </c>
      <c r="O829">
        <f>COUNTIF(Probeabholungen!B:B,$B829)*1/3</f>
        <v>0</v>
      </c>
    </row>
    <row r="830" spans="1:15" ht="27.6">
      <c r="A830" s="8" t="s">
        <v>800</v>
      </c>
      <c r="B830" s="8">
        <v>716290</v>
      </c>
      <c r="D830" s="29"/>
      <c r="E830" s="1">
        <v>14.0066666666667</v>
      </c>
      <c r="F830" s="8">
        <v>6</v>
      </c>
      <c r="G830" s="30">
        <f t="shared" si="39"/>
        <v>20.0066666666667</v>
      </c>
      <c r="H830" s="8">
        <f t="shared" si="41"/>
        <v>-14.0066666666667</v>
      </c>
      <c r="I830">
        <f t="shared" si="40"/>
        <v>0</v>
      </c>
      <c r="J830">
        <f>SUMIF(Oeffentlichkeitsarbeit!$D:$D,$B830,Oeffentlichkeitsarbeit!$F:$F)</f>
        <v>0</v>
      </c>
      <c r="K830">
        <f>COUNTIF(Fairteiler!$D:$D,$B830)*1/2</f>
        <v>0</v>
      </c>
      <c r="L830">
        <f>COUNTIF('NP-Betrieb'!D:D,$B830)*1/3</f>
        <v>0</v>
      </c>
      <c r="M830">
        <f>COUNTIF(Fairteilungen!$D:$D,$B830)*3/4</f>
        <v>0</v>
      </c>
      <c r="N830">
        <f>COUNTIF(Anlieferung!D:D,$B830)*1/2</f>
        <v>0</v>
      </c>
      <c r="O830">
        <f>COUNTIF(Probeabholungen!B:B,$B830)*1/3</f>
        <v>0</v>
      </c>
    </row>
    <row r="831" spans="1:15" ht="27.6">
      <c r="A831" s="8" t="s">
        <v>801</v>
      </c>
      <c r="B831" s="8">
        <v>888948</v>
      </c>
      <c r="D831" s="24">
        <v>45631</v>
      </c>
      <c r="E831" s="1">
        <v>1.6666666666666701</v>
      </c>
      <c r="F831" s="8">
        <v>6</v>
      </c>
      <c r="G831" s="30">
        <f t="shared" si="39"/>
        <v>4.0000000000000036</v>
      </c>
      <c r="H831" s="8">
        <f t="shared" si="41"/>
        <v>1.9999999999999964</v>
      </c>
      <c r="I831">
        <f t="shared" si="40"/>
        <v>3.6666666666666665</v>
      </c>
      <c r="J831">
        <f>SUMIF(Oeffentlichkeitsarbeit!$D:$D,$B831,Oeffentlichkeitsarbeit!$F:$F)</f>
        <v>0</v>
      </c>
      <c r="K831">
        <f>COUNTIF(Fairteiler!$D:$D,$B831)*1/2</f>
        <v>0</v>
      </c>
      <c r="L831">
        <f>COUNTIF('NP-Betrieb'!D:D,$B831)*1/3</f>
        <v>3.6666666666666665</v>
      </c>
      <c r="M831">
        <f>COUNTIF(Fairteilungen!$D:$D,$B831)*3/4</f>
        <v>0</v>
      </c>
      <c r="N831">
        <f>COUNTIF(Anlieferung!D:D,$B831)*1/2</f>
        <v>0</v>
      </c>
      <c r="O831">
        <f>COUNTIF(Probeabholungen!B:B,$B831)*1/3</f>
        <v>0</v>
      </c>
    </row>
    <row r="832" spans="1:15" ht="27.6">
      <c r="A832" s="8" t="s">
        <v>802</v>
      </c>
      <c r="B832" s="8">
        <v>599019</v>
      </c>
      <c r="D832" s="29"/>
      <c r="E832" s="1">
        <v>15.6666666666667</v>
      </c>
      <c r="F832" s="8">
        <v>6</v>
      </c>
      <c r="G832" s="30">
        <f t="shared" si="39"/>
        <v>21.6666666666667</v>
      </c>
      <c r="H832" s="8">
        <f t="shared" si="41"/>
        <v>-15.6666666666667</v>
      </c>
      <c r="I832">
        <f t="shared" si="40"/>
        <v>0</v>
      </c>
      <c r="J832">
        <f>SUMIF(Oeffentlichkeitsarbeit!$D:$D,$B832,Oeffentlichkeitsarbeit!$F:$F)</f>
        <v>0</v>
      </c>
      <c r="K832">
        <f>COUNTIF(Fairteiler!$D:$D,$B832)*1/2</f>
        <v>0</v>
      </c>
      <c r="L832">
        <f>COUNTIF('NP-Betrieb'!D:D,$B832)*1/3</f>
        <v>0</v>
      </c>
      <c r="M832">
        <f>COUNTIF(Fairteilungen!$D:$D,$B832)*3/4</f>
        <v>0</v>
      </c>
      <c r="N832">
        <f>COUNTIF(Anlieferung!D:D,$B832)*1/2</f>
        <v>0</v>
      </c>
      <c r="O832">
        <f>COUNTIF(Probeabholungen!B:B,$B832)*1/3</f>
        <v>0</v>
      </c>
    </row>
    <row r="833" spans="1:15" ht="27.6">
      <c r="A833" s="8" t="s">
        <v>803</v>
      </c>
      <c r="B833" s="8">
        <v>589162</v>
      </c>
      <c r="D833" s="29"/>
      <c r="E833" s="1">
        <v>0</v>
      </c>
      <c r="F833" s="8">
        <v>6</v>
      </c>
      <c r="G833" s="30">
        <f t="shared" si="39"/>
        <v>6</v>
      </c>
      <c r="H833" s="8">
        <f t="shared" si="41"/>
        <v>0</v>
      </c>
      <c r="I833">
        <f t="shared" si="40"/>
        <v>0</v>
      </c>
      <c r="J833">
        <f>SUMIF(Oeffentlichkeitsarbeit!$D:$D,$B833,Oeffentlichkeitsarbeit!$F:$F)</f>
        <v>0</v>
      </c>
      <c r="K833">
        <f>COUNTIF(Fairteiler!$D:$D,$B833)*1/2</f>
        <v>0</v>
      </c>
      <c r="L833">
        <f>COUNTIF('NP-Betrieb'!D:D,$B833)*1/3</f>
        <v>0</v>
      </c>
      <c r="M833">
        <f>COUNTIF(Fairteilungen!$D:$D,$B833)*3/4</f>
        <v>0</v>
      </c>
      <c r="N833">
        <f>COUNTIF(Anlieferung!D:D,$B833)*1/2</f>
        <v>0</v>
      </c>
      <c r="O833">
        <f>COUNTIF(Probeabholungen!B:B,$B833)*1/3</f>
        <v>0</v>
      </c>
    </row>
    <row r="834" spans="1:15" ht="27.6">
      <c r="A834" s="8" t="s">
        <v>804</v>
      </c>
      <c r="B834" s="8">
        <v>578786</v>
      </c>
      <c r="D834" s="29"/>
      <c r="E834" s="1">
        <v>7</v>
      </c>
      <c r="F834" s="8">
        <v>6</v>
      </c>
      <c r="G834" s="30">
        <f t="shared" ref="G834:G860" si="42">F834-H834</f>
        <v>13</v>
      </c>
      <c r="H834" s="8">
        <f t="shared" si="41"/>
        <v>-7</v>
      </c>
      <c r="I834">
        <f t="shared" ref="I834:I860" si="43">SUM(J834:O834)</f>
        <v>0</v>
      </c>
      <c r="J834">
        <f>SUMIF(Oeffentlichkeitsarbeit!$D:$D,$B834,Oeffentlichkeitsarbeit!$F:$F)</f>
        <v>0</v>
      </c>
      <c r="K834">
        <f>COUNTIF(Fairteiler!$D:$D,$B834)*1/2</f>
        <v>0</v>
      </c>
      <c r="L834">
        <f>COUNTIF('NP-Betrieb'!D:D,$B834)*1/3</f>
        <v>0</v>
      </c>
      <c r="M834">
        <f>COUNTIF(Fairteilungen!$D:$D,$B834)*3/4</f>
        <v>0</v>
      </c>
      <c r="N834">
        <f>COUNTIF(Anlieferung!D:D,$B834)*1/2</f>
        <v>0</v>
      </c>
      <c r="O834">
        <f>COUNTIF(Probeabholungen!B:B,$B834)*1/3</f>
        <v>0</v>
      </c>
    </row>
    <row r="835" spans="1:15">
      <c r="A835" s="15" t="s">
        <v>805</v>
      </c>
      <c r="B835" s="15">
        <v>886392</v>
      </c>
      <c r="C835" s="36" t="s">
        <v>880</v>
      </c>
      <c r="D835" s="47">
        <v>45631</v>
      </c>
      <c r="E835" s="1">
        <v>0</v>
      </c>
      <c r="F835" s="15">
        <v>3</v>
      </c>
      <c r="G835" s="35">
        <f t="shared" si="42"/>
        <v>0.66666666666666652</v>
      </c>
      <c r="H835" s="15">
        <f t="shared" si="41"/>
        <v>2.3333333333333335</v>
      </c>
      <c r="I835" s="36">
        <f t="shared" si="43"/>
        <v>2.3333333333333335</v>
      </c>
      <c r="J835" s="36">
        <f>SUMIF(Oeffentlichkeitsarbeit!$D:$D,$B835,Oeffentlichkeitsarbeit!$F:$F)</f>
        <v>0</v>
      </c>
      <c r="K835" s="36">
        <f>COUNTIF(Fairteiler!$D:$D,$B835)*1/2</f>
        <v>0</v>
      </c>
      <c r="L835" s="36">
        <f>COUNTIF('NP-Betrieb'!D:D,$B835)*1/3</f>
        <v>2.3333333333333335</v>
      </c>
      <c r="M835" s="36">
        <f>COUNTIF(Fairteilungen!$D:$D,$B835)*3/4</f>
        <v>0</v>
      </c>
      <c r="N835" s="36">
        <f>COUNTIF(Anlieferung!D:D,$B835)*1/2</f>
        <v>0</v>
      </c>
      <c r="O835" s="36">
        <f>COUNTIF(Probeabholungen!B:B,$B835)*1/3</f>
        <v>0</v>
      </c>
    </row>
    <row r="836" spans="1:15">
      <c r="A836" t="s">
        <v>806</v>
      </c>
      <c r="B836">
        <v>829985</v>
      </c>
      <c r="D836" s="24">
        <v>45427</v>
      </c>
      <c r="E836" s="1">
        <v>0</v>
      </c>
      <c r="F836" s="8">
        <v>6</v>
      </c>
      <c r="G836" s="30">
        <f t="shared" si="42"/>
        <v>2.3333333333333335</v>
      </c>
      <c r="H836" s="8">
        <f t="shared" si="41"/>
        <v>3.6666666666666665</v>
      </c>
      <c r="I836">
        <f t="shared" si="43"/>
        <v>3.6666666666666665</v>
      </c>
      <c r="J836">
        <f>SUMIF(Oeffentlichkeitsarbeit!$D:$D,$B836,Oeffentlichkeitsarbeit!$F:$F)</f>
        <v>0</v>
      </c>
      <c r="K836">
        <f>COUNTIF(Fairteiler!$D:$D,$B836)*1/2</f>
        <v>0</v>
      </c>
      <c r="L836">
        <f>COUNTIF('NP-Betrieb'!D:D,$B836)*1/3</f>
        <v>3.6666666666666665</v>
      </c>
      <c r="M836">
        <f>COUNTIF(Fairteilungen!$D:$D,$B836)*3/4</f>
        <v>0</v>
      </c>
      <c r="N836">
        <f>COUNTIF(Anlieferung!D:D,$B836)*1/2</f>
        <v>0</v>
      </c>
      <c r="O836">
        <f>COUNTIF(Probeabholungen!B:B,$B836)*1/3</f>
        <v>0</v>
      </c>
    </row>
    <row r="837" spans="1:15" ht="27.6">
      <c r="A837" s="8" t="s">
        <v>807</v>
      </c>
      <c r="B837" s="8">
        <v>521500</v>
      </c>
      <c r="D837" s="29"/>
      <c r="E837" s="1">
        <v>15.34</v>
      </c>
      <c r="F837" s="8">
        <v>6</v>
      </c>
      <c r="G837" s="30">
        <f t="shared" si="42"/>
        <v>21.34</v>
      </c>
      <c r="H837" s="8">
        <f t="shared" si="41"/>
        <v>-15.34</v>
      </c>
      <c r="I837">
        <f t="shared" si="43"/>
        <v>0</v>
      </c>
      <c r="J837">
        <f>SUMIF(Oeffentlichkeitsarbeit!$D:$D,$B837,Oeffentlichkeitsarbeit!$F:$F)</f>
        <v>0</v>
      </c>
      <c r="K837">
        <f>COUNTIF(Fairteiler!$D:$D,$B837)*1/2</f>
        <v>0</v>
      </c>
      <c r="L837">
        <f>COUNTIF('NP-Betrieb'!D:D,$B837)*1/3</f>
        <v>0</v>
      </c>
      <c r="M837">
        <f>COUNTIF(Fairteilungen!$D:$D,$B837)*3/4</f>
        <v>0</v>
      </c>
      <c r="N837">
        <f>COUNTIF(Anlieferung!D:D,$B837)*1/2</f>
        <v>0</v>
      </c>
      <c r="O837">
        <f>COUNTIF(Probeabholungen!B:B,$B837)*1/3</f>
        <v>0</v>
      </c>
    </row>
    <row r="838" spans="1:15" ht="41.4">
      <c r="A838" s="8" t="s">
        <v>881</v>
      </c>
      <c r="B838" s="8">
        <v>1003583</v>
      </c>
      <c r="D838" s="29">
        <v>46118</v>
      </c>
      <c r="E838" s="1">
        <v>0</v>
      </c>
      <c r="F838" s="8">
        <v>4.5</v>
      </c>
      <c r="G838" s="30">
        <f t="shared" si="42"/>
        <v>-0.83333333333333304</v>
      </c>
      <c r="H838" s="8">
        <f t="shared" si="41"/>
        <v>5.333333333333333</v>
      </c>
      <c r="I838">
        <f t="shared" si="43"/>
        <v>5.333333333333333</v>
      </c>
      <c r="J838">
        <f>SUMIF(Oeffentlichkeitsarbeit!$D:$D,$B838,Oeffentlichkeitsarbeit!$F:$F)</f>
        <v>0</v>
      </c>
      <c r="K838">
        <f>COUNTIF(Fairteiler!$D:$D,$B838)*1/2</f>
        <v>0</v>
      </c>
      <c r="L838">
        <f>COUNTIF('NP-Betrieb'!D:D,$B838)*1/3</f>
        <v>5.333333333333333</v>
      </c>
      <c r="M838">
        <f>COUNTIF(Fairteilungen!$D:$D,$B838)*3/4</f>
        <v>0</v>
      </c>
      <c r="N838">
        <f>COUNTIF(Anlieferung!D:D,$B838)*1/2</f>
        <v>0</v>
      </c>
      <c r="O838">
        <f>COUNTIF(Probeabholungen!B:B,$B838)*1/3</f>
        <v>0</v>
      </c>
    </row>
    <row r="839" spans="1:15" ht="41.4">
      <c r="A839" s="8" t="s">
        <v>808</v>
      </c>
      <c r="B839" s="8">
        <v>103267</v>
      </c>
      <c r="D839" s="29"/>
      <c r="E839" s="1">
        <v>4.8333333333333304</v>
      </c>
      <c r="F839" s="8">
        <v>6</v>
      </c>
      <c r="G839" s="30">
        <f t="shared" si="42"/>
        <v>10.83333333333333</v>
      </c>
      <c r="H839" s="8">
        <f t="shared" si="41"/>
        <v>-4.8333333333333304</v>
      </c>
      <c r="I839">
        <f t="shared" si="43"/>
        <v>0</v>
      </c>
      <c r="J839">
        <f>SUMIF(Oeffentlichkeitsarbeit!$D:$D,$B839,Oeffentlichkeitsarbeit!$F:$F)</f>
        <v>0</v>
      </c>
      <c r="K839">
        <f>COUNTIF(Fairteiler!$D:$D,$B839)*1/2</f>
        <v>0</v>
      </c>
      <c r="L839">
        <f>COUNTIF('NP-Betrieb'!D:D,$B839)*1/3</f>
        <v>0</v>
      </c>
      <c r="M839">
        <f>COUNTIF(Fairteilungen!$D:$D,$B839)*3/4</f>
        <v>0</v>
      </c>
      <c r="N839">
        <f>COUNTIF(Anlieferung!D:D,$B839)*1/2</f>
        <v>0</v>
      </c>
      <c r="O839">
        <f>COUNTIF(Probeabholungen!B:B,$B839)*1/3</f>
        <v>0</v>
      </c>
    </row>
    <row r="840" spans="1:15" ht="27.6">
      <c r="A840" s="23" t="s">
        <v>809</v>
      </c>
      <c r="B840" s="23">
        <v>123129</v>
      </c>
      <c r="C840" s="16" t="s">
        <v>831</v>
      </c>
      <c r="D840" s="48"/>
      <c r="E840" s="1">
        <v>0</v>
      </c>
      <c r="F840" s="23">
        <v>0</v>
      </c>
      <c r="G840" s="49">
        <f t="shared" si="42"/>
        <v>-0.33333333333333331</v>
      </c>
      <c r="H840" s="23">
        <f t="shared" si="41"/>
        <v>0.33333333333333331</v>
      </c>
      <c r="I840" s="22">
        <f t="shared" si="43"/>
        <v>0.33333333333333331</v>
      </c>
      <c r="J840" s="22">
        <f>SUMIF(Oeffentlichkeitsarbeit!$D:$D,$B840,Oeffentlichkeitsarbeit!$F:$F)</f>
        <v>0</v>
      </c>
      <c r="K840" s="22">
        <f>COUNTIF(Fairteiler!$D:$D,$B840)*1/2</f>
        <v>0</v>
      </c>
      <c r="L840" s="22">
        <f>COUNTIF('NP-Betrieb'!D:D,$B840)*1/3</f>
        <v>0.33333333333333331</v>
      </c>
      <c r="M840" s="22">
        <f>COUNTIF(Fairteilungen!$D:$D,$B840)*3/4</f>
        <v>0</v>
      </c>
      <c r="N840" s="22">
        <f>COUNTIF(Anlieferung!D:D,$B840)*1/2</f>
        <v>0</v>
      </c>
      <c r="O840" s="22">
        <f>COUNTIF(Probeabholungen!B:B,$B840)*1/3</f>
        <v>0</v>
      </c>
    </row>
    <row r="841" spans="1:15" ht="27.6">
      <c r="A841" s="15" t="s">
        <v>810</v>
      </c>
      <c r="B841" s="15">
        <v>578846</v>
      </c>
      <c r="C841" s="15" t="s">
        <v>833</v>
      </c>
      <c r="D841" s="29"/>
      <c r="E841" s="1">
        <v>0</v>
      </c>
      <c r="F841" s="15">
        <v>0</v>
      </c>
      <c r="G841" s="30">
        <f t="shared" si="42"/>
        <v>-3</v>
      </c>
      <c r="H841" s="15">
        <f t="shared" si="41"/>
        <v>3</v>
      </c>
      <c r="I841">
        <f t="shared" si="43"/>
        <v>3</v>
      </c>
      <c r="J841">
        <f>SUMIF(Oeffentlichkeitsarbeit!$D:$D,$B841,Oeffentlichkeitsarbeit!$F:$F)</f>
        <v>0</v>
      </c>
      <c r="K841">
        <f>COUNTIF(Fairteiler!$D:$D,$B841)*1/2</f>
        <v>0</v>
      </c>
      <c r="L841">
        <f>COUNTIF('NP-Betrieb'!D:D,$B841)*1/3</f>
        <v>3</v>
      </c>
      <c r="M841">
        <f>COUNTIF(Fairteilungen!$D:$D,$B841)*3/4</f>
        <v>0</v>
      </c>
      <c r="N841">
        <f>COUNTIF(Anlieferung!D:D,$B841)*1/2</f>
        <v>0</v>
      </c>
      <c r="O841">
        <f>COUNTIF(Probeabholungen!B:B,$B841)*1/3</f>
        <v>0</v>
      </c>
    </row>
    <row r="842" spans="1:15" ht="27.6">
      <c r="A842" s="8" t="s">
        <v>811</v>
      </c>
      <c r="B842" s="8">
        <v>151334</v>
      </c>
      <c r="D842" s="29">
        <v>45277</v>
      </c>
      <c r="E842" s="1">
        <v>10.3333333333333</v>
      </c>
      <c r="F842" s="8">
        <v>6</v>
      </c>
      <c r="G842" s="30">
        <f t="shared" si="42"/>
        <v>16.3333333333333</v>
      </c>
      <c r="H842" s="8">
        <f t="shared" si="41"/>
        <v>-10.3333333333333</v>
      </c>
      <c r="I842">
        <f t="shared" si="43"/>
        <v>0</v>
      </c>
      <c r="J842">
        <f>SUMIF(Oeffentlichkeitsarbeit!$D:$D,$B842,Oeffentlichkeitsarbeit!$F:$F)</f>
        <v>0</v>
      </c>
      <c r="K842">
        <f>COUNTIF(Fairteiler!$D:$D,$B842)*1/2</f>
        <v>0</v>
      </c>
      <c r="L842">
        <f>COUNTIF('NP-Betrieb'!D:D,$B842)*1/3</f>
        <v>0</v>
      </c>
      <c r="M842">
        <f>COUNTIF(Fairteilungen!$D:$D,$B842)*3/4</f>
        <v>0</v>
      </c>
      <c r="N842">
        <f>COUNTIF(Anlieferung!D:D,$B842)*1/2</f>
        <v>0</v>
      </c>
      <c r="O842">
        <f>COUNTIF(Probeabholungen!B:B,$B842)*1/3</f>
        <v>0</v>
      </c>
    </row>
    <row r="843" spans="1:15" ht="27.6">
      <c r="A843" s="8" t="s">
        <v>812</v>
      </c>
      <c r="B843" s="8">
        <v>664967</v>
      </c>
      <c r="D843" s="29"/>
      <c r="E843" s="1">
        <v>0</v>
      </c>
      <c r="F843" s="8">
        <v>6</v>
      </c>
      <c r="G843" s="30">
        <f t="shared" si="42"/>
        <v>2.5</v>
      </c>
      <c r="H843" s="8">
        <f t="shared" si="41"/>
        <v>3.5</v>
      </c>
      <c r="I843">
        <f t="shared" si="43"/>
        <v>3.5</v>
      </c>
      <c r="J843">
        <f>SUMIF(Oeffentlichkeitsarbeit!$D:$D,$B843,Oeffentlichkeitsarbeit!$F:$F)</f>
        <v>0.5</v>
      </c>
      <c r="K843">
        <f>COUNTIF(Fairteiler!$D:$D,$B843)*1/2</f>
        <v>0</v>
      </c>
      <c r="L843">
        <f>COUNTIF('NP-Betrieb'!D:D,$B843)*1/3</f>
        <v>3</v>
      </c>
      <c r="M843">
        <f>COUNTIF(Fairteilungen!$D:$D,$B843)*3/4</f>
        <v>0</v>
      </c>
      <c r="N843">
        <f>COUNTIF(Anlieferung!D:D,$B843)*1/2</f>
        <v>0</v>
      </c>
      <c r="O843">
        <f>COUNTIF(Probeabholungen!B:B,$B843)*1/3</f>
        <v>0</v>
      </c>
    </row>
    <row r="844" spans="1:15" ht="27.6">
      <c r="A844" s="8" t="s">
        <v>813</v>
      </c>
      <c r="B844" s="8">
        <v>809076</v>
      </c>
      <c r="C844" t="s">
        <v>882</v>
      </c>
      <c r="D844" s="29"/>
      <c r="E844" s="1">
        <v>0</v>
      </c>
      <c r="F844" s="8">
        <v>3</v>
      </c>
      <c r="G844" s="30">
        <f t="shared" si="42"/>
        <v>-1.333333333333333</v>
      </c>
      <c r="H844" s="8">
        <f t="shared" si="41"/>
        <v>4.333333333333333</v>
      </c>
      <c r="I844">
        <f t="shared" si="43"/>
        <v>4.333333333333333</v>
      </c>
      <c r="J844">
        <f>SUMIF(Oeffentlichkeitsarbeit!$D:$D,$B844,Oeffentlichkeitsarbeit!$F:$F)</f>
        <v>0</v>
      </c>
      <c r="K844">
        <f>COUNTIF(Fairteiler!$D:$D,$B844)*1/2</f>
        <v>0</v>
      </c>
      <c r="L844">
        <f>COUNTIF('NP-Betrieb'!D:D,$B844)*1/3</f>
        <v>4.333333333333333</v>
      </c>
      <c r="M844">
        <f>COUNTIF(Fairteilungen!$D:$D,$B844)*3/4</f>
        <v>0</v>
      </c>
      <c r="N844">
        <f>COUNTIF(Anlieferung!D:D,$B844)*1/2</f>
        <v>0</v>
      </c>
      <c r="O844">
        <f>COUNTIF(Probeabholungen!B:B,$B844)*1/3</f>
        <v>0</v>
      </c>
    </row>
    <row r="845" spans="1:15">
      <c r="A845" s="8" t="s">
        <v>814</v>
      </c>
      <c r="B845" s="8">
        <v>770905</v>
      </c>
      <c r="D845" s="29"/>
      <c r="E845" s="1">
        <v>15.6666666666667</v>
      </c>
      <c r="F845" s="8">
        <v>6</v>
      </c>
      <c r="G845" s="30">
        <f t="shared" si="42"/>
        <v>21.6666666666667</v>
      </c>
      <c r="H845" s="8">
        <f t="shared" si="41"/>
        <v>-15.6666666666667</v>
      </c>
      <c r="I845">
        <f t="shared" si="43"/>
        <v>0</v>
      </c>
      <c r="J845">
        <f>SUMIF(Oeffentlichkeitsarbeit!$D:$D,$B845,Oeffentlichkeitsarbeit!$F:$F)</f>
        <v>0</v>
      </c>
      <c r="K845">
        <f>COUNTIF(Fairteiler!$D:$D,$B845)*1/2</f>
        <v>0</v>
      </c>
      <c r="L845">
        <f>COUNTIF('NP-Betrieb'!D:D,$B845)*1/3</f>
        <v>0</v>
      </c>
      <c r="M845">
        <f>COUNTIF(Fairteilungen!$D:$D,$B845)*3/4</f>
        <v>0</v>
      </c>
      <c r="N845">
        <f>COUNTIF(Anlieferung!D:D,$B845)*1/2</f>
        <v>0</v>
      </c>
      <c r="O845">
        <f>COUNTIF(Probeabholungen!B:B,$B845)*1/3</f>
        <v>0</v>
      </c>
    </row>
    <row r="846" spans="1:15" ht="41.4">
      <c r="A846" s="8" t="s">
        <v>815</v>
      </c>
      <c r="B846" s="8">
        <v>192432</v>
      </c>
      <c r="C846" s="8"/>
      <c r="D846" s="29"/>
      <c r="E846" s="1">
        <v>0</v>
      </c>
      <c r="F846" s="8">
        <v>6</v>
      </c>
      <c r="G846" s="30">
        <f t="shared" si="42"/>
        <v>1.666666666666667</v>
      </c>
      <c r="H846" s="8">
        <f t="shared" si="41"/>
        <v>4.333333333333333</v>
      </c>
      <c r="I846" s="38">
        <f t="shared" si="43"/>
        <v>4.333333333333333</v>
      </c>
      <c r="J846" s="38">
        <f>SUMIF(Oeffentlichkeitsarbeit!$D:$D,$B846,Oeffentlichkeitsarbeit!$F:$F)</f>
        <v>0</v>
      </c>
      <c r="K846" s="38">
        <f>COUNTIF(Fairteiler!$D:$D,$B846)*1/2</f>
        <v>4</v>
      </c>
      <c r="L846" s="38">
        <f>COUNTIF('NP-Betrieb'!D:D,$B846)*1/3</f>
        <v>0.33333333333333331</v>
      </c>
      <c r="M846" s="38">
        <f>COUNTIF(Fairteilungen!$D:$D,$B846)*3/4</f>
        <v>0</v>
      </c>
      <c r="N846" s="38">
        <f>COUNTIF(Anlieferung!D:D,$B846)*1/2</f>
        <v>0</v>
      </c>
      <c r="O846" s="38">
        <f>COUNTIF(Probeabholungen!B:B,$B846)*1/3</f>
        <v>0</v>
      </c>
    </row>
    <row r="847" spans="1:15">
      <c r="A847" s="8" t="s">
        <v>816</v>
      </c>
      <c r="B847" s="8">
        <v>472098</v>
      </c>
      <c r="D847" s="29"/>
      <c r="E847" s="1">
        <v>15.34</v>
      </c>
      <c r="F847" s="8">
        <v>6</v>
      </c>
      <c r="G847" s="30">
        <f t="shared" si="42"/>
        <v>21.34</v>
      </c>
      <c r="H847" s="8">
        <f t="shared" si="41"/>
        <v>-15.34</v>
      </c>
      <c r="I847">
        <f t="shared" si="43"/>
        <v>0</v>
      </c>
      <c r="J847">
        <f>SUMIF(Oeffentlichkeitsarbeit!$D:$D,$B847,Oeffentlichkeitsarbeit!$F:$F)</f>
        <v>0</v>
      </c>
      <c r="K847">
        <f>COUNTIF(Fairteiler!$D:$D,$B847)*1/2</f>
        <v>0</v>
      </c>
      <c r="L847">
        <f>COUNTIF('NP-Betrieb'!D:D,$B847)*1/3</f>
        <v>0</v>
      </c>
      <c r="M847">
        <f>COUNTIF(Fairteilungen!$D:$D,$B847)*3/4</f>
        <v>0</v>
      </c>
      <c r="N847">
        <f>COUNTIF(Anlieferung!D:D,$B847)*1/2</f>
        <v>0</v>
      </c>
      <c r="O847">
        <f>COUNTIF(Probeabholungen!B:B,$B847)*1/3</f>
        <v>0</v>
      </c>
    </row>
    <row r="848" spans="1:15" ht="27.6">
      <c r="A848" s="8" t="s">
        <v>817</v>
      </c>
      <c r="B848" s="8">
        <v>206057</v>
      </c>
      <c r="D848" s="29">
        <v>45308</v>
      </c>
      <c r="E848" s="1">
        <v>8.3333333333333393</v>
      </c>
      <c r="F848" s="8">
        <v>6</v>
      </c>
      <c r="G848" s="30">
        <f t="shared" si="42"/>
        <v>14.333333333333339</v>
      </c>
      <c r="H848" s="8">
        <f t="shared" si="41"/>
        <v>-8.3333333333333393</v>
      </c>
      <c r="I848">
        <f t="shared" si="43"/>
        <v>0</v>
      </c>
      <c r="J848">
        <f>SUMIF(Oeffentlichkeitsarbeit!$D:$D,$B848,Oeffentlichkeitsarbeit!$F:$F)</f>
        <v>0</v>
      </c>
      <c r="K848">
        <f>COUNTIF(Fairteiler!$D:$D,$B848)*1/2</f>
        <v>0</v>
      </c>
      <c r="L848">
        <f>COUNTIF('NP-Betrieb'!D:D,$B848)*1/3</f>
        <v>0</v>
      </c>
      <c r="M848">
        <f>COUNTIF(Fairteilungen!$D:$D,$B848)*3/4</f>
        <v>0</v>
      </c>
      <c r="N848">
        <f>COUNTIF(Anlieferung!D:D,$B848)*1/2</f>
        <v>0</v>
      </c>
      <c r="O848">
        <f>COUNTIF(Probeabholungen!B:B,$B848)*1/3</f>
        <v>0</v>
      </c>
    </row>
    <row r="849" spans="1:15" ht="27.6">
      <c r="A849" s="16" t="s">
        <v>818</v>
      </c>
      <c r="B849" s="16">
        <v>746046</v>
      </c>
      <c r="C849" s="31" t="s">
        <v>852</v>
      </c>
      <c r="D849" s="32">
        <v>45061</v>
      </c>
      <c r="E849" s="1">
        <v>0</v>
      </c>
      <c r="F849" s="16">
        <v>0</v>
      </c>
      <c r="G849" s="33">
        <f t="shared" si="42"/>
        <v>-1</v>
      </c>
      <c r="H849" s="16">
        <f t="shared" si="41"/>
        <v>1</v>
      </c>
      <c r="I849" s="31">
        <f t="shared" si="43"/>
        <v>1</v>
      </c>
      <c r="J849" s="31">
        <f>SUMIF(Oeffentlichkeitsarbeit!$D:$D,$B849,Oeffentlichkeitsarbeit!$F:$F)</f>
        <v>0</v>
      </c>
      <c r="K849" s="31">
        <f>COUNTIF(Fairteiler!$D:$D,$B849)*1/2</f>
        <v>0</v>
      </c>
      <c r="L849" s="31">
        <f>COUNTIF('NP-Betrieb'!D:D,$B849)*1/3</f>
        <v>1</v>
      </c>
      <c r="M849" s="31">
        <f>COUNTIF(Fairteilungen!$D:$D,$B849)*3/4</f>
        <v>0</v>
      </c>
      <c r="N849" s="31">
        <f>COUNTIF(Anlieferung!D:D,$B849)*1/2</f>
        <v>0</v>
      </c>
      <c r="O849" s="31">
        <f>COUNTIF(Probeabholungen!B:B,$B849)*1/3</f>
        <v>0</v>
      </c>
    </row>
    <row r="850" spans="1:15">
      <c r="A850" s="82" t="s">
        <v>3604</v>
      </c>
      <c r="B850" s="82">
        <v>885127</v>
      </c>
      <c r="D850" s="24">
        <v>46149</v>
      </c>
      <c r="E850" s="1">
        <v>0</v>
      </c>
      <c r="F850" s="8">
        <v>4</v>
      </c>
      <c r="G850" s="30">
        <f t="shared" si="42"/>
        <v>4</v>
      </c>
      <c r="H850" s="8">
        <f t="shared" si="41"/>
        <v>0</v>
      </c>
      <c r="I850">
        <f t="shared" si="43"/>
        <v>0</v>
      </c>
      <c r="J850">
        <f>SUMIF(Oeffentlichkeitsarbeit!$D:$D,$B850,Oeffentlichkeitsarbeit!$F:$F)</f>
        <v>0</v>
      </c>
      <c r="K850">
        <f>COUNTIF(Fairteiler!$D:$D,$B850)*1/2</f>
        <v>0</v>
      </c>
      <c r="L850">
        <f>COUNTIF('NP-Betrieb'!D:D,$B850)*1/3</f>
        <v>0</v>
      </c>
      <c r="M850">
        <f>COUNTIF(Fairteilungen!$D:$D,$B850)*3/4</f>
        <v>0</v>
      </c>
      <c r="N850">
        <f>COUNTIF(Anlieferung!D:D,$B850)*1/2</f>
        <v>0</v>
      </c>
      <c r="O850">
        <f>COUNTIF(Probeabholungen!B:B,$B850)*1/3</f>
        <v>0</v>
      </c>
    </row>
    <row r="851" spans="1:15">
      <c r="A851" s="82" t="s">
        <v>3605</v>
      </c>
      <c r="B851" s="82">
        <v>982372</v>
      </c>
      <c r="D851" s="24">
        <v>46149</v>
      </c>
      <c r="E851" s="1">
        <v>0</v>
      </c>
      <c r="F851" s="8">
        <v>4</v>
      </c>
      <c r="G851" s="30">
        <f t="shared" si="42"/>
        <v>4</v>
      </c>
      <c r="H851" s="8">
        <f t="shared" si="41"/>
        <v>0</v>
      </c>
      <c r="I851">
        <f t="shared" si="43"/>
        <v>0</v>
      </c>
      <c r="J851">
        <f>SUMIF(Oeffentlichkeitsarbeit!$D:$D,$B851,Oeffentlichkeitsarbeit!$F:$F)</f>
        <v>0</v>
      </c>
      <c r="K851">
        <f>COUNTIF(Fairteiler!$D:$D,$B851)*1/2</f>
        <v>0</v>
      </c>
      <c r="L851">
        <f>COUNTIF('NP-Betrieb'!D:D,$B851)*1/3</f>
        <v>0</v>
      </c>
      <c r="M851">
        <f>COUNTIF(Fairteilungen!$D:$D,$B851)*3/4</f>
        <v>0</v>
      </c>
      <c r="N851">
        <f>COUNTIF(Anlieferung!D:D,$B851)*1/2</f>
        <v>0</v>
      </c>
      <c r="O851">
        <f>COUNTIF(Probeabholungen!B:B,$B851)*1/3</f>
        <v>0</v>
      </c>
    </row>
    <row r="852" spans="1:15">
      <c r="A852" s="82" t="s">
        <v>3606</v>
      </c>
      <c r="B852" s="82">
        <v>965367</v>
      </c>
      <c r="D852" s="24">
        <v>46149</v>
      </c>
      <c r="E852" s="1">
        <v>0</v>
      </c>
      <c r="F852" s="8">
        <v>4</v>
      </c>
      <c r="G852" s="30">
        <f t="shared" si="42"/>
        <v>4</v>
      </c>
      <c r="H852" s="8">
        <f t="shared" si="41"/>
        <v>0</v>
      </c>
      <c r="I852">
        <f t="shared" si="43"/>
        <v>0</v>
      </c>
      <c r="J852">
        <f>SUMIF(Oeffentlichkeitsarbeit!$D:$D,$B852,Oeffentlichkeitsarbeit!$F:$F)</f>
        <v>0</v>
      </c>
      <c r="K852">
        <f>COUNTIF(Fairteiler!$D:$D,$B852)*1/2</f>
        <v>0</v>
      </c>
      <c r="L852">
        <f>COUNTIF('NP-Betrieb'!D:D,$B852)*1/3</f>
        <v>0</v>
      </c>
      <c r="M852">
        <f>COUNTIF(Fairteilungen!$D:$D,$B852)*3/4</f>
        <v>0</v>
      </c>
      <c r="N852">
        <f>COUNTIF(Anlieferung!D:D,$B852)*1/2</f>
        <v>0</v>
      </c>
      <c r="O852">
        <f>COUNTIF(Probeabholungen!B:B,$B852)*1/3</f>
        <v>0</v>
      </c>
    </row>
    <row r="853" spans="1:15">
      <c r="A853" s="82" t="s">
        <v>3607</v>
      </c>
      <c r="B853" s="82">
        <v>956904</v>
      </c>
      <c r="D853" s="24">
        <v>46149</v>
      </c>
      <c r="E853" s="1">
        <v>0</v>
      </c>
      <c r="F853" s="8">
        <v>4</v>
      </c>
      <c r="G853" s="30">
        <f t="shared" si="42"/>
        <v>4</v>
      </c>
      <c r="H853" s="8">
        <f t="shared" si="41"/>
        <v>0</v>
      </c>
      <c r="I853">
        <f t="shared" si="43"/>
        <v>0</v>
      </c>
      <c r="J853">
        <f>SUMIF(Oeffentlichkeitsarbeit!$D:$D,$B853,Oeffentlichkeitsarbeit!$F:$F)</f>
        <v>0</v>
      </c>
      <c r="K853">
        <f>COUNTIF(Fairteiler!$D:$D,$B853)*1/2</f>
        <v>0</v>
      </c>
      <c r="L853">
        <f>COUNTIF('NP-Betrieb'!D:D,$B853)*1/3</f>
        <v>0</v>
      </c>
      <c r="M853">
        <f>COUNTIF(Fairteilungen!$D:$D,$B853)*3/4</f>
        <v>0</v>
      </c>
      <c r="N853">
        <f>COUNTIF(Anlieferung!D:D,$B853)*1/2</f>
        <v>0</v>
      </c>
      <c r="O853">
        <f>COUNTIF(Probeabholungen!B:B,$B853)*1/3</f>
        <v>0</v>
      </c>
    </row>
    <row r="854" spans="1:15">
      <c r="A854" s="82" t="s">
        <v>3608</v>
      </c>
      <c r="B854" s="82">
        <v>1002593</v>
      </c>
      <c r="D854" s="24">
        <v>46149</v>
      </c>
      <c r="E854" s="1">
        <v>0</v>
      </c>
      <c r="F854" s="8">
        <v>4</v>
      </c>
      <c r="G854" s="30">
        <f t="shared" si="42"/>
        <v>4</v>
      </c>
      <c r="H854" s="8">
        <f t="shared" si="41"/>
        <v>0</v>
      </c>
      <c r="I854">
        <f t="shared" si="43"/>
        <v>0</v>
      </c>
      <c r="J854">
        <f>SUMIF(Oeffentlichkeitsarbeit!$D:$D,$B854,Oeffentlichkeitsarbeit!$F:$F)</f>
        <v>0</v>
      </c>
      <c r="K854">
        <f>COUNTIF(Fairteiler!$D:$D,$B854)*1/2</f>
        <v>0</v>
      </c>
      <c r="L854">
        <f>COUNTIF('NP-Betrieb'!D:D,$B854)*1/3</f>
        <v>0</v>
      </c>
      <c r="M854">
        <f>COUNTIF(Fairteilungen!$D:$D,$B854)*3/4</f>
        <v>0</v>
      </c>
      <c r="N854">
        <f>COUNTIF(Anlieferung!D:D,$B854)*1/2</f>
        <v>0</v>
      </c>
      <c r="O854">
        <f>COUNTIF(Probeabholungen!B:B,$B854)*1/3</f>
        <v>0</v>
      </c>
    </row>
    <row r="855" spans="1:15">
      <c r="A855" s="82" t="s">
        <v>3609</v>
      </c>
      <c r="B855" s="82">
        <v>1006555</v>
      </c>
      <c r="D855" s="24">
        <v>46149</v>
      </c>
      <c r="E855" s="1">
        <v>0</v>
      </c>
      <c r="F855" s="8">
        <v>4</v>
      </c>
      <c r="G855" s="30">
        <f t="shared" si="42"/>
        <v>4</v>
      </c>
      <c r="H855" s="8">
        <f t="shared" si="41"/>
        <v>0</v>
      </c>
      <c r="I855">
        <f t="shared" si="43"/>
        <v>0</v>
      </c>
      <c r="J855">
        <f>SUMIF(Oeffentlichkeitsarbeit!$D:$D,$B855,Oeffentlichkeitsarbeit!$F:$F)</f>
        <v>0</v>
      </c>
      <c r="K855">
        <f>COUNTIF(Fairteiler!$D:$D,$B855)*1/2</f>
        <v>0</v>
      </c>
      <c r="L855">
        <f>COUNTIF('NP-Betrieb'!D:D,$B855)*1/3</f>
        <v>0</v>
      </c>
      <c r="M855">
        <f>COUNTIF(Fairteilungen!$D:$D,$B855)*3/4</f>
        <v>0</v>
      </c>
      <c r="N855">
        <f>COUNTIF(Anlieferung!D:D,$B855)*1/2</f>
        <v>0</v>
      </c>
      <c r="O855">
        <f>COUNTIF(Probeabholungen!B:B,$B855)*1/3</f>
        <v>0</v>
      </c>
    </row>
    <row r="856" spans="1:15">
      <c r="A856" s="82" t="s">
        <v>3610</v>
      </c>
      <c r="B856" s="82">
        <v>667405</v>
      </c>
      <c r="D856" s="24">
        <v>46149</v>
      </c>
      <c r="E856" s="1">
        <v>0</v>
      </c>
      <c r="F856" s="8">
        <v>4</v>
      </c>
      <c r="G856" s="30">
        <f t="shared" si="42"/>
        <v>4</v>
      </c>
      <c r="H856" s="8">
        <f t="shared" si="41"/>
        <v>0</v>
      </c>
      <c r="I856">
        <f t="shared" si="43"/>
        <v>0</v>
      </c>
      <c r="J856">
        <f>SUMIF(Oeffentlichkeitsarbeit!$D:$D,$B856,Oeffentlichkeitsarbeit!$F:$F)</f>
        <v>0</v>
      </c>
      <c r="K856">
        <f>COUNTIF(Fairteiler!$D:$D,$B856)*1/2</f>
        <v>0</v>
      </c>
      <c r="L856">
        <f>COUNTIF('NP-Betrieb'!D:D,$B856)*1/3</f>
        <v>0</v>
      </c>
      <c r="M856">
        <f>COUNTIF(Fairteilungen!$D:$D,$B856)*3/4</f>
        <v>0</v>
      </c>
      <c r="N856">
        <f>COUNTIF(Anlieferung!D:D,$B856)*1/2</f>
        <v>0</v>
      </c>
      <c r="O856">
        <f>COUNTIF(Probeabholungen!B:B,$B856)*1/3</f>
        <v>0</v>
      </c>
    </row>
    <row r="857" spans="1:15">
      <c r="A857" s="82" t="s">
        <v>3611</v>
      </c>
      <c r="B857" s="82">
        <v>283179</v>
      </c>
      <c r="D857" s="24">
        <v>46149</v>
      </c>
      <c r="E857" s="1">
        <v>0</v>
      </c>
      <c r="F857" s="8">
        <v>4</v>
      </c>
      <c r="G857" s="30">
        <f t="shared" si="42"/>
        <v>4</v>
      </c>
      <c r="H857" s="8">
        <f t="shared" si="41"/>
        <v>0</v>
      </c>
      <c r="I857">
        <f t="shared" si="43"/>
        <v>0</v>
      </c>
      <c r="J857">
        <f>SUMIF(Oeffentlichkeitsarbeit!$D:$D,$B857,Oeffentlichkeitsarbeit!$F:$F)</f>
        <v>0</v>
      </c>
      <c r="K857">
        <f>COUNTIF(Fairteiler!$D:$D,$B857)*1/2</f>
        <v>0</v>
      </c>
      <c r="L857">
        <f>COUNTIF('NP-Betrieb'!D:D,$B857)*1/3</f>
        <v>0</v>
      </c>
      <c r="M857">
        <f>COUNTIF(Fairteilungen!$D:$D,$B857)*3/4</f>
        <v>0</v>
      </c>
      <c r="N857">
        <f>COUNTIF(Anlieferung!D:D,$B857)*1/2</f>
        <v>0</v>
      </c>
      <c r="O857">
        <f>COUNTIF(Probeabholungen!B:B,$B857)*1/3</f>
        <v>0</v>
      </c>
    </row>
    <row r="858" spans="1:15">
      <c r="A858" s="82" t="s">
        <v>3612</v>
      </c>
      <c r="B858" s="82">
        <v>1006627</v>
      </c>
      <c r="D858" s="24">
        <v>46149</v>
      </c>
      <c r="E858" s="1">
        <v>0</v>
      </c>
      <c r="F858" s="8">
        <v>4</v>
      </c>
      <c r="G858" s="30">
        <f t="shared" si="42"/>
        <v>4</v>
      </c>
      <c r="H858" s="8">
        <f t="shared" si="41"/>
        <v>0</v>
      </c>
      <c r="I858">
        <f t="shared" si="43"/>
        <v>0</v>
      </c>
      <c r="J858">
        <f>SUMIF(Oeffentlichkeitsarbeit!$D:$D,$B858,Oeffentlichkeitsarbeit!$F:$F)</f>
        <v>0</v>
      </c>
      <c r="K858">
        <f>COUNTIF(Fairteiler!$D:$D,$B858)*1/2</f>
        <v>0</v>
      </c>
      <c r="L858">
        <f>COUNTIF('NP-Betrieb'!D:D,$B858)*1/3</f>
        <v>0</v>
      </c>
      <c r="M858">
        <f>COUNTIF(Fairteilungen!$D:$D,$B858)*3/4</f>
        <v>0</v>
      </c>
      <c r="N858">
        <f>COUNTIF(Anlieferung!D:D,$B858)*1/2</f>
        <v>0</v>
      </c>
      <c r="O858">
        <f>COUNTIF(Probeabholungen!B:B,$B858)*1/3</f>
        <v>0</v>
      </c>
    </row>
    <row r="859" spans="1:15">
      <c r="A859" s="82" t="s">
        <v>3613</v>
      </c>
      <c r="B859" s="82">
        <v>1015038</v>
      </c>
      <c r="D859" s="24">
        <v>46149</v>
      </c>
      <c r="E859" s="1">
        <v>0</v>
      </c>
      <c r="F859" s="8">
        <v>4</v>
      </c>
      <c r="G859" s="30">
        <f t="shared" si="42"/>
        <v>4</v>
      </c>
      <c r="H859" s="8">
        <f t="shared" si="41"/>
        <v>0</v>
      </c>
      <c r="I859">
        <f t="shared" si="43"/>
        <v>0</v>
      </c>
      <c r="J859">
        <f>SUMIF(Oeffentlichkeitsarbeit!$D:$D,$B859,Oeffentlichkeitsarbeit!$F:$F)</f>
        <v>0</v>
      </c>
      <c r="K859">
        <f>COUNTIF(Fairteiler!$D:$D,$B859)*1/2</f>
        <v>0</v>
      </c>
      <c r="L859">
        <f>COUNTIF('NP-Betrieb'!D:D,$B859)*1/3</f>
        <v>0</v>
      </c>
      <c r="M859">
        <f>COUNTIF(Fairteilungen!$D:$D,$B859)*3/4</f>
        <v>0</v>
      </c>
      <c r="N859">
        <f>COUNTIF(Anlieferung!D:D,$B859)*1/2</f>
        <v>0</v>
      </c>
      <c r="O859">
        <f>COUNTIF(Probeabholungen!B:B,$B859)*1/3</f>
        <v>0</v>
      </c>
    </row>
    <row r="860" spans="1:15">
      <c r="A860" s="82" t="s">
        <v>3614</v>
      </c>
      <c r="B860" s="82">
        <v>995790</v>
      </c>
      <c r="D860" s="24">
        <v>46161</v>
      </c>
      <c r="E860" s="1">
        <v>0</v>
      </c>
      <c r="F860" s="8">
        <v>4</v>
      </c>
      <c r="G860" s="30">
        <f t="shared" si="42"/>
        <v>4</v>
      </c>
      <c r="H860" s="8">
        <f t="shared" ref="H860" si="44">I860-E860</f>
        <v>0</v>
      </c>
      <c r="I860">
        <f t="shared" si="43"/>
        <v>0</v>
      </c>
      <c r="J860">
        <f>SUMIF(Oeffentlichkeitsarbeit!$D:$D,$B860,Oeffentlichkeitsarbeit!$F:$F)</f>
        <v>0</v>
      </c>
      <c r="K860">
        <f>COUNTIF(Fairteiler!$D:$D,$B860)*1/2</f>
        <v>0</v>
      </c>
      <c r="L860">
        <f>COUNTIF('NP-Betrieb'!D:D,$B860)*1/3</f>
        <v>0</v>
      </c>
      <c r="M860">
        <f>COUNTIF(Fairteilungen!$D:$D,$B860)*3/4</f>
        <v>0</v>
      </c>
      <c r="N860">
        <f>COUNTIF(Anlieferung!D:D,$B860)*1/2</f>
        <v>0</v>
      </c>
      <c r="O860">
        <f>COUNTIF(Probeabholungen!B:B,$B860)*1/3</f>
        <v>0</v>
      </c>
    </row>
  </sheetData>
  <autoFilter ref="A1:O813" xr:uid="{00000000-0009-0000-0000-000001000000}">
    <sortState ref="A2:O849">
      <sortCondition ref="A1:A813"/>
    </sortState>
  </autoFilter>
  <pageMargins left="0" right="0" top="1.1583333333333301" bottom="1.1583333333333301" header="0" footer="0"/>
  <pageSetup paperSize="9" orientation="portrait" horizontalDpi="300" verticalDpi="300" r:id="rId1"/>
  <headerFooter>
    <oddHeader>&amp;C&amp;10&amp;A</oddHeader>
    <oddFooter>&amp;C&amp;10Page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7"/>
  <sheetViews>
    <sheetView topLeftCell="A26" zoomScaleNormal="100" workbookViewId="0">
      <selection activeCell="A47" sqref="A47"/>
    </sheetView>
  </sheetViews>
  <sheetFormatPr baseColWidth="10" defaultColWidth="10.8984375" defaultRowHeight="13.8"/>
  <cols>
    <col min="1" max="1" width="26.19921875" customWidth="1"/>
    <col min="5" max="5" width="19.19921875" customWidth="1"/>
    <col min="6" max="6" width="15.19921875" customWidth="1"/>
    <col min="1024" max="1024" width="11" customWidth="1"/>
  </cols>
  <sheetData>
    <row r="1" spans="1:6" s="3" customFormat="1" ht="17.399999999999999">
      <c r="A1" s="3" t="s">
        <v>883</v>
      </c>
      <c r="C1" s="3" t="s">
        <v>884</v>
      </c>
      <c r="D1" s="3" t="s">
        <v>1</v>
      </c>
      <c r="E1" s="3" t="s">
        <v>0</v>
      </c>
      <c r="F1" s="3" t="s">
        <v>885</v>
      </c>
    </row>
    <row r="2" spans="1:6">
      <c r="A2" t="s">
        <v>886</v>
      </c>
      <c r="D2">
        <v>729487</v>
      </c>
      <c r="E2" t="s">
        <v>96</v>
      </c>
      <c r="F2">
        <v>1</v>
      </c>
    </row>
    <row r="3" spans="1:6">
      <c r="A3" t="s">
        <v>886</v>
      </c>
      <c r="D3">
        <v>175002</v>
      </c>
      <c r="E3" t="s">
        <v>197</v>
      </c>
      <c r="F3">
        <v>4</v>
      </c>
    </row>
    <row r="4" spans="1:6">
      <c r="A4" t="s">
        <v>886</v>
      </c>
      <c r="D4">
        <v>646465</v>
      </c>
      <c r="E4" t="s">
        <v>224</v>
      </c>
      <c r="F4">
        <v>3.5</v>
      </c>
    </row>
    <row r="5" spans="1:6">
      <c r="A5" t="s">
        <v>886</v>
      </c>
      <c r="D5">
        <v>600132</v>
      </c>
      <c r="E5" t="s">
        <v>203</v>
      </c>
      <c r="F5">
        <v>4</v>
      </c>
    </row>
    <row r="6" spans="1:6">
      <c r="A6" t="s">
        <v>886</v>
      </c>
      <c r="D6">
        <v>239594</v>
      </c>
      <c r="E6" t="s">
        <v>119</v>
      </c>
      <c r="F6">
        <v>4</v>
      </c>
    </row>
    <row r="7" spans="1:6">
      <c r="A7" t="s">
        <v>886</v>
      </c>
      <c r="D7">
        <v>541315</v>
      </c>
      <c r="E7" t="s">
        <v>374</v>
      </c>
      <c r="F7">
        <v>1.5</v>
      </c>
    </row>
    <row r="8" spans="1:6">
      <c r="A8" t="s">
        <v>886</v>
      </c>
      <c r="D8">
        <v>621484</v>
      </c>
      <c r="E8" t="s">
        <v>354</v>
      </c>
      <c r="F8">
        <v>4</v>
      </c>
    </row>
    <row r="9" spans="1:6">
      <c r="A9" t="s">
        <v>886</v>
      </c>
      <c r="D9">
        <v>75350</v>
      </c>
      <c r="E9" t="s">
        <v>391</v>
      </c>
      <c r="F9">
        <v>5</v>
      </c>
    </row>
    <row r="10" spans="1:6">
      <c r="A10" t="s">
        <v>886</v>
      </c>
      <c r="D10">
        <v>72661</v>
      </c>
      <c r="E10" t="s">
        <v>714</v>
      </c>
      <c r="F10">
        <v>4</v>
      </c>
    </row>
    <row r="11" spans="1:6">
      <c r="A11" t="s">
        <v>886</v>
      </c>
      <c r="D11">
        <v>273277</v>
      </c>
      <c r="E11" t="s">
        <v>350</v>
      </c>
      <c r="F11">
        <v>6</v>
      </c>
    </row>
    <row r="12" spans="1:6">
      <c r="A12" t="s">
        <v>886</v>
      </c>
      <c r="D12">
        <v>689126</v>
      </c>
      <c r="E12" t="s">
        <v>738</v>
      </c>
      <c r="F12">
        <v>0.5</v>
      </c>
    </row>
    <row r="13" spans="1:6">
      <c r="A13" t="s">
        <v>886</v>
      </c>
      <c r="D13">
        <v>682082</v>
      </c>
      <c r="E13" t="s">
        <v>444</v>
      </c>
      <c r="F13">
        <v>0.5</v>
      </c>
    </row>
    <row r="14" spans="1:6">
      <c r="A14" t="s">
        <v>886</v>
      </c>
      <c r="D14">
        <v>664967</v>
      </c>
      <c r="E14" t="s">
        <v>812</v>
      </c>
      <c r="F14">
        <v>0.5</v>
      </c>
    </row>
    <row r="15" spans="1:6">
      <c r="A15" t="s">
        <v>886</v>
      </c>
      <c r="D15">
        <v>302414</v>
      </c>
      <c r="E15" t="s">
        <v>577</v>
      </c>
      <c r="F15">
        <v>0.5</v>
      </c>
    </row>
    <row r="16" spans="1:6">
      <c r="A16" t="s">
        <v>886</v>
      </c>
      <c r="D16">
        <v>182669</v>
      </c>
      <c r="E16" t="s">
        <v>636</v>
      </c>
      <c r="F16">
        <v>5</v>
      </c>
    </row>
    <row r="17" spans="1:6">
      <c r="A17" t="s">
        <v>887</v>
      </c>
      <c r="D17">
        <v>588228</v>
      </c>
      <c r="E17" t="s">
        <v>888</v>
      </c>
      <c r="F17">
        <v>0.66666665999999997</v>
      </c>
    </row>
    <row r="18" spans="1:6">
      <c r="A18" t="s">
        <v>889</v>
      </c>
      <c r="D18" s="50">
        <v>689126</v>
      </c>
      <c r="E18" s="51" t="s">
        <v>738</v>
      </c>
      <c r="F18">
        <v>0.5</v>
      </c>
    </row>
    <row r="19" spans="1:6">
      <c r="A19" t="s">
        <v>889</v>
      </c>
      <c r="D19" s="52">
        <v>821988</v>
      </c>
      <c r="E19" s="51" t="s">
        <v>111</v>
      </c>
      <c r="F19">
        <v>0.5</v>
      </c>
    </row>
    <row r="20" spans="1:6">
      <c r="A20" t="s">
        <v>889</v>
      </c>
      <c r="D20" s="53">
        <v>532833</v>
      </c>
      <c r="E20" s="54" t="s">
        <v>325</v>
      </c>
      <c r="F20">
        <v>0.5</v>
      </c>
    </row>
    <row r="21" spans="1:6">
      <c r="A21" t="s">
        <v>889</v>
      </c>
      <c r="D21" s="53">
        <v>182669</v>
      </c>
      <c r="E21" s="51" t="s">
        <v>636</v>
      </c>
      <c r="F21">
        <v>0.5</v>
      </c>
    </row>
    <row r="22" spans="1:6">
      <c r="A22" t="s">
        <v>889</v>
      </c>
      <c r="D22" s="50">
        <v>806365</v>
      </c>
      <c r="E22" s="51" t="s">
        <v>73</v>
      </c>
      <c r="F22">
        <v>1</v>
      </c>
    </row>
    <row r="23" spans="1:6">
      <c r="A23" t="s">
        <v>889</v>
      </c>
      <c r="D23" s="50">
        <v>693099</v>
      </c>
      <c r="E23" s="51" t="s">
        <v>461</v>
      </c>
      <c r="F23">
        <v>3.5</v>
      </c>
    </row>
    <row r="24" spans="1:6">
      <c r="A24" t="s">
        <v>889</v>
      </c>
      <c r="D24" s="53">
        <v>421212</v>
      </c>
      <c r="E24" s="55" t="s">
        <v>680</v>
      </c>
      <c r="F24">
        <v>3.5</v>
      </c>
    </row>
    <row r="25" spans="1:6">
      <c r="A25" t="s">
        <v>889</v>
      </c>
      <c r="D25" s="53">
        <v>781854</v>
      </c>
      <c r="E25" s="51" t="s">
        <v>405</v>
      </c>
      <c r="F25">
        <v>6</v>
      </c>
    </row>
    <row r="26" spans="1:6">
      <c r="A26" t="s">
        <v>889</v>
      </c>
      <c r="D26" s="53">
        <v>442239</v>
      </c>
      <c r="E26" s="54" t="s">
        <v>456</v>
      </c>
      <c r="F26">
        <v>6</v>
      </c>
    </row>
    <row r="27" spans="1:6">
      <c r="A27" t="s">
        <v>890</v>
      </c>
      <c r="D27">
        <v>729487</v>
      </c>
      <c r="E27" t="s">
        <v>96</v>
      </c>
      <c r="F27">
        <v>0.5</v>
      </c>
    </row>
    <row r="28" spans="1:6">
      <c r="A28" t="s">
        <v>890</v>
      </c>
      <c r="D28" s="53">
        <v>184651</v>
      </c>
      <c r="E28" t="s">
        <v>457</v>
      </c>
      <c r="F28">
        <v>0.5</v>
      </c>
    </row>
    <row r="29" spans="1:6">
      <c r="A29" t="s">
        <v>890</v>
      </c>
      <c r="D29" s="53">
        <v>479121</v>
      </c>
      <c r="E29" t="s">
        <v>38</v>
      </c>
      <c r="F29">
        <v>1.5</v>
      </c>
    </row>
    <row r="30" spans="1:6">
      <c r="A30" t="s">
        <v>890</v>
      </c>
      <c r="D30" s="53">
        <v>470409</v>
      </c>
      <c r="E30" t="s">
        <v>338</v>
      </c>
      <c r="F30">
        <v>3</v>
      </c>
    </row>
    <row r="31" spans="1:6">
      <c r="A31" t="s">
        <v>890</v>
      </c>
      <c r="D31">
        <v>689126</v>
      </c>
      <c r="E31" t="s">
        <v>738</v>
      </c>
      <c r="F31">
        <v>0.5</v>
      </c>
    </row>
    <row r="32" spans="1:6">
      <c r="A32" t="s">
        <v>890</v>
      </c>
      <c r="D32" s="53">
        <v>136136</v>
      </c>
      <c r="E32" t="s">
        <v>198</v>
      </c>
      <c r="F32">
        <v>4</v>
      </c>
    </row>
    <row r="33" spans="1:6">
      <c r="A33" t="s">
        <v>890</v>
      </c>
      <c r="D33" s="53">
        <v>613604</v>
      </c>
      <c r="E33" t="s">
        <v>219</v>
      </c>
      <c r="F33">
        <v>1</v>
      </c>
    </row>
    <row r="34" spans="1:6">
      <c r="A34" t="s">
        <v>890</v>
      </c>
      <c r="D34" s="50">
        <v>693099</v>
      </c>
      <c r="E34" s="51" t="s">
        <v>461</v>
      </c>
      <c r="F34">
        <v>3.5</v>
      </c>
    </row>
    <row r="35" spans="1:6">
      <c r="A35" t="s">
        <v>890</v>
      </c>
      <c r="D35" s="50">
        <v>806365</v>
      </c>
      <c r="E35" s="51" t="s">
        <v>73</v>
      </c>
      <c r="F35">
        <v>1.5</v>
      </c>
    </row>
    <row r="36" spans="1:6">
      <c r="A36" t="s">
        <v>890</v>
      </c>
      <c r="D36">
        <v>831512</v>
      </c>
      <c r="E36" t="s">
        <v>81</v>
      </c>
      <c r="F36">
        <v>3</v>
      </c>
    </row>
    <row r="37" spans="1:6">
      <c r="A37" t="s">
        <v>890</v>
      </c>
      <c r="D37" s="53">
        <v>781854</v>
      </c>
      <c r="E37" s="51" t="s">
        <v>405</v>
      </c>
      <c r="F37">
        <v>3.5</v>
      </c>
    </row>
    <row r="38" spans="1:6">
      <c r="A38" t="s">
        <v>890</v>
      </c>
      <c r="D38" s="53">
        <v>442239</v>
      </c>
      <c r="E38" s="54" t="s">
        <v>456</v>
      </c>
      <c r="F38">
        <v>3.5</v>
      </c>
    </row>
    <row r="39" spans="1:6">
      <c r="A39" t="s">
        <v>890</v>
      </c>
      <c r="D39">
        <v>96959</v>
      </c>
      <c r="E39" s="51" t="s">
        <v>56</v>
      </c>
      <c r="F39">
        <v>4</v>
      </c>
    </row>
    <row r="40" spans="1:6">
      <c r="A40" t="s">
        <v>890</v>
      </c>
      <c r="D40">
        <v>302414</v>
      </c>
      <c r="E40" t="s">
        <v>577</v>
      </c>
      <c r="F40">
        <v>4</v>
      </c>
    </row>
    <row r="41" spans="1:6">
      <c r="A41" t="s">
        <v>890</v>
      </c>
      <c r="D41" s="53">
        <v>182669</v>
      </c>
      <c r="E41" s="51" t="s">
        <v>636</v>
      </c>
      <c r="F41">
        <v>0.5</v>
      </c>
    </row>
    <row r="42" spans="1:6">
      <c r="A42" t="s">
        <v>890</v>
      </c>
      <c r="D42" s="53">
        <v>486886</v>
      </c>
      <c r="E42" s="51" t="s">
        <v>29</v>
      </c>
      <c r="F42">
        <v>7</v>
      </c>
    </row>
    <row r="43" spans="1:6">
      <c r="A43" t="s">
        <v>890</v>
      </c>
      <c r="D43" s="53">
        <v>425464</v>
      </c>
      <c r="E43" s="51" t="s">
        <v>235</v>
      </c>
      <c r="F43">
        <v>4</v>
      </c>
    </row>
    <row r="44" spans="1:6">
      <c r="A44" t="s">
        <v>891</v>
      </c>
      <c r="D44">
        <v>588228</v>
      </c>
      <c r="E44" t="s">
        <v>888</v>
      </c>
      <c r="F44">
        <f>(35+30)/60</f>
        <v>1.0833333333333333</v>
      </c>
    </row>
    <row r="45" spans="1:6">
      <c r="A45" t="s">
        <v>892</v>
      </c>
      <c r="D45" s="8">
        <v>413594</v>
      </c>
      <c r="E45" s="8" t="s">
        <v>782</v>
      </c>
      <c r="F45">
        <v>1.5</v>
      </c>
    </row>
    <row r="46" spans="1:6">
      <c r="A46" t="s">
        <v>892</v>
      </c>
      <c r="D46" s="8">
        <v>557853</v>
      </c>
      <c r="E46" s="8" t="s">
        <v>893</v>
      </c>
      <c r="F46">
        <f>1.5+2</f>
        <v>3.5</v>
      </c>
    </row>
    <row r="47" spans="1:6">
      <c r="A47" t="s">
        <v>892</v>
      </c>
      <c r="D47" s="8">
        <v>552077</v>
      </c>
      <c r="E47" s="8" t="s">
        <v>894</v>
      </c>
      <c r="F47">
        <f>1.5+2</f>
        <v>3.5</v>
      </c>
    </row>
  </sheetData>
  <pageMargins left="0" right="0" top="1.1583333333333301" bottom="1.1583333333333301" header="0" footer="0"/>
  <pageSetup paperSize="9" orientation="portrait" horizontalDpi="300" verticalDpi="300"/>
  <headerFooter>
    <oddHeader>&amp;C&amp;10&amp;A</oddHeader>
    <oddFooter>&amp;C&amp;10Page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21"/>
  <sheetViews>
    <sheetView topLeftCell="A591" zoomScaleNormal="100" workbookViewId="0">
      <selection activeCell="E605" sqref="E605"/>
    </sheetView>
  </sheetViews>
  <sheetFormatPr baseColWidth="10" defaultColWidth="10.8984375" defaultRowHeight="13.8"/>
  <cols>
    <col min="1" max="1" width="40.09765625" customWidth="1"/>
    <col min="2" max="2" width="30.59765625" customWidth="1"/>
    <col min="3" max="3" width="16.5" customWidth="1"/>
    <col min="1024" max="1024" width="11" customWidth="1"/>
  </cols>
  <sheetData>
    <row r="1" spans="1:5" s="3" customFormat="1" ht="17.399999999999999">
      <c r="A1" s="3" t="s">
        <v>883</v>
      </c>
      <c r="C1" s="3" t="s">
        <v>884</v>
      </c>
      <c r="D1" s="3" t="s">
        <v>1</v>
      </c>
      <c r="E1" s="3" t="s">
        <v>0</v>
      </c>
    </row>
    <row r="2" spans="1:5">
      <c r="A2" t="s">
        <v>895</v>
      </c>
      <c r="B2" t="s">
        <v>896</v>
      </c>
      <c r="C2" t="s">
        <v>897</v>
      </c>
      <c r="D2">
        <v>568663</v>
      </c>
      <c r="E2" t="s">
        <v>379</v>
      </c>
    </row>
    <row r="3" spans="1:5">
      <c r="A3" t="s">
        <v>895</v>
      </c>
      <c r="B3" t="s">
        <v>896</v>
      </c>
      <c r="C3" t="s">
        <v>898</v>
      </c>
      <c r="D3">
        <v>830884</v>
      </c>
      <c r="E3" t="s">
        <v>587</v>
      </c>
    </row>
    <row r="4" spans="1:5">
      <c r="A4" t="s">
        <v>895</v>
      </c>
      <c r="B4" t="s">
        <v>896</v>
      </c>
      <c r="C4" t="s">
        <v>899</v>
      </c>
      <c r="D4">
        <v>726889</v>
      </c>
      <c r="E4" t="s">
        <v>505</v>
      </c>
    </row>
    <row r="5" spans="1:5">
      <c r="A5" t="s">
        <v>895</v>
      </c>
      <c r="B5" t="s">
        <v>896</v>
      </c>
      <c r="C5" t="s">
        <v>900</v>
      </c>
      <c r="D5">
        <v>830884</v>
      </c>
      <c r="E5" t="s">
        <v>587</v>
      </c>
    </row>
    <row r="6" spans="1:5">
      <c r="A6" t="s">
        <v>895</v>
      </c>
      <c r="B6" t="s">
        <v>896</v>
      </c>
      <c r="C6" t="s">
        <v>901</v>
      </c>
      <c r="D6">
        <v>830884</v>
      </c>
      <c r="E6" t="s">
        <v>587</v>
      </c>
    </row>
    <row r="7" spans="1:5">
      <c r="A7" t="s">
        <v>895</v>
      </c>
      <c r="B7" t="s">
        <v>896</v>
      </c>
      <c r="C7" t="s">
        <v>902</v>
      </c>
      <c r="D7">
        <v>568663</v>
      </c>
      <c r="E7" t="s">
        <v>379</v>
      </c>
    </row>
    <row r="8" spans="1:5">
      <c r="A8" t="s">
        <v>895</v>
      </c>
      <c r="B8" t="s">
        <v>896</v>
      </c>
      <c r="C8" t="s">
        <v>903</v>
      </c>
      <c r="D8">
        <v>595661</v>
      </c>
      <c r="E8" t="s">
        <v>419</v>
      </c>
    </row>
    <row r="9" spans="1:5">
      <c r="A9" t="s">
        <v>895</v>
      </c>
      <c r="B9" t="s">
        <v>896</v>
      </c>
      <c r="C9" t="s">
        <v>904</v>
      </c>
      <c r="D9">
        <v>636064</v>
      </c>
      <c r="E9" t="s">
        <v>518</v>
      </c>
    </row>
    <row r="10" spans="1:5">
      <c r="A10" t="s">
        <v>895</v>
      </c>
      <c r="B10" t="s">
        <v>896</v>
      </c>
      <c r="C10" t="s">
        <v>905</v>
      </c>
      <c r="D10">
        <v>620294</v>
      </c>
      <c r="E10" t="s">
        <v>482</v>
      </c>
    </row>
    <row r="11" spans="1:5">
      <c r="A11" t="s">
        <v>895</v>
      </c>
      <c r="B11" t="s">
        <v>896</v>
      </c>
      <c r="C11" t="s">
        <v>906</v>
      </c>
      <c r="D11">
        <v>932894</v>
      </c>
      <c r="E11" t="s">
        <v>335</v>
      </c>
    </row>
    <row r="12" spans="1:5">
      <c r="A12" t="s">
        <v>895</v>
      </c>
      <c r="B12" t="s">
        <v>896</v>
      </c>
      <c r="C12" t="s">
        <v>907</v>
      </c>
      <c r="D12">
        <v>830884</v>
      </c>
      <c r="E12" t="s">
        <v>587</v>
      </c>
    </row>
    <row r="13" spans="1:5">
      <c r="A13" t="s">
        <v>895</v>
      </c>
      <c r="B13" t="s">
        <v>896</v>
      </c>
      <c r="C13" t="s">
        <v>908</v>
      </c>
      <c r="D13">
        <v>286123</v>
      </c>
      <c r="E13" t="s">
        <v>355</v>
      </c>
    </row>
    <row r="14" spans="1:5">
      <c r="A14" t="s">
        <v>895</v>
      </c>
      <c r="B14" t="s">
        <v>896</v>
      </c>
      <c r="C14" t="s">
        <v>909</v>
      </c>
      <c r="D14">
        <v>568663</v>
      </c>
      <c r="E14" t="s">
        <v>379</v>
      </c>
    </row>
    <row r="15" spans="1:5">
      <c r="A15" t="s">
        <v>895</v>
      </c>
      <c r="B15" t="s">
        <v>896</v>
      </c>
      <c r="C15" t="s">
        <v>910</v>
      </c>
      <c r="D15">
        <v>726889</v>
      </c>
      <c r="E15" t="s">
        <v>505</v>
      </c>
    </row>
    <row r="16" spans="1:5">
      <c r="A16" t="s">
        <v>895</v>
      </c>
      <c r="B16" t="s">
        <v>896</v>
      </c>
      <c r="C16" t="s">
        <v>911</v>
      </c>
      <c r="D16">
        <v>286123</v>
      </c>
      <c r="E16" t="s">
        <v>355</v>
      </c>
    </row>
    <row r="17" spans="1:5">
      <c r="A17" t="s">
        <v>895</v>
      </c>
      <c r="B17" t="s">
        <v>896</v>
      </c>
      <c r="C17" t="s">
        <v>912</v>
      </c>
      <c r="D17">
        <v>192237</v>
      </c>
      <c r="E17" t="s">
        <v>68</v>
      </c>
    </row>
    <row r="18" spans="1:5">
      <c r="A18" t="s">
        <v>895</v>
      </c>
      <c r="B18" t="s">
        <v>896</v>
      </c>
      <c r="C18" t="s">
        <v>913</v>
      </c>
      <c r="D18">
        <v>445999</v>
      </c>
      <c r="E18" t="s">
        <v>914</v>
      </c>
    </row>
    <row r="19" spans="1:5">
      <c r="A19" t="s">
        <v>895</v>
      </c>
      <c r="B19" t="s">
        <v>896</v>
      </c>
      <c r="C19" t="s">
        <v>915</v>
      </c>
      <c r="D19">
        <v>726889</v>
      </c>
      <c r="E19" t="s">
        <v>505</v>
      </c>
    </row>
    <row r="20" spans="1:5">
      <c r="A20" t="s">
        <v>895</v>
      </c>
      <c r="B20" t="s">
        <v>896</v>
      </c>
      <c r="C20" t="s">
        <v>916</v>
      </c>
      <c r="D20">
        <v>726889</v>
      </c>
      <c r="E20" t="s">
        <v>505</v>
      </c>
    </row>
    <row r="21" spans="1:5">
      <c r="A21" t="s">
        <v>895</v>
      </c>
      <c r="B21" t="s">
        <v>896</v>
      </c>
      <c r="C21" t="s">
        <v>917</v>
      </c>
      <c r="D21">
        <v>445999</v>
      </c>
      <c r="E21" t="s">
        <v>914</v>
      </c>
    </row>
    <row r="22" spans="1:5">
      <c r="A22" t="s">
        <v>895</v>
      </c>
      <c r="B22" t="s">
        <v>896</v>
      </c>
      <c r="C22" t="s">
        <v>918</v>
      </c>
      <c r="D22">
        <v>568663</v>
      </c>
      <c r="E22" t="s">
        <v>379</v>
      </c>
    </row>
    <row r="23" spans="1:5">
      <c r="A23" t="s">
        <v>895</v>
      </c>
      <c r="B23" t="s">
        <v>896</v>
      </c>
      <c r="C23" t="s">
        <v>919</v>
      </c>
      <c r="D23">
        <v>902755</v>
      </c>
      <c r="E23" t="s">
        <v>231</v>
      </c>
    </row>
    <row r="24" spans="1:5">
      <c r="A24" t="s">
        <v>895</v>
      </c>
      <c r="B24" t="s">
        <v>896</v>
      </c>
      <c r="C24" t="s">
        <v>920</v>
      </c>
      <c r="D24">
        <v>174416</v>
      </c>
      <c r="E24" t="s">
        <v>921</v>
      </c>
    </row>
    <row r="25" spans="1:5">
      <c r="A25" t="s">
        <v>895</v>
      </c>
      <c r="B25" t="s">
        <v>896</v>
      </c>
      <c r="C25" t="s">
        <v>922</v>
      </c>
      <c r="D25">
        <v>726889</v>
      </c>
      <c r="E25" t="s">
        <v>505</v>
      </c>
    </row>
    <row r="26" spans="1:5">
      <c r="A26" t="s">
        <v>895</v>
      </c>
      <c r="B26" t="s">
        <v>896</v>
      </c>
      <c r="C26" t="s">
        <v>923</v>
      </c>
      <c r="D26">
        <v>595661</v>
      </c>
      <c r="E26" t="s">
        <v>419</v>
      </c>
    </row>
    <row r="27" spans="1:5">
      <c r="A27" t="s">
        <v>895</v>
      </c>
      <c r="B27" t="s">
        <v>896</v>
      </c>
      <c r="C27" t="s">
        <v>924</v>
      </c>
      <c r="D27">
        <v>174416</v>
      </c>
      <c r="E27" t="s">
        <v>921</v>
      </c>
    </row>
    <row r="28" spans="1:5">
      <c r="A28" t="s">
        <v>925</v>
      </c>
      <c r="B28" t="s">
        <v>896</v>
      </c>
      <c r="C28" t="s">
        <v>926</v>
      </c>
      <c r="D28">
        <v>209946</v>
      </c>
      <c r="E28" t="s">
        <v>274</v>
      </c>
    </row>
    <row r="29" spans="1:5">
      <c r="A29" t="s">
        <v>925</v>
      </c>
      <c r="B29" t="s">
        <v>896</v>
      </c>
      <c r="C29" t="s">
        <v>927</v>
      </c>
      <c r="D29">
        <v>569123</v>
      </c>
      <c r="E29" t="s">
        <v>424</v>
      </c>
    </row>
    <row r="30" spans="1:5">
      <c r="A30" t="s">
        <v>925</v>
      </c>
      <c r="B30" t="s">
        <v>896</v>
      </c>
      <c r="C30" t="s">
        <v>928</v>
      </c>
      <c r="D30">
        <v>726889</v>
      </c>
      <c r="E30" t="s">
        <v>505</v>
      </c>
    </row>
    <row r="31" spans="1:5">
      <c r="A31" t="s">
        <v>925</v>
      </c>
      <c r="B31" t="s">
        <v>896</v>
      </c>
      <c r="C31" t="s">
        <v>929</v>
      </c>
      <c r="D31">
        <v>96959</v>
      </c>
      <c r="E31" t="s">
        <v>56</v>
      </c>
    </row>
    <row r="32" spans="1:5">
      <c r="A32" t="s">
        <v>925</v>
      </c>
      <c r="B32" t="s">
        <v>896</v>
      </c>
      <c r="C32" t="s">
        <v>930</v>
      </c>
      <c r="D32">
        <v>569123</v>
      </c>
      <c r="E32" t="s">
        <v>424</v>
      </c>
    </row>
    <row r="33" spans="1:5">
      <c r="A33" t="s">
        <v>925</v>
      </c>
      <c r="B33" t="s">
        <v>896</v>
      </c>
      <c r="C33" t="s">
        <v>931</v>
      </c>
      <c r="D33">
        <v>162003</v>
      </c>
      <c r="E33" t="s">
        <v>797</v>
      </c>
    </row>
    <row r="34" spans="1:5">
      <c r="A34" t="s">
        <v>925</v>
      </c>
      <c r="B34" t="s">
        <v>896</v>
      </c>
      <c r="C34" t="s">
        <v>932</v>
      </c>
      <c r="D34">
        <v>565142</v>
      </c>
      <c r="E34" t="s">
        <v>24</v>
      </c>
    </row>
    <row r="35" spans="1:5">
      <c r="A35" t="s">
        <v>925</v>
      </c>
      <c r="B35" t="s">
        <v>896</v>
      </c>
      <c r="C35" t="s">
        <v>933</v>
      </c>
      <c r="D35">
        <v>569123</v>
      </c>
      <c r="E35" t="s">
        <v>424</v>
      </c>
    </row>
    <row r="36" spans="1:5">
      <c r="A36" t="s">
        <v>925</v>
      </c>
      <c r="B36" t="s">
        <v>896</v>
      </c>
      <c r="C36" t="s">
        <v>934</v>
      </c>
      <c r="D36">
        <v>943909</v>
      </c>
      <c r="E36" t="s">
        <v>674</v>
      </c>
    </row>
    <row r="37" spans="1:5">
      <c r="A37" t="s">
        <v>925</v>
      </c>
      <c r="B37" t="s">
        <v>896</v>
      </c>
      <c r="C37" t="s">
        <v>935</v>
      </c>
      <c r="D37">
        <v>224398</v>
      </c>
      <c r="E37" t="s">
        <v>557</v>
      </c>
    </row>
    <row r="38" spans="1:5">
      <c r="A38" t="s">
        <v>925</v>
      </c>
      <c r="B38" t="s">
        <v>896</v>
      </c>
      <c r="C38" t="s">
        <v>936</v>
      </c>
      <c r="D38">
        <v>569123</v>
      </c>
      <c r="E38" t="s">
        <v>424</v>
      </c>
    </row>
    <row r="39" spans="1:5">
      <c r="A39" t="s">
        <v>925</v>
      </c>
      <c r="B39" t="s">
        <v>896</v>
      </c>
      <c r="C39" t="s">
        <v>937</v>
      </c>
      <c r="D39">
        <v>224398</v>
      </c>
      <c r="E39" t="s">
        <v>557</v>
      </c>
    </row>
    <row r="40" spans="1:5">
      <c r="A40" t="s">
        <v>925</v>
      </c>
      <c r="B40" t="s">
        <v>896</v>
      </c>
      <c r="C40" t="s">
        <v>938</v>
      </c>
      <c r="D40">
        <v>557897</v>
      </c>
      <c r="E40" t="s">
        <v>18</v>
      </c>
    </row>
    <row r="41" spans="1:5">
      <c r="A41" t="s">
        <v>925</v>
      </c>
      <c r="B41" t="s">
        <v>896</v>
      </c>
      <c r="C41" t="s">
        <v>939</v>
      </c>
      <c r="D41">
        <v>495533</v>
      </c>
      <c r="E41" t="s">
        <v>147</v>
      </c>
    </row>
    <row r="42" spans="1:5">
      <c r="A42" t="s">
        <v>925</v>
      </c>
      <c r="B42" t="s">
        <v>896</v>
      </c>
      <c r="C42" t="s">
        <v>940</v>
      </c>
      <c r="D42">
        <v>726889</v>
      </c>
      <c r="E42" t="s">
        <v>505</v>
      </c>
    </row>
    <row r="43" spans="1:5">
      <c r="A43" t="s">
        <v>925</v>
      </c>
      <c r="B43" t="s">
        <v>896</v>
      </c>
      <c r="C43" t="s">
        <v>941</v>
      </c>
      <c r="D43">
        <v>488062</v>
      </c>
      <c r="E43" t="s">
        <v>755</v>
      </c>
    </row>
    <row r="44" spans="1:5">
      <c r="A44" t="s">
        <v>925</v>
      </c>
      <c r="B44" t="s">
        <v>896</v>
      </c>
      <c r="C44" t="s">
        <v>942</v>
      </c>
      <c r="D44">
        <v>557897</v>
      </c>
      <c r="E44" t="s">
        <v>18</v>
      </c>
    </row>
    <row r="45" spans="1:5">
      <c r="A45" t="s">
        <v>925</v>
      </c>
      <c r="B45" t="s">
        <v>896</v>
      </c>
      <c r="C45" t="s">
        <v>943</v>
      </c>
      <c r="D45">
        <v>569123</v>
      </c>
      <c r="E45" t="s">
        <v>424</v>
      </c>
    </row>
    <row r="46" spans="1:5">
      <c r="A46" t="s">
        <v>925</v>
      </c>
      <c r="B46" t="s">
        <v>896</v>
      </c>
      <c r="C46" t="s">
        <v>944</v>
      </c>
      <c r="D46">
        <v>224398</v>
      </c>
      <c r="E46" t="s">
        <v>557</v>
      </c>
    </row>
    <row r="47" spans="1:5">
      <c r="A47" t="s">
        <v>925</v>
      </c>
      <c r="B47" t="s">
        <v>896</v>
      </c>
      <c r="C47" t="s">
        <v>945</v>
      </c>
      <c r="D47">
        <v>828379</v>
      </c>
      <c r="E47" t="s">
        <v>287</v>
      </c>
    </row>
    <row r="48" spans="1:5">
      <c r="A48" t="s">
        <v>925</v>
      </c>
      <c r="B48" t="s">
        <v>896</v>
      </c>
      <c r="C48" t="s">
        <v>946</v>
      </c>
      <c r="D48">
        <v>726889</v>
      </c>
      <c r="E48" t="s">
        <v>505</v>
      </c>
    </row>
    <row r="49" spans="1:5">
      <c r="A49" t="s">
        <v>925</v>
      </c>
      <c r="B49" t="s">
        <v>896</v>
      </c>
      <c r="C49" t="s">
        <v>947</v>
      </c>
      <c r="D49">
        <v>944892</v>
      </c>
      <c r="E49" t="s">
        <v>948</v>
      </c>
    </row>
    <row r="50" spans="1:5">
      <c r="A50" t="s">
        <v>925</v>
      </c>
      <c r="B50" t="s">
        <v>896</v>
      </c>
      <c r="C50" t="s">
        <v>949</v>
      </c>
      <c r="D50">
        <v>488062</v>
      </c>
      <c r="E50" t="s">
        <v>755</v>
      </c>
    </row>
    <row r="51" spans="1:5">
      <c r="A51" t="s">
        <v>925</v>
      </c>
      <c r="B51" t="s">
        <v>896</v>
      </c>
      <c r="C51" t="s">
        <v>950</v>
      </c>
      <c r="D51">
        <v>488062</v>
      </c>
      <c r="E51" t="s">
        <v>755</v>
      </c>
    </row>
    <row r="52" spans="1:5">
      <c r="A52" t="s">
        <v>925</v>
      </c>
      <c r="B52" t="s">
        <v>896</v>
      </c>
      <c r="C52" t="s">
        <v>951</v>
      </c>
      <c r="D52">
        <v>569123</v>
      </c>
      <c r="E52" t="s">
        <v>424</v>
      </c>
    </row>
    <row r="53" spans="1:5">
      <c r="A53" t="s">
        <v>925</v>
      </c>
      <c r="B53" t="s">
        <v>896</v>
      </c>
      <c r="C53" t="s">
        <v>952</v>
      </c>
      <c r="D53">
        <v>224398</v>
      </c>
      <c r="E53" t="s">
        <v>557</v>
      </c>
    </row>
    <row r="54" spans="1:5">
      <c r="A54" t="s">
        <v>925</v>
      </c>
      <c r="B54" t="s">
        <v>896</v>
      </c>
      <c r="C54" t="s">
        <v>953</v>
      </c>
      <c r="D54">
        <v>209946</v>
      </c>
      <c r="E54" t="s">
        <v>274</v>
      </c>
    </row>
    <row r="55" spans="1:5">
      <c r="A55" t="s">
        <v>925</v>
      </c>
      <c r="B55" t="s">
        <v>896</v>
      </c>
      <c r="C55" t="s">
        <v>954</v>
      </c>
      <c r="D55">
        <v>557897</v>
      </c>
      <c r="E55" t="s">
        <v>18</v>
      </c>
    </row>
    <row r="56" spans="1:5">
      <c r="A56" t="s">
        <v>925</v>
      </c>
      <c r="B56" t="s">
        <v>896</v>
      </c>
      <c r="C56" t="s">
        <v>955</v>
      </c>
      <c r="D56">
        <v>495533</v>
      </c>
      <c r="E56" t="s">
        <v>147</v>
      </c>
    </row>
    <row r="57" spans="1:5">
      <c r="A57" t="s">
        <v>956</v>
      </c>
      <c r="B57" t="s">
        <v>896</v>
      </c>
      <c r="C57" t="s">
        <v>957</v>
      </c>
      <c r="D57">
        <v>172555</v>
      </c>
      <c r="E57" t="s">
        <v>689</v>
      </c>
    </row>
    <row r="58" spans="1:5">
      <c r="A58" t="s">
        <v>956</v>
      </c>
      <c r="B58" t="s">
        <v>896</v>
      </c>
      <c r="C58" t="s">
        <v>958</v>
      </c>
      <c r="D58">
        <v>773189</v>
      </c>
      <c r="E58" t="s">
        <v>618</v>
      </c>
    </row>
    <row r="59" spans="1:5">
      <c r="A59" t="s">
        <v>956</v>
      </c>
      <c r="B59" t="s">
        <v>896</v>
      </c>
      <c r="C59" t="s">
        <v>959</v>
      </c>
      <c r="D59">
        <v>494188</v>
      </c>
      <c r="E59" t="s">
        <v>593</v>
      </c>
    </row>
    <row r="60" spans="1:5">
      <c r="A60" t="s">
        <v>956</v>
      </c>
      <c r="B60" t="s">
        <v>896</v>
      </c>
      <c r="C60" t="s">
        <v>960</v>
      </c>
      <c r="D60">
        <v>172555</v>
      </c>
      <c r="E60" t="s">
        <v>689</v>
      </c>
    </row>
    <row r="61" spans="1:5">
      <c r="A61" t="s">
        <v>956</v>
      </c>
      <c r="B61" t="s">
        <v>896</v>
      </c>
      <c r="C61" t="s">
        <v>961</v>
      </c>
      <c r="D61">
        <v>873830</v>
      </c>
      <c r="E61" t="s">
        <v>174</v>
      </c>
    </row>
    <row r="62" spans="1:5">
      <c r="A62" t="s">
        <v>956</v>
      </c>
      <c r="B62" t="s">
        <v>896</v>
      </c>
      <c r="C62" t="s">
        <v>962</v>
      </c>
      <c r="D62">
        <v>967920</v>
      </c>
      <c r="E62" t="s">
        <v>499</v>
      </c>
    </row>
    <row r="63" spans="1:5">
      <c r="A63" t="s">
        <v>956</v>
      </c>
      <c r="B63" t="s">
        <v>896</v>
      </c>
      <c r="C63" t="s">
        <v>963</v>
      </c>
      <c r="D63">
        <v>967920</v>
      </c>
      <c r="E63" t="s">
        <v>499</v>
      </c>
    </row>
    <row r="64" spans="1:5">
      <c r="A64" t="s">
        <v>956</v>
      </c>
      <c r="B64" t="s">
        <v>896</v>
      </c>
      <c r="C64" t="s">
        <v>964</v>
      </c>
      <c r="D64">
        <v>974730</v>
      </c>
      <c r="E64" t="s">
        <v>93</v>
      </c>
    </row>
    <row r="65" spans="1:5">
      <c r="A65" t="s">
        <v>956</v>
      </c>
      <c r="B65" t="s">
        <v>896</v>
      </c>
      <c r="C65" t="s">
        <v>965</v>
      </c>
      <c r="D65">
        <v>635305</v>
      </c>
      <c r="E65" t="s">
        <v>504</v>
      </c>
    </row>
    <row r="66" spans="1:5">
      <c r="A66" t="s">
        <v>956</v>
      </c>
      <c r="B66" t="s">
        <v>896</v>
      </c>
      <c r="C66" t="s">
        <v>966</v>
      </c>
      <c r="D66">
        <v>447184</v>
      </c>
      <c r="E66" t="s">
        <v>153</v>
      </c>
    </row>
    <row r="67" spans="1:5">
      <c r="A67" t="s">
        <v>956</v>
      </c>
      <c r="B67" t="s">
        <v>896</v>
      </c>
      <c r="C67" t="s">
        <v>967</v>
      </c>
      <c r="D67">
        <v>967920</v>
      </c>
      <c r="E67" t="s">
        <v>499</v>
      </c>
    </row>
    <row r="68" spans="1:5">
      <c r="A68" t="s">
        <v>956</v>
      </c>
      <c r="B68" t="s">
        <v>896</v>
      </c>
      <c r="C68" t="s">
        <v>968</v>
      </c>
      <c r="D68">
        <v>926369</v>
      </c>
      <c r="E68" t="s">
        <v>239</v>
      </c>
    </row>
    <row r="69" spans="1:5">
      <c r="A69" t="s">
        <v>956</v>
      </c>
      <c r="B69" t="s">
        <v>896</v>
      </c>
      <c r="C69" t="s">
        <v>969</v>
      </c>
      <c r="D69">
        <v>967920</v>
      </c>
      <c r="E69" t="s">
        <v>499</v>
      </c>
    </row>
    <row r="70" spans="1:5">
      <c r="A70" t="s">
        <v>956</v>
      </c>
      <c r="B70" t="s">
        <v>896</v>
      </c>
      <c r="C70" t="s">
        <v>970</v>
      </c>
      <c r="D70">
        <v>904795</v>
      </c>
      <c r="E70" t="s">
        <v>971</v>
      </c>
    </row>
    <row r="71" spans="1:5">
      <c r="A71" t="s">
        <v>956</v>
      </c>
      <c r="B71" t="s">
        <v>896</v>
      </c>
      <c r="C71" t="s">
        <v>972</v>
      </c>
      <c r="D71">
        <v>172555</v>
      </c>
      <c r="E71" t="s">
        <v>689</v>
      </c>
    </row>
    <row r="72" spans="1:5">
      <c r="A72" t="s">
        <v>956</v>
      </c>
      <c r="B72" t="s">
        <v>896</v>
      </c>
      <c r="C72" t="s">
        <v>973</v>
      </c>
      <c r="D72">
        <v>887940</v>
      </c>
      <c r="E72" t="s">
        <v>315</v>
      </c>
    </row>
    <row r="73" spans="1:5">
      <c r="A73" t="s">
        <v>956</v>
      </c>
      <c r="B73" t="s">
        <v>896</v>
      </c>
      <c r="C73" t="s">
        <v>974</v>
      </c>
      <c r="D73">
        <v>348209</v>
      </c>
      <c r="E73" t="s">
        <v>534</v>
      </c>
    </row>
    <row r="74" spans="1:5">
      <c r="A74" t="s">
        <v>956</v>
      </c>
      <c r="B74" t="s">
        <v>896</v>
      </c>
      <c r="C74" t="s">
        <v>975</v>
      </c>
      <c r="D74">
        <v>459115</v>
      </c>
      <c r="E74" t="s">
        <v>631</v>
      </c>
    </row>
    <row r="75" spans="1:5">
      <c r="A75" t="s">
        <v>956</v>
      </c>
      <c r="B75" t="s">
        <v>896</v>
      </c>
      <c r="C75" t="s">
        <v>976</v>
      </c>
      <c r="D75">
        <v>887940</v>
      </c>
      <c r="E75" t="s">
        <v>315</v>
      </c>
    </row>
    <row r="76" spans="1:5">
      <c r="A76" t="s">
        <v>956</v>
      </c>
      <c r="B76" t="s">
        <v>896</v>
      </c>
      <c r="C76" t="s">
        <v>977</v>
      </c>
      <c r="D76">
        <v>967920</v>
      </c>
      <c r="E76" t="s">
        <v>499</v>
      </c>
    </row>
    <row r="77" spans="1:5">
      <c r="A77" t="s">
        <v>956</v>
      </c>
      <c r="B77" t="s">
        <v>896</v>
      </c>
      <c r="C77" t="s">
        <v>978</v>
      </c>
      <c r="D77">
        <v>924566</v>
      </c>
      <c r="E77" t="s">
        <v>359</v>
      </c>
    </row>
    <row r="78" spans="1:5">
      <c r="A78" t="s">
        <v>956</v>
      </c>
      <c r="B78" t="s">
        <v>896</v>
      </c>
      <c r="C78" t="s">
        <v>979</v>
      </c>
      <c r="D78">
        <v>157147</v>
      </c>
      <c r="E78" t="s">
        <v>431</v>
      </c>
    </row>
    <row r="79" spans="1:5">
      <c r="A79" t="s">
        <v>956</v>
      </c>
      <c r="B79" t="s">
        <v>896</v>
      </c>
      <c r="C79" t="s">
        <v>980</v>
      </c>
      <c r="D79">
        <v>413594</v>
      </c>
      <c r="E79" t="s">
        <v>782</v>
      </c>
    </row>
    <row r="80" spans="1:5">
      <c r="A80" t="s">
        <v>956</v>
      </c>
      <c r="B80" t="s">
        <v>896</v>
      </c>
      <c r="C80" t="s">
        <v>981</v>
      </c>
      <c r="D80">
        <v>348209</v>
      </c>
      <c r="E80" t="s">
        <v>534</v>
      </c>
    </row>
    <row r="81" spans="1:5">
      <c r="A81" t="s">
        <v>956</v>
      </c>
      <c r="B81" t="s">
        <v>896</v>
      </c>
      <c r="C81" t="s">
        <v>982</v>
      </c>
      <c r="D81">
        <v>924566</v>
      </c>
      <c r="E81" t="s">
        <v>359</v>
      </c>
    </row>
    <row r="82" spans="1:5">
      <c r="A82" t="s">
        <v>956</v>
      </c>
      <c r="B82" t="s">
        <v>896</v>
      </c>
      <c r="C82" t="s">
        <v>983</v>
      </c>
      <c r="D82">
        <v>967920</v>
      </c>
      <c r="E82" t="s">
        <v>499</v>
      </c>
    </row>
    <row r="83" spans="1:5">
      <c r="A83" t="s">
        <v>956</v>
      </c>
      <c r="B83" t="s">
        <v>896</v>
      </c>
      <c r="C83" t="s">
        <v>984</v>
      </c>
      <c r="D83">
        <v>924566</v>
      </c>
      <c r="E83" t="s">
        <v>359</v>
      </c>
    </row>
    <row r="84" spans="1:5">
      <c r="A84" t="s">
        <v>956</v>
      </c>
      <c r="B84" t="s">
        <v>896</v>
      </c>
      <c r="C84" t="s">
        <v>985</v>
      </c>
      <c r="D84">
        <v>924566</v>
      </c>
      <c r="E84" t="s">
        <v>359</v>
      </c>
    </row>
    <row r="85" spans="1:5">
      <c r="A85" t="s">
        <v>956</v>
      </c>
      <c r="B85" t="s">
        <v>896</v>
      </c>
      <c r="C85" t="s">
        <v>986</v>
      </c>
      <c r="D85">
        <v>635305</v>
      </c>
      <c r="E85" t="s">
        <v>504</v>
      </c>
    </row>
    <row r="86" spans="1:5">
      <c r="A86" t="s">
        <v>987</v>
      </c>
      <c r="B86" t="s">
        <v>896</v>
      </c>
      <c r="C86" t="s">
        <v>988</v>
      </c>
      <c r="D86">
        <v>847592</v>
      </c>
      <c r="E86" t="s">
        <v>989</v>
      </c>
    </row>
    <row r="87" spans="1:5">
      <c r="A87" t="s">
        <v>987</v>
      </c>
      <c r="B87" t="s">
        <v>896</v>
      </c>
      <c r="C87" t="s">
        <v>990</v>
      </c>
      <c r="D87">
        <v>816531</v>
      </c>
      <c r="E87" t="s">
        <v>102</v>
      </c>
    </row>
    <row r="88" spans="1:5">
      <c r="A88" t="s">
        <v>987</v>
      </c>
      <c r="B88" t="s">
        <v>896</v>
      </c>
      <c r="C88" t="s">
        <v>991</v>
      </c>
      <c r="D88">
        <v>373149</v>
      </c>
      <c r="E88" t="s">
        <v>653</v>
      </c>
    </row>
    <row r="89" spans="1:5">
      <c r="A89" t="s">
        <v>987</v>
      </c>
      <c r="B89" t="s">
        <v>896</v>
      </c>
      <c r="C89" t="s">
        <v>992</v>
      </c>
      <c r="D89">
        <v>624638</v>
      </c>
      <c r="E89" t="s">
        <v>421</v>
      </c>
    </row>
    <row r="90" spans="1:5">
      <c r="A90" t="s">
        <v>987</v>
      </c>
      <c r="B90" t="s">
        <v>896</v>
      </c>
      <c r="C90" t="s">
        <v>993</v>
      </c>
      <c r="D90">
        <v>724841</v>
      </c>
      <c r="E90" t="s">
        <v>176</v>
      </c>
    </row>
    <row r="91" spans="1:5">
      <c r="A91" t="s">
        <v>987</v>
      </c>
      <c r="B91" t="s">
        <v>896</v>
      </c>
      <c r="C91" t="s">
        <v>994</v>
      </c>
      <c r="D91">
        <v>621916</v>
      </c>
      <c r="E91" t="s">
        <v>181</v>
      </c>
    </row>
    <row r="92" spans="1:5">
      <c r="A92" t="s">
        <v>987</v>
      </c>
      <c r="B92" t="s">
        <v>896</v>
      </c>
      <c r="C92" t="s">
        <v>995</v>
      </c>
      <c r="D92">
        <v>707444</v>
      </c>
      <c r="E92" t="s">
        <v>623</v>
      </c>
    </row>
    <row r="93" spans="1:5">
      <c r="A93" t="s">
        <v>987</v>
      </c>
      <c r="B93" t="s">
        <v>896</v>
      </c>
      <c r="C93" t="s">
        <v>996</v>
      </c>
      <c r="D93">
        <v>724884</v>
      </c>
      <c r="E93" t="s">
        <v>650</v>
      </c>
    </row>
    <row r="94" spans="1:5">
      <c r="A94" t="s">
        <v>987</v>
      </c>
      <c r="B94" t="s">
        <v>896</v>
      </c>
      <c r="C94" t="s">
        <v>997</v>
      </c>
      <c r="D94">
        <v>482778</v>
      </c>
      <c r="E94" t="s">
        <v>512</v>
      </c>
    </row>
    <row r="95" spans="1:5">
      <c r="A95" t="s">
        <v>987</v>
      </c>
      <c r="B95" t="s">
        <v>896</v>
      </c>
      <c r="C95" t="s">
        <v>998</v>
      </c>
      <c r="D95">
        <v>660813</v>
      </c>
      <c r="E95" t="s">
        <v>296</v>
      </c>
    </row>
    <row r="96" spans="1:5">
      <c r="A96" t="s">
        <v>987</v>
      </c>
      <c r="B96" t="s">
        <v>896</v>
      </c>
      <c r="C96" t="s">
        <v>999</v>
      </c>
      <c r="D96">
        <v>95394</v>
      </c>
      <c r="E96" t="s">
        <v>184</v>
      </c>
    </row>
    <row r="97" spans="1:5">
      <c r="A97" t="s">
        <v>987</v>
      </c>
      <c r="B97" t="s">
        <v>896</v>
      </c>
      <c r="C97" t="s">
        <v>1000</v>
      </c>
      <c r="D97">
        <v>707649</v>
      </c>
      <c r="E97" t="s">
        <v>746</v>
      </c>
    </row>
    <row r="98" spans="1:5">
      <c r="A98" t="s">
        <v>987</v>
      </c>
      <c r="B98" t="s">
        <v>896</v>
      </c>
      <c r="C98" t="s">
        <v>1001</v>
      </c>
      <c r="D98">
        <v>772280</v>
      </c>
      <c r="E98" t="s">
        <v>398</v>
      </c>
    </row>
    <row r="99" spans="1:5">
      <c r="A99" t="s">
        <v>1002</v>
      </c>
      <c r="B99" t="s">
        <v>896</v>
      </c>
      <c r="C99" t="s">
        <v>1003</v>
      </c>
      <c r="D99">
        <v>700972</v>
      </c>
      <c r="E99" t="s">
        <v>492</v>
      </c>
    </row>
    <row r="100" spans="1:5">
      <c r="A100" t="s">
        <v>1002</v>
      </c>
      <c r="B100" t="s">
        <v>896</v>
      </c>
      <c r="C100" t="s">
        <v>1004</v>
      </c>
      <c r="D100">
        <v>473022</v>
      </c>
      <c r="E100" t="s">
        <v>749</v>
      </c>
    </row>
    <row r="101" spans="1:5">
      <c r="A101" t="s">
        <v>1002</v>
      </c>
      <c r="B101" t="s">
        <v>896</v>
      </c>
      <c r="C101" t="s">
        <v>1005</v>
      </c>
      <c r="D101">
        <v>700972</v>
      </c>
      <c r="E101" t="s">
        <v>492</v>
      </c>
    </row>
    <row r="102" spans="1:5">
      <c r="A102" t="s">
        <v>1002</v>
      </c>
      <c r="B102" t="s">
        <v>896</v>
      </c>
      <c r="C102" t="s">
        <v>1006</v>
      </c>
      <c r="D102">
        <v>652343</v>
      </c>
      <c r="E102" t="s">
        <v>348</v>
      </c>
    </row>
    <row r="103" spans="1:5">
      <c r="A103" t="s">
        <v>1002</v>
      </c>
      <c r="B103" t="s">
        <v>896</v>
      </c>
      <c r="C103" t="s">
        <v>1007</v>
      </c>
      <c r="D103">
        <v>665609</v>
      </c>
      <c r="E103" t="s">
        <v>77</v>
      </c>
    </row>
    <row r="104" spans="1:5">
      <c r="A104" t="s">
        <v>1002</v>
      </c>
      <c r="B104" t="s">
        <v>896</v>
      </c>
      <c r="C104" t="s">
        <v>1008</v>
      </c>
      <c r="D104">
        <v>717385</v>
      </c>
      <c r="E104" t="s">
        <v>570</v>
      </c>
    </row>
    <row r="105" spans="1:5">
      <c r="A105" t="s">
        <v>1002</v>
      </c>
      <c r="B105" t="s">
        <v>896</v>
      </c>
      <c r="C105" t="s">
        <v>1009</v>
      </c>
      <c r="D105">
        <v>597830</v>
      </c>
      <c r="E105" t="s">
        <v>134</v>
      </c>
    </row>
    <row r="106" spans="1:5">
      <c r="A106" t="s">
        <v>1002</v>
      </c>
      <c r="B106" t="s">
        <v>896</v>
      </c>
      <c r="C106" t="s">
        <v>1010</v>
      </c>
      <c r="D106">
        <v>900440</v>
      </c>
      <c r="E106" t="s">
        <v>643</v>
      </c>
    </row>
    <row r="107" spans="1:5">
      <c r="A107" t="s">
        <v>1002</v>
      </c>
      <c r="B107" t="s">
        <v>896</v>
      </c>
      <c r="C107" t="s">
        <v>1011</v>
      </c>
      <c r="D107">
        <v>700972</v>
      </c>
      <c r="E107" t="s">
        <v>492</v>
      </c>
    </row>
    <row r="108" spans="1:5">
      <c r="A108" t="s">
        <v>1002</v>
      </c>
      <c r="B108" t="s">
        <v>896</v>
      </c>
      <c r="C108" t="s">
        <v>1012</v>
      </c>
      <c r="D108">
        <v>192432</v>
      </c>
      <c r="E108" t="s">
        <v>815</v>
      </c>
    </row>
    <row r="109" spans="1:5">
      <c r="A109" t="s">
        <v>1002</v>
      </c>
      <c r="B109" t="s">
        <v>896</v>
      </c>
      <c r="C109" t="s">
        <v>1013</v>
      </c>
      <c r="D109">
        <v>635305</v>
      </c>
      <c r="E109" t="s">
        <v>504</v>
      </c>
    </row>
    <row r="110" spans="1:5">
      <c r="A110" t="s">
        <v>1002</v>
      </c>
      <c r="B110" t="s">
        <v>896</v>
      </c>
      <c r="C110" t="s">
        <v>1014</v>
      </c>
      <c r="D110">
        <v>700972</v>
      </c>
      <c r="E110" t="s">
        <v>492</v>
      </c>
    </row>
    <row r="111" spans="1:5">
      <c r="A111" t="s">
        <v>1002</v>
      </c>
      <c r="B111" t="s">
        <v>896</v>
      </c>
      <c r="C111" t="s">
        <v>1015</v>
      </c>
      <c r="D111">
        <v>192432</v>
      </c>
      <c r="E111" t="s">
        <v>815</v>
      </c>
    </row>
    <row r="112" spans="1:5">
      <c r="A112" t="s">
        <v>1002</v>
      </c>
      <c r="B112" t="s">
        <v>896</v>
      </c>
      <c r="C112" t="s">
        <v>1016</v>
      </c>
      <c r="D112">
        <v>671261</v>
      </c>
      <c r="E112" t="s">
        <v>281</v>
      </c>
    </row>
    <row r="113" spans="1:5">
      <c r="A113" t="s">
        <v>1002</v>
      </c>
      <c r="B113" t="s">
        <v>896</v>
      </c>
      <c r="C113" t="s">
        <v>1017</v>
      </c>
      <c r="D113">
        <v>700972</v>
      </c>
      <c r="E113" t="s">
        <v>492</v>
      </c>
    </row>
    <row r="114" spans="1:5">
      <c r="A114" t="s">
        <v>1002</v>
      </c>
      <c r="B114" t="s">
        <v>896</v>
      </c>
      <c r="C114" t="s">
        <v>1018</v>
      </c>
      <c r="D114">
        <v>665609</v>
      </c>
      <c r="E114" t="s">
        <v>77</v>
      </c>
    </row>
    <row r="115" spans="1:5">
      <c r="A115" t="s">
        <v>1002</v>
      </c>
      <c r="B115" t="s">
        <v>896</v>
      </c>
      <c r="C115" t="s">
        <v>1019</v>
      </c>
      <c r="D115">
        <v>665609</v>
      </c>
      <c r="E115" t="s">
        <v>77</v>
      </c>
    </row>
    <row r="116" spans="1:5">
      <c r="A116" t="s">
        <v>1002</v>
      </c>
      <c r="B116" t="s">
        <v>896</v>
      </c>
      <c r="C116" t="s">
        <v>1020</v>
      </c>
      <c r="D116">
        <v>635305</v>
      </c>
      <c r="E116" t="s">
        <v>504</v>
      </c>
    </row>
    <row r="117" spans="1:5">
      <c r="A117" t="s">
        <v>1002</v>
      </c>
      <c r="B117" t="s">
        <v>896</v>
      </c>
      <c r="C117" t="s">
        <v>1021</v>
      </c>
      <c r="D117">
        <v>671261</v>
      </c>
      <c r="E117" t="s">
        <v>281</v>
      </c>
    </row>
    <row r="118" spans="1:5">
      <c r="A118" t="s">
        <v>1002</v>
      </c>
      <c r="B118" t="s">
        <v>896</v>
      </c>
      <c r="C118" t="s">
        <v>1022</v>
      </c>
      <c r="D118">
        <v>700972</v>
      </c>
      <c r="E118" t="s">
        <v>492</v>
      </c>
    </row>
    <row r="119" spans="1:5">
      <c r="A119" t="s">
        <v>1002</v>
      </c>
      <c r="B119" t="s">
        <v>896</v>
      </c>
      <c r="C119" t="s">
        <v>1023</v>
      </c>
      <c r="D119">
        <v>967920</v>
      </c>
      <c r="E119" t="s">
        <v>499</v>
      </c>
    </row>
    <row r="120" spans="1:5">
      <c r="A120" t="s">
        <v>1002</v>
      </c>
      <c r="B120" t="s">
        <v>896</v>
      </c>
      <c r="C120" t="s">
        <v>1024</v>
      </c>
      <c r="D120">
        <v>789082</v>
      </c>
      <c r="E120" t="s">
        <v>327</v>
      </c>
    </row>
    <row r="121" spans="1:5">
      <c r="A121" t="s">
        <v>1002</v>
      </c>
      <c r="B121" t="s">
        <v>896</v>
      </c>
      <c r="C121" t="s">
        <v>1025</v>
      </c>
      <c r="D121">
        <v>734566</v>
      </c>
      <c r="E121" t="s">
        <v>1026</v>
      </c>
    </row>
    <row r="122" spans="1:5">
      <c r="A122" t="s">
        <v>1002</v>
      </c>
      <c r="B122" t="s">
        <v>896</v>
      </c>
      <c r="C122" t="s">
        <v>1027</v>
      </c>
      <c r="D122">
        <v>192432</v>
      </c>
      <c r="E122" t="s">
        <v>815</v>
      </c>
    </row>
    <row r="123" spans="1:5">
      <c r="A123" t="s">
        <v>1002</v>
      </c>
      <c r="B123" t="s">
        <v>896</v>
      </c>
      <c r="C123" t="s">
        <v>1028</v>
      </c>
      <c r="D123">
        <v>473022</v>
      </c>
      <c r="E123" t="s">
        <v>749</v>
      </c>
    </row>
    <row r="124" spans="1:5">
      <c r="A124" t="s">
        <v>1002</v>
      </c>
      <c r="B124" t="s">
        <v>896</v>
      </c>
      <c r="C124" t="s">
        <v>1029</v>
      </c>
      <c r="D124">
        <v>509374</v>
      </c>
      <c r="E124" t="s">
        <v>15</v>
      </c>
    </row>
    <row r="125" spans="1:5">
      <c r="A125" t="s">
        <v>1002</v>
      </c>
      <c r="B125" t="s">
        <v>896</v>
      </c>
      <c r="C125" t="s">
        <v>1030</v>
      </c>
      <c r="D125">
        <v>665609</v>
      </c>
      <c r="E125" t="s">
        <v>77</v>
      </c>
    </row>
    <row r="126" spans="1:5">
      <c r="A126" t="s">
        <v>1002</v>
      </c>
      <c r="B126" t="s">
        <v>896</v>
      </c>
      <c r="C126" t="s">
        <v>1031</v>
      </c>
      <c r="D126">
        <v>510959</v>
      </c>
      <c r="E126" t="s">
        <v>743</v>
      </c>
    </row>
    <row r="127" spans="1:5">
      <c r="A127" t="s">
        <v>1002</v>
      </c>
      <c r="B127" t="s">
        <v>896</v>
      </c>
      <c r="C127" t="s">
        <v>1032</v>
      </c>
      <c r="D127">
        <v>267370</v>
      </c>
      <c r="E127" t="s">
        <v>371</v>
      </c>
    </row>
    <row r="128" spans="1:5">
      <c r="A128" t="s">
        <v>1002</v>
      </c>
      <c r="B128" t="s">
        <v>896</v>
      </c>
      <c r="C128" t="s">
        <v>1033</v>
      </c>
      <c r="D128">
        <v>635305</v>
      </c>
      <c r="E128" t="s">
        <v>504</v>
      </c>
    </row>
    <row r="129" spans="1:5">
      <c r="A129" t="s">
        <v>1002</v>
      </c>
      <c r="B129" t="s">
        <v>896</v>
      </c>
      <c r="C129" t="s">
        <v>1034</v>
      </c>
      <c r="D129">
        <v>192432</v>
      </c>
      <c r="E129" t="s">
        <v>815</v>
      </c>
    </row>
    <row r="130" spans="1:5">
      <c r="A130" t="s">
        <v>1035</v>
      </c>
      <c r="B130" t="s">
        <v>896</v>
      </c>
      <c r="C130" t="s">
        <v>1036</v>
      </c>
      <c r="D130">
        <v>729265</v>
      </c>
      <c r="E130" t="s">
        <v>594</v>
      </c>
    </row>
    <row r="131" spans="1:5">
      <c r="A131" t="s">
        <v>1035</v>
      </c>
      <c r="B131" t="s">
        <v>896</v>
      </c>
      <c r="C131" t="s">
        <v>1037</v>
      </c>
      <c r="D131">
        <v>872540</v>
      </c>
      <c r="E131" t="s">
        <v>733</v>
      </c>
    </row>
    <row r="132" spans="1:5">
      <c r="A132" t="s">
        <v>1035</v>
      </c>
      <c r="B132" t="s">
        <v>896</v>
      </c>
      <c r="C132" t="s">
        <v>929</v>
      </c>
      <c r="D132">
        <v>571329</v>
      </c>
      <c r="E132" t="s">
        <v>319</v>
      </c>
    </row>
    <row r="133" spans="1:5">
      <c r="A133" t="s">
        <v>1035</v>
      </c>
      <c r="B133" t="s">
        <v>896</v>
      </c>
      <c r="C133" t="s">
        <v>1038</v>
      </c>
      <c r="D133">
        <v>667491</v>
      </c>
      <c r="E133" t="s">
        <v>1039</v>
      </c>
    </row>
    <row r="134" spans="1:5">
      <c r="A134" t="s">
        <v>1035</v>
      </c>
      <c r="B134" t="s">
        <v>896</v>
      </c>
      <c r="C134" t="s">
        <v>1040</v>
      </c>
      <c r="D134">
        <v>872540</v>
      </c>
      <c r="E134" t="s">
        <v>733</v>
      </c>
    </row>
    <row r="135" spans="1:5">
      <c r="A135" t="s">
        <v>1035</v>
      </c>
      <c r="B135" t="s">
        <v>896</v>
      </c>
      <c r="C135" t="s">
        <v>1041</v>
      </c>
      <c r="D135">
        <v>166419</v>
      </c>
      <c r="E135" t="s">
        <v>308</v>
      </c>
    </row>
    <row r="136" spans="1:5">
      <c r="A136" t="s">
        <v>1035</v>
      </c>
      <c r="B136" t="s">
        <v>896</v>
      </c>
      <c r="C136" t="s">
        <v>1042</v>
      </c>
      <c r="D136">
        <v>872540</v>
      </c>
      <c r="E136" t="s">
        <v>733</v>
      </c>
    </row>
    <row r="137" spans="1:5">
      <c r="A137" t="s">
        <v>1035</v>
      </c>
      <c r="B137" t="s">
        <v>896</v>
      </c>
      <c r="C137" t="s">
        <v>1043</v>
      </c>
      <c r="D137">
        <v>872540</v>
      </c>
      <c r="E137" t="s">
        <v>733</v>
      </c>
    </row>
    <row r="138" spans="1:5">
      <c r="A138" t="s">
        <v>1035</v>
      </c>
      <c r="B138" t="s">
        <v>896</v>
      </c>
      <c r="C138" t="s">
        <v>1044</v>
      </c>
      <c r="D138">
        <v>828268</v>
      </c>
      <c r="E138" t="s">
        <v>30</v>
      </c>
    </row>
    <row r="139" spans="1:5">
      <c r="A139" t="s">
        <v>1035</v>
      </c>
      <c r="B139" t="s">
        <v>896</v>
      </c>
      <c r="C139" t="s">
        <v>1045</v>
      </c>
      <c r="D139">
        <v>459115</v>
      </c>
      <c r="E139" t="s">
        <v>631</v>
      </c>
    </row>
    <row r="140" spans="1:5">
      <c r="A140" t="s">
        <v>1035</v>
      </c>
      <c r="B140" t="s">
        <v>896</v>
      </c>
      <c r="C140" t="s">
        <v>1046</v>
      </c>
      <c r="D140">
        <v>872540</v>
      </c>
      <c r="E140" t="s">
        <v>733</v>
      </c>
    </row>
    <row r="141" spans="1:5">
      <c r="A141" t="s">
        <v>1035</v>
      </c>
      <c r="B141" t="s">
        <v>896</v>
      </c>
      <c r="C141" t="s">
        <v>1047</v>
      </c>
      <c r="D141">
        <v>468423</v>
      </c>
      <c r="E141" t="s">
        <v>393</v>
      </c>
    </row>
    <row r="142" spans="1:5">
      <c r="A142" t="s">
        <v>1035</v>
      </c>
      <c r="B142" t="s">
        <v>896</v>
      </c>
      <c r="C142" t="s">
        <v>1048</v>
      </c>
      <c r="D142">
        <v>832249</v>
      </c>
      <c r="E142" t="s">
        <v>85</v>
      </c>
    </row>
    <row r="143" spans="1:5">
      <c r="A143" t="s">
        <v>1035</v>
      </c>
      <c r="B143" t="s">
        <v>896</v>
      </c>
      <c r="C143" t="s">
        <v>1049</v>
      </c>
      <c r="D143">
        <v>828268</v>
      </c>
      <c r="E143" t="s">
        <v>30</v>
      </c>
    </row>
    <row r="144" spans="1:5">
      <c r="A144" t="s">
        <v>1035</v>
      </c>
      <c r="B144" t="s">
        <v>896</v>
      </c>
      <c r="C144" t="s">
        <v>1050</v>
      </c>
      <c r="D144">
        <v>832249</v>
      </c>
      <c r="E144" t="s">
        <v>85</v>
      </c>
    </row>
    <row r="145" spans="1:5">
      <c r="A145" t="s">
        <v>1035</v>
      </c>
      <c r="B145" t="s">
        <v>896</v>
      </c>
      <c r="C145" t="s">
        <v>1051</v>
      </c>
      <c r="D145">
        <v>872540</v>
      </c>
      <c r="E145" t="s">
        <v>733</v>
      </c>
    </row>
    <row r="146" spans="1:5">
      <c r="A146" t="s">
        <v>1035</v>
      </c>
      <c r="B146" t="s">
        <v>896</v>
      </c>
      <c r="C146" t="s">
        <v>1052</v>
      </c>
      <c r="D146">
        <v>828268</v>
      </c>
      <c r="E146" t="s">
        <v>30</v>
      </c>
    </row>
    <row r="147" spans="1:5">
      <c r="A147" t="s">
        <v>1053</v>
      </c>
      <c r="B147" t="s">
        <v>896</v>
      </c>
      <c r="C147" t="s">
        <v>1054</v>
      </c>
      <c r="D147">
        <v>681494</v>
      </c>
      <c r="E147" t="s">
        <v>535</v>
      </c>
    </row>
    <row r="148" spans="1:5">
      <c r="A148" t="s">
        <v>1053</v>
      </c>
      <c r="B148" t="s">
        <v>896</v>
      </c>
      <c r="C148" t="s">
        <v>1055</v>
      </c>
      <c r="D148">
        <v>667491</v>
      </c>
      <c r="E148" t="s">
        <v>1039</v>
      </c>
    </row>
    <row r="149" spans="1:5">
      <c r="A149" t="s">
        <v>1053</v>
      </c>
      <c r="B149" t="s">
        <v>896</v>
      </c>
      <c r="C149" t="s">
        <v>1056</v>
      </c>
      <c r="D149">
        <v>495533</v>
      </c>
      <c r="E149" t="s">
        <v>147</v>
      </c>
    </row>
    <row r="150" spans="1:5">
      <c r="A150" t="s">
        <v>1053</v>
      </c>
      <c r="B150" t="s">
        <v>896</v>
      </c>
      <c r="C150" t="s">
        <v>1057</v>
      </c>
      <c r="D150">
        <v>328548</v>
      </c>
      <c r="E150" t="s">
        <v>414</v>
      </c>
    </row>
    <row r="151" spans="1:5">
      <c r="A151" t="s">
        <v>1053</v>
      </c>
      <c r="B151" t="s">
        <v>896</v>
      </c>
      <c r="C151" t="s">
        <v>1058</v>
      </c>
      <c r="D151">
        <v>488062</v>
      </c>
      <c r="E151" t="s">
        <v>755</v>
      </c>
    </row>
    <row r="152" spans="1:5">
      <c r="A152" t="s">
        <v>1053</v>
      </c>
      <c r="B152" t="s">
        <v>896</v>
      </c>
      <c r="C152" t="s">
        <v>1059</v>
      </c>
      <c r="D152">
        <v>488062</v>
      </c>
      <c r="E152" t="s">
        <v>755</v>
      </c>
    </row>
    <row r="153" spans="1:5">
      <c r="A153" t="s">
        <v>1053</v>
      </c>
      <c r="B153" t="s">
        <v>896</v>
      </c>
      <c r="C153" t="s">
        <v>1060</v>
      </c>
      <c r="D153">
        <v>230735</v>
      </c>
      <c r="E153" t="s">
        <v>428</v>
      </c>
    </row>
    <row r="154" spans="1:5">
      <c r="A154" t="s">
        <v>1053</v>
      </c>
      <c r="B154" t="s">
        <v>896</v>
      </c>
      <c r="C154" t="s">
        <v>1061</v>
      </c>
      <c r="D154">
        <v>488062</v>
      </c>
      <c r="E154" t="s">
        <v>755</v>
      </c>
    </row>
    <row r="155" spans="1:5">
      <c r="A155" t="s">
        <v>1053</v>
      </c>
      <c r="B155" t="s">
        <v>896</v>
      </c>
      <c r="C155" t="s">
        <v>1062</v>
      </c>
      <c r="D155">
        <v>833503</v>
      </c>
      <c r="E155" t="s">
        <v>230</v>
      </c>
    </row>
    <row r="156" spans="1:5">
      <c r="A156" t="s">
        <v>1063</v>
      </c>
      <c r="B156" t="s">
        <v>896</v>
      </c>
      <c r="C156" t="s">
        <v>1064</v>
      </c>
      <c r="D156">
        <v>726889</v>
      </c>
      <c r="E156" t="s">
        <v>505</v>
      </c>
    </row>
    <row r="157" spans="1:5">
      <c r="A157" t="s">
        <v>1063</v>
      </c>
      <c r="B157" t="s">
        <v>896</v>
      </c>
      <c r="C157" t="s">
        <v>1065</v>
      </c>
      <c r="D157">
        <v>568663</v>
      </c>
      <c r="E157" t="s">
        <v>379</v>
      </c>
    </row>
    <row r="158" spans="1:5">
      <c r="A158" t="s">
        <v>1063</v>
      </c>
      <c r="B158" t="s">
        <v>896</v>
      </c>
      <c r="C158" t="s">
        <v>1066</v>
      </c>
      <c r="D158">
        <v>174416</v>
      </c>
      <c r="E158" t="s">
        <v>921</v>
      </c>
    </row>
    <row r="159" spans="1:5">
      <c r="A159" t="s">
        <v>1063</v>
      </c>
      <c r="B159" t="s">
        <v>896</v>
      </c>
      <c r="C159" t="s">
        <v>1067</v>
      </c>
      <c r="D159">
        <v>445999</v>
      </c>
      <c r="E159" t="s">
        <v>914</v>
      </c>
    </row>
    <row r="160" spans="1:5">
      <c r="A160" t="s">
        <v>1063</v>
      </c>
      <c r="B160" t="s">
        <v>896</v>
      </c>
      <c r="C160" t="s">
        <v>1068</v>
      </c>
      <c r="D160">
        <v>445999</v>
      </c>
      <c r="E160" t="s">
        <v>914</v>
      </c>
    </row>
    <row r="161" spans="1:5">
      <c r="A161" t="s">
        <v>1063</v>
      </c>
      <c r="B161" t="s">
        <v>896</v>
      </c>
      <c r="C161" t="s">
        <v>1069</v>
      </c>
      <c r="D161">
        <v>445999</v>
      </c>
      <c r="E161" t="s">
        <v>914</v>
      </c>
    </row>
    <row r="162" spans="1:5">
      <c r="A162" t="s">
        <v>1063</v>
      </c>
      <c r="B162" t="s">
        <v>896</v>
      </c>
      <c r="C162" t="s">
        <v>1070</v>
      </c>
      <c r="D162">
        <v>445999</v>
      </c>
      <c r="E162" t="s">
        <v>914</v>
      </c>
    </row>
    <row r="163" spans="1:5">
      <c r="A163" t="s">
        <v>1063</v>
      </c>
      <c r="B163" t="s">
        <v>896</v>
      </c>
      <c r="C163" t="s">
        <v>1071</v>
      </c>
      <c r="D163">
        <v>286123</v>
      </c>
      <c r="E163" t="s">
        <v>355</v>
      </c>
    </row>
    <row r="164" spans="1:5">
      <c r="A164" t="s">
        <v>1063</v>
      </c>
      <c r="B164" t="s">
        <v>896</v>
      </c>
      <c r="C164" t="s">
        <v>1072</v>
      </c>
      <c r="D164">
        <v>445999</v>
      </c>
      <c r="E164" t="s">
        <v>914</v>
      </c>
    </row>
    <row r="165" spans="1:5">
      <c r="A165" t="s">
        <v>1063</v>
      </c>
      <c r="B165" t="s">
        <v>896</v>
      </c>
      <c r="C165" t="s">
        <v>1073</v>
      </c>
      <c r="D165">
        <v>568663</v>
      </c>
      <c r="E165" t="s">
        <v>379</v>
      </c>
    </row>
    <row r="166" spans="1:5">
      <c r="A166" t="s">
        <v>1063</v>
      </c>
      <c r="B166" t="s">
        <v>896</v>
      </c>
      <c r="C166" t="s">
        <v>1074</v>
      </c>
      <c r="D166">
        <v>830884</v>
      </c>
      <c r="E166" t="s">
        <v>587</v>
      </c>
    </row>
    <row r="167" spans="1:5">
      <c r="A167" t="s">
        <v>1063</v>
      </c>
      <c r="B167" t="s">
        <v>896</v>
      </c>
      <c r="C167" t="s">
        <v>1075</v>
      </c>
      <c r="D167">
        <v>472114</v>
      </c>
      <c r="E167" t="s">
        <v>135</v>
      </c>
    </row>
    <row r="168" spans="1:5">
      <c r="A168" t="s">
        <v>1063</v>
      </c>
      <c r="B168" t="s">
        <v>896</v>
      </c>
      <c r="C168" t="s">
        <v>1076</v>
      </c>
      <c r="D168">
        <v>830884</v>
      </c>
      <c r="E168" t="s">
        <v>587</v>
      </c>
    </row>
    <row r="169" spans="1:5">
      <c r="A169" t="s">
        <v>1063</v>
      </c>
      <c r="B169" t="s">
        <v>896</v>
      </c>
      <c r="C169" t="s">
        <v>1077</v>
      </c>
      <c r="D169">
        <v>568663</v>
      </c>
      <c r="E169" t="s">
        <v>379</v>
      </c>
    </row>
    <row r="170" spans="1:5">
      <c r="A170" t="s">
        <v>1063</v>
      </c>
      <c r="B170" t="s">
        <v>896</v>
      </c>
      <c r="C170" t="s">
        <v>1078</v>
      </c>
      <c r="D170">
        <v>595661</v>
      </c>
      <c r="E170" t="s">
        <v>419</v>
      </c>
    </row>
    <row r="171" spans="1:5">
      <c r="A171" t="s">
        <v>1063</v>
      </c>
      <c r="B171" t="s">
        <v>896</v>
      </c>
      <c r="C171" t="s">
        <v>1079</v>
      </c>
      <c r="D171">
        <v>726889</v>
      </c>
      <c r="E171" t="s">
        <v>505</v>
      </c>
    </row>
    <row r="172" spans="1:5">
      <c r="A172" t="s">
        <v>1063</v>
      </c>
      <c r="B172" t="s">
        <v>896</v>
      </c>
      <c r="C172" t="s">
        <v>1080</v>
      </c>
      <c r="D172">
        <v>237426</v>
      </c>
      <c r="E172" t="s">
        <v>708</v>
      </c>
    </row>
    <row r="173" spans="1:5">
      <c r="A173" t="s">
        <v>1063</v>
      </c>
      <c r="B173" t="s">
        <v>896</v>
      </c>
      <c r="C173" t="s">
        <v>1081</v>
      </c>
      <c r="D173">
        <v>902755</v>
      </c>
      <c r="E173" t="s">
        <v>231</v>
      </c>
    </row>
    <row r="174" spans="1:5">
      <c r="A174" t="s">
        <v>1063</v>
      </c>
      <c r="B174" t="s">
        <v>896</v>
      </c>
      <c r="C174" t="s">
        <v>1082</v>
      </c>
      <c r="D174">
        <v>858791</v>
      </c>
      <c r="E174" t="s">
        <v>1083</v>
      </c>
    </row>
    <row r="175" spans="1:5">
      <c r="A175" t="s">
        <v>1063</v>
      </c>
      <c r="B175" t="s">
        <v>896</v>
      </c>
      <c r="C175" t="s">
        <v>1084</v>
      </c>
      <c r="D175">
        <v>902755</v>
      </c>
      <c r="E175" t="s">
        <v>231</v>
      </c>
    </row>
    <row r="176" spans="1:5">
      <c r="A176" t="s">
        <v>1063</v>
      </c>
      <c r="B176" t="s">
        <v>896</v>
      </c>
      <c r="C176" t="s">
        <v>1085</v>
      </c>
      <c r="D176">
        <v>174416</v>
      </c>
      <c r="E176" t="s">
        <v>921</v>
      </c>
    </row>
    <row r="177" spans="1:5">
      <c r="A177" t="s">
        <v>1063</v>
      </c>
      <c r="B177" t="s">
        <v>896</v>
      </c>
      <c r="C177" t="s">
        <v>1086</v>
      </c>
      <c r="D177">
        <v>568663</v>
      </c>
      <c r="E177" t="s">
        <v>379</v>
      </c>
    </row>
    <row r="178" spans="1:5">
      <c r="A178" t="s">
        <v>1063</v>
      </c>
      <c r="B178" t="s">
        <v>896</v>
      </c>
      <c r="C178" t="s">
        <v>1087</v>
      </c>
      <c r="D178">
        <v>830884</v>
      </c>
      <c r="E178" t="s">
        <v>587</v>
      </c>
    </row>
    <row r="179" spans="1:5">
      <c r="A179" t="s">
        <v>1063</v>
      </c>
      <c r="B179" t="s">
        <v>896</v>
      </c>
      <c r="C179" t="s">
        <v>1088</v>
      </c>
      <c r="D179">
        <v>268853</v>
      </c>
      <c r="E179" t="s">
        <v>300</v>
      </c>
    </row>
    <row r="180" spans="1:5">
      <c r="A180" t="s">
        <v>1089</v>
      </c>
      <c r="B180" t="s">
        <v>896</v>
      </c>
      <c r="C180" t="s">
        <v>1090</v>
      </c>
      <c r="D180">
        <v>224398</v>
      </c>
      <c r="E180" t="s">
        <v>557</v>
      </c>
    </row>
    <row r="181" spans="1:5">
      <c r="A181" t="s">
        <v>1089</v>
      </c>
      <c r="B181" t="s">
        <v>896</v>
      </c>
      <c r="C181" t="s">
        <v>1091</v>
      </c>
      <c r="D181">
        <v>569123</v>
      </c>
      <c r="E181" t="s">
        <v>424</v>
      </c>
    </row>
    <row r="182" spans="1:5">
      <c r="A182" t="s">
        <v>1089</v>
      </c>
      <c r="B182" t="s">
        <v>896</v>
      </c>
      <c r="C182" t="s">
        <v>1092</v>
      </c>
      <c r="D182">
        <v>224398</v>
      </c>
      <c r="E182" t="s">
        <v>557</v>
      </c>
    </row>
    <row r="183" spans="1:5">
      <c r="A183" t="s">
        <v>1089</v>
      </c>
      <c r="B183" t="s">
        <v>896</v>
      </c>
      <c r="C183" t="s">
        <v>1093</v>
      </c>
      <c r="D183">
        <v>836658</v>
      </c>
      <c r="E183" t="s">
        <v>514</v>
      </c>
    </row>
    <row r="184" spans="1:5">
      <c r="A184" t="s">
        <v>1089</v>
      </c>
      <c r="B184" t="s">
        <v>896</v>
      </c>
      <c r="C184" t="s">
        <v>1094</v>
      </c>
      <c r="D184">
        <v>741443</v>
      </c>
      <c r="E184" t="s">
        <v>267</v>
      </c>
    </row>
    <row r="185" spans="1:5">
      <c r="A185" t="s">
        <v>1089</v>
      </c>
      <c r="B185" t="s">
        <v>896</v>
      </c>
      <c r="C185" t="s">
        <v>1095</v>
      </c>
      <c r="D185">
        <v>569123</v>
      </c>
      <c r="E185" t="s">
        <v>424</v>
      </c>
    </row>
    <row r="186" spans="1:5">
      <c r="A186" t="s">
        <v>1089</v>
      </c>
      <c r="B186" t="s">
        <v>896</v>
      </c>
      <c r="C186" t="s">
        <v>1096</v>
      </c>
      <c r="D186">
        <v>224398</v>
      </c>
      <c r="E186" t="s">
        <v>557</v>
      </c>
    </row>
    <row r="187" spans="1:5">
      <c r="A187" t="s">
        <v>1089</v>
      </c>
      <c r="B187" t="s">
        <v>896</v>
      </c>
      <c r="C187" t="s">
        <v>1097</v>
      </c>
      <c r="D187">
        <v>836658</v>
      </c>
      <c r="E187" t="s">
        <v>514</v>
      </c>
    </row>
    <row r="188" spans="1:5">
      <c r="A188" t="s">
        <v>1089</v>
      </c>
      <c r="B188" t="s">
        <v>896</v>
      </c>
      <c r="C188" t="s">
        <v>1098</v>
      </c>
      <c r="D188">
        <v>891738</v>
      </c>
      <c r="E188" t="s">
        <v>447</v>
      </c>
    </row>
    <row r="189" spans="1:5">
      <c r="A189" t="s">
        <v>1089</v>
      </c>
      <c r="B189" t="s">
        <v>896</v>
      </c>
      <c r="C189" t="s">
        <v>1099</v>
      </c>
      <c r="D189">
        <v>403667</v>
      </c>
      <c r="E189" t="s">
        <v>613</v>
      </c>
    </row>
    <row r="190" spans="1:5">
      <c r="A190" t="s">
        <v>1089</v>
      </c>
      <c r="B190" t="s">
        <v>896</v>
      </c>
      <c r="C190" t="s">
        <v>1100</v>
      </c>
      <c r="D190">
        <v>372832</v>
      </c>
      <c r="E190" t="s">
        <v>326</v>
      </c>
    </row>
    <row r="191" spans="1:5">
      <c r="A191" t="s">
        <v>1089</v>
      </c>
      <c r="B191" t="s">
        <v>896</v>
      </c>
      <c r="C191" t="s">
        <v>1101</v>
      </c>
      <c r="D191">
        <v>130177</v>
      </c>
      <c r="E191" t="s">
        <v>234</v>
      </c>
    </row>
    <row r="192" spans="1:5">
      <c r="A192" t="s">
        <v>1089</v>
      </c>
      <c r="B192" t="s">
        <v>896</v>
      </c>
      <c r="C192" t="s">
        <v>1102</v>
      </c>
      <c r="D192">
        <v>224398</v>
      </c>
      <c r="E192" t="s">
        <v>557</v>
      </c>
    </row>
    <row r="193" spans="1:5">
      <c r="A193" t="s">
        <v>1089</v>
      </c>
      <c r="B193" t="s">
        <v>896</v>
      </c>
      <c r="C193" t="s">
        <v>1103</v>
      </c>
      <c r="D193">
        <v>569123</v>
      </c>
      <c r="E193" t="s">
        <v>424</v>
      </c>
    </row>
    <row r="194" spans="1:5">
      <c r="A194" t="s">
        <v>1089</v>
      </c>
      <c r="B194" t="s">
        <v>896</v>
      </c>
      <c r="C194" t="s">
        <v>1104</v>
      </c>
      <c r="D194">
        <v>932894</v>
      </c>
      <c r="E194" t="s">
        <v>335</v>
      </c>
    </row>
    <row r="195" spans="1:5">
      <c r="A195" t="s">
        <v>1089</v>
      </c>
      <c r="B195" t="s">
        <v>896</v>
      </c>
      <c r="C195" t="s">
        <v>1105</v>
      </c>
      <c r="D195">
        <v>403667</v>
      </c>
      <c r="E195" t="s">
        <v>613</v>
      </c>
    </row>
    <row r="196" spans="1:5">
      <c r="A196" t="s">
        <v>1089</v>
      </c>
      <c r="B196" t="s">
        <v>896</v>
      </c>
      <c r="C196" t="s">
        <v>1106</v>
      </c>
      <c r="D196">
        <v>836658</v>
      </c>
      <c r="E196" t="s">
        <v>514</v>
      </c>
    </row>
    <row r="197" spans="1:5">
      <c r="A197" t="s">
        <v>1089</v>
      </c>
      <c r="B197" t="s">
        <v>896</v>
      </c>
      <c r="C197" t="s">
        <v>1107</v>
      </c>
      <c r="D197">
        <v>944892</v>
      </c>
      <c r="E197" t="s">
        <v>948</v>
      </c>
    </row>
    <row r="198" spans="1:5">
      <c r="A198" t="s">
        <v>1089</v>
      </c>
      <c r="B198" t="s">
        <v>896</v>
      </c>
      <c r="C198" t="s">
        <v>1108</v>
      </c>
      <c r="D198">
        <v>488062</v>
      </c>
      <c r="E198" t="s">
        <v>755</v>
      </c>
    </row>
    <row r="199" spans="1:5">
      <c r="A199" t="s">
        <v>1089</v>
      </c>
      <c r="B199" t="s">
        <v>896</v>
      </c>
      <c r="C199" t="s">
        <v>1109</v>
      </c>
      <c r="D199">
        <v>741443</v>
      </c>
      <c r="E199" t="s">
        <v>267</v>
      </c>
    </row>
    <row r="200" spans="1:5">
      <c r="A200" t="s">
        <v>1089</v>
      </c>
      <c r="B200" t="s">
        <v>896</v>
      </c>
      <c r="C200" t="s">
        <v>1110</v>
      </c>
      <c r="D200">
        <v>836658</v>
      </c>
      <c r="E200" t="s">
        <v>514</v>
      </c>
    </row>
    <row r="201" spans="1:5">
      <c r="A201" t="s">
        <v>1089</v>
      </c>
      <c r="B201" t="s">
        <v>896</v>
      </c>
      <c r="C201" t="s">
        <v>1111</v>
      </c>
      <c r="D201">
        <v>224398</v>
      </c>
      <c r="E201" t="s">
        <v>557</v>
      </c>
    </row>
    <row r="202" spans="1:5">
      <c r="A202" t="s">
        <v>1089</v>
      </c>
      <c r="B202" t="s">
        <v>896</v>
      </c>
      <c r="C202" t="s">
        <v>1112</v>
      </c>
      <c r="D202">
        <v>557897</v>
      </c>
      <c r="E202" t="s">
        <v>18</v>
      </c>
    </row>
    <row r="203" spans="1:5">
      <c r="A203" t="s">
        <v>1089</v>
      </c>
      <c r="B203" t="s">
        <v>896</v>
      </c>
      <c r="C203" t="s">
        <v>1113</v>
      </c>
      <c r="D203">
        <v>569123</v>
      </c>
      <c r="E203" t="s">
        <v>424</v>
      </c>
    </row>
    <row r="204" spans="1:5">
      <c r="A204" t="s">
        <v>1114</v>
      </c>
      <c r="B204" t="s">
        <v>896</v>
      </c>
    </row>
    <row r="205" spans="1:5">
      <c r="A205" t="s">
        <v>1115</v>
      </c>
      <c r="B205" t="s">
        <v>896</v>
      </c>
      <c r="C205" t="s">
        <v>1116</v>
      </c>
      <c r="D205">
        <v>366232</v>
      </c>
      <c r="E205" t="s">
        <v>152</v>
      </c>
    </row>
    <row r="206" spans="1:5">
      <c r="A206" t="s">
        <v>1115</v>
      </c>
      <c r="B206" t="s">
        <v>896</v>
      </c>
      <c r="C206" t="s">
        <v>1117</v>
      </c>
      <c r="D206">
        <v>157147</v>
      </c>
      <c r="E206" t="s">
        <v>431</v>
      </c>
    </row>
    <row r="207" spans="1:5">
      <c r="A207" t="s">
        <v>1115</v>
      </c>
      <c r="B207" t="s">
        <v>896</v>
      </c>
      <c r="C207" t="s">
        <v>1118</v>
      </c>
      <c r="D207">
        <v>926369</v>
      </c>
      <c r="E207" t="s">
        <v>239</v>
      </c>
    </row>
    <row r="208" spans="1:5">
      <c r="A208" t="s">
        <v>1115</v>
      </c>
      <c r="B208" t="s">
        <v>896</v>
      </c>
      <c r="C208" t="s">
        <v>1119</v>
      </c>
      <c r="D208">
        <v>924566</v>
      </c>
      <c r="E208" t="s">
        <v>359</v>
      </c>
    </row>
    <row r="209" spans="1:5">
      <c r="A209" t="s">
        <v>1115</v>
      </c>
      <c r="B209" t="s">
        <v>896</v>
      </c>
      <c r="C209" t="s">
        <v>1120</v>
      </c>
      <c r="D209">
        <v>924566</v>
      </c>
      <c r="E209" t="s">
        <v>359</v>
      </c>
    </row>
    <row r="210" spans="1:5">
      <c r="A210" t="s">
        <v>1115</v>
      </c>
      <c r="B210" t="s">
        <v>896</v>
      </c>
      <c r="C210" t="s">
        <v>1121</v>
      </c>
      <c r="D210">
        <v>821988</v>
      </c>
      <c r="E210" t="s">
        <v>111</v>
      </c>
    </row>
    <row r="211" spans="1:5">
      <c r="A211" t="s">
        <v>1115</v>
      </c>
      <c r="B211" t="s">
        <v>896</v>
      </c>
      <c r="C211" t="s">
        <v>1122</v>
      </c>
      <c r="D211">
        <v>974730</v>
      </c>
      <c r="E211" t="s">
        <v>93</v>
      </c>
    </row>
    <row r="212" spans="1:5">
      <c r="A212" t="s">
        <v>1115</v>
      </c>
      <c r="B212" t="s">
        <v>896</v>
      </c>
      <c r="C212" t="s">
        <v>1123</v>
      </c>
      <c r="D212">
        <v>563635</v>
      </c>
      <c r="E212" t="s">
        <v>678</v>
      </c>
    </row>
    <row r="213" spans="1:5">
      <c r="A213" t="s">
        <v>1115</v>
      </c>
      <c r="B213" t="s">
        <v>896</v>
      </c>
      <c r="C213" t="s">
        <v>1124</v>
      </c>
      <c r="D213">
        <v>761495</v>
      </c>
      <c r="E213" t="s">
        <v>565</v>
      </c>
    </row>
    <row r="214" spans="1:5">
      <c r="A214" t="s">
        <v>1115</v>
      </c>
      <c r="B214" t="s">
        <v>896</v>
      </c>
      <c r="C214" t="s">
        <v>1125</v>
      </c>
      <c r="D214">
        <v>761495</v>
      </c>
      <c r="E214" t="s">
        <v>565</v>
      </c>
    </row>
    <row r="215" spans="1:5">
      <c r="A215" t="s">
        <v>1115</v>
      </c>
      <c r="B215" t="s">
        <v>896</v>
      </c>
      <c r="C215" t="s">
        <v>1126</v>
      </c>
      <c r="D215">
        <v>967920</v>
      </c>
      <c r="E215" t="s">
        <v>499</v>
      </c>
    </row>
    <row r="216" spans="1:5">
      <c r="A216" t="s">
        <v>1115</v>
      </c>
      <c r="B216" t="s">
        <v>896</v>
      </c>
      <c r="C216" t="s">
        <v>1127</v>
      </c>
      <c r="D216">
        <v>366232</v>
      </c>
      <c r="E216" t="s">
        <v>152</v>
      </c>
    </row>
    <row r="217" spans="1:5">
      <c r="A217" t="s">
        <v>1115</v>
      </c>
      <c r="B217" t="s">
        <v>896</v>
      </c>
      <c r="C217" t="s">
        <v>1128</v>
      </c>
      <c r="D217">
        <v>924566</v>
      </c>
      <c r="E217" t="s">
        <v>359</v>
      </c>
    </row>
    <row r="218" spans="1:5">
      <c r="A218" t="s">
        <v>1115</v>
      </c>
      <c r="B218" t="s">
        <v>896</v>
      </c>
      <c r="C218" t="s">
        <v>1129</v>
      </c>
      <c r="D218">
        <v>924566</v>
      </c>
      <c r="E218" t="s">
        <v>359</v>
      </c>
    </row>
    <row r="219" spans="1:5">
      <c r="A219" t="s">
        <v>1115</v>
      </c>
      <c r="B219" t="s">
        <v>896</v>
      </c>
      <c r="C219" t="s">
        <v>1130</v>
      </c>
      <c r="D219">
        <v>635305</v>
      </c>
      <c r="E219" t="s">
        <v>504</v>
      </c>
    </row>
    <row r="220" spans="1:5">
      <c r="A220" t="s">
        <v>1115</v>
      </c>
      <c r="B220" t="s">
        <v>896</v>
      </c>
      <c r="C220" t="s">
        <v>1131</v>
      </c>
      <c r="D220">
        <v>924566</v>
      </c>
      <c r="E220" t="s">
        <v>359</v>
      </c>
    </row>
    <row r="221" spans="1:5">
      <c r="A221" t="s">
        <v>1115</v>
      </c>
      <c r="B221" t="s">
        <v>896</v>
      </c>
      <c r="C221" t="s">
        <v>1132</v>
      </c>
      <c r="D221">
        <v>761495</v>
      </c>
      <c r="E221" t="s">
        <v>565</v>
      </c>
    </row>
    <row r="222" spans="1:5">
      <c r="A222" t="s">
        <v>1115</v>
      </c>
      <c r="B222" t="s">
        <v>896</v>
      </c>
      <c r="C222" t="s">
        <v>1133</v>
      </c>
      <c r="D222">
        <v>967920</v>
      </c>
      <c r="E222" t="s">
        <v>499</v>
      </c>
    </row>
    <row r="223" spans="1:5">
      <c r="A223" t="s">
        <v>1115</v>
      </c>
      <c r="B223" t="s">
        <v>896</v>
      </c>
      <c r="C223" t="s">
        <v>1134</v>
      </c>
      <c r="D223">
        <v>904795</v>
      </c>
      <c r="E223" t="s">
        <v>971</v>
      </c>
    </row>
    <row r="224" spans="1:5">
      <c r="A224" t="s">
        <v>1115</v>
      </c>
      <c r="B224" t="s">
        <v>896</v>
      </c>
      <c r="C224" t="s">
        <v>1135</v>
      </c>
      <c r="D224">
        <v>904795</v>
      </c>
      <c r="E224" t="s">
        <v>971</v>
      </c>
    </row>
    <row r="225" spans="1:5">
      <c r="A225" t="s">
        <v>1115</v>
      </c>
      <c r="B225" t="s">
        <v>896</v>
      </c>
      <c r="C225" t="s">
        <v>1136</v>
      </c>
      <c r="D225">
        <v>494188</v>
      </c>
      <c r="E225" t="s">
        <v>593</v>
      </c>
    </row>
    <row r="226" spans="1:5">
      <c r="A226" t="s">
        <v>1115</v>
      </c>
      <c r="B226" t="s">
        <v>896</v>
      </c>
      <c r="C226" t="s">
        <v>1137</v>
      </c>
      <c r="D226">
        <v>563635</v>
      </c>
      <c r="E226" t="s">
        <v>678</v>
      </c>
    </row>
    <row r="227" spans="1:5">
      <c r="A227" t="s">
        <v>1115</v>
      </c>
      <c r="B227" t="s">
        <v>896</v>
      </c>
      <c r="C227" t="s">
        <v>1138</v>
      </c>
      <c r="D227">
        <v>924566</v>
      </c>
      <c r="E227" t="s">
        <v>359</v>
      </c>
    </row>
    <row r="228" spans="1:5">
      <c r="A228" t="s">
        <v>1115</v>
      </c>
      <c r="B228" t="s">
        <v>896</v>
      </c>
      <c r="C228" t="s">
        <v>1139</v>
      </c>
      <c r="D228">
        <v>924566</v>
      </c>
      <c r="E228" t="s">
        <v>359</v>
      </c>
    </row>
    <row r="229" spans="1:5">
      <c r="A229" t="s">
        <v>1115</v>
      </c>
      <c r="B229" t="s">
        <v>896</v>
      </c>
      <c r="C229" t="s">
        <v>1140</v>
      </c>
      <c r="D229">
        <v>967920</v>
      </c>
      <c r="E229" t="s">
        <v>499</v>
      </c>
    </row>
    <row r="230" spans="1:5">
      <c r="A230" t="s">
        <v>1115</v>
      </c>
      <c r="B230" t="s">
        <v>896</v>
      </c>
      <c r="C230" t="s">
        <v>1141</v>
      </c>
      <c r="D230">
        <v>904795</v>
      </c>
      <c r="E230" t="s">
        <v>971</v>
      </c>
    </row>
    <row r="231" spans="1:5">
      <c r="A231" t="s">
        <v>1115</v>
      </c>
      <c r="B231" t="s">
        <v>896</v>
      </c>
      <c r="C231" t="s">
        <v>1142</v>
      </c>
      <c r="D231">
        <v>904795</v>
      </c>
      <c r="E231" t="s">
        <v>971</v>
      </c>
    </row>
    <row r="232" spans="1:5">
      <c r="A232" t="s">
        <v>1115</v>
      </c>
      <c r="B232" t="s">
        <v>896</v>
      </c>
      <c r="C232" t="s">
        <v>1143</v>
      </c>
      <c r="D232">
        <v>413594</v>
      </c>
      <c r="E232" t="s">
        <v>782</v>
      </c>
    </row>
    <row r="233" spans="1:5">
      <c r="A233" t="s">
        <v>1144</v>
      </c>
      <c r="B233" t="s">
        <v>896</v>
      </c>
      <c r="C233" t="s">
        <v>1145</v>
      </c>
      <c r="D233">
        <v>621916</v>
      </c>
      <c r="E233" t="s">
        <v>181</v>
      </c>
    </row>
    <row r="234" spans="1:5">
      <c r="A234" t="s">
        <v>1144</v>
      </c>
      <c r="B234" t="s">
        <v>896</v>
      </c>
      <c r="C234" t="s">
        <v>1146</v>
      </c>
      <c r="D234">
        <v>724841</v>
      </c>
      <c r="E234" t="s">
        <v>176</v>
      </c>
    </row>
    <row r="235" spans="1:5">
      <c r="A235" t="s">
        <v>1144</v>
      </c>
      <c r="B235" t="s">
        <v>896</v>
      </c>
      <c r="C235" t="s">
        <v>1147</v>
      </c>
      <c r="D235">
        <v>816531</v>
      </c>
      <c r="E235" t="s">
        <v>102</v>
      </c>
    </row>
    <row r="236" spans="1:5">
      <c r="A236" t="s">
        <v>1144</v>
      </c>
      <c r="B236" t="s">
        <v>896</v>
      </c>
      <c r="C236" t="s">
        <v>1148</v>
      </c>
      <c r="D236">
        <v>847592</v>
      </c>
      <c r="E236" t="s">
        <v>989</v>
      </c>
    </row>
    <row r="237" spans="1:5">
      <c r="A237" t="s">
        <v>1144</v>
      </c>
      <c r="B237" t="s">
        <v>896</v>
      </c>
      <c r="C237" t="s">
        <v>1149</v>
      </c>
      <c r="D237">
        <v>707444</v>
      </c>
      <c r="E237" t="s">
        <v>623</v>
      </c>
    </row>
    <row r="238" spans="1:5">
      <c r="A238" t="s">
        <v>1144</v>
      </c>
      <c r="B238" t="s">
        <v>896</v>
      </c>
      <c r="C238" t="s">
        <v>1150</v>
      </c>
      <c r="D238">
        <v>707444</v>
      </c>
      <c r="E238" t="s">
        <v>623</v>
      </c>
    </row>
    <row r="239" spans="1:5">
      <c r="A239" t="s">
        <v>1144</v>
      </c>
      <c r="B239" t="s">
        <v>896</v>
      </c>
      <c r="C239" t="s">
        <v>1151</v>
      </c>
      <c r="D239">
        <v>724884</v>
      </c>
      <c r="E239" t="s">
        <v>650</v>
      </c>
    </row>
    <row r="240" spans="1:5">
      <c r="A240" t="s">
        <v>1144</v>
      </c>
      <c r="B240" t="s">
        <v>896</v>
      </c>
      <c r="C240" t="s">
        <v>1152</v>
      </c>
      <c r="D240">
        <v>482778</v>
      </c>
      <c r="E240" t="s">
        <v>512</v>
      </c>
    </row>
    <row r="241" spans="1:5">
      <c r="A241" t="s">
        <v>1144</v>
      </c>
      <c r="B241" t="s">
        <v>896</v>
      </c>
      <c r="C241" t="s">
        <v>1153</v>
      </c>
      <c r="D241">
        <v>373149</v>
      </c>
      <c r="E241" t="s">
        <v>653</v>
      </c>
    </row>
    <row r="242" spans="1:5">
      <c r="A242" t="s">
        <v>1144</v>
      </c>
      <c r="B242" t="s">
        <v>896</v>
      </c>
      <c r="C242" t="s">
        <v>1154</v>
      </c>
      <c r="D242">
        <v>847592</v>
      </c>
      <c r="E242" t="s">
        <v>989</v>
      </c>
    </row>
    <row r="243" spans="1:5">
      <c r="A243" t="s">
        <v>1144</v>
      </c>
      <c r="B243" t="s">
        <v>896</v>
      </c>
      <c r="C243" t="s">
        <v>1155</v>
      </c>
      <c r="D243">
        <v>495110</v>
      </c>
      <c r="E243" t="s">
        <v>413</v>
      </c>
    </row>
    <row r="244" spans="1:5">
      <c r="A244" t="s">
        <v>1144</v>
      </c>
      <c r="B244" t="s">
        <v>896</v>
      </c>
      <c r="C244" t="s">
        <v>1156</v>
      </c>
      <c r="D244">
        <v>223372</v>
      </c>
      <c r="E244" t="s">
        <v>196</v>
      </c>
    </row>
    <row r="245" spans="1:5">
      <c r="A245" t="s">
        <v>1157</v>
      </c>
      <c r="B245" t="s">
        <v>896</v>
      </c>
      <c r="C245" t="s">
        <v>1158</v>
      </c>
      <c r="D245">
        <v>652343</v>
      </c>
      <c r="E245" t="s">
        <v>348</v>
      </c>
    </row>
    <row r="246" spans="1:5">
      <c r="A246" t="s">
        <v>1157</v>
      </c>
      <c r="B246" t="s">
        <v>896</v>
      </c>
      <c r="C246" t="s">
        <v>1159</v>
      </c>
      <c r="D246">
        <v>717385</v>
      </c>
      <c r="E246" t="s">
        <v>570</v>
      </c>
    </row>
    <row r="247" spans="1:5">
      <c r="A247" t="s">
        <v>1157</v>
      </c>
      <c r="B247" t="s">
        <v>896</v>
      </c>
      <c r="C247" t="s">
        <v>1160</v>
      </c>
      <c r="D247">
        <v>671261</v>
      </c>
      <c r="E247" t="s">
        <v>281</v>
      </c>
    </row>
    <row r="248" spans="1:5">
      <c r="A248" t="s">
        <v>1157</v>
      </c>
      <c r="B248" t="s">
        <v>896</v>
      </c>
      <c r="C248" t="s">
        <v>1161</v>
      </c>
      <c r="D248">
        <v>967920</v>
      </c>
      <c r="E248" t="s">
        <v>499</v>
      </c>
    </row>
    <row r="249" spans="1:5">
      <c r="A249" t="s">
        <v>1157</v>
      </c>
      <c r="B249" t="s">
        <v>896</v>
      </c>
      <c r="C249" t="s">
        <v>1162</v>
      </c>
      <c r="D249">
        <v>671261</v>
      </c>
      <c r="E249" t="s">
        <v>281</v>
      </c>
    </row>
    <row r="250" spans="1:5">
      <c r="A250" t="s">
        <v>1157</v>
      </c>
      <c r="B250" t="s">
        <v>896</v>
      </c>
      <c r="C250" t="s">
        <v>1163</v>
      </c>
      <c r="D250">
        <v>473022</v>
      </c>
      <c r="E250" t="s">
        <v>749</v>
      </c>
    </row>
    <row r="251" spans="1:5">
      <c r="A251" t="s">
        <v>1157</v>
      </c>
      <c r="B251" t="s">
        <v>896</v>
      </c>
      <c r="C251" t="s">
        <v>1164</v>
      </c>
      <c r="D251">
        <v>635305</v>
      </c>
      <c r="E251" t="s">
        <v>504</v>
      </c>
    </row>
    <row r="252" spans="1:5">
      <c r="A252" t="s">
        <v>1157</v>
      </c>
      <c r="B252" t="s">
        <v>896</v>
      </c>
      <c r="C252" t="s">
        <v>1165</v>
      </c>
      <c r="D252">
        <v>470624</v>
      </c>
      <c r="E252" t="s">
        <v>525</v>
      </c>
    </row>
    <row r="253" spans="1:5">
      <c r="A253" t="s">
        <v>1157</v>
      </c>
      <c r="B253" t="s">
        <v>896</v>
      </c>
      <c r="C253" t="s">
        <v>1166</v>
      </c>
      <c r="D253">
        <v>597830</v>
      </c>
      <c r="E253" t="s">
        <v>134</v>
      </c>
    </row>
    <row r="254" spans="1:5">
      <c r="A254" t="s">
        <v>1157</v>
      </c>
      <c r="B254" t="s">
        <v>896</v>
      </c>
      <c r="C254" t="s">
        <v>1167</v>
      </c>
      <c r="D254">
        <v>717385</v>
      </c>
      <c r="E254" t="s">
        <v>570</v>
      </c>
    </row>
    <row r="255" spans="1:5">
      <c r="A255" t="s">
        <v>1157</v>
      </c>
      <c r="B255" t="s">
        <v>896</v>
      </c>
      <c r="C255" t="s">
        <v>1168</v>
      </c>
      <c r="D255">
        <v>789082</v>
      </c>
      <c r="E255" t="s">
        <v>327</v>
      </c>
    </row>
    <row r="256" spans="1:5">
      <c r="A256" t="s">
        <v>1157</v>
      </c>
      <c r="B256" t="s">
        <v>896</v>
      </c>
      <c r="C256" t="s">
        <v>1169</v>
      </c>
      <c r="D256">
        <v>665609</v>
      </c>
      <c r="E256" t="s">
        <v>77</v>
      </c>
    </row>
    <row r="257" spans="1:5">
      <c r="A257" t="s">
        <v>1157</v>
      </c>
      <c r="B257" t="s">
        <v>896</v>
      </c>
      <c r="C257" t="s">
        <v>1170</v>
      </c>
      <c r="D257">
        <v>671261</v>
      </c>
      <c r="E257" t="s">
        <v>281</v>
      </c>
    </row>
    <row r="258" spans="1:5">
      <c r="A258" t="s">
        <v>1157</v>
      </c>
      <c r="B258" t="s">
        <v>896</v>
      </c>
      <c r="C258" t="s">
        <v>1171</v>
      </c>
      <c r="D258">
        <v>192432</v>
      </c>
      <c r="E258" t="s">
        <v>815</v>
      </c>
    </row>
    <row r="259" spans="1:5">
      <c r="A259" t="s">
        <v>1157</v>
      </c>
      <c r="B259" t="s">
        <v>896</v>
      </c>
      <c r="C259" t="s">
        <v>1172</v>
      </c>
      <c r="D259">
        <v>192432</v>
      </c>
      <c r="E259" t="s">
        <v>815</v>
      </c>
    </row>
    <row r="260" spans="1:5">
      <c r="A260" t="s">
        <v>1157</v>
      </c>
      <c r="B260" t="s">
        <v>896</v>
      </c>
      <c r="C260" t="s">
        <v>1173</v>
      </c>
      <c r="D260">
        <v>509374</v>
      </c>
      <c r="E260" t="s">
        <v>15</v>
      </c>
    </row>
    <row r="261" spans="1:5">
      <c r="A261" t="s">
        <v>1157</v>
      </c>
      <c r="B261" t="s">
        <v>896</v>
      </c>
      <c r="C261" t="s">
        <v>1174</v>
      </c>
      <c r="D261">
        <v>671261</v>
      </c>
      <c r="E261" t="s">
        <v>281</v>
      </c>
    </row>
    <row r="262" spans="1:5">
      <c r="A262" t="s">
        <v>1157</v>
      </c>
      <c r="B262" t="s">
        <v>896</v>
      </c>
      <c r="C262" t="s">
        <v>1175</v>
      </c>
      <c r="D262">
        <v>510959</v>
      </c>
      <c r="E262" t="s">
        <v>743</v>
      </c>
    </row>
    <row r="263" spans="1:5">
      <c r="A263" t="s">
        <v>1157</v>
      </c>
      <c r="B263" t="s">
        <v>896</v>
      </c>
      <c r="C263" t="s">
        <v>1176</v>
      </c>
      <c r="D263">
        <v>900440</v>
      </c>
      <c r="E263" t="s">
        <v>643</v>
      </c>
    </row>
    <row r="264" spans="1:5">
      <c r="A264" t="s">
        <v>1157</v>
      </c>
      <c r="B264" t="s">
        <v>896</v>
      </c>
      <c r="C264" t="s">
        <v>1177</v>
      </c>
      <c r="D264">
        <v>473022</v>
      </c>
      <c r="E264" t="s">
        <v>749</v>
      </c>
    </row>
    <row r="265" spans="1:5">
      <c r="A265" t="s">
        <v>1157</v>
      </c>
      <c r="B265" t="s">
        <v>896</v>
      </c>
      <c r="C265" t="s">
        <v>1178</v>
      </c>
      <c r="D265">
        <v>671261</v>
      </c>
      <c r="E265" t="s">
        <v>281</v>
      </c>
    </row>
    <row r="266" spans="1:5">
      <c r="A266" t="s">
        <v>1157</v>
      </c>
      <c r="B266" t="s">
        <v>896</v>
      </c>
      <c r="C266" t="s">
        <v>1179</v>
      </c>
      <c r="D266">
        <v>665609</v>
      </c>
      <c r="E266" t="s">
        <v>77</v>
      </c>
    </row>
    <row r="267" spans="1:5">
      <c r="A267" t="s">
        <v>1157</v>
      </c>
      <c r="B267" t="s">
        <v>896</v>
      </c>
      <c r="C267" t="s">
        <v>1180</v>
      </c>
      <c r="D267">
        <v>509374</v>
      </c>
      <c r="E267" t="s">
        <v>15</v>
      </c>
    </row>
    <row r="268" spans="1:5">
      <c r="A268" t="s">
        <v>1157</v>
      </c>
      <c r="B268" t="s">
        <v>896</v>
      </c>
      <c r="C268" t="s">
        <v>1181</v>
      </c>
      <c r="D268">
        <v>700972</v>
      </c>
      <c r="E268" t="s">
        <v>492</v>
      </c>
    </row>
    <row r="269" spans="1:5">
      <c r="A269" t="s">
        <v>1157</v>
      </c>
      <c r="B269" t="s">
        <v>896</v>
      </c>
      <c r="C269" t="s">
        <v>1182</v>
      </c>
      <c r="D269">
        <v>510959</v>
      </c>
      <c r="E269" t="s">
        <v>743</v>
      </c>
    </row>
    <row r="270" spans="1:5">
      <c r="A270" t="s">
        <v>1157</v>
      </c>
      <c r="B270" t="s">
        <v>896</v>
      </c>
      <c r="C270" t="s">
        <v>1183</v>
      </c>
      <c r="D270">
        <v>671261</v>
      </c>
      <c r="E270" t="s">
        <v>281</v>
      </c>
    </row>
    <row r="271" spans="1:5">
      <c r="A271" t="s">
        <v>1157</v>
      </c>
      <c r="B271" t="s">
        <v>896</v>
      </c>
      <c r="C271" t="s">
        <v>1184</v>
      </c>
      <c r="D271">
        <v>635305</v>
      </c>
      <c r="E271" t="s">
        <v>504</v>
      </c>
    </row>
    <row r="272" spans="1:5">
      <c r="A272" t="s">
        <v>1157</v>
      </c>
      <c r="B272" t="s">
        <v>896</v>
      </c>
      <c r="C272" t="s">
        <v>1185</v>
      </c>
      <c r="D272">
        <v>166419</v>
      </c>
      <c r="E272" t="s">
        <v>308</v>
      </c>
    </row>
    <row r="273" spans="1:5">
      <c r="A273" t="s">
        <v>1186</v>
      </c>
      <c r="B273" t="s">
        <v>896</v>
      </c>
      <c r="C273" t="s">
        <v>1187</v>
      </c>
      <c r="D273">
        <v>987543</v>
      </c>
      <c r="E273" t="s">
        <v>223</v>
      </c>
    </row>
    <row r="274" spans="1:5">
      <c r="A274" t="s">
        <v>1186</v>
      </c>
      <c r="B274" t="s">
        <v>896</v>
      </c>
      <c r="C274" t="s">
        <v>1188</v>
      </c>
      <c r="D274">
        <v>468423</v>
      </c>
      <c r="E274" t="s">
        <v>393</v>
      </c>
    </row>
    <row r="275" spans="1:5">
      <c r="A275" t="s">
        <v>1186</v>
      </c>
      <c r="B275" t="s">
        <v>896</v>
      </c>
      <c r="C275" t="s">
        <v>1189</v>
      </c>
      <c r="D275">
        <v>468423</v>
      </c>
      <c r="E275" t="s">
        <v>393</v>
      </c>
    </row>
    <row r="276" spans="1:5">
      <c r="A276" t="s">
        <v>1186</v>
      </c>
      <c r="B276" t="s">
        <v>896</v>
      </c>
      <c r="C276" t="s">
        <v>1190</v>
      </c>
      <c r="D276">
        <v>828268</v>
      </c>
      <c r="E276" t="s">
        <v>30</v>
      </c>
    </row>
    <row r="277" spans="1:5">
      <c r="A277" t="s">
        <v>1186</v>
      </c>
      <c r="B277" t="s">
        <v>896</v>
      </c>
      <c r="C277" t="s">
        <v>1191</v>
      </c>
      <c r="D277">
        <v>987543</v>
      </c>
      <c r="E277" t="s">
        <v>223</v>
      </c>
    </row>
    <row r="278" spans="1:5">
      <c r="A278" t="s">
        <v>1186</v>
      </c>
      <c r="B278" t="s">
        <v>896</v>
      </c>
      <c r="C278" t="s">
        <v>1192</v>
      </c>
      <c r="D278">
        <v>872540</v>
      </c>
      <c r="E278" t="s">
        <v>733</v>
      </c>
    </row>
    <row r="279" spans="1:5">
      <c r="A279" t="s">
        <v>1186</v>
      </c>
      <c r="B279" t="s">
        <v>896</v>
      </c>
      <c r="C279" t="s">
        <v>1193</v>
      </c>
      <c r="D279">
        <v>468423</v>
      </c>
      <c r="E279" t="s">
        <v>393</v>
      </c>
    </row>
    <row r="280" spans="1:5">
      <c r="A280" t="s">
        <v>1186</v>
      </c>
      <c r="B280" t="s">
        <v>896</v>
      </c>
      <c r="C280" t="s">
        <v>1194</v>
      </c>
      <c r="D280">
        <v>468423</v>
      </c>
      <c r="E280" t="s">
        <v>393</v>
      </c>
    </row>
    <row r="281" spans="1:5">
      <c r="A281" t="s">
        <v>1186</v>
      </c>
      <c r="B281" t="s">
        <v>896</v>
      </c>
      <c r="C281" t="s">
        <v>1195</v>
      </c>
      <c r="D281">
        <v>987543</v>
      </c>
      <c r="E281" t="s">
        <v>223</v>
      </c>
    </row>
    <row r="282" spans="1:5">
      <c r="A282" t="s">
        <v>1186</v>
      </c>
      <c r="B282" t="s">
        <v>896</v>
      </c>
      <c r="C282" t="s">
        <v>1196</v>
      </c>
      <c r="D282">
        <v>872540</v>
      </c>
      <c r="E282" t="s">
        <v>733</v>
      </c>
    </row>
    <row r="283" spans="1:5">
      <c r="A283" t="s">
        <v>1186</v>
      </c>
      <c r="B283" t="s">
        <v>896</v>
      </c>
      <c r="C283" t="s">
        <v>1197</v>
      </c>
      <c r="D283">
        <v>904795</v>
      </c>
      <c r="E283" t="s">
        <v>971</v>
      </c>
    </row>
    <row r="284" spans="1:5">
      <c r="A284" t="s">
        <v>1186</v>
      </c>
      <c r="B284" t="s">
        <v>896</v>
      </c>
      <c r="C284" t="s">
        <v>1198</v>
      </c>
      <c r="D284">
        <v>667491</v>
      </c>
      <c r="E284" t="s">
        <v>1039</v>
      </c>
    </row>
    <row r="285" spans="1:5">
      <c r="A285" t="s">
        <v>1186</v>
      </c>
      <c r="B285" t="s">
        <v>896</v>
      </c>
      <c r="C285" t="s">
        <v>1199</v>
      </c>
      <c r="D285">
        <v>987543</v>
      </c>
      <c r="E285" t="s">
        <v>223</v>
      </c>
    </row>
    <row r="286" spans="1:5">
      <c r="A286" t="s">
        <v>1186</v>
      </c>
      <c r="B286" t="s">
        <v>896</v>
      </c>
      <c r="C286" t="s">
        <v>1200</v>
      </c>
      <c r="D286">
        <v>904795</v>
      </c>
      <c r="E286" t="s">
        <v>971</v>
      </c>
    </row>
    <row r="287" spans="1:5">
      <c r="A287" t="s">
        <v>1186</v>
      </c>
      <c r="B287" t="s">
        <v>896</v>
      </c>
      <c r="C287" t="s">
        <v>1201</v>
      </c>
      <c r="D287">
        <v>468423</v>
      </c>
      <c r="E287" t="s">
        <v>393</v>
      </c>
    </row>
    <row r="288" spans="1:5">
      <c r="A288" t="s">
        <v>1186</v>
      </c>
      <c r="B288" t="s">
        <v>896</v>
      </c>
      <c r="C288" t="s">
        <v>1202</v>
      </c>
      <c r="D288">
        <v>872540</v>
      </c>
      <c r="E288" t="s">
        <v>733</v>
      </c>
    </row>
    <row r="289" spans="1:5">
      <c r="A289" t="s">
        <v>1203</v>
      </c>
      <c r="B289" t="s">
        <v>896</v>
      </c>
      <c r="C289" t="s">
        <v>1204</v>
      </c>
      <c r="D289">
        <v>488062</v>
      </c>
      <c r="E289" t="s">
        <v>755</v>
      </c>
    </row>
    <row r="290" spans="1:5">
      <c r="A290" t="s">
        <v>1203</v>
      </c>
      <c r="B290" t="s">
        <v>896</v>
      </c>
      <c r="C290" t="s">
        <v>1205</v>
      </c>
      <c r="D290">
        <v>495533</v>
      </c>
      <c r="E290" t="s">
        <v>147</v>
      </c>
    </row>
    <row r="291" spans="1:5">
      <c r="A291" t="s">
        <v>1203</v>
      </c>
      <c r="B291" t="s">
        <v>896</v>
      </c>
      <c r="C291" t="s">
        <v>1206</v>
      </c>
      <c r="D291">
        <v>635374</v>
      </c>
      <c r="E291" t="s">
        <v>450</v>
      </c>
    </row>
    <row r="292" spans="1:5">
      <c r="A292" t="s">
        <v>1203</v>
      </c>
      <c r="B292" t="s">
        <v>896</v>
      </c>
      <c r="C292" t="s">
        <v>1207</v>
      </c>
      <c r="D292">
        <v>495533</v>
      </c>
      <c r="E292" t="s">
        <v>147</v>
      </c>
    </row>
    <row r="293" spans="1:5">
      <c r="A293" t="s">
        <v>1203</v>
      </c>
      <c r="B293" t="s">
        <v>896</v>
      </c>
      <c r="C293" t="s">
        <v>1208</v>
      </c>
      <c r="D293">
        <v>488062</v>
      </c>
      <c r="E293" t="s">
        <v>755</v>
      </c>
    </row>
    <row r="294" spans="1:5">
      <c r="A294" t="s">
        <v>1203</v>
      </c>
      <c r="B294" t="s">
        <v>896</v>
      </c>
      <c r="C294" t="s">
        <v>1209</v>
      </c>
      <c r="D294">
        <v>610944</v>
      </c>
      <c r="E294" t="s">
        <v>1210</v>
      </c>
    </row>
    <row r="295" spans="1:5">
      <c r="A295" t="s">
        <v>1203</v>
      </c>
      <c r="B295" t="s">
        <v>896</v>
      </c>
      <c r="C295" t="s">
        <v>1211</v>
      </c>
      <c r="D295">
        <v>488062</v>
      </c>
      <c r="E295" t="s">
        <v>755</v>
      </c>
    </row>
    <row r="296" spans="1:5">
      <c r="A296" t="s">
        <v>1203</v>
      </c>
      <c r="B296" t="s">
        <v>896</v>
      </c>
      <c r="C296" t="s">
        <v>1212</v>
      </c>
      <c r="D296">
        <v>328548</v>
      </c>
      <c r="E296" t="s">
        <v>414</v>
      </c>
    </row>
    <row r="297" spans="1:5">
      <c r="A297" t="s">
        <v>1213</v>
      </c>
      <c r="B297" t="s">
        <v>896</v>
      </c>
      <c r="C297" t="s">
        <v>1136</v>
      </c>
      <c r="D297">
        <v>413594</v>
      </c>
      <c r="E297" t="s">
        <v>782</v>
      </c>
    </row>
    <row r="298" spans="1:5">
      <c r="A298" t="s">
        <v>1213</v>
      </c>
      <c r="B298" t="s">
        <v>896</v>
      </c>
      <c r="C298" t="s">
        <v>1138</v>
      </c>
      <c r="D298">
        <v>157147</v>
      </c>
      <c r="E298" t="s">
        <v>431</v>
      </c>
    </row>
    <row r="299" spans="1:5">
      <c r="A299" t="s">
        <v>1213</v>
      </c>
      <c r="B299" t="s">
        <v>896</v>
      </c>
      <c r="C299" t="s">
        <v>1140</v>
      </c>
      <c r="D299">
        <v>509374</v>
      </c>
      <c r="E299" t="s">
        <v>15</v>
      </c>
    </row>
    <row r="300" spans="1:5">
      <c r="A300" t="s">
        <v>1213</v>
      </c>
      <c r="B300" t="s">
        <v>896</v>
      </c>
      <c r="C300" t="s">
        <v>1142</v>
      </c>
      <c r="D300">
        <v>717142</v>
      </c>
      <c r="E300" t="s">
        <v>258</v>
      </c>
    </row>
    <row r="301" spans="1:5">
      <c r="A301" t="s">
        <v>1214</v>
      </c>
      <c r="B301" t="s">
        <v>896</v>
      </c>
      <c r="C301" t="s">
        <v>1215</v>
      </c>
      <c r="D301">
        <v>595661</v>
      </c>
      <c r="E301" t="s">
        <v>419</v>
      </c>
    </row>
    <row r="302" spans="1:5">
      <c r="A302" t="s">
        <v>1214</v>
      </c>
      <c r="B302" t="s">
        <v>896</v>
      </c>
      <c r="C302" t="s">
        <v>1216</v>
      </c>
      <c r="D302">
        <v>568663</v>
      </c>
      <c r="E302" t="s">
        <v>379</v>
      </c>
    </row>
    <row r="303" spans="1:5">
      <c r="A303" t="s">
        <v>1214</v>
      </c>
      <c r="B303" t="s">
        <v>896</v>
      </c>
      <c r="C303" t="s">
        <v>1217</v>
      </c>
      <c r="D303">
        <v>237426</v>
      </c>
      <c r="E303" t="s">
        <v>708</v>
      </c>
    </row>
    <row r="304" spans="1:5">
      <c r="A304" t="s">
        <v>1214</v>
      </c>
      <c r="B304" t="s">
        <v>896</v>
      </c>
      <c r="C304" t="s">
        <v>1218</v>
      </c>
      <c r="D304">
        <v>595661</v>
      </c>
      <c r="E304" t="s">
        <v>419</v>
      </c>
    </row>
    <row r="305" spans="1:5">
      <c r="A305" t="s">
        <v>1214</v>
      </c>
      <c r="B305" t="s">
        <v>896</v>
      </c>
      <c r="C305" t="s">
        <v>1219</v>
      </c>
      <c r="D305">
        <v>620294</v>
      </c>
      <c r="E305" t="s">
        <v>482</v>
      </c>
    </row>
    <row r="306" spans="1:5">
      <c r="A306" t="s">
        <v>1214</v>
      </c>
      <c r="B306" t="s">
        <v>896</v>
      </c>
      <c r="C306" t="s">
        <v>1220</v>
      </c>
      <c r="D306">
        <v>268853</v>
      </c>
      <c r="E306" t="s">
        <v>300</v>
      </c>
    </row>
    <row r="307" spans="1:5">
      <c r="A307" t="s">
        <v>1214</v>
      </c>
      <c r="B307" t="s">
        <v>896</v>
      </c>
      <c r="C307" t="s">
        <v>1221</v>
      </c>
      <c r="D307">
        <v>620294</v>
      </c>
      <c r="E307" t="s">
        <v>482</v>
      </c>
    </row>
    <row r="308" spans="1:5">
      <c r="A308" t="s">
        <v>1214</v>
      </c>
      <c r="B308" t="s">
        <v>896</v>
      </c>
      <c r="C308" t="s">
        <v>1222</v>
      </c>
      <c r="D308">
        <v>801694</v>
      </c>
      <c r="E308" t="s">
        <v>541</v>
      </c>
    </row>
    <row r="309" spans="1:5">
      <c r="A309" t="s">
        <v>1214</v>
      </c>
      <c r="B309" t="s">
        <v>896</v>
      </c>
      <c r="C309" t="s">
        <v>1223</v>
      </c>
      <c r="D309">
        <v>453313</v>
      </c>
      <c r="E309" t="s">
        <v>71</v>
      </c>
    </row>
    <row r="310" spans="1:5">
      <c r="A310" t="s">
        <v>1214</v>
      </c>
      <c r="B310" t="s">
        <v>896</v>
      </c>
      <c r="C310" t="s">
        <v>1224</v>
      </c>
      <c r="D310">
        <v>726889</v>
      </c>
      <c r="E310" t="s">
        <v>505</v>
      </c>
    </row>
    <row r="311" spans="1:5">
      <c r="A311" t="s">
        <v>1214</v>
      </c>
      <c r="B311" t="s">
        <v>896</v>
      </c>
      <c r="C311" t="s">
        <v>1225</v>
      </c>
      <c r="D311">
        <v>472114</v>
      </c>
      <c r="E311" t="s">
        <v>135</v>
      </c>
    </row>
    <row r="312" spans="1:5">
      <c r="A312" t="s">
        <v>1214</v>
      </c>
      <c r="B312" t="s">
        <v>896</v>
      </c>
      <c r="C312" t="s">
        <v>1226</v>
      </c>
      <c r="D312">
        <v>775465</v>
      </c>
      <c r="E312" t="s">
        <v>571</v>
      </c>
    </row>
    <row r="313" spans="1:5">
      <c r="A313" t="s">
        <v>1214</v>
      </c>
      <c r="B313" t="s">
        <v>896</v>
      </c>
      <c r="C313" t="s">
        <v>1227</v>
      </c>
      <c r="D313">
        <v>620294</v>
      </c>
      <c r="E313" t="s">
        <v>482</v>
      </c>
    </row>
    <row r="314" spans="1:5">
      <c r="A314" t="s">
        <v>1214</v>
      </c>
      <c r="B314" t="s">
        <v>896</v>
      </c>
      <c r="C314" t="s">
        <v>1228</v>
      </c>
      <c r="D314">
        <v>801694</v>
      </c>
      <c r="E314" t="s">
        <v>541</v>
      </c>
    </row>
    <row r="315" spans="1:5">
      <c r="A315" t="s">
        <v>1214</v>
      </c>
      <c r="B315" t="s">
        <v>896</v>
      </c>
      <c r="C315" t="s">
        <v>1229</v>
      </c>
      <c r="D315">
        <v>237426</v>
      </c>
      <c r="E315" t="s">
        <v>708</v>
      </c>
    </row>
    <row r="316" spans="1:5">
      <c r="A316" t="s">
        <v>1214</v>
      </c>
      <c r="B316" t="s">
        <v>896</v>
      </c>
      <c r="C316" t="s">
        <v>1230</v>
      </c>
      <c r="D316">
        <v>568663</v>
      </c>
      <c r="E316" t="s">
        <v>379</v>
      </c>
    </row>
    <row r="317" spans="1:5">
      <c r="A317" t="s">
        <v>1214</v>
      </c>
      <c r="B317" t="s">
        <v>896</v>
      </c>
      <c r="C317" t="s">
        <v>1231</v>
      </c>
      <c r="D317">
        <v>902755</v>
      </c>
      <c r="E317" t="s">
        <v>231</v>
      </c>
    </row>
    <row r="318" spans="1:5">
      <c r="A318" t="s">
        <v>1214</v>
      </c>
      <c r="B318" t="s">
        <v>896</v>
      </c>
      <c r="C318" t="s">
        <v>1232</v>
      </c>
      <c r="D318">
        <v>858791</v>
      </c>
      <c r="E318" t="s">
        <v>1083</v>
      </c>
    </row>
    <row r="319" spans="1:5">
      <c r="A319" t="s">
        <v>1214</v>
      </c>
      <c r="B319" t="s">
        <v>896</v>
      </c>
      <c r="C319" t="s">
        <v>1233</v>
      </c>
      <c r="D319">
        <v>620294</v>
      </c>
      <c r="E319" t="s">
        <v>482</v>
      </c>
    </row>
    <row r="320" spans="1:5">
      <c r="A320" t="s">
        <v>1214</v>
      </c>
      <c r="B320" t="s">
        <v>896</v>
      </c>
      <c r="C320" t="s">
        <v>1234</v>
      </c>
      <c r="D320">
        <v>174416</v>
      </c>
      <c r="E320" t="s">
        <v>921</v>
      </c>
    </row>
    <row r="321" spans="1:5">
      <c r="A321" t="s">
        <v>1214</v>
      </c>
      <c r="B321" t="s">
        <v>896</v>
      </c>
      <c r="C321" t="s">
        <v>1235</v>
      </c>
      <c r="D321">
        <v>453313</v>
      </c>
      <c r="E321" t="s">
        <v>71</v>
      </c>
    </row>
    <row r="322" spans="1:5">
      <c r="A322" t="s">
        <v>1214</v>
      </c>
      <c r="B322" t="s">
        <v>896</v>
      </c>
      <c r="C322" t="s">
        <v>1236</v>
      </c>
      <c r="D322">
        <v>452434</v>
      </c>
      <c r="E322" t="s">
        <v>554</v>
      </c>
    </row>
    <row r="323" spans="1:5">
      <c r="A323" t="s">
        <v>1237</v>
      </c>
      <c r="B323" t="s">
        <v>896</v>
      </c>
      <c r="C323" t="s">
        <v>1238</v>
      </c>
      <c r="D323">
        <v>495533</v>
      </c>
      <c r="E323" t="s">
        <v>147</v>
      </c>
    </row>
    <row r="324" spans="1:5">
      <c r="A324" t="s">
        <v>1237</v>
      </c>
      <c r="B324" t="s">
        <v>896</v>
      </c>
      <c r="C324" t="s">
        <v>1239</v>
      </c>
      <c r="D324">
        <v>403667</v>
      </c>
      <c r="E324" t="s">
        <v>613</v>
      </c>
    </row>
    <row r="325" spans="1:5">
      <c r="A325" t="s">
        <v>1237</v>
      </c>
      <c r="B325" t="s">
        <v>896</v>
      </c>
      <c r="C325" t="s">
        <v>1240</v>
      </c>
      <c r="D325">
        <v>569123</v>
      </c>
      <c r="E325" t="s">
        <v>424</v>
      </c>
    </row>
    <row r="326" spans="1:5">
      <c r="A326" t="s">
        <v>1237</v>
      </c>
      <c r="B326" t="s">
        <v>896</v>
      </c>
      <c r="C326" t="s">
        <v>1241</v>
      </c>
      <c r="D326">
        <v>224398</v>
      </c>
      <c r="E326" t="s">
        <v>557</v>
      </c>
    </row>
    <row r="327" spans="1:5">
      <c r="A327" t="s">
        <v>1237</v>
      </c>
      <c r="B327" t="s">
        <v>896</v>
      </c>
      <c r="C327" t="s">
        <v>1242</v>
      </c>
      <c r="D327">
        <v>209946</v>
      </c>
      <c r="E327" t="s">
        <v>1243</v>
      </c>
    </row>
    <row r="328" spans="1:5">
      <c r="A328" t="s">
        <v>1237</v>
      </c>
      <c r="B328" t="s">
        <v>896</v>
      </c>
      <c r="C328" t="s">
        <v>1244</v>
      </c>
      <c r="D328">
        <v>943909</v>
      </c>
      <c r="E328" t="s">
        <v>674</v>
      </c>
    </row>
    <row r="329" spans="1:5">
      <c r="A329" t="s">
        <v>1237</v>
      </c>
      <c r="B329" t="s">
        <v>896</v>
      </c>
      <c r="C329" t="s">
        <v>1245</v>
      </c>
      <c r="D329">
        <v>557897</v>
      </c>
      <c r="E329" t="s">
        <v>18</v>
      </c>
    </row>
    <row r="330" spans="1:5">
      <c r="A330" t="s">
        <v>1237</v>
      </c>
      <c r="B330" t="s">
        <v>896</v>
      </c>
      <c r="C330" t="s">
        <v>1246</v>
      </c>
      <c r="D330">
        <v>403667</v>
      </c>
      <c r="E330" t="s">
        <v>613</v>
      </c>
    </row>
    <row r="331" spans="1:5">
      <c r="A331" t="s">
        <v>1237</v>
      </c>
      <c r="B331" t="s">
        <v>896</v>
      </c>
      <c r="C331" t="s">
        <v>1247</v>
      </c>
      <c r="D331">
        <v>224398</v>
      </c>
      <c r="E331" t="s">
        <v>557</v>
      </c>
    </row>
    <row r="332" spans="1:5">
      <c r="A332" t="s">
        <v>1237</v>
      </c>
      <c r="B332" t="s">
        <v>896</v>
      </c>
      <c r="C332" t="s">
        <v>1248</v>
      </c>
      <c r="D332">
        <v>932894</v>
      </c>
      <c r="E332" t="s">
        <v>335</v>
      </c>
    </row>
    <row r="333" spans="1:5">
      <c r="A333" t="s">
        <v>1237</v>
      </c>
      <c r="B333" t="s">
        <v>896</v>
      </c>
      <c r="C333" t="s">
        <v>1249</v>
      </c>
      <c r="D333">
        <v>932894</v>
      </c>
      <c r="E333" t="s">
        <v>335</v>
      </c>
    </row>
    <row r="334" spans="1:5">
      <c r="A334" t="s">
        <v>1237</v>
      </c>
      <c r="B334" t="s">
        <v>896</v>
      </c>
      <c r="C334" t="s">
        <v>1250</v>
      </c>
      <c r="D334">
        <v>557897</v>
      </c>
      <c r="E334" t="s">
        <v>18</v>
      </c>
    </row>
    <row r="335" spans="1:5">
      <c r="A335" t="s">
        <v>1237</v>
      </c>
      <c r="B335" t="s">
        <v>896</v>
      </c>
      <c r="C335" t="s">
        <v>1251</v>
      </c>
      <c r="D335">
        <v>645363</v>
      </c>
      <c r="E335" t="s">
        <v>45</v>
      </c>
    </row>
    <row r="336" spans="1:5">
      <c r="A336" t="s">
        <v>1237</v>
      </c>
      <c r="B336" t="s">
        <v>896</v>
      </c>
      <c r="C336" t="s">
        <v>1252</v>
      </c>
      <c r="D336">
        <v>569123</v>
      </c>
      <c r="E336" t="s">
        <v>424</v>
      </c>
    </row>
    <row r="337" spans="1:5">
      <c r="A337" t="s">
        <v>1237</v>
      </c>
      <c r="B337" t="s">
        <v>896</v>
      </c>
      <c r="C337" t="s">
        <v>1253</v>
      </c>
      <c r="D337">
        <v>224398</v>
      </c>
      <c r="E337" t="s">
        <v>557</v>
      </c>
    </row>
    <row r="338" spans="1:5">
      <c r="A338" t="s">
        <v>1237</v>
      </c>
      <c r="B338" t="s">
        <v>896</v>
      </c>
      <c r="C338" t="s">
        <v>1254</v>
      </c>
      <c r="D338">
        <v>231210</v>
      </c>
      <c r="E338" t="s">
        <v>278</v>
      </c>
    </row>
    <row r="339" spans="1:5">
      <c r="A339" t="s">
        <v>1237</v>
      </c>
      <c r="B339" t="s">
        <v>896</v>
      </c>
      <c r="C339" t="s">
        <v>1255</v>
      </c>
      <c r="D339">
        <v>96959</v>
      </c>
      <c r="E339" t="s">
        <v>56</v>
      </c>
    </row>
    <row r="340" spans="1:5">
      <c r="A340" t="s">
        <v>1237</v>
      </c>
      <c r="B340" t="s">
        <v>896</v>
      </c>
      <c r="C340" t="s">
        <v>1256</v>
      </c>
      <c r="D340">
        <v>741443</v>
      </c>
      <c r="E340" t="s">
        <v>267</v>
      </c>
    </row>
    <row r="341" spans="1:5">
      <c r="A341" t="s">
        <v>1237</v>
      </c>
      <c r="B341" t="s">
        <v>896</v>
      </c>
      <c r="C341" t="s">
        <v>1257</v>
      </c>
      <c r="D341">
        <v>836658</v>
      </c>
      <c r="E341" t="s">
        <v>514</v>
      </c>
    </row>
    <row r="342" spans="1:5">
      <c r="A342" t="s">
        <v>1237</v>
      </c>
      <c r="B342" t="s">
        <v>896</v>
      </c>
      <c r="C342" t="s">
        <v>1258</v>
      </c>
      <c r="D342">
        <v>565142</v>
      </c>
      <c r="E342" t="s">
        <v>24</v>
      </c>
    </row>
    <row r="343" spans="1:5">
      <c r="A343" t="s">
        <v>1237</v>
      </c>
      <c r="B343" t="s">
        <v>896</v>
      </c>
      <c r="C343" t="s">
        <v>1259</v>
      </c>
      <c r="D343">
        <v>557897</v>
      </c>
      <c r="E343" t="s">
        <v>18</v>
      </c>
    </row>
    <row r="344" spans="1:5">
      <c r="A344" t="s">
        <v>1237</v>
      </c>
      <c r="B344" t="s">
        <v>896</v>
      </c>
      <c r="C344" t="s">
        <v>1260</v>
      </c>
      <c r="D344">
        <v>565142</v>
      </c>
      <c r="E344" t="s">
        <v>24</v>
      </c>
    </row>
    <row r="345" spans="1:5">
      <c r="A345" t="s">
        <v>1237</v>
      </c>
      <c r="B345" t="s">
        <v>896</v>
      </c>
      <c r="C345" t="s">
        <v>1261</v>
      </c>
      <c r="D345">
        <v>891738</v>
      </c>
      <c r="E345" t="s">
        <v>447</v>
      </c>
    </row>
    <row r="346" spans="1:5">
      <c r="A346" t="s">
        <v>1237</v>
      </c>
      <c r="B346" t="s">
        <v>896</v>
      </c>
      <c r="C346" t="s">
        <v>1262</v>
      </c>
      <c r="D346">
        <v>891738</v>
      </c>
      <c r="E346" t="s">
        <v>447</v>
      </c>
    </row>
    <row r="347" spans="1:5">
      <c r="A347" t="s">
        <v>1237</v>
      </c>
      <c r="B347" t="s">
        <v>896</v>
      </c>
      <c r="C347" t="s">
        <v>1263</v>
      </c>
      <c r="D347">
        <v>828379</v>
      </c>
      <c r="E347" t="s">
        <v>287</v>
      </c>
    </row>
    <row r="348" spans="1:5">
      <c r="A348" t="s">
        <v>1237</v>
      </c>
      <c r="B348" t="s">
        <v>896</v>
      </c>
      <c r="C348" t="s">
        <v>1264</v>
      </c>
      <c r="D348">
        <v>891738</v>
      </c>
      <c r="E348" t="s">
        <v>447</v>
      </c>
    </row>
    <row r="349" spans="1:5">
      <c r="A349" t="s">
        <v>1265</v>
      </c>
      <c r="B349" t="s">
        <v>896</v>
      </c>
      <c r="C349" t="s">
        <v>1266</v>
      </c>
      <c r="D349">
        <v>348209</v>
      </c>
      <c r="E349" t="s">
        <v>534</v>
      </c>
    </row>
    <row r="350" spans="1:5">
      <c r="A350" t="s">
        <v>1265</v>
      </c>
      <c r="B350" t="s">
        <v>896</v>
      </c>
      <c r="C350" t="s">
        <v>1267</v>
      </c>
      <c r="D350">
        <v>761495</v>
      </c>
      <c r="E350" t="s">
        <v>565</v>
      </c>
    </row>
    <row r="351" spans="1:5">
      <c r="A351" t="s">
        <v>1265</v>
      </c>
      <c r="B351" t="s">
        <v>896</v>
      </c>
      <c r="C351" t="s">
        <v>1268</v>
      </c>
      <c r="D351">
        <v>761495</v>
      </c>
      <c r="E351" t="s">
        <v>565</v>
      </c>
    </row>
    <row r="352" spans="1:5">
      <c r="A352" t="s">
        <v>1265</v>
      </c>
      <c r="B352" t="s">
        <v>896</v>
      </c>
      <c r="C352" t="s">
        <v>1269</v>
      </c>
      <c r="D352">
        <v>967920</v>
      </c>
      <c r="E352" t="s">
        <v>499</v>
      </c>
    </row>
    <row r="353" spans="1:5">
      <c r="A353" t="s">
        <v>1265</v>
      </c>
      <c r="B353" t="s">
        <v>896</v>
      </c>
      <c r="C353" t="s">
        <v>1270</v>
      </c>
      <c r="D353">
        <v>904795</v>
      </c>
      <c r="E353" t="s">
        <v>971</v>
      </c>
    </row>
    <row r="354" spans="1:5">
      <c r="A354" t="s">
        <v>1265</v>
      </c>
      <c r="B354" t="s">
        <v>896</v>
      </c>
      <c r="C354" t="s">
        <v>1271</v>
      </c>
      <c r="D354">
        <v>745275</v>
      </c>
      <c r="E354" t="s">
        <v>288</v>
      </c>
    </row>
    <row r="355" spans="1:5">
      <c r="A355" t="s">
        <v>1265</v>
      </c>
      <c r="B355" t="s">
        <v>896</v>
      </c>
      <c r="C355" t="s">
        <v>1272</v>
      </c>
      <c r="D355">
        <v>745275</v>
      </c>
      <c r="E355" t="s">
        <v>288</v>
      </c>
    </row>
    <row r="356" spans="1:5">
      <c r="A356" t="s">
        <v>1265</v>
      </c>
      <c r="B356" t="s">
        <v>896</v>
      </c>
      <c r="C356" t="s">
        <v>1273</v>
      </c>
      <c r="D356">
        <v>440768</v>
      </c>
      <c r="E356" t="s">
        <v>646</v>
      </c>
    </row>
    <row r="357" spans="1:5">
      <c r="A357" t="s">
        <v>1265</v>
      </c>
      <c r="B357" t="s">
        <v>896</v>
      </c>
      <c r="C357" t="s">
        <v>1274</v>
      </c>
      <c r="D357">
        <v>761495</v>
      </c>
      <c r="E357" t="s">
        <v>565</v>
      </c>
    </row>
    <row r="358" spans="1:5">
      <c r="A358" t="s">
        <v>1265</v>
      </c>
      <c r="B358" t="s">
        <v>896</v>
      </c>
      <c r="C358" t="s">
        <v>1275</v>
      </c>
      <c r="D358">
        <v>440768</v>
      </c>
      <c r="E358" t="s">
        <v>646</v>
      </c>
    </row>
    <row r="359" spans="1:5">
      <c r="A359" t="s">
        <v>1265</v>
      </c>
      <c r="B359" t="s">
        <v>896</v>
      </c>
      <c r="C359" t="s">
        <v>1276</v>
      </c>
      <c r="D359">
        <v>745275</v>
      </c>
      <c r="E359" t="s">
        <v>288</v>
      </c>
    </row>
    <row r="360" spans="1:5">
      <c r="A360" t="s">
        <v>1265</v>
      </c>
      <c r="B360" t="s">
        <v>896</v>
      </c>
      <c r="C360" t="s">
        <v>1277</v>
      </c>
      <c r="D360">
        <v>873830</v>
      </c>
      <c r="E360" t="s">
        <v>174</v>
      </c>
    </row>
    <row r="361" spans="1:5">
      <c r="A361" t="s">
        <v>1265</v>
      </c>
      <c r="B361" t="s">
        <v>896</v>
      </c>
      <c r="C361" t="s">
        <v>1278</v>
      </c>
      <c r="D361">
        <v>459115</v>
      </c>
      <c r="E361" t="s">
        <v>631</v>
      </c>
    </row>
    <row r="362" spans="1:5">
      <c r="A362" t="s">
        <v>1265</v>
      </c>
      <c r="B362" t="s">
        <v>896</v>
      </c>
      <c r="C362" t="s">
        <v>1279</v>
      </c>
      <c r="D362">
        <v>447184</v>
      </c>
      <c r="E362" t="s">
        <v>153</v>
      </c>
    </row>
    <row r="363" spans="1:5">
      <c r="A363" t="s">
        <v>1265</v>
      </c>
      <c r="B363" t="s">
        <v>896</v>
      </c>
      <c r="C363" t="s">
        <v>1279</v>
      </c>
      <c r="D363">
        <v>413594</v>
      </c>
      <c r="E363" t="s">
        <v>782</v>
      </c>
    </row>
    <row r="364" spans="1:5">
      <c r="A364" t="s">
        <v>1265</v>
      </c>
      <c r="B364" t="s">
        <v>896</v>
      </c>
      <c r="C364" t="s">
        <v>1280</v>
      </c>
      <c r="D364">
        <v>773189</v>
      </c>
      <c r="E364" t="s">
        <v>618</v>
      </c>
    </row>
    <row r="365" spans="1:5">
      <c r="A365" t="s">
        <v>1265</v>
      </c>
      <c r="B365" t="s">
        <v>896</v>
      </c>
      <c r="C365" t="s">
        <v>1281</v>
      </c>
      <c r="D365">
        <v>761495</v>
      </c>
      <c r="E365" t="s">
        <v>565</v>
      </c>
    </row>
    <row r="366" spans="1:5">
      <c r="A366" t="s">
        <v>1265</v>
      </c>
      <c r="B366" t="s">
        <v>896</v>
      </c>
      <c r="C366" t="s">
        <v>1282</v>
      </c>
      <c r="D366">
        <v>440768</v>
      </c>
      <c r="E366" t="s">
        <v>646</v>
      </c>
    </row>
    <row r="367" spans="1:5">
      <c r="A367" t="s">
        <v>1265</v>
      </c>
      <c r="B367" t="s">
        <v>896</v>
      </c>
      <c r="C367" t="s">
        <v>1283</v>
      </c>
      <c r="D367">
        <v>761495</v>
      </c>
      <c r="E367" t="s">
        <v>565</v>
      </c>
    </row>
    <row r="368" spans="1:5">
      <c r="A368" t="s">
        <v>1265</v>
      </c>
      <c r="B368" t="s">
        <v>896</v>
      </c>
      <c r="C368" t="s">
        <v>1284</v>
      </c>
      <c r="D368">
        <v>873830</v>
      </c>
      <c r="E368" t="s">
        <v>174</v>
      </c>
    </row>
    <row r="369" spans="1:5">
      <c r="A369" t="s">
        <v>1265</v>
      </c>
      <c r="B369" t="s">
        <v>896</v>
      </c>
      <c r="C369" t="s">
        <v>1285</v>
      </c>
      <c r="D369">
        <v>745275</v>
      </c>
      <c r="E369" t="s">
        <v>288</v>
      </c>
    </row>
    <row r="370" spans="1:5">
      <c r="A370" t="s">
        <v>1265</v>
      </c>
      <c r="B370" t="s">
        <v>896</v>
      </c>
      <c r="C370" t="s">
        <v>1286</v>
      </c>
      <c r="D370">
        <v>773189</v>
      </c>
      <c r="E370" t="s">
        <v>618</v>
      </c>
    </row>
    <row r="371" spans="1:5">
      <c r="A371" t="s">
        <v>1265</v>
      </c>
      <c r="B371" t="s">
        <v>896</v>
      </c>
      <c r="C371" t="s">
        <v>1287</v>
      </c>
      <c r="D371">
        <v>494188</v>
      </c>
      <c r="E371" t="s">
        <v>593</v>
      </c>
    </row>
    <row r="372" spans="1:5">
      <c r="A372" t="s">
        <v>1265</v>
      </c>
      <c r="B372" t="s">
        <v>896</v>
      </c>
      <c r="C372" t="s">
        <v>1288</v>
      </c>
      <c r="D372">
        <v>348209</v>
      </c>
      <c r="E372" t="s">
        <v>534</v>
      </c>
    </row>
    <row r="373" spans="1:5">
      <c r="A373" t="s">
        <v>1265</v>
      </c>
      <c r="B373" t="s">
        <v>896</v>
      </c>
      <c r="C373" t="s">
        <v>1289</v>
      </c>
      <c r="D373">
        <v>924566</v>
      </c>
      <c r="E373" t="s">
        <v>359</v>
      </c>
    </row>
    <row r="374" spans="1:5">
      <c r="A374" t="s">
        <v>1265</v>
      </c>
      <c r="B374" t="s">
        <v>896</v>
      </c>
      <c r="C374" t="s">
        <v>1290</v>
      </c>
      <c r="D374">
        <v>761495</v>
      </c>
      <c r="E374" t="s">
        <v>565</v>
      </c>
    </row>
    <row r="375" spans="1:5">
      <c r="A375" t="s">
        <v>1265</v>
      </c>
      <c r="B375" t="s">
        <v>896</v>
      </c>
      <c r="C375" t="s">
        <v>1291</v>
      </c>
      <c r="D375">
        <v>440768</v>
      </c>
      <c r="E375" t="s">
        <v>646</v>
      </c>
    </row>
    <row r="376" spans="1:5">
      <c r="A376" t="s">
        <v>1265</v>
      </c>
      <c r="B376" t="s">
        <v>896</v>
      </c>
      <c r="C376" t="s">
        <v>1292</v>
      </c>
      <c r="D376">
        <v>348209</v>
      </c>
      <c r="E376" t="s">
        <v>534</v>
      </c>
    </row>
    <row r="377" spans="1:5">
      <c r="A377" t="s">
        <v>1265</v>
      </c>
      <c r="B377" t="s">
        <v>896</v>
      </c>
      <c r="C377" t="s">
        <v>1293</v>
      </c>
      <c r="D377">
        <v>986554</v>
      </c>
      <c r="E377" t="s">
        <v>860</v>
      </c>
    </row>
    <row r="378" spans="1:5">
      <c r="A378" t="s">
        <v>1265</v>
      </c>
      <c r="B378" t="s">
        <v>896</v>
      </c>
      <c r="C378" t="s">
        <v>1294</v>
      </c>
      <c r="D378">
        <v>717142</v>
      </c>
      <c r="E378" t="s">
        <v>258</v>
      </c>
    </row>
    <row r="379" spans="1:5">
      <c r="A379" t="s">
        <v>1265</v>
      </c>
      <c r="B379" t="s">
        <v>896</v>
      </c>
      <c r="C379" t="s">
        <v>1295</v>
      </c>
      <c r="D379">
        <v>440768</v>
      </c>
      <c r="E379" t="s">
        <v>646</v>
      </c>
    </row>
    <row r="380" spans="1:5">
      <c r="A380" t="s">
        <v>1265</v>
      </c>
      <c r="B380" t="s">
        <v>896</v>
      </c>
      <c r="C380" t="s">
        <v>1296</v>
      </c>
      <c r="D380">
        <v>873830</v>
      </c>
      <c r="E380" t="s">
        <v>174</v>
      </c>
    </row>
    <row r="381" spans="1:5">
      <c r="A381" t="s">
        <v>1265</v>
      </c>
      <c r="B381" t="s">
        <v>896</v>
      </c>
      <c r="C381" t="s">
        <v>1297</v>
      </c>
      <c r="D381">
        <v>440768</v>
      </c>
      <c r="E381" t="s">
        <v>646</v>
      </c>
    </row>
    <row r="382" spans="1:5">
      <c r="A382" t="s">
        <v>1298</v>
      </c>
      <c r="B382" t="s">
        <v>896</v>
      </c>
      <c r="C382" t="s">
        <v>1299</v>
      </c>
      <c r="D382">
        <v>724841</v>
      </c>
      <c r="E382" t="s">
        <v>176</v>
      </c>
    </row>
    <row r="383" spans="1:5">
      <c r="A383" t="s">
        <v>1298</v>
      </c>
      <c r="B383" t="s">
        <v>896</v>
      </c>
      <c r="C383" t="s">
        <v>1300</v>
      </c>
      <c r="D383">
        <v>816531</v>
      </c>
      <c r="E383" t="s">
        <v>102</v>
      </c>
    </row>
    <row r="384" spans="1:5">
      <c r="A384" t="s">
        <v>1298</v>
      </c>
      <c r="B384" t="s">
        <v>896</v>
      </c>
      <c r="C384" t="s">
        <v>1301</v>
      </c>
      <c r="D384">
        <v>847592</v>
      </c>
      <c r="E384" t="s">
        <v>989</v>
      </c>
    </row>
    <row r="385" spans="1:5">
      <c r="A385" t="s">
        <v>1298</v>
      </c>
      <c r="B385" t="s">
        <v>896</v>
      </c>
      <c r="C385" t="s">
        <v>1302</v>
      </c>
      <c r="D385">
        <v>707444</v>
      </c>
      <c r="E385" t="s">
        <v>623</v>
      </c>
    </row>
    <row r="386" spans="1:5">
      <c r="A386" t="s">
        <v>1298</v>
      </c>
      <c r="B386" t="s">
        <v>896</v>
      </c>
      <c r="C386" t="s">
        <v>1303</v>
      </c>
      <c r="D386">
        <v>707649</v>
      </c>
      <c r="E386" t="s">
        <v>746</v>
      </c>
    </row>
    <row r="387" spans="1:5">
      <c r="A387" t="s">
        <v>1298</v>
      </c>
      <c r="B387" t="s">
        <v>896</v>
      </c>
      <c r="C387" t="s">
        <v>1304</v>
      </c>
      <c r="D387">
        <v>482778</v>
      </c>
      <c r="E387" t="s">
        <v>512</v>
      </c>
    </row>
    <row r="388" spans="1:5">
      <c r="A388" t="s">
        <v>1298</v>
      </c>
      <c r="B388" t="s">
        <v>896</v>
      </c>
      <c r="C388" t="s">
        <v>1305</v>
      </c>
      <c r="D388">
        <v>223372</v>
      </c>
      <c r="E388" t="s">
        <v>196</v>
      </c>
    </row>
    <row r="389" spans="1:5">
      <c r="A389" t="s">
        <v>1298</v>
      </c>
      <c r="B389" t="s">
        <v>896</v>
      </c>
      <c r="C389" t="s">
        <v>1306</v>
      </c>
      <c r="D389">
        <v>772280</v>
      </c>
      <c r="E389" t="s">
        <v>398</v>
      </c>
    </row>
    <row r="390" spans="1:5">
      <c r="A390" t="s">
        <v>1298</v>
      </c>
      <c r="B390" t="s">
        <v>896</v>
      </c>
      <c r="C390" t="s">
        <v>1307</v>
      </c>
      <c r="D390">
        <v>624638</v>
      </c>
      <c r="E390" t="s">
        <v>421</v>
      </c>
    </row>
    <row r="391" spans="1:5">
      <c r="A391" t="s">
        <v>1298</v>
      </c>
      <c r="B391" t="s">
        <v>896</v>
      </c>
      <c r="C391" t="s">
        <v>1308</v>
      </c>
      <c r="D391">
        <v>621916</v>
      </c>
      <c r="E391" t="s">
        <v>181</v>
      </c>
    </row>
    <row r="392" spans="1:5">
      <c r="A392" t="s">
        <v>1298</v>
      </c>
      <c r="B392" t="s">
        <v>896</v>
      </c>
      <c r="C392" t="s">
        <v>1309</v>
      </c>
      <c r="D392">
        <v>495110</v>
      </c>
      <c r="E392" t="s">
        <v>413</v>
      </c>
    </row>
    <row r="393" spans="1:5">
      <c r="A393" t="s">
        <v>1298</v>
      </c>
      <c r="B393" t="s">
        <v>896</v>
      </c>
      <c r="C393" t="s">
        <v>1310</v>
      </c>
      <c r="D393">
        <v>847592</v>
      </c>
      <c r="E393" t="s">
        <v>989</v>
      </c>
    </row>
    <row r="394" spans="1:5">
      <c r="A394" t="s">
        <v>1298</v>
      </c>
      <c r="B394" t="s">
        <v>896</v>
      </c>
      <c r="C394" t="s">
        <v>1311</v>
      </c>
      <c r="D394">
        <v>373149</v>
      </c>
      <c r="E394" t="s">
        <v>653</v>
      </c>
    </row>
    <row r="395" spans="1:5">
      <c r="A395" t="s">
        <v>1312</v>
      </c>
      <c r="B395" t="s">
        <v>896</v>
      </c>
      <c r="C395" t="s">
        <v>1313</v>
      </c>
      <c r="D395">
        <v>700972</v>
      </c>
      <c r="E395" t="s">
        <v>492</v>
      </c>
    </row>
    <row r="396" spans="1:5">
      <c r="A396" t="s">
        <v>1312</v>
      </c>
      <c r="B396" t="s">
        <v>896</v>
      </c>
      <c r="C396" t="s">
        <v>1314</v>
      </c>
      <c r="D396">
        <v>509374</v>
      </c>
      <c r="E396" t="s">
        <v>15</v>
      </c>
    </row>
    <row r="397" spans="1:5">
      <c r="A397" t="s">
        <v>1312</v>
      </c>
      <c r="B397" t="s">
        <v>896</v>
      </c>
      <c r="C397" t="s">
        <v>1315</v>
      </c>
      <c r="D397">
        <v>665609</v>
      </c>
      <c r="E397" t="s">
        <v>77</v>
      </c>
    </row>
    <row r="398" spans="1:5">
      <c r="A398" t="s">
        <v>1312</v>
      </c>
      <c r="B398" t="s">
        <v>896</v>
      </c>
      <c r="C398" t="s">
        <v>1316</v>
      </c>
      <c r="D398">
        <v>510959</v>
      </c>
      <c r="E398" t="s">
        <v>743</v>
      </c>
    </row>
    <row r="399" spans="1:5">
      <c r="A399" t="s">
        <v>1312</v>
      </c>
      <c r="B399" t="s">
        <v>896</v>
      </c>
      <c r="C399" t="s">
        <v>1317</v>
      </c>
      <c r="D399">
        <v>734566</v>
      </c>
      <c r="E399" t="s">
        <v>1026</v>
      </c>
    </row>
    <row r="400" spans="1:5">
      <c r="A400" t="s">
        <v>1312</v>
      </c>
      <c r="B400" t="s">
        <v>896</v>
      </c>
      <c r="C400" t="s">
        <v>1318</v>
      </c>
      <c r="D400">
        <v>789082</v>
      </c>
      <c r="E400" t="s">
        <v>327</v>
      </c>
    </row>
    <row r="401" spans="1:5">
      <c r="A401" t="s">
        <v>1312</v>
      </c>
      <c r="B401" t="s">
        <v>896</v>
      </c>
      <c r="C401" t="s">
        <v>1319</v>
      </c>
      <c r="D401">
        <v>665609</v>
      </c>
      <c r="E401" t="s">
        <v>77</v>
      </c>
    </row>
    <row r="402" spans="1:5">
      <c r="A402" t="s">
        <v>1312</v>
      </c>
      <c r="B402" t="s">
        <v>896</v>
      </c>
      <c r="C402" t="s">
        <v>1320</v>
      </c>
      <c r="D402">
        <v>671261</v>
      </c>
      <c r="E402" t="s">
        <v>281</v>
      </c>
    </row>
    <row r="403" spans="1:5">
      <c r="A403" t="s">
        <v>1312</v>
      </c>
      <c r="B403" t="s">
        <v>896</v>
      </c>
      <c r="C403" t="s">
        <v>1321</v>
      </c>
      <c r="D403">
        <v>597830</v>
      </c>
      <c r="E403" t="s">
        <v>134</v>
      </c>
    </row>
    <row r="404" spans="1:5">
      <c r="A404" t="s">
        <v>1312</v>
      </c>
      <c r="B404" t="s">
        <v>896</v>
      </c>
      <c r="C404" t="s">
        <v>1322</v>
      </c>
      <c r="D404">
        <v>717385</v>
      </c>
      <c r="E404" t="s">
        <v>570</v>
      </c>
    </row>
    <row r="405" spans="1:5">
      <c r="A405" t="s">
        <v>1312</v>
      </c>
      <c r="B405" t="s">
        <v>896</v>
      </c>
      <c r="C405" t="s">
        <v>1323</v>
      </c>
      <c r="D405">
        <v>700972</v>
      </c>
      <c r="E405" t="s">
        <v>492</v>
      </c>
    </row>
    <row r="406" spans="1:5">
      <c r="A406" t="s">
        <v>1312</v>
      </c>
      <c r="B406" t="s">
        <v>896</v>
      </c>
      <c r="C406" t="s">
        <v>1324</v>
      </c>
      <c r="D406">
        <v>473022</v>
      </c>
      <c r="E406" t="s">
        <v>749</v>
      </c>
    </row>
    <row r="407" spans="1:5">
      <c r="A407" t="s">
        <v>1312</v>
      </c>
      <c r="B407" t="s">
        <v>896</v>
      </c>
      <c r="C407" t="s">
        <v>1325</v>
      </c>
      <c r="D407">
        <v>665609</v>
      </c>
      <c r="E407" t="s">
        <v>77</v>
      </c>
    </row>
    <row r="408" spans="1:5">
      <c r="A408" t="s">
        <v>1312</v>
      </c>
      <c r="B408" t="s">
        <v>896</v>
      </c>
      <c r="C408" t="s">
        <v>1326</v>
      </c>
      <c r="D408">
        <v>671261</v>
      </c>
      <c r="E408" t="s">
        <v>281</v>
      </c>
    </row>
    <row r="409" spans="1:5">
      <c r="A409" t="s">
        <v>1312</v>
      </c>
      <c r="B409" t="s">
        <v>896</v>
      </c>
      <c r="C409" t="s">
        <v>1327</v>
      </c>
      <c r="D409">
        <v>659843</v>
      </c>
      <c r="E409" t="s">
        <v>204</v>
      </c>
    </row>
    <row r="410" spans="1:5">
      <c r="A410" t="s">
        <v>1312</v>
      </c>
      <c r="B410" t="s">
        <v>896</v>
      </c>
      <c r="C410" t="s">
        <v>1328</v>
      </c>
      <c r="D410">
        <v>509374</v>
      </c>
      <c r="E410" t="s">
        <v>15</v>
      </c>
    </row>
    <row r="411" spans="1:5">
      <c r="A411" t="s">
        <v>1312</v>
      </c>
      <c r="B411" t="s">
        <v>896</v>
      </c>
      <c r="C411" t="s">
        <v>1329</v>
      </c>
      <c r="D411">
        <v>717385</v>
      </c>
      <c r="E411" t="s">
        <v>570</v>
      </c>
    </row>
    <row r="412" spans="1:5">
      <c r="A412" t="s">
        <v>1312</v>
      </c>
      <c r="B412" t="s">
        <v>896</v>
      </c>
      <c r="C412" t="s">
        <v>1330</v>
      </c>
      <c r="D412">
        <v>510959</v>
      </c>
      <c r="E412" t="s">
        <v>743</v>
      </c>
    </row>
    <row r="413" spans="1:5">
      <c r="A413" t="s">
        <v>1312</v>
      </c>
      <c r="B413" t="s">
        <v>896</v>
      </c>
      <c r="C413" t="s">
        <v>1331</v>
      </c>
      <c r="D413">
        <v>510959</v>
      </c>
      <c r="E413" t="s">
        <v>743</v>
      </c>
    </row>
    <row r="414" spans="1:5">
      <c r="A414" t="s">
        <v>1312</v>
      </c>
      <c r="B414" t="s">
        <v>896</v>
      </c>
      <c r="C414" t="s">
        <v>1332</v>
      </c>
      <c r="D414">
        <v>473022</v>
      </c>
      <c r="E414" t="s">
        <v>749</v>
      </c>
    </row>
    <row r="415" spans="1:5">
      <c r="A415" t="s">
        <v>1312</v>
      </c>
      <c r="B415" t="s">
        <v>896</v>
      </c>
      <c r="C415" t="s">
        <v>1333</v>
      </c>
      <c r="D415">
        <v>671261</v>
      </c>
      <c r="E415" t="s">
        <v>281</v>
      </c>
    </row>
    <row r="416" spans="1:5">
      <c r="A416" t="s">
        <v>1312</v>
      </c>
      <c r="B416" t="s">
        <v>896</v>
      </c>
      <c r="C416" t="s">
        <v>1334</v>
      </c>
      <c r="D416">
        <v>665609</v>
      </c>
      <c r="E416" t="s">
        <v>77</v>
      </c>
    </row>
    <row r="417" spans="1:5">
      <c r="A417" t="s">
        <v>1312</v>
      </c>
      <c r="B417" t="s">
        <v>896</v>
      </c>
      <c r="C417" t="s">
        <v>1335</v>
      </c>
      <c r="D417">
        <v>473022</v>
      </c>
      <c r="E417" t="s">
        <v>749</v>
      </c>
    </row>
    <row r="418" spans="1:5">
      <c r="A418" t="s">
        <v>1312</v>
      </c>
      <c r="B418" t="s">
        <v>896</v>
      </c>
      <c r="C418" t="s">
        <v>1336</v>
      </c>
      <c r="D418">
        <v>671261</v>
      </c>
      <c r="E418" t="s">
        <v>281</v>
      </c>
    </row>
    <row r="419" spans="1:5">
      <c r="A419" t="s">
        <v>1312</v>
      </c>
      <c r="B419" t="s">
        <v>896</v>
      </c>
      <c r="C419" t="s">
        <v>1337</v>
      </c>
      <c r="D419">
        <v>700972</v>
      </c>
      <c r="E419" t="s">
        <v>492</v>
      </c>
    </row>
    <row r="420" spans="1:5">
      <c r="A420" t="s">
        <v>1312</v>
      </c>
      <c r="B420" t="s">
        <v>896</v>
      </c>
      <c r="C420" t="s">
        <v>1338</v>
      </c>
      <c r="D420">
        <v>473022</v>
      </c>
      <c r="E420" t="s">
        <v>749</v>
      </c>
    </row>
    <row r="421" spans="1:5">
      <c r="A421" t="s">
        <v>1312</v>
      </c>
      <c r="B421" t="s">
        <v>896</v>
      </c>
      <c r="C421" t="s">
        <v>1339</v>
      </c>
      <c r="D421">
        <v>659843</v>
      </c>
      <c r="E421" t="s">
        <v>204</v>
      </c>
    </row>
    <row r="422" spans="1:5">
      <c r="A422" t="s">
        <v>1312</v>
      </c>
      <c r="B422" t="s">
        <v>896</v>
      </c>
      <c r="C422" t="s">
        <v>1340</v>
      </c>
      <c r="D422">
        <v>652343</v>
      </c>
      <c r="E422" t="s">
        <v>348</v>
      </c>
    </row>
    <row r="423" spans="1:5">
      <c r="A423" t="s">
        <v>1312</v>
      </c>
      <c r="B423" t="s">
        <v>896</v>
      </c>
      <c r="C423" t="s">
        <v>1341</v>
      </c>
      <c r="D423">
        <v>192432</v>
      </c>
      <c r="E423" t="s">
        <v>815</v>
      </c>
    </row>
    <row r="424" spans="1:5">
      <c r="A424" t="s">
        <v>1312</v>
      </c>
      <c r="B424" t="s">
        <v>896</v>
      </c>
      <c r="C424" t="s">
        <v>1342</v>
      </c>
      <c r="D424">
        <v>635305</v>
      </c>
      <c r="E424" t="s">
        <v>504</v>
      </c>
    </row>
    <row r="425" spans="1:5">
      <c r="A425" t="s">
        <v>1343</v>
      </c>
      <c r="B425" t="s">
        <v>896</v>
      </c>
      <c r="C425" t="s">
        <v>1344</v>
      </c>
      <c r="D425">
        <v>987543</v>
      </c>
      <c r="E425" t="s">
        <v>223</v>
      </c>
    </row>
    <row r="426" spans="1:5">
      <c r="A426" t="s">
        <v>1343</v>
      </c>
      <c r="B426" t="s">
        <v>896</v>
      </c>
      <c r="C426" t="s">
        <v>1345</v>
      </c>
      <c r="D426">
        <v>667491</v>
      </c>
      <c r="E426" t="s">
        <v>1039</v>
      </c>
    </row>
    <row r="427" spans="1:5">
      <c r="A427" t="s">
        <v>1343</v>
      </c>
      <c r="B427" t="s">
        <v>896</v>
      </c>
      <c r="C427" t="s">
        <v>1346</v>
      </c>
      <c r="D427">
        <v>571329</v>
      </c>
      <c r="E427" t="s">
        <v>319</v>
      </c>
    </row>
    <row r="428" spans="1:5">
      <c r="A428" t="s">
        <v>1343</v>
      </c>
      <c r="B428" t="s">
        <v>896</v>
      </c>
      <c r="C428" t="s">
        <v>1347</v>
      </c>
      <c r="D428">
        <v>166419</v>
      </c>
      <c r="E428" t="s">
        <v>308</v>
      </c>
    </row>
    <row r="429" spans="1:5">
      <c r="A429" t="s">
        <v>1343</v>
      </c>
      <c r="B429" t="s">
        <v>896</v>
      </c>
      <c r="C429" t="s">
        <v>1348</v>
      </c>
      <c r="D429">
        <v>987543</v>
      </c>
      <c r="E429" t="s">
        <v>223</v>
      </c>
    </row>
    <row r="430" spans="1:5">
      <c r="A430" t="s">
        <v>1343</v>
      </c>
      <c r="B430" t="s">
        <v>896</v>
      </c>
      <c r="C430" t="s">
        <v>1349</v>
      </c>
      <c r="D430">
        <v>832249</v>
      </c>
      <c r="E430" t="s">
        <v>85</v>
      </c>
    </row>
    <row r="431" spans="1:5">
      <c r="A431" t="s">
        <v>1343</v>
      </c>
      <c r="B431" t="s">
        <v>896</v>
      </c>
      <c r="C431" t="s">
        <v>1350</v>
      </c>
      <c r="D431">
        <v>459115</v>
      </c>
      <c r="E431" t="s">
        <v>631</v>
      </c>
    </row>
    <row r="432" spans="1:5">
      <c r="A432" t="s">
        <v>1343</v>
      </c>
      <c r="B432" t="s">
        <v>896</v>
      </c>
      <c r="C432" t="s">
        <v>1351</v>
      </c>
      <c r="D432">
        <v>828268</v>
      </c>
      <c r="E432" t="s">
        <v>30</v>
      </c>
    </row>
    <row r="433" spans="1:5">
      <c r="A433" t="s">
        <v>1343</v>
      </c>
      <c r="B433" t="s">
        <v>896</v>
      </c>
      <c r="C433" t="s">
        <v>1352</v>
      </c>
      <c r="D433">
        <v>571329</v>
      </c>
      <c r="E433" t="s">
        <v>319</v>
      </c>
    </row>
    <row r="434" spans="1:5">
      <c r="A434" t="s">
        <v>1343</v>
      </c>
      <c r="B434" t="s">
        <v>896</v>
      </c>
      <c r="C434" t="s">
        <v>1353</v>
      </c>
      <c r="D434">
        <v>468423</v>
      </c>
      <c r="E434" t="s">
        <v>393</v>
      </c>
    </row>
    <row r="435" spans="1:5">
      <c r="A435" t="s">
        <v>1343</v>
      </c>
      <c r="B435" t="s">
        <v>896</v>
      </c>
      <c r="C435" t="s">
        <v>1354</v>
      </c>
      <c r="D435">
        <v>872540</v>
      </c>
      <c r="E435" t="s">
        <v>733</v>
      </c>
    </row>
    <row r="436" spans="1:5">
      <c r="A436" t="s">
        <v>1343</v>
      </c>
      <c r="B436" t="s">
        <v>896</v>
      </c>
      <c r="C436" t="s">
        <v>1355</v>
      </c>
      <c r="D436">
        <v>828268</v>
      </c>
      <c r="E436" t="s">
        <v>30</v>
      </c>
    </row>
    <row r="437" spans="1:5">
      <c r="A437" t="s">
        <v>1343</v>
      </c>
      <c r="B437" t="s">
        <v>896</v>
      </c>
      <c r="C437" t="s">
        <v>1356</v>
      </c>
      <c r="D437">
        <v>987543</v>
      </c>
      <c r="E437" t="s">
        <v>223</v>
      </c>
    </row>
    <row r="438" spans="1:5">
      <c r="A438" t="s">
        <v>1343</v>
      </c>
      <c r="B438" t="s">
        <v>896</v>
      </c>
      <c r="C438" t="s">
        <v>1357</v>
      </c>
      <c r="D438">
        <v>910059</v>
      </c>
      <c r="E438" t="s">
        <v>440</v>
      </c>
    </row>
    <row r="439" spans="1:5">
      <c r="A439" t="s">
        <v>1343</v>
      </c>
      <c r="B439" t="s">
        <v>896</v>
      </c>
      <c r="C439" t="s">
        <v>1358</v>
      </c>
      <c r="D439">
        <v>571329</v>
      </c>
      <c r="E439" t="s">
        <v>319</v>
      </c>
    </row>
    <row r="440" spans="1:5">
      <c r="A440" t="s">
        <v>1343</v>
      </c>
      <c r="B440" t="s">
        <v>896</v>
      </c>
      <c r="C440" t="s">
        <v>1359</v>
      </c>
      <c r="D440">
        <v>832249</v>
      </c>
      <c r="E440" t="s">
        <v>85</v>
      </c>
    </row>
    <row r="441" spans="1:5">
      <c r="A441" t="s">
        <v>1343</v>
      </c>
      <c r="B441" t="s">
        <v>896</v>
      </c>
      <c r="C441" t="s">
        <v>1360</v>
      </c>
      <c r="D441">
        <v>987543</v>
      </c>
      <c r="E441" t="s">
        <v>223</v>
      </c>
    </row>
    <row r="442" spans="1:5">
      <c r="A442" t="s">
        <v>1361</v>
      </c>
      <c r="B442" t="s">
        <v>896</v>
      </c>
      <c r="C442" t="s">
        <v>1362</v>
      </c>
      <c r="D442">
        <v>495533</v>
      </c>
      <c r="E442" t="s">
        <v>147</v>
      </c>
    </row>
    <row r="443" spans="1:5">
      <c r="A443" t="s">
        <v>1361</v>
      </c>
      <c r="B443" t="s">
        <v>896</v>
      </c>
      <c r="C443" t="s">
        <v>1363</v>
      </c>
      <c r="D443">
        <v>398483</v>
      </c>
      <c r="E443" t="s">
        <v>521</v>
      </c>
    </row>
    <row r="444" spans="1:5">
      <c r="A444" t="s">
        <v>1361</v>
      </c>
      <c r="B444" t="s">
        <v>896</v>
      </c>
      <c r="C444" t="s">
        <v>1364</v>
      </c>
      <c r="D444">
        <v>635374</v>
      </c>
      <c r="E444" t="s">
        <v>450</v>
      </c>
    </row>
    <row r="445" spans="1:5">
      <c r="A445" t="s">
        <v>1361</v>
      </c>
      <c r="B445" t="s">
        <v>896</v>
      </c>
      <c r="C445" t="s">
        <v>1365</v>
      </c>
      <c r="D445">
        <v>667491</v>
      </c>
      <c r="E445" t="s">
        <v>1039</v>
      </c>
    </row>
    <row r="446" spans="1:5">
      <c r="A446" t="s">
        <v>1361</v>
      </c>
      <c r="B446" t="s">
        <v>896</v>
      </c>
      <c r="C446" t="s">
        <v>1366</v>
      </c>
      <c r="D446">
        <v>495533</v>
      </c>
      <c r="E446" t="s">
        <v>147</v>
      </c>
    </row>
    <row r="447" spans="1:5">
      <c r="A447" t="s">
        <v>1361</v>
      </c>
      <c r="B447" t="s">
        <v>896</v>
      </c>
      <c r="C447" t="s">
        <v>1367</v>
      </c>
      <c r="D447">
        <v>488062</v>
      </c>
      <c r="E447" t="s">
        <v>755</v>
      </c>
    </row>
    <row r="448" spans="1:5">
      <c r="A448" t="s">
        <v>1361</v>
      </c>
      <c r="B448" t="s">
        <v>896</v>
      </c>
      <c r="C448" t="s">
        <v>1368</v>
      </c>
      <c r="D448">
        <v>667491</v>
      </c>
      <c r="E448" t="s">
        <v>1039</v>
      </c>
    </row>
    <row r="449" spans="1:5">
      <c r="A449" t="s">
        <v>1361</v>
      </c>
      <c r="B449" t="s">
        <v>896</v>
      </c>
      <c r="C449" t="s">
        <v>1369</v>
      </c>
      <c r="D449">
        <v>495533</v>
      </c>
      <c r="E449" t="s">
        <v>147</v>
      </c>
    </row>
    <row r="450" spans="1:5">
      <c r="A450" t="s">
        <v>1361</v>
      </c>
      <c r="B450" t="s">
        <v>896</v>
      </c>
      <c r="C450" t="s">
        <v>1370</v>
      </c>
      <c r="D450">
        <v>398483</v>
      </c>
      <c r="E450" t="s">
        <v>521</v>
      </c>
    </row>
    <row r="451" spans="1:5">
      <c r="A451" t="s">
        <v>1371</v>
      </c>
      <c r="B451" t="s">
        <v>896</v>
      </c>
      <c r="C451" t="s">
        <v>1266</v>
      </c>
      <c r="D451">
        <v>717142</v>
      </c>
      <c r="E451" t="s">
        <v>258</v>
      </c>
    </row>
    <row r="452" spans="1:5">
      <c r="A452" t="s">
        <v>1371</v>
      </c>
      <c r="B452" t="s">
        <v>896</v>
      </c>
      <c r="C452" t="s">
        <v>1268</v>
      </c>
      <c r="D452">
        <v>717142</v>
      </c>
      <c r="E452" t="s">
        <v>258</v>
      </c>
    </row>
    <row r="453" spans="1:5">
      <c r="A453" t="s">
        <v>1371</v>
      </c>
      <c r="B453" t="s">
        <v>896</v>
      </c>
      <c r="C453" t="s">
        <v>1270</v>
      </c>
      <c r="D453">
        <v>717142</v>
      </c>
      <c r="E453" t="s">
        <v>258</v>
      </c>
    </row>
    <row r="454" spans="1:5">
      <c r="A454" t="s">
        <v>1371</v>
      </c>
      <c r="B454" t="s">
        <v>896</v>
      </c>
      <c r="C454" t="s">
        <v>1272</v>
      </c>
      <c r="D454">
        <v>717142</v>
      </c>
      <c r="E454" t="s">
        <v>258</v>
      </c>
    </row>
    <row r="455" spans="1:5">
      <c r="A455" t="s">
        <v>1371</v>
      </c>
      <c r="B455" t="s">
        <v>896</v>
      </c>
      <c r="C455" t="s">
        <v>1274</v>
      </c>
      <c r="D455">
        <v>717142</v>
      </c>
      <c r="E455" t="s">
        <v>258</v>
      </c>
    </row>
    <row r="456" spans="1:5">
      <c r="A456" t="s">
        <v>1371</v>
      </c>
      <c r="B456" t="s">
        <v>896</v>
      </c>
      <c r="C456" t="s">
        <v>1276</v>
      </c>
      <c r="D456">
        <v>510959</v>
      </c>
      <c r="E456" t="s">
        <v>743</v>
      </c>
    </row>
    <row r="457" spans="1:5">
      <c r="A457" t="s">
        <v>1371</v>
      </c>
      <c r="B457" t="s">
        <v>896</v>
      </c>
      <c r="C457" t="s">
        <v>1278</v>
      </c>
      <c r="D457">
        <v>459115</v>
      </c>
      <c r="E457" t="s">
        <v>631</v>
      </c>
    </row>
    <row r="458" spans="1:5">
      <c r="A458" t="s">
        <v>1371</v>
      </c>
      <c r="B458" t="s">
        <v>896</v>
      </c>
      <c r="C458" t="s">
        <v>1281</v>
      </c>
      <c r="D458">
        <v>717142</v>
      </c>
      <c r="E458" t="s">
        <v>258</v>
      </c>
    </row>
    <row r="459" spans="1:5">
      <c r="A459" t="s">
        <v>1371</v>
      </c>
      <c r="B459" t="s">
        <v>896</v>
      </c>
      <c r="C459" t="s">
        <v>1283</v>
      </c>
      <c r="D459">
        <v>717142</v>
      </c>
      <c r="E459" t="s">
        <v>258</v>
      </c>
    </row>
    <row r="460" spans="1:5">
      <c r="A460" t="s">
        <v>1371</v>
      </c>
      <c r="B460" t="s">
        <v>896</v>
      </c>
      <c r="C460" t="s">
        <v>1285</v>
      </c>
      <c r="D460">
        <v>717142</v>
      </c>
      <c r="E460" t="s">
        <v>258</v>
      </c>
    </row>
    <row r="461" spans="1:5">
      <c r="A461" t="s">
        <v>1371</v>
      </c>
      <c r="B461" t="s">
        <v>896</v>
      </c>
      <c r="C461" t="s">
        <v>1287</v>
      </c>
      <c r="D461">
        <v>690619</v>
      </c>
      <c r="E461" t="s">
        <v>563</v>
      </c>
    </row>
    <row r="462" spans="1:5">
      <c r="A462" t="s">
        <v>1371</v>
      </c>
      <c r="B462" t="s">
        <v>896</v>
      </c>
      <c r="C462" t="s">
        <v>1289</v>
      </c>
      <c r="D462">
        <v>717142</v>
      </c>
      <c r="E462" t="s">
        <v>258</v>
      </c>
    </row>
    <row r="463" spans="1:5">
      <c r="A463" t="s">
        <v>1371</v>
      </c>
      <c r="B463" t="s">
        <v>896</v>
      </c>
      <c r="C463" t="s">
        <v>1291</v>
      </c>
      <c r="D463">
        <v>386173</v>
      </c>
      <c r="E463" t="s">
        <v>341</v>
      </c>
    </row>
    <row r="464" spans="1:5">
      <c r="A464" t="s">
        <v>1371</v>
      </c>
      <c r="B464" t="s">
        <v>896</v>
      </c>
      <c r="C464" t="s">
        <v>1293</v>
      </c>
      <c r="D464">
        <v>717142</v>
      </c>
      <c r="E464" t="s">
        <v>258</v>
      </c>
    </row>
    <row r="465" spans="1:5">
      <c r="A465" t="s">
        <v>1371</v>
      </c>
      <c r="B465" t="s">
        <v>896</v>
      </c>
      <c r="C465" t="s">
        <v>1295</v>
      </c>
      <c r="D465">
        <v>211216</v>
      </c>
      <c r="E465" t="s">
        <v>109</v>
      </c>
    </row>
    <row r="466" spans="1:5">
      <c r="A466" t="s">
        <v>1371</v>
      </c>
      <c r="B466" t="s">
        <v>896</v>
      </c>
      <c r="C466" t="s">
        <v>1297</v>
      </c>
      <c r="D466">
        <v>717142</v>
      </c>
      <c r="E466" t="s">
        <v>258</v>
      </c>
    </row>
    <row r="467" spans="1:5">
      <c r="A467" t="s">
        <v>3539</v>
      </c>
      <c r="C467" t="s">
        <v>3540</v>
      </c>
      <c r="D467">
        <v>830884</v>
      </c>
      <c r="E467" t="s">
        <v>587</v>
      </c>
    </row>
    <row r="468" spans="1:5">
      <c r="A468" t="s">
        <v>3539</v>
      </c>
      <c r="C468" t="s">
        <v>3541</v>
      </c>
      <c r="D468">
        <v>620294</v>
      </c>
      <c r="E468" t="s">
        <v>482</v>
      </c>
    </row>
    <row r="469" spans="1:5">
      <c r="A469" t="s">
        <v>3539</v>
      </c>
      <c r="C469" t="s">
        <v>3542</v>
      </c>
      <c r="D469">
        <v>453313</v>
      </c>
      <c r="E469" t="s">
        <v>71</v>
      </c>
    </row>
    <row r="470" spans="1:5">
      <c r="A470" t="s">
        <v>3539</v>
      </c>
      <c r="C470" t="s">
        <v>3543</v>
      </c>
      <c r="D470">
        <v>932894</v>
      </c>
      <c r="E470" t="s">
        <v>335</v>
      </c>
    </row>
    <row r="471" spans="1:5">
      <c r="A471" t="s">
        <v>3539</v>
      </c>
      <c r="C471" t="s">
        <v>3544</v>
      </c>
      <c r="D471">
        <v>932894</v>
      </c>
      <c r="E471" t="s">
        <v>335</v>
      </c>
    </row>
    <row r="472" spans="1:5">
      <c r="A472" t="s">
        <v>3539</v>
      </c>
      <c r="C472" t="s">
        <v>3545</v>
      </c>
      <c r="D472">
        <v>620294</v>
      </c>
      <c r="E472" t="s">
        <v>482</v>
      </c>
    </row>
    <row r="473" spans="1:5">
      <c r="A473" t="s">
        <v>3539</v>
      </c>
      <c r="C473" t="s">
        <v>3546</v>
      </c>
      <c r="D473">
        <v>665898</v>
      </c>
      <c r="E473" t="s">
        <v>82</v>
      </c>
    </row>
    <row r="474" spans="1:5">
      <c r="A474" t="s">
        <v>3539</v>
      </c>
      <c r="C474" t="s">
        <v>3547</v>
      </c>
      <c r="D474">
        <v>452434</v>
      </c>
      <c r="E474" t="s">
        <v>554</v>
      </c>
    </row>
    <row r="475" spans="1:5">
      <c r="A475" t="s">
        <v>3539</v>
      </c>
      <c r="C475" t="s">
        <v>3548</v>
      </c>
      <c r="D475">
        <v>95394</v>
      </c>
      <c r="E475" t="s">
        <v>184</v>
      </c>
    </row>
    <row r="476" spans="1:5">
      <c r="A476" t="s">
        <v>3539</v>
      </c>
      <c r="C476" t="s">
        <v>3549</v>
      </c>
      <c r="D476">
        <v>95394</v>
      </c>
      <c r="E476" t="s">
        <v>184</v>
      </c>
    </row>
    <row r="477" spans="1:5">
      <c r="A477" t="s">
        <v>3539</v>
      </c>
      <c r="C477" t="s">
        <v>3550</v>
      </c>
      <c r="D477">
        <v>452434</v>
      </c>
      <c r="E477" t="s">
        <v>554</v>
      </c>
    </row>
    <row r="478" spans="1:5">
      <c r="A478" t="s">
        <v>3539</v>
      </c>
      <c r="C478" t="s">
        <v>3551</v>
      </c>
      <c r="D478">
        <v>568663</v>
      </c>
      <c r="E478" t="s">
        <v>379</v>
      </c>
    </row>
    <row r="479" spans="1:5">
      <c r="A479" t="s">
        <v>3539</v>
      </c>
      <c r="C479" t="s">
        <v>3552</v>
      </c>
      <c r="D479">
        <v>472114</v>
      </c>
      <c r="E479" t="s">
        <v>135</v>
      </c>
    </row>
    <row r="480" spans="1:5">
      <c r="A480" t="s">
        <v>3539</v>
      </c>
      <c r="C480" t="s">
        <v>3553</v>
      </c>
      <c r="D480">
        <v>452434</v>
      </c>
      <c r="E480" t="s">
        <v>554</v>
      </c>
    </row>
    <row r="481" spans="1:5">
      <c r="A481" t="s">
        <v>3539</v>
      </c>
      <c r="C481" t="s">
        <v>3554</v>
      </c>
      <c r="D481">
        <v>496999</v>
      </c>
      <c r="E481" t="s">
        <v>781</v>
      </c>
    </row>
    <row r="482" spans="1:5">
      <c r="A482" t="s">
        <v>3539</v>
      </c>
      <c r="C482" t="s">
        <v>3555</v>
      </c>
      <c r="D482">
        <v>595661</v>
      </c>
      <c r="E482" t="s">
        <v>419</v>
      </c>
    </row>
    <row r="483" spans="1:5">
      <c r="A483" t="s">
        <v>3539</v>
      </c>
      <c r="C483" t="s">
        <v>3556</v>
      </c>
      <c r="D483">
        <v>453313</v>
      </c>
      <c r="E483" t="s">
        <v>71</v>
      </c>
    </row>
    <row r="484" spans="1:5">
      <c r="A484" t="s">
        <v>3539</v>
      </c>
      <c r="C484" t="s">
        <v>3557</v>
      </c>
      <c r="D484">
        <v>95394</v>
      </c>
      <c r="E484" t="s">
        <v>184</v>
      </c>
    </row>
    <row r="485" spans="1:5">
      <c r="A485" t="s">
        <v>3539</v>
      </c>
      <c r="C485" t="s">
        <v>3558</v>
      </c>
      <c r="D485">
        <v>95394</v>
      </c>
      <c r="E485" t="s">
        <v>184</v>
      </c>
    </row>
    <row r="486" spans="1:5">
      <c r="A486" t="s">
        <v>3539</v>
      </c>
      <c r="C486" t="s">
        <v>3559</v>
      </c>
      <c r="D486">
        <v>595661</v>
      </c>
      <c r="E486" t="s">
        <v>419</v>
      </c>
    </row>
    <row r="487" spans="1:5">
      <c r="A487" t="s">
        <v>3539</v>
      </c>
      <c r="C487" t="s">
        <v>3560</v>
      </c>
      <c r="D487">
        <v>595661</v>
      </c>
      <c r="E487" t="s">
        <v>419</v>
      </c>
    </row>
    <row r="488" spans="1:5">
      <c r="A488" t="s">
        <v>3561</v>
      </c>
      <c r="C488" t="s">
        <v>3343</v>
      </c>
      <c r="D488">
        <v>557897</v>
      </c>
      <c r="E488" t="s">
        <v>18</v>
      </c>
    </row>
    <row r="489" spans="1:5">
      <c r="A489" t="s">
        <v>3561</v>
      </c>
      <c r="C489" t="s">
        <v>3335</v>
      </c>
      <c r="D489">
        <v>416008</v>
      </c>
      <c r="E489" t="s">
        <v>604</v>
      </c>
    </row>
    <row r="490" spans="1:5">
      <c r="A490" t="s">
        <v>3561</v>
      </c>
      <c r="C490" t="s">
        <v>3562</v>
      </c>
      <c r="D490">
        <v>565142</v>
      </c>
      <c r="E490" t="s">
        <v>24</v>
      </c>
    </row>
    <row r="491" spans="1:5">
      <c r="A491" t="s">
        <v>3561</v>
      </c>
      <c r="C491" t="s">
        <v>3331</v>
      </c>
      <c r="D491">
        <v>891738</v>
      </c>
      <c r="E491" t="s">
        <v>447</v>
      </c>
    </row>
    <row r="492" spans="1:5">
      <c r="A492" t="s">
        <v>3561</v>
      </c>
      <c r="C492" t="s">
        <v>3345</v>
      </c>
      <c r="D492">
        <v>231210</v>
      </c>
      <c r="E492" t="s">
        <v>278</v>
      </c>
    </row>
    <row r="493" spans="1:5">
      <c r="A493" t="s">
        <v>3561</v>
      </c>
      <c r="C493" t="s">
        <v>3346</v>
      </c>
      <c r="D493">
        <v>828379</v>
      </c>
      <c r="E493" t="s">
        <v>287</v>
      </c>
    </row>
    <row r="494" spans="1:5">
      <c r="A494" t="s">
        <v>3561</v>
      </c>
      <c r="C494" t="s">
        <v>3347</v>
      </c>
      <c r="D494">
        <v>416008</v>
      </c>
      <c r="E494" t="s">
        <v>604</v>
      </c>
    </row>
    <row r="495" spans="1:5">
      <c r="A495" t="s">
        <v>3561</v>
      </c>
      <c r="C495" t="s">
        <v>3188</v>
      </c>
      <c r="D495">
        <v>372832</v>
      </c>
      <c r="E495" t="s">
        <v>326</v>
      </c>
    </row>
    <row r="496" spans="1:5">
      <c r="A496" t="s">
        <v>3561</v>
      </c>
      <c r="C496" t="s">
        <v>3563</v>
      </c>
      <c r="D496">
        <v>63772</v>
      </c>
      <c r="E496" t="s">
        <v>446</v>
      </c>
    </row>
    <row r="497" spans="1:5">
      <c r="A497" t="s">
        <v>3561</v>
      </c>
      <c r="C497" t="s">
        <v>3349</v>
      </c>
      <c r="D497">
        <v>130177</v>
      </c>
      <c r="E497" t="s">
        <v>234</v>
      </c>
    </row>
    <row r="498" spans="1:5">
      <c r="A498" t="s">
        <v>3561</v>
      </c>
      <c r="C498" t="s">
        <v>3350</v>
      </c>
      <c r="D498">
        <v>231210</v>
      </c>
      <c r="E498" t="s">
        <v>278</v>
      </c>
    </row>
    <row r="499" spans="1:5">
      <c r="A499" t="s">
        <v>3561</v>
      </c>
      <c r="C499" t="s">
        <v>3351</v>
      </c>
      <c r="D499">
        <v>828379</v>
      </c>
      <c r="E499" t="s">
        <v>287</v>
      </c>
    </row>
    <row r="500" spans="1:5">
      <c r="A500" t="s">
        <v>3561</v>
      </c>
      <c r="C500" t="s">
        <v>3352</v>
      </c>
      <c r="D500">
        <v>416008</v>
      </c>
      <c r="E500" t="s">
        <v>604</v>
      </c>
    </row>
    <row r="501" spans="1:5">
      <c r="A501" t="s">
        <v>3561</v>
      </c>
      <c r="C501" t="s">
        <v>3190</v>
      </c>
      <c r="D501">
        <v>372832</v>
      </c>
      <c r="E501" t="s">
        <v>326</v>
      </c>
    </row>
    <row r="502" spans="1:5">
      <c r="A502" t="s">
        <v>3561</v>
      </c>
      <c r="C502" t="s">
        <v>3564</v>
      </c>
      <c r="D502">
        <v>943909</v>
      </c>
      <c r="E502" t="s">
        <v>674</v>
      </c>
    </row>
    <row r="503" spans="1:5">
      <c r="A503" t="s">
        <v>3561</v>
      </c>
      <c r="C503" t="s">
        <v>3565</v>
      </c>
      <c r="D503">
        <v>891738</v>
      </c>
      <c r="E503" t="s">
        <v>447</v>
      </c>
    </row>
    <row r="504" spans="1:5">
      <c r="A504" t="s">
        <v>3561</v>
      </c>
      <c r="C504" t="s">
        <v>3354</v>
      </c>
      <c r="D504">
        <v>708613</v>
      </c>
      <c r="E504" t="s">
        <v>489</v>
      </c>
    </row>
    <row r="505" spans="1:5">
      <c r="A505" t="s">
        <v>3561</v>
      </c>
      <c r="C505" t="s">
        <v>3355</v>
      </c>
      <c r="D505">
        <v>231210</v>
      </c>
      <c r="E505" t="s">
        <v>278</v>
      </c>
    </row>
    <row r="506" spans="1:5">
      <c r="A506" t="s">
        <v>3561</v>
      </c>
      <c r="C506" t="s">
        <v>3357</v>
      </c>
      <c r="D506">
        <v>416008</v>
      </c>
      <c r="E506" t="s">
        <v>604</v>
      </c>
    </row>
    <row r="507" spans="1:5">
      <c r="A507" t="s">
        <v>3561</v>
      </c>
      <c r="C507" t="s">
        <v>3192</v>
      </c>
      <c r="D507">
        <v>708613</v>
      </c>
      <c r="E507" t="s">
        <v>489</v>
      </c>
    </row>
    <row r="508" spans="1:5">
      <c r="A508" t="s">
        <v>3561</v>
      </c>
      <c r="C508" t="s">
        <v>3416</v>
      </c>
      <c r="D508">
        <v>63772</v>
      </c>
      <c r="E508" t="s">
        <v>446</v>
      </c>
    </row>
    <row r="509" spans="1:5">
      <c r="A509" t="s">
        <v>3561</v>
      </c>
      <c r="C509" t="s">
        <v>3359</v>
      </c>
      <c r="D509">
        <v>708613</v>
      </c>
      <c r="E509" t="s">
        <v>489</v>
      </c>
    </row>
    <row r="510" spans="1:5">
      <c r="A510" t="s">
        <v>3561</v>
      </c>
      <c r="C510" t="s">
        <v>3360</v>
      </c>
      <c r="D510">
        <v>231210</v>
      </c>
      <c r="E510" t="s">
        <v>278</v>
      </c>
    </row>
    <row r="511" spans="1:5">
      <c r="A511" t="s">
        <v>3561</v>
      </c>
      <c r="C511" t="s">
        <v>3361</v>
      </c>
      <c r="D511">
        <v>416008</v>
      </c>
      <c r="E511" t="s">
        <v>604</v>
      </c>
    </row>
    <row r="512" spans="1:5">
      <c r="A512" t="s">
        <v>3561</v>
      </c>
      <c r="C512" t="s">
        <v>3336</v>
      </c>
      <c r="D512">
        <v>162003</v>
      </c>
      <c r="E512" t="s">
        <v>797</v>
      </c>
    </row>
    <row r="513" spans="1:5">
      <c r="A513" t="s">
        <v>3566</v>
      </c>
      <c r="C513" t="s">
        <v>3441</v>
      </c>
      <c r="D513">
        <v>967920</v>
      </c>
      <c r="E513" t="s">
        <v>499</v>
      </c>
    </row>
    <row r="514" spans="1:5">
      <c r="A514" t="s">
        <v>3566</v>
      </c>
      <c r="C514" t="s">
        <v>3050</v>
      </c>
      <c r="D514">
        <v>926369</v>
      </c>
      <c r="E514" t="s">
        <v>239</v>
      </c>
    </row>
    <row r="515" spans="1:5">
      <c r="A515" t="s">
        <v>3566</v>
      </c>
      <c r="C515" t="s">
        <v>3461</v>
      </c>
      <c r="D515">
        <v>440768</v>
      </c>
      <c r="E515" t="s">
        <v>646</v>
      </c>
    </row>
    <row r="516" spans="1:5">
      <c r="A516" t="s">
        <v>3566</v>
      </c>
      <c r="C516" t="s">
        <v>2992</v>
      </c>
      <c r="D516">
        <v>635305</v>
      </c>
      <c r="E516" t="s">
        <v>504</v>
      </c>
    </row>
    <row r="517" spans="1:5">
      <c r="A517" t="s">
        <v>3566</v>
      </c>
      <c r="C517" t="s">
        <v>3051</v>
      </c>
      <c r="D517">
        <v>761495</v>
      </c>
      <c r="E517" t="s">
        <v>565</v>
      </c>
    </row>
    <row r="518" spans="1:5">
      <c r="A518" t="s">
        <v>3566</v>
      </c>
      <c r="C518" t="s">
        <v>3567</v>
      </c>
      <c r="D518">
        <v>887940</v>
      </c>
      <c r="E518" t="s">
        <v>315</v>
      </c>
    </row>
    <row r="519" spans="1:5">
      <c r="A519" t="s">
        <v>3566</v>
      </c>
      <c r="C519" t="s">
        <v>3052</v>
      </c>
      <c r="D519">
        <v>926369</v>
      </c>
      <c r="E519" t="s">
        <v>239</v>
      </c>
    </row>
    <row r="520" spans="1:5">
      <c r="A520" t="s">
        <v>3566</v>
      </c>
      <c r="C520" t="s">
        <v>3442</v>
      </c>
      <c r="D520">
        <v>194270</v>
      </c>
      <c r="E520" t="s">
        <v>671</v>
      </c>
    </row>
    <row r="521" spans="1:5">
      <c r="A521" t="s">
        <v>3566</v>
      </c>
      <c r="C521" t="s">
        <v>3053</v>
      </c>
      <c r="D521">
        <v>745275</v>
      </c>
      <c r="E521" t="s">
        <v>288</v>
      </c>
    </row>
    <row r="522" spans="1:5">
      <c r="A522" t="s">
        <v>3566</v>
      </c>
      <c r="C522" t="s">
        <v>3443</v>
      </c>
      <c r="D522">
        <v>761495</v>
      </c>
      <c r="E522" t="s">
        <v>565</v>
      </c>
    </row>
    <row r="523" spans="1:5">
      <c r="A523" t="s">
        <v>3566</v>
      </c>
      <c r="C523" t="s">
        <v>3054</v>
      </c>
      <c r="D523">
        <v>635305</v>
      </c>
      <c r="E523" t="s">
        <v>504</v>
      </c>
    </row>
    <row r="524" spans="1:5">
      <c r="A524" t="s">
        <v>3566</v>
      </c>
      <c r="C524" t="s">
        <v>3055</v>
      </c>
      <c r="D524">
        <v>348209</v>
      </c>
      <c r="E524" t="s">
        <v>534</v>
      </c>
    </row>
    <row r="525" spans="1:5">
      <c r="A525" t="s">
        <v>3566</v>
      </c>
      <c r="C525" t="s">
        <v>3444</v>
      </c>
      <c r="D525">
        <v>986554</v>
      </c>
      <c r="E525" t="s">
        <v>860</v>
      </c>
    </row>
    <row r="526" spans="1:5">
      <c r="A526" t="s">
        <v>3566</v>
      </c>
      <c r="C526" t="s">
        <v>3056</v>
      </c>
      <c r="D526">
        <v>459115</v>
      </c>
      <c r="E526" t="s">
        <v>631</v>
      </c>
    </row>
    <row r="527" spans="1:5">
      <c r="A527" t="s">
        <v>3566</v>
      </c>
      <c r="C527" t="s">
        <v>3445</v>
      </c>
      <c r="D527">
        <v>690619</v>
      </c>
      <c r="E527" t="s">
        <v>563</v>
      </c>
    </row>
    <row r="528" spans="1:5">
      <c r="A528" t="s">
        <v>3566</v>
      </c>
      <c r="C528" t="s">
        <v>3058</v>
      </c>
      <c r="D528">
        <v>887940</v>
      </c>
      <c r="E528" t="s">
        <v>315</v>
      </c>
    </row>
    <row r="529" spans="1:5">
      <c r="A529" t="s">
        <v>3566</v>
      </c>
      <c r="C529" t="s">
        <v>3446</v>
      </c>
      <c r="D529">
        <v>967920</v>
      </c>
      <c r="E529" t="s">
        <v>499</v>
      </c>
    </row>
    <row r="530" spans="1:5">
      <c r="A530" t="s">
        <v>3566</v>
      </c>
      <c r="C530" t="s">
        <v>3458</v>
      </c>
      <c r="D530">
        <v>440768</v>
      </c>
      <c r="E530" t="s">
        <v>646</v>
      </c>
    </row>
    <row r="531" spans="1:5">
      <c r="A531" t="s">
        <v>3566</v>
      </c>
      <c r="C531" t="s">
        <v>3008</v>
      </c>
      <c r="D531">
        <v>440768</v>
      </c>
      <c r="E531" t="s">
        <v>646</v>
      </c>
    </row>
    <row r="532" spans="1:5">
      <c r="A532" t="s">
        <v>3566</v>
      </c>
      <c r="C532" t="s">
        <v>3447</v>
      </c>
      <c r="D532">
        <v>873830</v>
      </c>
      <c r="E532" t="s">
        <v>174</v>
      </c>
    </row>
    <row r="533" spans="1:5">
      <c r="A533" t="s">
        <v>3566</v>
      </c>
      <c r="C533" t="s">
        <v>3060</v>
      </c>
      <c r="D533">
        <v>926369</v>
      </c>
      <c r="E533" t="s">
        <v>239</v>
      </c>
    </row>
    <row r="534" spans="1:5">
      <c r="A534" t="s">
        <v>3566</v>
      </c>
      <c r="C534" t="s">
        <v>3448</v>
      </c>
      <c r="D534">
        <v>967920</v>
      </c>
      <c r="E534" t="s">
        <v>499</v>
      </c>
    </row>
    <row r="535" spans="1:5">
      <c r="A535" t="s">
        <v>3566</v>
      </c>
      <c r="C535" t="s">
        <v>3011</v>
      </c>
      <c r="D535">
        <v>172555</v>
      </c>
      <c r="E535" t="s">
        <v>689</v>
      </c>
    </row>
    <row r="536" spans="1:5">
      <c r="A536" t="s">
        <v>3566</v>
      </c>
      <c r="C536" t="s">
        <v>3449</v>
      </c>
      <c r="D536">
        <v>773189</v>
      </c>
      <c r="E536" t="s">
        <v>618</v>
      </c>
    </row>
    <row r="537" spans="1:5">
      <c r="A537" t="s">
        <v>3566</v>
      </c>
      <c r="C537" t="s">
        <v>3061</v>
      </c>
      <c r="D537">
        <v>635305</v>
      </c>
      <c r="E537" t="s">
        <v>504</v>
      </c>
    </row>
    <row r="538" spans="1:5">
      <c r="A538" t="s">
        <v>3566</v>
      </c>
      <c r="C538" t="s">
        <v>3062</v>
      </c>
      <c r="D538">
        <v>887940</v>
      </c>
      <c r="E538" t="s">
        <v>315</v>
      </c>
    </row>
    <row r="539" spans="1:5">
      <c r="A539" t="s">
        <v>3566</v>
      </c>
      <c r="C539" t="s">
        <v>3450</v>
      </c>
      <c r="D539">
        <v>887940</v>
      </c>
      <c r="E539" t="s">
        <v>315</v>
      </c>
    </row>
    <row r="540" spans="1:5">
      <c r="A540" t="s">
        <v>3566</v>
      </c>
      <c r="C540" t="s">
        <v>3063</v>
      </c>
      <c r="D540">
        <v>887940</v>
      </c>
      <c r="E540" t="s">
        <v>315</v>
      </c>
    </row>
    <row r="541" spans="1:5">
      <c r="A541" t="s">
        <v>3566</v>
      </c>
      <c r="C541" t="s">
        <v>3451</v>
      </c>
      <c r="D541">
        <v>887940</v>
      </c>
      <c r="E541" t="s">
        <v>315</v>
      </c>
    </row>
    <row r="542" spans="1:5">
      <c r="A542" t="s">
        <v>3566</v>
      </c>
      <c r="C542" t="s">
        <v>3017</v>
      </c>
      <c r="D542">
        <v>967920</v>
      </c>
      <c r="E542" t="s">
        <v>499</v>
      </c>
    </row>
    <row r="543" spans="1:5">
      <c r="A543" t="s">
        <v>3568</v>
      </c>
      <c r="C543" t="s">
        <v>3569</v>
      </c>
      <c r="D543">
        <v>724884</v>
      </c>
      <c r="E543" t="s">
        <v>3570</v>
      </c>
    </row>
    <row r="544" spans="1:5">
      <c r="A544" t="s">
        <v>3568</v>
      </c>
      <c r="C544" t="s">
        <v>3571</v>
      </c>
      <c r="D544">
        <v>847592</v>
      </c>
      <c r="E544" t="s">
        <v>989</v>
      </c>
    </row>
    <row r="545" spans="1:5">
      <c r="A545" t="s">
        <v>3568</v>
      </c>
      <c r="C545" t="s">
        <v>3572</v>
      </c>
      <c r="D545">
        <v>816531</v>
      </c>
      <c r="E545" t="s">
        <v>102</v>
      </c>
    </row>
    <row r="546" spans="1:5">
      <c r="A546" t="s">
        <v>3568</v>
      </c>
      <c r="C546" t="s">
        <v>3573</v>
      </c>
      <c r="D546">
        <v>707444</v>
      </c>
      <c r="E546" t="s">
        <v>623</v>
      </c>
    </row>
    <row r="547" spans="1:5">
      <c r="A547" t="s">
        <v>3568</v>
      </c>
      <c r="C547" t="s">
        <v>3574</v>
      </c>
      <c r="D547">
        <v>707649</v>
      </c>
      <c r="E547" t="s">
        <v>746</v>
      </c>
    </row>
    <row r="548" spans="1:5">
      <c r="A548" t="s">
        <v>3568</v>
      </c>
      <c r="C548" t="s">
        <v>3575</v>
      </c>
      <c r="D548">
        <v>223372</v>
      </c>
      <c r="E548" t="s">
        <v>196</v>
      </c>
    </row>
    <row r="549" spans="1:5">
      <c r="A549" t="s">
        <v>3568</v>
      </c>
      <c r="C549" t="s">
        <v>3576</v>
      </c>
      <c r="D549">
        <v>95394</v>
      </c>
      <c r="E549" t="s">
        <v>184</v>
      </c>
    </row>
    <row r="550" spans="1:5">
      <c r="A550" t="s">
        <v>3568</v>
      </c>
      <c r="C550" t="s">
        <v>3577</v>
      </c>
      <c r="D550">
        <v>482778</v>
      </c>
      <c r="E550" t="s">
        <v>512</v>
      </c>
    </row>
    <row r="551" spans="1:5">
      <c r="A551" t="s">
        <v>3568</v>
      </c>
      <c r="C551" t="s">
        <v>3578</v>
      </c>
      <c r="D551">
        <v>772280</v>
      </c>
      <c r="E551" t="s">
        <v>398</v>
      </c>
    </row>
    <row r="552" spans="1:5">
      <c r="A552" t="s">
        <v>3568</v>
      </c>
      <c r="C552" t="s">
        <v>3579</v>
      </c>
      <c r="D552">
        <v>621916</v>
      </c>
      <c r="E552" t="s">
        <v>3580</v>
      </c>
    </row>
    <row r="553" spans="1:5">
      <c r="A553" t="s">
        <v>3568</v>
      </c>
      <c r="C553" t="s">
        <v>3581</v>
      </c>
      <c r="D553">
        <v>816531</v>
      </c>
      <c r="E553" t="s">
        <v>102</v>
      </c>
    </row>
    <row r="554" spans="1:5">
      <c r="A554" t="s">
        <v>3568</v>
      </c>
      <c r="C554" t="s">
        <v>3582</v>
      </c>
      <c r="D554">
        <v>373149</v>
      </c>
      <c r="E554" t="s">
        <v>653</v>
      </c>
    </row>
    <row r="555" spans="1:5">
      <c r="A555" t="s">
        <v>3568</v>
      </c>
      <c r="C555" t="s">
        <v>3583</v>
      </c>
      <c r="D555">
        <v>724841</v>
      </c>
      <c r="E555" t="s">
        <v>176</v>
      </c>
    </row>
    <row r="556" spans="1:5">
      <c r="A556" t="s">
        <v>3584</v>
      </c>
      <c r="C556" t="s">
        <v>3469</v>
      </c>
      <c r="D556">
        <v>734566</v>
      </c>
      <c r="E556" t="s">
        <v>1026</v>
      </c>
    </row>
    <row r="557" spans="1:5">
      <c r="A557" t="s">
        <v>3584</v>
      </c>
      <c r="C557" t="s">
        <v>3585</v>
      </c>
      <c r="D557">
        <v>597830</v>
      </c>
      <c r="E557" t="s">
        <v>134</v>
      </c>
    </row>
    <row r="558" spans="1:5">
      <c r="A558" t="s">
        <v>3584</v>
      </c>
      <c r="C558" t="s">
        <v>2995</v>
      </c>
      <c r="D558">
        <v>473022</v>
      </c>
      <c r="E558" t="s">
        <v>749</v>
      </c>
    </row>
    <row r="559" spans="1:5">
      <c r="A559" t="s">
        <v>3584</v>
      </c>
      <c r="C559" t="s">
        <v>3586</v>
      </c>
      <c r="D559">
        <v>700972</v>
      </c>
      <c r="E559" t="s">
        <v>492</v>
      </c>
    </row>
    <row r="560" spans="1:5">
      <c r="A560" t="s">
        <v>3584</v>
      </c>
      <c r="C560" t="s">
        <v>3462</v>
      </c>
      <c r="D560">
        <v>665609</v>
      </c>
      <c r="E560" t="s">
        <v>77</v>
      </c>
    </row>
    <row r="561" spans="1:5">
      <c r="A561" t="s">
        <v>3584</v>
      </c>
      <c r="C561" t="s">
        <v>3470</v>
      </c>
      <c r="D561">
        <v>734566</v>
      </c>
      <c r="E561" t="s">
        <v>1026</v>
      </c>
    </row>
    <row r="562" spans="1:5">
      <c r="A562" t="s">
        <v>3584</v>
      </c>
      <c r="C562" t="s">
        <v>3471</v>
      </c>
      <c r="D562">
        <v>671261</v>
      </c>
      <c r="E562" t="s">
        <v>281</v>
      </c>
    </row>
    <row r="563" spans="1:5">
      <c r="A563" t="s">
        <v>3584</v>
      </c>
      <c r="C563" t="s">
        <v>3473</v>
      </c>
      <c r="D563">
        <v>900440</v>
      </c>
      <c r="E563" t="s">
        <v>643</v>
      </c>
    </row>
    <row r="564" spans="1:5">
      <c r="A564" t="s">
        <v>3584</v>
      </c>
      <c r="C564" t="s">
        <v>3000</v>
      </c>
      <c r="D564">
        <v>671261</v>
      </c>
      <c r="E564" t="s">
        <v>281</v>
      </c>
    </row>
    <row r="565" spans="1:5">
      <c r="A565" t="s">
        <v>3584</v>
      </c>
      <c r="C565" t="s">
        <v>3463</v>
      </c>
      <c r="D565">
        <v>665609</v>
      </c>
      <c r="E565" t="s">
        <v>77</v>
      </c>
    </row>
    <row r="566" spans="1:5">
      <c r="A566" t="s">
        <v>3584</v>
      </c>
      <c r="C566" t="s">
        <v>3587</v>
      </c>
      <c r="D566">
        <v>700972</v>
      </c>
      <c r="E566" t="s">
        <v>492</v>
      </c>
    </row>
    <row r="567" spans="1:5">
      <c r="A567" t="s">
        <v>3584</v>
      </c>
      <c r="C567" t="s">
        <v>3474</v>
      </c>
      <c r="D567">
        <v>473022</v>
      </c>
      <c r="E567" t="s">
        <v>749</v>
      </c>
    </row>
    <row r="568" spans="1:5">
      <c r="A568" t="s">
        <v>3584</v>
      </c>
      <c r="C568" t="s">
        <v>3475</v>
      </c>
      <c r="D568">
        <v>659843</v>
      </c>
      <c r="E568" t="s">
        <v>204</v>
      </c>
    </row>
    <row r="569" spans="1:5">
      <c r="A569" t="s">
        <v>3584</v>
      </c>
      <c r="C569" t="s">
        <v>3476</v>
      </c>
      <c r="D569">
        <v>267370</v>
      </c>
      <c r="E569" t="s">
        <v>371</v>
      </c>
    </row>
    <row r="570" spans="1:5">
      <c r="A570" t="s">
        <v>3584</v>
      </c>
      <c r="C570" t="s">
        <v>3477</v>
      </c>
      <c r="D570">
        <v>671261</v>
      </c>
      <c r="E570" t="s">
        <v>281</v>
      </c>
    </row>
    <row r="571" spans="1:5">
      <c r="A571" t="s">
        <v>3584</v>
      </c>
      <c r="C571" t="s">
        <v>3007</v>
      </c>
      <c r="D571">
        <v>192432</v>
      </c>
      <c r="E571" t="s">
        <v>815</v>
      </c>
    </row>
    <row r="572" spans="1:5">
      <c r="A572" t="s">
        <v>3584</v>
      </c>
      <c r="C572" t="s">
        <v>3465</v>
      </c>
      <c r="D572">
        <v>652343</v>
      </c>
      <c r="E572" t="s">
        <v>348</v>
      </c>
    </row>
    <row r="573" spans="1:5">
      <c r="A573" t="s">
        <v>3584</v>
      </c>
      <c r="C573" t="s">
        <v>3478</v>
      </c>
      <c r="D573">
        <v>789082</v>
      </c>
      <c r="E573" t="s">
        <v>327</v>
      </c>
    </row>
    <row r="574" spans="1:5">
      <c r="A574" t="s">
        <v>3584</v>
      </c>
      <c r="C574" t="s">
        <v>3479</v>
      </c>
      <c r="D574">
        <v>635305</v>
      </c>
      <c r="E574" t="s">
        <v>504</v>
      </c>
    </row>
    <row r="575" spans="1:5">
      <c r="A575" t="s">
        <v>3584</v>
      </c>
      <c r="C575" t="s">
        <v>3480</v>
      </c>
      <c r="D575">
        <v>789082</v>
      </c>
      <c r="E575" t="s">
        <v>327</v>
      </c>
    </row>
    <row r="576" spans="1:5">
      <c r="A576" t="s">
        <v>3584</v>
      </c>
      <c r="C576" t="s">
        <v>3481</v>
      </c>
      <c r="D576">
        <v>717385</v>
      </c>
      <c r="E576" t="s">
        <v>570</v>
      </c>
    </row>
    <row r="577" spans="1:5">
      <c r="A577" t="s">
        <v>3584</v>
      </c>
      <c r="C577" t="s">
        <v>3482</v>
      </c>
      <c r="D577">
        <v>635305</v>
      </c>
      <c r="E577" t="s">
        <v>504</v>
      </c>
    </row>
    <row r="578" spans="1:5">
      <c r="A578" t="s">
        <v>3584</v>
      </c>
      <c r="C578" t="s">
        <v>3588</v>
      </c>
      <c r="D578">
        <v>652343</v>
      </c>
      <c r="E578" t="s">
        <v>348</v>
      </c>
    </row>
    <row r="579" spans="1:5">
      <c r="A579" t="s">
        <v>3584</v>
      </c>
      <c r="C579" t="s">
        <v>3466</v>
      </c>
      <c r="D579">
        <v>665609</v>
      </c>
      <c r="E579" t="s">
        <v>77</v>
      </c>
    </row>
    <row r="580" spans="1:5">
      <c r="A580" t="s">
        <v>3584</v>
      </c>
      <c r="C580" t="s">
        <v>3483</v>
      </c>
      <c r="D580">
        <v>473022</v>
      </c>
      <c r="E580" t="s">
        <v>749</v>
      </c>
    </row>
    <row r="581" spans="1:5">
      <c r="A581" t="s">
        <v>3584</v>
      </c>
      <c r="C581" t="s">
        <v>3484</v>
      </c>
      <c r="D581">
        <v>900440</v>
      </c>
      <c r="E581" t="s">
        <v>643</v>
      </c>
    </row>
    <row r="582" spans="1:5">
      <c r="A582" t="s">
        <v>3584</v>
      </c>
      <c r="C582" t="s">
        <v>3485</v>
      </c>
      <c r="D582">
        <v>659843</v>
      </c>
      <c r="E582" t="s">
        <v>204</v>
      </c>
    </row>
    <row r="583" spans="1:5">
      <c r="A583" t="s">
        <v>3584</v>
      </c>
      <c r="C583" t="s">
        <v>3486</v>
      </c>
      <c r="D583">
        <v>734566</v>
      </c>
      <c r="E583" t="s">
        <v>1026</v>
      </c>
    </row>
    <row r="584" spans="1:5">
      <c r="A584" t="s">
        <v>3589</v>
      </c>
      <c r="C584" t="s">
        <v>3202</v>
      </c>
      <c r="D584">
        <v>832249</v>
      </c>
      <c r="E584" t="s">
        <v>85</v>
      </c>
    </row>
    <row r="585" spans="1:5">
      <c r="A585" t="s">
        <v>3589</v>
      </c>
      <c r="C585" t="s">
        <v>3590</v>
      </c>
      <c r="D585">
        <v>828268</v>
      </c>
      <c r="E585" t="s">
        <v>30</v>
      </c>
    </row>
    <row r="586" spans="1:5">
      <c r="A586" t="s">
        <v>3589</v>
      </c>
      <c r="C586" t="s">
        <v>3329</v>
      </c>
      <c r="D586">
        <v>618122</v>
      </c>
      <c r="E586" t="s">
        <v>783</v>
      </c>
    </row>
    <row r="587" spans="1:5">
      <c r="A587" t="s">
        <v>3589</v>
      </c>
      <c r="C587" t="s">
        <v>3591</v>
      </c>
      <c r="D587">
        <v>832249</v>
      </c>
      <c r="E587" t="s">
        <v>85</v>
      </c>
    </row>
    <row r="588" spans="1:5">
      <c r="A588" t="s">
        <v>3589</v>
      </c>
      <c r="C588" t="s">
        <v>3206</v>
      </c>
      <c r="D588">
        <v>667491</v>
      </c>
      <c r="E588" t="s">
        <v>1039</v>
      </c>
    </row>
    <row r="589" spans="1:5">
      <c r="A589" t="s">
        <v>3589</v>
      </c>
      <c r="C589" t="s">
        <v>3208</v>
      </c>
      <c r="D589">
        <v>571329</v>
      </c>
      <c r="E589" t="s">
        <v>319</v>
      </c>
    </row>
    <row r="590" spans="1:5">
      <c r="A590" t="s">
        <v>3589</v>
      </c>
      <c r="C590" t="s">
        <v>2999</v>
      </c>
      <c r="D590">
        <v>828268</v>
      </c>
      <c r="E590" t="s">
        <v>30</v>
      </c>
    </row>
    <row r="591" spans="1:5">
      <c r="A591" t="s">
        <v>3589</v>
      </c>
      <c r="C591" t="s">
        <v>3210</v>
      </c>
      <c r="D591">
        <v>904795</v>
      </c>
      <c r="E591" t="s">
        <v>971</v>
      </c>
    </row>
    <row r="592" spans="1:5">
      <c r="A592" t="s">
        <v>3589</v>
      </c>
      <c r="C592" t="s">
        <v>3212</v>
      </c>
      <c r="D592">
        <v>872540</v>
      </c>
      <c r="E592" t="s">
        <v>733</v>
      </c>
    </row>
    <row r="593" spans="1:5">
      <c r="A593" t="s">
        <v>3589</v>
      </c>
      <c r="C593" t="s">
        <v>3214</v>
      </c>
      <c r="D593">
        <v>571329</v>
      </c>
      <c r="E593" t="s">
        <v>319</v>
      </c>
    </row>
    <row r="594" spans="1:5">
      <c r="A594" t="s">
        <v>3589</v>
      </c>
      <c r="C594" t="s">
        <v>3592</v>
      </c>
      <c r="D594">
        <v>872540</v>
      </c>
      <c r="E594" t="s">
        <v>733</v>
      </c>
    </row>
    <row r="595" spans="1:5">
      <c r="A595" t="s">
        <v>3589</v>
      </c>
      <c r="C595" t="s">
        <v>3216</v>
      </c>
      <c r="D595">
        <v>667491</v>
      </c>
      <c r="E595" t="s">
        <v>1039</v>
      </c>
    </row>
    <row r="596" spans="1:5">
      <c r="A596" t="s">
        <v>3589</v>
      </c>
      <c r="C596" t="s">
        <v>3218</v>
      </c>
      <c r="D596">
        <v>828268</v>
      </c>
      <c r="E596" t="s">
        <v>30</v>
      </c>
    </row>
    <row r="597" spans="1:5">
      <c r="A597" t="s">
        <v>3589</v>
      </c>
      <c r="C597" t="s">
        <v>3219</v>
      </c>
      <c r="D597">
        <v>832249</v>
      </c>
      <c r="E597" t="s">
        <v>85</v>
      </c>
    </row>
    <row r="598" spans="1:5">
      <c r="A598" t="s">
        <v>3589</v>
      </c>
      <c r="C598" t="s">
        <v>3333</v>
      </c>
      <c r="D598">
        <v>872540</v>
      </c>
      <c r="E598" t="s">
        <v>733</v>
      </c>
    </row>
    <row r="599" spans="1:5">
      <c r="A599" t="s">
        <v>3589</v>
      </c>
      <c r="C599" t="s">
        <v>3221</v>
      </c>
      <c r="D599">
        <v>667491</v>
      </c>
      <c r="E599" t="s">
        <v>1039</v>
      </c>
    </row>
    <row r="600" spans="1:5">
      <c r="A600" t="s">
        <v>3589</v>
      </c>
      <c r="C600" t="s">
        <v>3341</v>
      </c>
      <c r="D600">
        <v>872540</v>
      </c>
      <c r="E600" t="s">
        <v>733</v>
      </c>
    </row>
    <row r="601" spans="1:5">
      <c r="A601" t="s">
        <v>3593</v>
      </c>
      <c r="C601" t="s">
        <v>3085</v>
      </c>
      <c r="D601">
        <v>833503</v>
      </c>
      <c r="E601" t="s">
        <v>230</v>
      </c>
    </row>
    <row r="602" spans="1:5">
      <c r="A602" t="s">
        <v>3593</v>
      </c>
      <c r="C602" t="s">
        <v>3260</v>
      </c>
      <c r="D602">
        <v>635374</v>
      </c>
      <c r="E602" t="s">
        <v>450</v>
      </c>
    </row>
    <row r="603" spans="1:5">
      <c r="A603" t="s">
        <v>3593</v>
      </c>
      <c r="C603" t="s">
        <v>3088</v>
      </c>
      <c r="D603">
        <v>398483</v>
      </c>
      <c r="E603" t="s">
        <v>521</v>
      </c>
    </row>
    <row r="604" spans="1:5">
      <c r="A604" t="s">
        <v>3593</v>
      </c>
      <c r="C604" t="s">
        <v>3263</v>
      </c>
      <c r="D604">
        <v>495533</v>
      </c>
      <c r="E604" t="s">
        <v>147</v>
      </c>
    </row>
    <row r="605" spans="1:5">
      <c r="A605" t="s">
        <v>3593</v>
      </c>
      <c r="C605" t="s">
        <v>3092</v>
      </c>
      <c r="D605">
        <v>488062</v>
      </c>
      <c r="E605" t="s">
        <v>755</v>
      </c>
    </row>
    <row r="606" spans="1:5">
      <c r="A606" t="s">
        <v>3593</v>
      </c>
      <c r="C606" t="s">
        <v>3266</v>
      </c>
      <c r="D606">
        <v>495533</v>
      </c>
      <c r="E606" t="s">
        <v>147</v>
      </c>
    </row>
    <row r="607" spans="1:5">
      <c r="A607" t="s">
        <v>3593</v>
      </c>
      <c r="C607" t="s">
        <v>3095</v>
      </c>
      <c r="D607">
        <v>667491</v>
      </c>
      <c r="E607" t="s">
        <v>1039</v>
      </c>
    </row>
    <row r="608" spans="1:5">
      <c r="A608" t="s">
        <v>3594</v>
      </c>
      <c r="C608" t="s">
        <v>2992</v>
      </c>
      <c r="D608">
        <v>413594</v>
      </c>
      <c r="E608" t="s">
        <v>782</v>
      </c>
    </row>
    <row r="609" spans="1:5">
      <c r="A609" t="s">
        <v>3594</v>
      </c>
      <c r="C609" t="s">
        <v>3567</v>
      </c>
      <c r="D609">
        <v>303486</v>
      </c>
      <c r="E609" t="s">
        <v>704</v>
      </c>
    </row>
    <row r="610" spans="1:5">
      <c r="A610" t="s">
        <v>3594</v>
      </c>
      <c r="C610" t="s">
        <v>3442</v>
      </c>
      <c r="D610">
        <v>510959</v>
      </c>
      <c r="E610" t="s">
        <v>743</v>
      </c>
    </row>
    <row r="611" spans="1:5">
      <c r="A611" t="s">
        <v>3594</v>
      </c>
      <c r="C611" t="s">
        <v>3443</v>
      </c>
      <c r="D611">
        <v>887940</v>
      </c>
      <c r="E611" t="s">
        <v>315</v>
      </c>
    </row>
    <row r="612" spans="1:5">
      <c r="A612" t="s">
        <v>3594</v>
      </c>
      <c r="C612" t="s">
        <v>3055</v>
      </c>
      <c r="D612">
        <v>887940</v>
      </c>
      <c r="E612" t="s">
        <v>315</v>
      </c>
    </row>
    <row r="613" spans="1:5">
      <c r="A613" t="s">
        <v>3594</v>
      </c>
      <c r="C613" t="s">
        <v>3056</v>
      </c>
      <c r="D613">
        <v>459115</v>
      </c>
      <c r="E613" t="s">
        <v>631</v>
      </c>
    </row>
    <row r="614" spans="1:5">
      <c r="A614" t="s">
        <v>3594</v>
      </c>
      <c r="C614" t="s">
        <v>3058</v>
      </c>
      <c r="D614">
        <v>690619</v>
      </c>
      <c r="E614" t="s">
        <v>563</v>
      </c>
    </row>
    <row r="615" spans="1:5">
      <c r="A615" t="s">
        <v>3594</v>
      </c>
      <c r="C615" t="s">
        <v>3059</v>
      </c>
      <c r="D615">
        <v>413594</v>
      </c>
      <c r="E615" t="s">
        <v>782</v>
      </c>
    </row>
    <row r="616" spans="1:5">
      <c r="A616" t="s">
        <v>3594</v>
      </c>
      <c r="C616" t="s">
        <v>3447</v>
      </c>
      <c r="D616">
        <v>303486</v>
      </c>
      <c r="E616" t="s">
        <v>704</v>
      </c>
    </row>
    <row r="617" spans="1:5">
      <c r="A617" t="s">
        <v>3594</v>
      </c>
      <c r="C617" t="s">
        <v>3448</v>
      </c>
      <c r="D617">
        <v>509374</v>
      </c>
      <c r="E617" t="s">
        <v>15</v>
      </c>
    </row>
    <row r="618" spans="1:5">
      <c r="A618" t="s">
        <v>3594</v>
      </c>
      <c r="C618" t="s">
        <v>3449</v>
      </c>
      <c r="D618">
        <v>734566</v>
      </c>
      <c r="E618" t="s">
        <v>1026</v>
      </c>
    </row>
    <row r="619" spans="1:5">
      <c r="A619" t="s">
        <v>3594</v>
      </c>
      <c r="C619" t="s">
        <v>3062</v>
      </c>
      <c r="D619">
        <v>887940</v>
      </c>
      <c r="E619" t="s">
        <v>315</v>
      </c>
    </row>
    <row r="620" spans="1:5">
      <c r="A620" t="s">
        <v>3594</v>
      </c>
      <c r="C620" t="s">
        <v>3063</v>
      </c>
      <c r="D620">
        <v>456761</v>
      </c>
      <c r="E620" t="s">
        <v>558</v>
      </c>
    </row>
    <row r="621" spans="1:5">
      <c r="A621" t="s">
        <v>3594</v>
      </c>
      <c r="C621" t="s">
        <v>3017</v>
      </c>
      <c r="D621">
        <v>209946</v>
      </c>
      <c r="E621" t="s">
        <v>274</v>
      </c>
    </row>
  </sheetData>
  <autoFilter ref="A1:E1" xr:uid="{00000000-0009-0000-0000-000003000000}"/>
  <pageMargins left="0" right="0" top="1.1583333333333301" bottom="1.1583333333333301" header="0" footer="0"/>
  <pageSetup paperSize="9" orientation="portrait" horizontalDpi="300" verticalDpi="300"/>
  <headerFooter>
    <oddHeader>&amp;C&amp;10&amp;A</oddHeader>
    <oddFooter>&amp;C&amp;10Page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256"/>
  <sheetViews>
    <sheetView zoomScaleNormal="100" workbookViewId="0">
      <pane ySplit="1" topLeftCell="A2872" activePane="bottomLeft" state="frozen"/>
      <selection pane="bottomLeft" activeCell="C2896" sqref="C2896"/>
    </sheetView>
  </sheetViews>
  <sheetFormatPr baseColWidth="10" defaultColWidth="10.5" defaultRowHeight="13.8"/>
  <cols>
    <col min="1" max="1" width="60" customWidth="1"/>
    <col min="2" max="2" width="9" customWidth="1"/>
    <col min="3" max="3" width="26" customWidth="1"/>
    <col min="4" max="4" width="6.8984375" customWidth="1"/>
    <col min="5" max="5" width="26.19921875" customWidth="1"/>
  </cols>
  <sheetData>
    <row r="1" spans="1:5">
      <c r="A1" t="s">
        <v>883</v>
      </c>
      <c r="B1" t="s">
        <v>1372</v>
      </c>
      <c r="C1" t="s">
        <v>884</v>
      </c>
      <c r="D1" t="s">
        <v>1</v>
      </c>
      <c r="E1" t="s">
        <v>0</v>
      </c>
    </row>
    <row r="2" spans="1:5">
      <c r="A2" t="s">
        <v>1373</v>
      </c>
      <c r="B2" t="s">
        <v>896</v>
      </c>
      <c r="C2" t="s">
        <v>926</v>
      </c>
      <c r="D2">
        <v>789902</v>
      </c>
      <c r="E2" t="s">
        <v>485</v>
      </c>
    </row>
    <row r="3" spans="1:5">
      <c r="A3" t="s">
        <v>1373</v>
      </c>
      <c r="B3" t="s">
        <v>896</v>
      </c>
      <c r="C3" t="s">
        <v>926</v>
      </c>
      <c r="D3">
        <v>960559</v>
      </c>
      <c r="E3" t="s">
        <v>403</v>
      </c>
    </row>
    <row r="4" spans="1:5">
      <c r="A4" t="s">
        <v>1373</v>
      </c>
      <c r="B4" t="s">
        <v>896</v>
      </c>
      <c r="C4" t="s">
        <v>1374</v>
      </c>
      <c r="D4">
        <v>151929</v>
      </c>
      <c r="E4" t="s">
        <v>180</v>
      </c>
    </row>
    <row r="5" spans="1:5">
      <c r="A5" t="s">
        <v>1373</v>
      </c>
      <c r="B5" t="s">
        <v>896</v>
      </c>
      <c r="C5" t="s">
        <v>1375</v>
      </c>
      <c r="D5">
        <v>587311</v>
      </c>
      <c r="E5" t="s">
        <v>399</v>
      </c>
    </row>
    <row r="6" spans="1:5">
      <c r="A6" t="s">
        <v>1373</v>
      </c>
      <c r="B6" t="s">
        <v>896</v>
      </c>
      <c r="C6" t="s">
        <v>1375</v>
      </c>
      <c r="D6">
        <v>748420</v>
      </c>
      <c r="E6" t="s">
        <v>1376</v>
      </c>
    </row>
    <row r="7" spans="1:5">
      <c r="A7" t="s">
        <v>1373</v>
      </c>
      <c r="B7" t="s">
        <v>896</v>
      </c>
      <c r="C7" t="s">
        <v>1375</v>
      </c>
      <c r="D7">
        <v>590029</v>
      </c>
      <c r="E7" t="s">
        <v>157</v>
      </c>
    </row>
    <row r="8" spans="1:5">
      <c r="A8" t="s">
        <v>1373</v>
      </c>
      <c r="B8" t="s">
        <v>896</v>
      </c>
      <c r="C8" t="s">
        <v>1377</v>
      </c>
      <c r="D8">
        <v>858450</v>
      </c>
      <c r="E8" t="s">
        <v>764</v>
      </c>
    </row>
    <row r="9" spans="1:5">
      <c r="A9" t="s">
        <v>1373</v>
      </c>
      <c r="B9" t="s">
        <v>896</v>
      </c>
      <c r="C9" t="s">
        <v>1377</v>
      </c>
      <c r="D9">
        <v>949052</v>
      </c>
      <c r="E9" t="s">
        <v>552</v>
      </c>
    </row>
    <row r="10" spans="1:5">
      <c r="A10" t="s">
        <v>1373</v>
      </c>
      <c r="B10" t="s">
        <v>896</v>
      </c>
      <c r="C10" t="s">
        <v>1378</v>
      </c>
      <c r="D10">
        <v>541315</v>
      </c>
      <c r="E10" t="s">
        <v>374</v>
      </c>
    </row>
    <row r="11" spans="1:5">
      <c r="A11" t="s">
        <v>1373</v>
      </c>
      <c r="B11" t="s">
        <v>896</v>
      </c>
      <c r="C11" t="s">
        <v>1005</v>
      </c>
      <c r="D11">
        <v>964211</v>
      </c>
      <c r="E11" t="s">
        <v>1379</v>
      </c>
    </row>
    <row r="12" spans="1:5">
      <c r="A12" t="s">
        <v>1373</v>
      </c>
      <c r="B12" t="s">
        <v>896</v>
      </c>
      <c r="C12" t="s">
        <v>1380</v>
      </c>
      <c r="D12">
        <v>920008</v>
      </c>
      <c r="E12" t="s">
        <v>660</v>
      </c>
    </row>
    <row r="13" spans="1:5">
      <c r="A13" t="s">
        <v>1373</v>
      </c>
      <c r="B13" t="s">
        <v>896</v>
      </c>
      <c r="C13" t="s">
        <v>1006</v>
      </c>
      <c r="D13">
        <v>590029</v>
      </c>
      <c r="E13" t="s">
        <v>157</v>
      </c>
    </row>
    <row r="14" spans="1:5">
      <c r="A14" t="s">
        <v>1373</v>
      </c>
      <c r="B14" t="s">
        <v>896</v>
      </c>
      <c r="C14" t="s">
        <v>1381</v>
      </c>
      <c r="D14">
        <v>927352</v>
      </c>
      <c r="E14" t="s">
        <v>110</v>
      </c>
    </row>
    <row r="15" spans="1:5">
      <c r="A15" t="s">
        <v>1373</v>
      </c>
      <c r="B15" t="s">
        <v>896</v>
      </c>
      <c r="C15" t="s">
        <v>1054</v>
      </c>
      <c r="D15">
        <v>935091</v>
      </c>
      <c r="E15" t="s">
        <v>771</v>
      </c>
    </row>
    <row r="16" spans="1:5">
      <c r="A16" t="s">
        <v>1373</v>
      </c>
      <c r="B16" t="s">
        <v>896</v>
      </c>
      <c r="C16" t="s">
        <v>962</v>
      </c>
      <c r="D16">
        <v>597806</v>
      </c>
      <c r="E16" t="s">
        <v>23</v>
      </c>
    </row>
    <row r="17" spans="1:5">
      <c r="A17" t="s">
        <v>1373</v>
      </c>
      <c r="B17" t="s">
        <v>896</v>
      </c>
      <c r="C17" t="s">
        <v>1382</v>
      </c>
      <c r="D17">
        <v>442239</v>
      </c>
      <c r="E17" t="s">
        <v>456</v>
      </c>
    </row>
    <row r="18" spans="1:5">
      <c r="A18" t="s">
        <v>1373</v>
      </c>
      <c r="B18" t="s">
        <v>896</v>
      </c>
      <c r="C18" t="s">
        <v>1383</v>
      </c>
      <c r="D18">
        <v>587311</v>
      </c>
      <c r="E18" t="s">
        <v>399</v>
      </c>
    </row>
    <row r="19" spans="1:5">
      <c r="A19" t="s">
        <v>1373</v>
      </c>
      <c r="B19" t="s">
        <v>896</v>
      </c>
      <c r="C19" t="s">
        <v>1009</v>
      </c>
      <c r="D19">
        <v>168488</v>
      </c>
      <c r="E19" t="s">
        <v>63</v>
      </c>
    </row>
    <row r="20" spans="1:5">
      <c r="A20" t="s">
        <v>1373</v>
      </c>
      <c r="B20" t="s">
        <v>896</v>
      </c>
      <c r="C20" t="s">
        <v>1384</v>
      </c>
      <c r="D20">
        <v>720432</v>
      </c>
      <c r="E20" t="s">
        <v>17</v>
      </c>
    </row>
    <row r="21" spans="1:5">
      <c r="A21" t="s">
        <v>1373</v>
      </c>
      <c r="B21" t="s">
        <v>896</v>
      </c>
      <c r="C21" t="s">
        <v>1010</v>
      </c>
      <c r="D21">
        <v>935091</v>
      </c>
      <c r="E21" t="s">
        <v>771</v>
      </c>
    </row>
    <row r="22" spans="1:5">
      <c r="A22" t="s">
        <v>1373</v>
      </c>
      <c r="B22" t="s">
        <v>896</v>
      </c>
      <c r="C22" t="s">
        <v>1385</v>
      </c>
      <c r="D22">
        <v>755301</v>
      </c>
      <c r="E22" t="s">
        <v>192</v>
      </c>
    </row>
    <row r="23" spans="1:5">
      <c r="A23" t="s">
        <v>1373</v>
      </c>
      <c r="B23" t="s">
        <v>896</v>
      </c>
      <c r="C23" t="s">
        <v>1386</v>
      </c>
      <c r="D23">
        <v>590029</v>
      </c>
      <c r="E23" t="s">
        <v>157</v>
      </c>
    </row>
    <row r="24" spans="1:5">
      <c r="A24" t="s">
        <v>1373</v>
      </c>
      <c r="B24" t="s">
        <v>896</v>
      </c>
      <c r="C24" t="s">
        <v>1387</v>
      </c>
      <c r="D24">
        <v>869668</v>
      </c>
      <c r="E24" t="s">
        <v>1388</v>
      </c>
    </row>
    <row r="25" spans="1:5">
      <c r="A25" t="s">
        <v>1373</v>
      </c>
      <c r="B25" t="s">
        <v>896</v>
      </c>
      <c r="C25" t="s">
        <v>1389</v>
      </c>
      <c r="D25">
        <v>845124</v>
      </c>
      <c r="E25" t="s">
        <v>474</v>
      </c>
    </row>
    <row r="26" spans="1:5">
      <c r="A26" t="s">
        <v>1373</v>
      </c>
      <c r="B26" t="s">
        <v>896</v>
      </c>
      <c r="C26" t="s">
        <v>1389</v>
      </c>
      <c r="D26">
        <v>96959</v>
      </c>
      <c r="E26" t="s">
        <v>56</v>
      </c>
    </row>
    <row r="27" spans="1:5">
      <c r="A27" t="s">
        <v>1373</v>
      </c>
      <c r="B27" t="s">
        <v>896</v>
      </c>
      <c r="C27" t="s">
        <v>1390</v>
      </c>
      <c r="D27">
        <v>425464</v>
      </c>
      <c r="E27" t="s">
        <v>235</v>
      </c>
    </row>
    <row r="28" spans="1:5">
      <c r="A28" t="s">
        <v>1373</v>
      </c>
      <c r="B28" t="s">
        <v>896</v>
      </c>
      <c r="C28" t="s">
        <v>1391</v>
      </c>
      <c r="D28">
        <v>898806</v>
      </c>
    </row>
    <row r="29" spans="1:5">
      <c r="A29" t="s">
        <v>1373</v>
      </c>
      <c r="B29" t="s">
        <v>896</v>
      </c>
      <c r="C29" t="s">
        <v>1392</v>
      </c>
      <c r="D29">
        <v>935971</v>
      </c>
      <c r="E29" t="s">
        <v>648</v>
      </c>
    </row>
    <row r="30" spans="1:5">
      <c r="A30" t="s">
        <v>1373</v>
      </c>
      <c r="B30" t="s">
        <v>896</v>
      </c>
      <c r="C30" t="s">
        <v>969</v>
      </c>
      <c r="D30">
        <v>617808</v>
      </c>
      <c r="E30" t="s">
        <v>34</v>
      </c>
    </row>
    <row r="31" spans="1:5">
      <c r="A31" t="s">
        <v>1373</v>
      </c>
      <c r="B31" t="s">
        <v>896</v>
      </c>
      <c r="C31" t="s">
        <v>970</v>
      </c>
      <c r="D31">
        <v>340877</v>
      </c>
      <c r="E31" t="s">
        <v>299</v>
      </c>
    </row>
    <row r="32" spans="1:5">
      <c r="A32" t="s">
        <v>1373</v>
      </c>
      <c r="B32" t="s">
        <v>896</v>
      </c>
      <c r="C32" t="s">
        <v>1393</v>
      </c>
      <c r="D32">
        <v>162003</v>
      </c>
      <c r="E32" t="s">
        <v>797</v>
      </c>
    </row>
    <row r="33" spans="1:5">
      <c r="A33" t="s">
        <v>1373</v>
      </c>
      <c r="B33" t="s">
        <v>896</v>
      </c>
      <c r="C33" t="s">
        <v>939</v>
      </c>
      <c r="D33">
        <v>959536</v>
      </c>
      <c r="E33" t="s">
        <v>796</v>
      </c>
    </row>
    <row r="34" spans="1:5">
      <c r="A34" t="s">
        <v>1373</v>
      </c>
      <c r="B34" t="s">
        <v>896</v>
      </c>
      <c r="C34" t="s">
        <v>1394</v>
      </c>
      <c r="D34">
        <v>378759</v>
      </c>
      <c r="E34" t="s">
        <v>389</v>
      </c>
    </row>
    <row r="35" spans="1:5">
      <c r="A35" t="s">
        <v>1373</v>
      </c>
      <c r="B35" t="s">
        <v>896</v>
      </c>
      <c r="C35" t="s">
        <v>1395</v>
      </c>
      <c r="D35">
        <v>628110</v>
      </c>
      <c r="E35" t="s">
        <v>584</v>
      </c>
    </row>
    <row r="36" spans="1:5">
      <c r="A36" t="s">
        <v>1373</v>
      </c>
      <c r="B36" t="s">
        <v>896</v>
      </c>
      <c r="C36" t="s">
        <v>1395</v>
      </c>
      <c r="D36">
        <v>131287</v>
      </c>
      <c r="E36" t="s">
        <v>610</v>
      </c>
    </row>
    <row r="37" spans="1:5">
      <c r="A37" t="s">
        <v>1373</v>
      </c>
      <c r="B37" t="s">
        <v>896</v>
      </c>
      <c r="C37" t="s">
        <v>1396</v>
      </c>
      <c r="D37">
        <v>828268</v>
      </c>
      <c r="E37" t="s">
        <v>30</v>
      </c>
    </row>
    <row r="38" spans="1:5">
      <c r="A38" t="s">
        <v>1373</v>
      </c>
      <c r="B38" t="s">
        <v>896</v>
      </c>
      <c r="C38" t="s">
        <v>1396</v>
      </c>
      <c r="D38">
        <v>920008</v>
      </c>
      <c r="E38" t="s">
        <v>660</v>
      </c>
    </row>
    <row r="39" spans="1:5">
      <c r="A39" t="s">
        <v>1373</v>
      </c>
      <c r="B39" t="s">
        <v>896</v>
      </c>
      <c r="C39" t="s">
        <v>1397</v>
      </c>
      <c r="D39">
        <v>689981</v>
      </c>
      <c r="E39" t="s">
        <v>666</v>
      </c>
    </row>
    <row r="40" spans="1:5">
      <c r="A40" t="s">
        <v>1373</v>
      </c>
      <c r="B40" t="s">
        <v>896</v>
      </c>
      <c r="C40" t="s">
        <v>1398</v>
      </c>
      <c r="D40">
        <v>875441</v>
      </c>
      <c r="E40" t="s">
        <v>160</v>
      </c>
    </row>
    <row r="41" spans="1:5">
      <c r="A41" t="s">
        <v>1373</v>
      </c>
      <c r="B41" t="s">
        <v>896</v>
      </c>
      <c r="C41" t="s">
        <v>1399</v>
      </c>
      <c r="D41">
        <v>781854</v>
      </c>
      <c r="E41" t="s">
        <v>405</v>
      </c>
    </row>
    <row r="42" spans="1:5">
      <c r="A42" t="s">
        <v>1373</v>
      </c>
      <c r="B42" t="s">
        <v>896</v>
      </c>
      <c r="C42" t="s">
        <v>1400</v>
      </c>
      <c r="D42">
        <v>828268</v>
      </c>
      <c r="E42" t="s">
        <v>30</v>
      </c>
    </row>
    <row r="43" spans="1:5">
      <c r="A43" t="s">
        <v>1373</v>
      </c>
      <c r="B43" t="s">
        <v>896</v>
      </c>
      <c r="C43" t="s">
        <v>1401</v>
      </c>
      <c r="D43">
        <v>968584</v>
      </c>
      <c r="E43" t="s">
        <v>143</v>
      </c>
    </row>
    <row r="44" spans="1:5">
      <c r="A44" t="s">
        <v>1373</v>
      </c>
      <c r="B44" t="s">
        <v>896</v>
      </c>
      <c r="C44" t="s">
        <v>1402</v>
      </c>
      <c r="D44">
        <v>828268</v>
      </c>
      <c r="E44" t="s">
        <v>30</v>
      </c>
    </row>
    <row r="45" spans="1:5">
      <c r="A45" t="s">
        <v>1373</v>
      </c>
      <c r="B45" t="s">
        <v>896</v>
      </c>
      <c r="C45" t="s">
        <v>1049</v>
      </c>
      <c r="D45">
        <v>970202</v>
      </c>
      <c r="E45" t="s">
        <v>836</v>
      </c>
    </row>
    <row r="46" spans="1:5">
      <c r="A46" t="s">
        <v>1373</v>
      </c>
      <c r="B46" t="s">
        <v>896</v>
      </c>
      <c r="C46" t="s">
        <v>1403</v>
      </c>
      <c r="D46">
        <v>429425</v>
      </c>
      <c r="E46" t="s">
        <v>694</v>
      </c>
    </row>
    <row r="47" spans="1:5">
      <c r="A47" t="s">
        <v>1373</v>
      </c>
      <c r="B47" t="s">
        <v>896</v>
      </c>
      <c r="C47" t="s">
        <v>1404</v>
      </c>
      <c r="D47">
        <v>828268</v>
      </c>
      <c r="E47" t="s">
        <v>30</v>
      </c>
    </row>
    <row r="48" spans="1:5">
      <c r="A48" t="s">
        <v>1373</v>
      </c>
      <c r="B48" t="s">
        <v>896</v>
      </c>
      <c r="C48" t="s">
        <v>983</v>
      </c>
      <c r="D48">
        <v>720432</v>
      </c>
      <c r="E48" t="s">
        <v>17</v>
      </c>
    </row>
    <row r="49" spans="1:5">
      <c r="A49" t="s">
        <v>1373</v>
      </c>
      <c r="B49" t="s">
        <v>896</v>
      </c>
      <c r="C49" t="s">
        <v>1405</v>
      </c>
      <c r="D49">
        <v>689981</v>
      </c>
      <c r="E49" t="s">
        <v>666</v>
      </c>
    </row>
    <row r="50" spans="1:5">
      <c r="A50" t="s">
        <v>1373</v>
      </c>
      <c r="B50" t="s">
        <v>896</v>
      </c>
      <c r="C50" t="s">
        <v>1406</v>
      </c>
      <c r="D50">
        <v>147814</v>
      </c>
      <c r="E50" t="s">
        <v>762</v>
      </c>
    </row>
    <row r="51" spans="1:5">
      <c r="A51" t="s">
        <v>1373</v>
      </c>
      <c r="B51" t="s">
        <v>896</v>
      </c>
      <c r="C51" t="s">
        <v>1407</v>
      </c>
      <c r="D51">
        <v>970202</v>
      </c>
      <c r="E51" t="s">
        <v>836</v>
      </c>
    </row>
    <row r="52" spans="1:5">
      <c r="A52" t="s">
        <v>1373</v>
      </c>
      <c r="B52" t="s">
        <v>896</v>
      </c>
      <c r="C52" t="s">
        <v>1408</v>
      </c>
      <c r="D52">
        <v>959536</v>
      </c>
      <c r="E52" t="s">
        <v>796</v>
      </c>
    </row>
    <row r="53" spans="1:5">
      <c r="A53" t="s">
        <v>1373</v>
      </c>
      <c r="B53" t="s">
        <v>896</v>
      </c>
      <c r="C53" t="s">
        <v>1409</v>
      </c>
      <c r="D53">
        <v>920008</v>
      </c>
      <c r="E53" t="s">
        <v>660</v>
      </c>
    </row>
    <row r="54" spans="1:5">
      <c r="A54" t="s">
        <v>1373</v>
      </c>
      <c r="B54" t="s">
        <v>896</v>
      </c>
      <c r="C54" t="s">
        <v>1409</v>
      </c>
      <c r="D54">
        <v>131287</v>
      </c>
      <c r="E54" t="s">
        <v>610</v>
      </c>
    </row>
    <row r="55" spans="1:5">
      <c r="A55" t="s">
        <v>1373</v>
      </c>
      <c r="B55" t="s">
        <v>896</v>
      </c>
      <c r="C55" t="s">
        <v>1034</v>
      </c>
      <c r="D55">
        <v>220820</v>
      </c>
      <c r="E55" t="s">
        <v>645</v>
      </c>
    </row>
    <row r="56" spans="1:5">
      <c r="A56" t="s">
        <v>1373</v>
      </c>
      <c r="B56" t="s">
        <v>896</v>
      </c>
      <c r="C56" t="s">
        <v>1410</v>
      </c>
      <c r="D56">
        <v>244036</v>
      </c>
      <c r="E56" t="s">
        <v>363</v>
      </c>
    </row>
    <row r="57" spans="1:5">
      <c r="A57" t="s">
        <v>1373</v>
      </c>
      <c r="B57" t="s">
        <v>896</v>
      </c>
      <c r="C57" t="s">
        <v>1411</v>
      </c>
      <c r="D57">
        <v>828268</v>
      </c>
      <c r="E57" t="s">
        <v>30</v>
      </c>
    </row>
    <row r="58" spans="1:5">
      <c r="A58" t="s">
        <v>1412</v>
      </c>
      <c r="B58" t="s">
        <v>896</v>
      </c>
      <c r="C58" t="s">
        <v>1413</v>
      </c>
      <c r="D58">
        <v>368256</v>
      </c>
      <c r="E58" t="s">
        <v>661</v>
      </c>
    </row>
    <row r="59" spans="1:5">
      <c r="A59" t="s">
        <v>1412</v>
      </c>
      <c r="B59" t="s">
        <v>896</v>
      </c>
      <c r="C59" t="s">
        <v>1414</v>
      </c>
      <c r="D59">
        <v>568663</v>
      </c>
      <c r="E59" t="s">
        <v>379</v>
      </c>
    </row>
    <row r="60" spans="1:5">
      <c r="A60" t="s">
        <v>1412</v>
      </c>
      <c r="B60" t="s">
        <v>896</v>
      </c>
      <c r="C60" t="s">
        <v>1415</v>
      </c>
      <c r="D60">
        <v>368256</v>
      </c>
      <c r="E60" t="s">
        <v>661</v>
      </c>
    </row>
    <row r="61" spans="1:5">
      <c r="A61" t="s">
        <v>1412</v>
      </c>
      <c r="B61" t="s">
        <v>896</v>
      </c>
      <c r="C61" t="s">
        <v>1416</v>
      </c>
      <c r="D61">
        <v>887315</v>
      </c>
      <c r="E61" t="s">
        <v>725</v>
      </c>
    </row>
    <row r="62" spans="1:5">
      <c r="A62" t="s">
        <v>1412</v>
      </c>
      <c r="B62" t="s">
        <v>896</v>
      </c>
      <c r="C62" t="s">
        <v>1417</v>
      </c>
      <c r="D62">
        <v>368256</v>
      </c>
      <c r="E62" t="s">
        <v>661</v>
      </c>
    </row>
    <row r="63" spans="1:5">
      <c r="A63" t="s">
        <v>1412</v>
      </c>
      <c r="B63" t="s">
        <v>896</v>
      </c>
      <c r="C63" t="s">
        <v>1418</v>
      </c>
      <c r="D63">
        <v>420519</v>
      </c>
      <c r="E63" t="s">
        <v>544</v>
      </c>
    </row>
    <row r="64" spans="1:5">
      <c r="A64" t="s">
        <v>1412</v>
      </c>
      <c r="B64" t="s">
        <v>896</v>
      </c>
      <c r="C64" t="s">
        <v>1419</v>
      </c>
      <c r="D64">
        <v>368256</v>
      </c>
      <c r="E64" t="s">
        <v>661</v>
      </c>
    </row>
    <row r="65" spans="1:5">
      <c r="A65" t="s">
        <v>1412</v>
      </c>
      <c r="B65" t="s">
        <v>896</v>
      </c>
      <c r="C65" t="s">
        <v>1420</v>
      </c>
      <c r="D65">
        <v>922976</v>
      </c>
      <c r="E65" t="s">
        <v>199</v>
      </c>
    </row>
    <row r="66" spans="1:5">
      <c r="A66" t="s">
        <v>1412</v>
      </c>
      <c r="B66" t="s">
        <v>896</v>
      </c>
      <c r="C66" t="s">
        <v>1421</v>
      </c>
      <c r="D66">
        <v>368256</v>
      </c>
      <c r="E66" t="s">
        <v>661</v>
      </c>
    </row>
    <row r="67" spans="1:5">
      <c r="A67" t="s">
        <v>1412</v>
      </c>
      <c r="B67" t="s">
        <v>896</v>
      </c>
      <c r="C67" t="s">
        <v>1422</v>
      </c>
      <c r="D67">
        <v>802419</v>
      </c>
      <c r="E67" t="s">
        <v>647</v>
      </c>
    </row>
    <row r="68" spans="1:5">
      <c r="A68" t="s">
        <v>1412</v>
      </c>
      <c r="B68" t="s">
        <v>896</v>
      </c>
      <c r="C68" t="s">
        <v>1423</v>
      </c>
      <c r="D68">
        <v>367133</v>
      </c>
      <c r="E68" t="s">
        <v>667</v>
      </c>
    </row>
    <row r="69" spans="1:5">
      <c r="A69" t="s">
        <v>1412</v>
      </c>
      <c r="B69" t="s">
        <v>896</v>
      </c>
      <c r="C69" t="s">
        <v>1424</v>
      </c>
      <c r="D69">
        <v>96959</v>
      </c>
      <c r="E69" t="s">
        <v>56</v>
      </c>
    </row>
    <row r="70" spans="1:5">
      <c r="A70" t="s">
        <v>1412</v>
      </c>
      <c r="B70" t="s">
        <v>896</v>
      </c>
      <c r="C70" t="s">
        <v>1425</v>
      </c>
      <c r="D70">
        <v>239594</v>
      </c>
      <c r="E70" t="s">
        <v>119</v>
      </c>
    </row>
    <row r="71" spans="1:5">
      <c r="A71" t="s">
        <v>1412</v>
      </c>
      <c r="B71" t="s">
        <v>896</v>
      </c>
      <c r="C71" t="s">
        <v>1426</v>
      </c>
      <c r="D71">
        <v>922976</v>
      </c>
      <c r="E71" t="s">
        <v>199</v>
      </c>
    </row>
    <row r="72" spans="1:5">
      <c r="A72" t="s">
        <v>1412</v>
      </c>
      <c r="B72" t="s">
        <v>896</v>
      </c>
      <c r="C72" t="s">
        <v>1427</v>
      </c>
      <c r="D72">
        <v>818752</v>
      </c>
      <c r="E72" t="s">
        <v>376</v>
      </c>
    </row>
    <row r="73" spans="1:5">
      <c r="A73" t="s">
        <v>1412</v>
      </c>
      <c r="B73" t="s">
        <v>896</v>
      </c>
      <c r="C73" t="s">
        <v>1428</v>
      </c>
      <c r="D73">
        <v>368256</v>
      </c>
      <c r="E73" t="s">
        <v>661</v>
      </c>
    </row>
    <row r="74" spans="1:5">
      <c r="A74" t="s">
        <v>1412</v>
      </c>
      <c r="B74" t="s">
        <v>896</v>
      </c>
      <c r="C74" t="s">
        <v>1429</v>
      </c>
      <c r="D74">
        <v>802419</v>
      </c>
      <c r="E74" t="s">
        <v>647</v>
      </c>
    </row>
    <row r="75" spans="1:5">
      <c r="A75" t="s">
        <v>1412</v>
      </c>
      <c r="B75" t="s">
        <v>896</v>
      </c>
      <c r="C75" t="s">
        <v>1430</v>
      </c>
      <c r="D75">
        <v>818752</v>
      </c>
      <c r="E75" t="s">
        <v>376</v>
      </c>
    </row>
    <row r="76" spans="1:5">
      <c r="A76" t="s">
        <v>1412</v>
      </c>
      <c r="B76" t="s">
        <v>896</v>
      </c>
      <c r="C76" t="s">
        <v>1431</v>
      </c>
      <c r="D76">
        <v>875441</v>
      </c>
      <c r="E76" t="s">
        <v>160</v>
      </c>
    </row>
    <row r="77" spans="1:5">
      <c r="A77" t="s">
        <v>1412</v>
      </c>
      <c r="B77" t="s">
        <v>896</v>
      </c>
      <c r="C77" t="s">
        <v>1432</v>
      </c>
      <c r="D77">
        <v>368256</v>
      </c>
      <c r="E77" t="s">
        <v>661</v>
      </c>
    </row>
    <row r="78" spans="1:5">
      <c r="A78" t="s">
        <v>1412</v>
      </c>
      <c r="B78" t="s">
        <v>896</v>
      </c>
      <c r="C78" t="s">
        <v>1433</v>
      </c>
      <c r="D78">
        <v>922976</v>
      </c>
      <c r="E78" t="s">
        <v>199</v>
      </c>
    </row>
    <row r="79" spans="1:5">
      <c r="A79" t="s">
        <v>1412</v>
      </c>
      <c r="B79" t="s">
        <v>896</v>
      </c>
      <c r="C79" t="s">
        <v>1434</v>
      </c>
      <c r="D79">
        <v>568663</v>
      </c>
      <c r="E79" t="s">
        <v>379</v>
      </c>
    </row>
    <row r="80" spans="1:5">
      <c r="A80" t="s">
        <v>1412</v>
      </c>
      <c r="B80" t="s">
        <v>896</v>
      </c>
      <c r="C80" t="s">
        <v>1435</v>
      </c>
      <c r="D80">
        <v>818752</v>
      </c>
      <c r="E80" t="s">
        <v>376</v>
      </c>
    </row>
    <row r="81" spans="1:5">
      <c r="A81" t="s">
        <v>1412</v>
      </c>
      <c r="B81" t="s">
        <v>896</v>
      </c>
      <c r="C81" t="s">
        <v>1436</v>
      </c>
      <c r="D81">
        <v>887315</v>
      </c>
      <c r="E81" t="s">
        <v>725</v>
      </c>
    </row>
    <row r="82" spans="1:5">
      <c r="A82" t="s">
        <v>1412</v>
      </c>
      <c r="B82" t="s">
        <v>896</v>
      </c>
      <c r="C82" t="s">
        <v>1437</v>
      </c>
      <c r="D82">
        <v>890105</v>
      </c>
      <c r="E82" t="s">
        <v>349</v>
      </c>
    </row>
    <row r="83" spans="1:5">
      <c r="A83" t="s">
        <v>1412</v>
      </c>
      <c r="B83" t="s">
        <v>896</v>
      </c>
      <c r="C83" t="s">
        <v>1438</v>
      </c>
      <c r="D83">
        <v>321254</v>
      </c>
      <c r="E83" t="s">
        <v>310</v>
      </c>
    </row>
    <row r="84" spans="1:5">
      <c r="A84" t="s">
        <v>1412</v>
      </c>
      <c r="B84" t="s">
        <v>896</v>
      </c>
      <c r="C84" t="s">
        <v>1439</v>
      </c>
      <c r="D84">
        <v>496999</v>
      </c>
      <c r="E84" t="s">
        <v>781</v>
      </c>
    </row>
    <row r="85" spans="1:5">
      <c r="A85" t="s">
        <v>1412</v>
      </c>
      <c r="B85" t="s">
        <v>896</v>
      </c>
      <c r="C85" t="s">
        <v>1440</v>
      </c>
      <c r="D85">
        <v>239594</v>
      </c>
      <c r="E85" t="s">
        <v>119</v>
      </c>
    </row>
    <row r="86" spans="1:5">
      <c r="A86" t="s">
        <v>1412</v>
      </c>
      <c r="B86" t="s">
        <v>896</v>
      </c>
      <c r="C86" t="s">
        <v>1441</v>
      </c>
      <c r="D86">
        <v>420519</v>
      </c>
      <c r="E86" t="s">
        <v>544</v>
      </c>
    </row>
    <row r="87" spans="1:5">
      <c r="A87" t="s">
        <v>1412</v>
      </c>
      <c r="B87" t="s">
        <v>896</v>
      </c>
      <c r="C87" t="s">
        <v>1442</v>
      </c>
      <c r="D87">
        <v>368256</v>
      </c>
      <c r="E87" t="s">
        <v>661</v>
      </c>
    </row>
    <row r="88" spans="1:5">
      <c r="A88" t="s">
        <v>1412</v>
      </c>
      <c r="B88" t="s">
        <v>896</v>
      </c>
      <c r="C88" t="s">
        <v>1443</v>
      </c>
      <c r="D88">
        <v>568663</v>
      </c>
      <c r="E88" t="s">
        <v>379</v>
      </c>
    </row>
    <row r="89" spans="1:5">
      <c r="A89" t="s">
        <v>1444</v>
      </c>
      <c r="B89" t="s">
        <v>896</v>
      </c>
      <c r="C89" t="s">
        <v>959</v>
      </c>
      <c r="D89">
        <v>872540</v>
      </c>
      <c r="E89" t="s">
        <v>733</v>
      </c>
    </row>
    <row r="90" spans="1:5">
      <c r="A90" t="s">
        <v>1444</v>
      </c>
      <c r="B90" t="s">
        <v>896</v>
      </c>
      <c r="C90" t="s">
        <v>960</v>
      </c>
      <c r="D90">
        <v>584071</v>
      </c>
      <c r="E90" t="s">
        <v>138</v>
      </c>
    </row>
    <row r="91" spans="1:5">
      <c r="A91" t="s">
        <v>1444</v>
      </c>
      <c r="B91" t="s">
        <v>896</v>
      </c>
      <c r="C91" t="s">
        <v>962</v>
      </c>
      <c r="D91">
        <v>584071</v>
      </c>
      <c r="E91" t="s">
        <v>138</v>
      </c>
    </row>
    <row r="92" spans="1:5">
      <c r="A92" t="s">
        <v>1444</v>
      </c>
      <c r="B92" t="s">
        <v>896</v>
      </c>
      <c r="C92" t="s">
        <v>964</v>
      </c>
      <c r="D92">
        <v>686974</v>
      </c>
      <c r="E92" t="s">
        <v>712</v>
      </c>
    </row>
    <row r="93" spans="1:5">
      <c r="A93" t="s">
        <v>1444</v>
      </c>
      <c r="B93" t="s">
        <v>896</v>
      </c>
      <c r="C93" t="s">
        <v>966</v>
      </c>
      <c r="D93">
        <v>872540</v>
      </c>
      <c r="E93" t="s">
        <v>733</v>
      </c>
    </row>
    <row r="94" spans="1:5">
      <c r="A94" t="s">
        <v>1444</v>
      </c>
      <c r="B94" t="s">
        <v>896</v>
      </c>
      <c r="C94" t="s">
        <v>967</v>
      </c>
      <c r="D94">
        <v>681494</v>
      </c>
      <c r="E94" t="s">
        <v>535</v>
      </c>
    </row>
    <row r="95" spans="1:5">
      <c r="A95" t="s">
        <v>1444</v>
      </c>
      <c r="B95" t="s">
        <v>896</v>
      </c>
      <c r="C95" t="s">
        <v>968</v>
      </c>
      <c r="D95">
        <v>686974</v>
      </c>
      <c r="E95" t="s">
        <v>712</v>
      </c>
    </row>
    <row r="96" spans="1:5">
      <c r="A96" t="s">
        <v>1444</v>
      </c>
      <c r="B96" t="s">
        <v>896</v>
      </c>
      <c r="C96" t="s">
        <v>970</v>
      </c>
      <c r="D96">
        <v>716693</v>
      </c>
      <c r="E96" t="s">
        <v>551</v>
      </c>
    </row>
    <row r="97" spans="1:5">
      <c r="A97" t="s">
        <v>1444</v>
      </c>
      <c r="B97" t="s">
        <v>896</v>
      </c>
      <c r="C97" t="s">
        <v>973</v>
      </c>
      <c r="D97">
        <v>686972</v>
      </c>
      <c r="E97" t="s">
        <v>417</v>
      </c>
    </row>
    <row r="98" spans="1:5">
      <c r="A98" t="s">
        <v>1444</v>
      </c>
      <c r="B98" t="s">
        <v>896</v>
      </c>
      <c r="C98" t="s">
        <v>974</v>
      </c>
      <c r="D98">
        <v>584071</v>
      </c>
      <c r="E98" t="s">
        <v>138</v>
      </c>
    </row>
    <row r="99" spans="1:5">
      <c r="A99" t="s">
        <v>1444</v>
      </c>
      <c r="B99" t="s">
        <v>896</v>
      </c>
      <c r="C99" t="s">
        <v>976</v>
      </c>
      <c r="D99">
        <v>584071</v>
      </c>
      <c r="E99" t="s">
        <v>138</v>
      </c>
    </row>
    <row r="100" spans="1:5">
      <c r="A100" t="s">
        <v>1444</v>
      </c>
      <c r="B100" t="s">
        <v>896</v>
      </c>
      <c r="C100" t="s">
        <v>978</v>
      </c>
      <c r="D100">
        <v>681494</v>
      </c>
      <c r="E100" t="s">
        <v>535</v>
      </c>
    </row>
    <row r="101" spans="1:5">
      <c r="A101" t="s">
        <v>1444</v>
      </c>
      <c r="B101" t="s">
        <v>896</v>
      </c>
      <c r="C101" t="s">
        <v>980</v>
      </c>
      <c r="D101">
        <v>872540</v>
      </c>
      <c r="E101" t="s">
        <v>733</v>
      </c>
    </row>
    <row r="102" spans="1:5">
      <c r="A102" t="s">
        <v>1444</v>
      </c>
      <c r="B102" t="s">
        <v>896</v>
      </c>
      <c r="C102" t="s">
        <v>981</v>
      </c>
      <c r="D102">
        <v>833503</v>
      </c>
      <c r="E102" t="s">
        <v>230</v>
      </c>
    </row>
    <row r="103" spans="1:5">
      <c r="A103" t="s">
        <v>1444</v>
      </c>
      <c r="B103" t="s">
        <v>896</v>
      </c>
      <c r="C103" t="s">
        <v>982</v>
      </c>
      <c r="D103">
        <v>686974</v>
      </c>
      <c r="E103" t="s">
        <v>712</v>
      </c>
    </row>
    <row r="104" spans="1:5">
      <c r="A104" t="s">
        <v>1444</v>
      </c>
      <c r="B104" t="s">
        <v>896</v>
      </c>
      <c r="C104" t="s">
        <v>984</v>
      </c>
      <c r="D104">
        <v>716693</v>
      </c>
      <c r="E104" t="s">
        <v>551</v>
      </c>
    </row>
    <row r="105" spans="1:5">
      <c r="A105" t="s">
        <v>1444</v>
      </c>
      <c r="B105" t="s">
        <v>896</v>
      </c>
      <c r="C105" t="s">
        <v>986</v>
      </c>
      <c r="D105">
        <v>686972</v>
      </c>
      <c r="E105" t="s">
        <v>417</v>
      </c>
    </row>
    <row r="106" spans="1:5">
      <c r="A106" t="s">
        <v>1445</v>
      </c>
      <c r="B106" t="s">
        <v>896</v>
      </c>
      <c r="C106" t="s">
        <v>1446</v>
      </c>
      <c r="D106">
        <v>770790</v>
      </c>
      <c r="E106" t="s">
        <v>365</v>
      </c>
    </row>
    <row r="107" spans="1:5">
      <c r="A107" t="s">
        <v>1445</v>
      </c>
      <c r="B107" t="s">
        <v>896</v>
      </c>
      <c r="C107" t="s">
        <v>1446</v>
      </c>
      <c r="D107">
        <v>935971</v>
      </c>
      <c r="E107" t="s">
        <v>648</v>
      </c>
    </row>
    <row r="108" spans="1:5">
      <c r="A108" t="s">
        <v>1445</v>
      </c>
      <c r="B108" t="s">
        <v>896</v>
      </c>
      <c r="C108" t="s">
        <v>1446</v>
      </c>
      <c r="D108">
        <v>168488</v>
      </c>
      <c r="E108" t="s">
        <v>63</v>
      </c>
    </row>
    <row r="109" spans="1:5">
      <c r="A109" t="s">
        <v>1445</v>
      </c>
      <c r="B109" t="s">
        <v>896</v>
      </c>
      <c r="C109" t="s">
        <v>1447</v>
      </c>
      <c r="D109">
        <v>147814</v>
      </c>
      <c r="E109" t="s">
        <v>762</v>
      </c>
    </row>
    <row r="110" spans="1:5">
      <c r="A110" t="s">
        <v>1445</v>
      </c>
      <c r="B110" t="s">
        <v>896</v>
      </c>
      <c r="C110" t="s">
        <v>1447</v>
      </c>
      <c r="D110">
        <v>847686</v>
      </c>
      <c r="E110" t="s">
        <v>343</v>
      </c>
    </row>
    <row r="111" spans="1:5">
      <c r="A111" t="s">
        <v>1445</v>
      </c>
      <c r="B111" t="s">
        <v>896</v>
      </c>
      <c r="C111" t="s">
        <v>1447</v>
      </c>
      <c r="D111">
        <v>926434</v>
      </c>
      <c r="E111" t="s">
        <v>407</v>
      </c>
    </row>
    <row r="112" spans="1:5">
      <c r="A112" t="s">
        <v>1445</v>
      </c>
      <c r="B112" t="s">
        <v>896</v>
      </c>
      <c r="C112" t="s">
        <v>1448</v>
      </c>
      <c r="D112">
        <v>623934</v>
      </c>
      <c r="E112" t="s">
        <v>364</v>
      </c>
    </row>
    <row r="113" spans="1:5">
      <c r="A113" t="s">
        <v>1445</v>
      </c>
      <c r="B113" t="s">
        <v>896</v>
      </c>
      <c r="C113" t="s">
        <v>1448</v>
      </c>
      <c r="D113">
        <v>174416</v>
      </c>
      <c r="E113" t="s">
        <v>921</v>
      </c>
    </row>
    <row r="114" spans="1:5">
      <c r="A114" t="s">
        <v>1445</v>
      </c>
      <c r="B114" t="s">
        <v>896</v>
      </c>
      <c r="C114" t="s">
        <v>1449</v>
      </c>
      <c r="D114">
        <v>174416</v>
      </c>
      <c r="E114" t="s">
        <v>921</v>
      </c>
    </row>
    <row r="115" spans="1:5">
      <c r="A115" t="s">
        <v>1445</v>
      </c>
      <c r="B115" t="s">
        <v>896</v>
      </c>
      <c r="C115" t="s">
        <v>1449</v>
      </c>
      <c r="D115">
        <v>847682</v>
      </c>
      <c r="E115" t="s">
        <v>79</v>
      </c>
    </row>
    <row r="116" spans="1:5">
      <c r="A116" t="s">
        <v>1445</v>
      </c>
      <c r="B116" t="s">
        <v>896</v>
      </c>
      <c r="C116" t="s">
        <v>1449</v>
      </c>
      <c r="D116">
        <v>830884</v>
      </c>
      <c r="E116" t="s">
        <v>587</v>
      </c>
    </row>
    <row r="117" spans="1:5">
      <c r="A117" t="s">
        <v>1445</v>
      </c>
      <c r="B117" t="s">
        <v>896</v>
      </c>
      <c r="C117" t="s">
        <v>1449</v>
      </c>
      <c r="D117">
        <v>445999</v>
      </c>
      <c r="E117" t="s">
        <v>914</v>
      </c>
    </row>
    <row r="118" spans="1:5">
      <c r="A118" t="s">
        <v>1445</v>
      </c>
      <c r="B118" t="s">
        <v>896</v>
      </c>
      <c r="C118" t="s">
        <v>1450</v>
      </c>
      <c r="D118">
        <v>770790</v>
      </c>
      <c r="E118" t="s">
        <v>365</v>
      </c>
    </row>
    <row r="119" spans="1:5">
      <c r="A119" t="s">
        <v>1445</v>
      </c>
      <c r="B119" t="s">
        <v>896</v>
      </c>
      <c r="C119" t="s">
        <v>1450</v>
      </c>
      <c r="D119">
        <v>394805</v>
      </c>
      <c r="E119" t="s">
        <v>323</v>
      </c>
    </row>
    <row r="120" spans="1:5">
      <c r="A120" t="s">
        <v>1445</v>
      </c>
      <c r="B120" t="s">
        <v>896</v>
      </c>
      <c r="C120" t="s">
        <v>1450</v>
      </c>
      <c r="D120">
        <v>445999</v>
      </c>
      <c r="E120" t="s">
        <v>914</v>
      </c>
    </row>
    <row r="121" spans="1:5">
      <c r="A121" t="s">
        <v>1445</v>
      </c>
      <c r="B121" t="s">
        <v>896</v>
      </c>
      <c r="C121" t="s">
        <v>1450</v>
      </c>
      <c r="D121">
        <v>486886</v>
      </c>
      <c r="E121" t="s">
        <v>29</v>
      </c>
    </row>
    <row r="122" spans="1:5">
      <c r="A122" t="s">
        <v>1445</v>
      </c>
      <c r="B122" t="s">
        <v>896</v>
      </c>
      <c r="C122" t="s">
        <v>1451</v>
      </c>
      <c r="D122">
        <v>902755</v>
      </c>
      <c r="E122" t="s">
        <v>231</v>
      </c>
    </row>
    <row r="123" spans="1:5">
      <c r="A123" t="s">
        <v>1445</v>
      </c>
      <c r="B123" t="s">
        <v>896</v>
      </c>
      <c r="C123" t="s">
        <v>1451</v>
      </c>
      <c r="D123">
        <v>445999</v>
      </c>
      <c r="E123" t="s">
        <v>914</v>
      </c>
    </row>
    <row r="124" spans="1:5">
      <c r="A124" t="s">
        <v>1445</v>
      </c>
      <c r="B124" t="s">
        <v>896</v>
      </c>
      <c r="C124" t="s">
        <v>1451</v>
      </c>
      <c r="D124">
        <v>921659</v>
      </c>
      <c r="E124" t="s">
        <v>356</v>
      </c>
    </row>
    <row r="125" spans="1:5">
      <c r="A125" t="s">
        <v>1445</v>
      </c>
      <c r="B125" t="s">
        <v>896</v>
      </c>
      <c r="C125" t="s">
        <v>1452</v>
      </c>
      <c r="D125">
        <v>445999</v>
      </c>
      <c r="E125" t="s">
        <v>914</v>
      </c>
    </row>
    <row r="126" spans="1:5">
      <c r="A126" t="s">
        <v>1445</v>
      </c>
      <c r="B126" t="s">
        <v>896</v>
      </c>
      <c r="C126" t="s">
        <v>1452</v>
      </c>
      <c r="D126">
        <v>970202</v>
      </c>
      <c r="E126" t="s">
        <v>836</v>
      </c>
    </row>
    <row r="127" spans="1:5">
      <c r="A127" t="s">
        <v>1445</v>
      </c>
      <c r="B127" t="s">
        <v>896</v>
      </c>
      <c r="C127" t="s">
        <v>1452</v>
      </c>
      <c r="D127">
        <v>486886</v>
      </c>
      <c r="E127" t="s">
        <v>29</v>
      </c>
    </row>
    <row r="128" spans="1:5">
      <c r="A128" t="s">
        <v>1445</v>
      </c>
      <c r="B128" t="s">
        <v>896</v>
      </c>
      <c r="C128" t="s">
        <v>1452</v>
      </c>
      <c r="D128">
        <v>886392</v>
      </c>
      <c r="E128" t="s">
        <v>805</v>
      </c>
    </row>
    <row r="129" spans="1:5">
      <c r="A129" t="s">
        <v>1445</v>
      </c>
      <c r="B129" t="s">
        <v>896</v>
      </c>
      <c r="C129" t="s">
        <v>1453</v>
      </c>
      <c r="D129">
        <v>926434</v>
      </c>
      <c r="E129" t="s">
        <v>407</v>
      </c>
    </row>
    <row r="130" spans="1:5">
      <c r="A130" t="s">
        <v>1445</v>
      </c>
      <c r="B130" t="s">
        <v>896</v>
      </c>
      <c r="C130" t="s">
        <v>1453</v>
      </c>
      <c r="D130">
        <v>792959</v>
      </c>
      <c r="E130" t="s">
        <v>1454</v>
      </c>
    </row>
    <row r="131" spans="1:5">
      <c r="A131" t="s">
        <v>1445</v>
      </c>
      <c r="B131" t="s">
        <v>896</v>
      </c>
      <c r="C131" t="s">
        <v>1453</v>
      </c>
      <c r="D131">
        <v>174416</v>
      </c>
      <c r="E131" t="s">
        <v>921</v>
      </c>
    </row>
    <row r="132" spans="1:5">
      <c r="A132" t="s">
        <v>1445</v>
      </c>
      <c r="B132" t="s">
        <v>896</v>
      </c>
      <c r="C132" t="s">
        <v>1453</v>
      </c>
      <c r="D132">
        <v>902755</v>
      </c>
      <c r="E132" t="s">
        <v>231</v>
      </c>
    </row>
    <row r="133" spans="1:5">
      <c r="A133" t="s">
        <v>1445</v>
      </c>
      <c r="B133" t="s">
        <v>896</v>
      </c>
      <c r="C133" t="s">
        <v>1455</v>
      </c>
      <c r="D133">
        <v>770790</v>
      </c>
      <c r="E133" t="s">
        <v>365</v>
      </c>
    </row>
    <row r="134" spans="1:5">
      <c r="A134" t="s">
        <v>1445</v>
      </c>
      <c r="B134" t="s">
        <v>896</v>
      </c>
      <c r="C134" t="s">
        <v>1455</v>
      </c>
      <c r="D134">
        <v>886392</v>
      </c>
      <c r="E134" t="s">
        <v>805</v>
      </c>
    </row>
    <row r="135" spans="1:5">
      <c r="A135" t="s">
        <v>1445</v>
      </c>
      <c r="B135" t="s">
        <v>896</v>
      </c>
      <c r="C135" t="s">
        <v>1455</v>
      </c>
      <c r="D135">
        <v>174416</v>
      </c>
      <c r="E135" t="s">
        <v>921</v>
      </c>
    </row>
    <row r="136" spans="1:5">
      <c r="A136" t="s">
        <v>1445</v>
      </c>
      <c r="B136" t="s">
        <v>896</v>
      </c>
      <c r="C136" t="s">
        <v>1455</v>
      </c>
      <c r="D136">
        <v>445999</v>
      </c>
      <c r="E136" t="s">
        <v>914</v>
      </c>
    </row>
    <row r="137" spans="1:5">
      <c r="A137" t="s">
        <v>1456</v>
      </c>
      <c r="B137" t="s">
        <v>896</v>
      </c>
      <c r="C137" t="s">
        <v>1457</v>
      </c>
      <c r="D137">
        <v>115740</v>
      </c>
      <c r="E137" t="s">
        <v>175</v>
      </c>
    </row>
    <row r="138" spans="1:5">
      <c r="A138" t="s">
        <v>1456</v>
      </c>
      <c r="B138" t="s">
        <v>896</v>
      </c>
      <c r="C138" t="s">
        <v>1457</v>
      </c>
      <c r="D138">
        <v>933107</v>
      </c>
      <c r="E138" t="s">
        <v>1458</v>
      </c>
    </row>
    <row r="139" spans="1:5">
      <c r="A139" t="s">
        <v>1456</v>
      </c>
      <c r="B139" t="s">
        <v>896</v>
      </c>
      <c r="C139" t="s">
        <v>1457</v>
      </c>
      <c r="D139">
        <v>455603</v>
      </c>
      <c r="E139" t="s">
        <v>711</v>
      </c>
    </row>
    <row r="140" spans="1:5">
      <c r="A140" t="s">
        <v>1456</v>
      </c>
      <c r="B140" t="s">
        <v>896</v>
      </c>
      <c r="C140" t="s">
        <v>1459</v>
      </c>
      <c r="D140">
        <v>384287</v>
      </c>
      <c r="E140" t="s">
        <v>236</v>
      </c>
    </row>
    <row r="141" spans="1:5">
      <c r="A141" t="s">
        <v>1456</v>
      </c>
      <c r="B141" t="s">
        <v>896</v>
      </c>
      <c r="C141" t="s">
        <v>1459</v>
      </c>
      <c r="D141">
        <v>202505</v>
      </c>
      <c r="E141" t="s">
        <v>686</v>
      </c>
    </row>
    <row r="142" spans="1:5">
      <c r="A142" t="s">
        <v>1456</v>
      </c>
      <c r="B142" t="s">
        <v>896</v>
      </c>
      <c r="C142" t="s">
        <v>1460</v>
      </c>
      <c r="D142">
        <v>372832</v>
      </c>
      <c r="E142" t="s">
        <v>326</v>
      </c>
    </row>
    <row r="143" spans="1:5">
      <c r="A143" t="s">
        <v>1456</v>
      </c>
      <c r="B143" t="s">
        <v>896</v>
      </c>
      <c r="C143" t="s">
        <v>1460</v>
      </c>
      <c r="D143">
        <v>933107</v>
      </c>
      <c r="E143" t="s">
        <v>1458</v>
      </c>
    </row>
    <row r="144" spans="1:5">
      <c r="A144" t="s">
        <v>1456</v>
      </c>
      <c r="B144" t="s">
        <v>896</v>
      </c>
      <c r="C144" t="s">
        <v>1460</v>
      </c>
      <c r="D144">
        <v>314692</v>
      </c>
      <c r="E144" t="s">
        <v>516</v>
      </c>
    </row>
    <row r="145" spans="1:5">
      <c r="A145" t="s">
        <v>1456</v>
      </c>
      <c r="B145" t="s">
        <v>896</v>
      </c>
      <c r="C145" t="s">
        <v>1461</v>
      </c>
      <c r="D145">
        <v>968584</v>
      </c>
      <c r="E145" t="s">
        <v>143</v>
      </c>
    </row>
    <row r="146" spans="1:5">
      <c r="A146" t="s">
        <v>1456</v>
      </c>
      <c r="B146" t="s">
        <v>896</v>
      </c>
      <c r="C146" t="s">
        <v>1461</v>
      </c>
      <c r="D146">
        <v>314692</v>
      </c>
      <c r="E146" t="s">
        <v>516</v>
      </c>
    </row>
    <row r="147" spans="1:5">
      <c r="A147" t="s">
        <v>1456</v>
      </c>
      <c r="B147" t="s">
        <v>896</v>
      </c>
      <c r="C147" t="s">
        <v>1462</v>
      </c>
      <c r="D147">
        <v>970070</v>
      </c>
      <c r="E147" t="s">
        <v>697</v>
      </c>
    </row>
    <row r="148" spans="1:5">
      <c r="A148" t="s">
        <v>1456</v>
      </c>
      <c r="B148" t="s">
        <v>896</v>
      </c>
      <c r="C148" t="s">
        <v>1462</v>
      </c>
      <c r="D148">
        <v>933107</v>
      </c>
      <c r="E148" t="s">
        <v>1458</v>
      </c>
    </row>
    <row r="149" spans="1:5">
      <c r="A149" t="s">
        <v>1456</v>
      </c>
      <c r="B149" t="s">
        <v>896</v>
      </c>
      <c r="C149" t="s">
        <v>1462</v>
      </c>
      <c r="D149">
        <v>871573</v>
      </c>
      <c r="E149" t="s">
        <v>1463</v>
      </c>
    </row>
    <row r="150" spans="1:5">
      <c r="A150" t="s">
        <v>1456</v>
      </c>
      <c r="B150" t="s">
        <v>896</v>
      </c>
      <c r="C150" t="s">
        <v>1464</v>
      </c>
      <c r="D150">
        <v>202505</v>
      </c>
      <c r="E150" t="s">
        <v>686</v>
      </c>
    </row>
    <row r="151" spans="1:5">
      <c r="A151" t="s">
        <v>1456</v>
      </c>
      <c r="B151" t="s">
        <v>896</v>
      </c>
      <c r="C151" t="s">
        <v>1464</v>
      </c>
      <c r="D151">
        <v>935091</v>
      </c>
      <c r="E151" t="s">
        <v>771</v>
      </c>
    </row>
    <row r="152" spans="1:5">
      <c r="A152" t="s">
        <v>1456</v>
      </c>
      <c r="B152" t="s">
        <v>896</v>
      </c>
      <c r="C152" t="s">
        <v>1465</v>
      </c>
      <c r="D152">
        <v>933107</v>
      </c>
      <c r="E152" t="s">
        <v>1458</v>
      </c>
    </row>
    <row r="153" spans="1:5">
      <c r="A153" t="s">
        <v>1456</v>
      </c>
      <c r="B153" t="s">
        <v>896</v>
      </c>
      <c r="C153" t="s">
        <v>1465</v>
      </c>
      <c r="D153">
        <v>314692</v>
      </c>
      <c r="E153" t="s">
        <v>516</v>
      </c>
    </row>
    <row r="154" spans="1:5">
      <c r="A154" t="s">
        <v>1456</v>
      </c>
      <c r="B154" t="s">
        <v>896</v>
      </c>
      <c r="C154" t="s">
        <v>1465</v>
      </c>
      <c r="D154">
        <v>871573</v>
      </c>
      <c r="E154" t="s">
        <v>1463</v>
      </c>
    </row>
    <row r="155" spans="1:5">
      <c r="A155" t="s">
        <v>1466</v>
      </c>
      <c r="B155" t="s">
        <v>896</v>
      </c>
      <c r="C155" t="s">
        <v>1467</v>
      </c>
      <c r="D155">
        <v>394635</v>
      </c>
      <c r="E155" t="s">
        <v>659</v>
      </c>
    </row>
    <row r="156" spans="1:5">
      <c r="A156" t="s">
        <v>1466</v>
      </c>
      <c r="B156" t="s">
        <v>896</v>
      </c>
      <c r="C156" t="s">
        <v>1054</v>
      </c>
      <c r="D156">
        <v>394635</v>
      </c>
      <c r="E156" t="s">
        <v>659</v>
      </c>
    </row>
    <row r="157" spans="1:5">
      <c r="A157" t="s">
        <v>1466</v>
      </c>
      <c r="B157" t="s">
        <v>896</v>
      </c>
      <c r="C157" t="s">
        <v>1468</v>
      </c>
      <c r="D157">
        <v>617808</v>
      </c>
      <c r="E157" t="s">
        <v>34</v>
      </c>
    </row>
    <row r="158" spans="1:5">
      <c r="A158" t="s">
        <v>1466</v>
      </c>
      <c r="B158" t="s">
        <v>896</v>
      </c>
      <c r="C158" t="s">
        <v>1469</v>
      </c>
      <c r="D158">
        <v>904795</v>
      </c>
      <c r="E158" t="s">
        <v>971</v>
      </c>
    </row>
    <row r="159" spans="1:5">
      <c r="A159" t="s">
        <v>1466</v>
      </c>
      <c r="B159" t="s">
        <v>896</v>
      </c>
      <c r="C159" t="s">
        <v>1056</v>
      </c>
      <c r="D159">
        <v>394635</v>
      </c>
      <c r="E159" t="s">
        <v>659</v>
      </c>
    </row>
    <row r="160" spans="1:5">
      <c r="A160" t="s">
        <v>1466</v>
      </c>
      <c r="B160" t="s">
        <v>896</v>
      </c>
      <c r="C160" t="s">
        <v>1470</v>
      </c>
      <c r="D160">
        <v>394635</v>
      </c>
      <c r="E160" t="s">
        <v>659</v>
      </c>
    </row>
    <row r="161" spans="1:5">
      <c r="A161" t="s">
        <v>1466</v>
      </c>
      <c r="B161" t="s">
        <v>896</v>
      </c>
      <c r="C161" t="s">
        <v>1058</v>
      </c>
      <c r="D161">
        <v>904795</v>
      </c>
      <c r="E161" t="s">
        <v>971</v>
      </c>
    </row>
    <row r="162" spans="1:5">
      <c r="A162" t="s">
        <v>1466</v>
      </c>
      <c r="B162" t="s">
        <v>896</v>
      </c>
      <c r="C162" t="s">
        <v>1059</v>
      </c>
      <c r="D162">
        <v>394635</v>
      </c>
      <c r="E162" t="s">
        <v>659</v>
      </c>
    </row>
    <row r="163" spans="1:5">
      <c r="A163" t="s">
        <v>1466</v>
      </c>
      <c r="B163" t="s">
        <v>896</v>
      </c>
      <c r="C163" t="s">
        <v>1471</v>
      </c>
      <c r="D163">
        <v>468423</v>
      </c>
      <c r="E163" t="s">
        <v>393</v>
      </c>
    </row>
    <row r="164" spans="1:5">
      <c r="A164" t="s">
        <v>1466</v>
      </c>
      <c r="B164" t="s">
        <v>896</v>
      </c>
      <c r="C164" t="s">
        <v>1472</v>
      </c>
      <c r="D164">
        <v>861261</v>
      </c>
      <c r="E164" t="s">
        <v>252</v>
      </c>
    </row>
    <row r="165" spans="1:5">
      <c r="A165" t="s">
        <v>1466</v>
      </c>
      <c r="B165" t="s">
        <v>896</v>
      </c>
      <c r="C165" t="s">
        <v>1061</v>
      </c>
      <c r="D165">
        <v>394635</v>
      </c>
      <c r="E165" t="s">
        <v>659</v>
      </c>
    </row>
    <row r="166" spans="1:5">
      <c r="A166" t="s">
        <v>1466</v>
      </c>
      <c r="B166" t="s">
        <v>896</v>
      </c>
      <c r="C166" t="s">
        <v>1473</v>
      </c>
      <c r="D166">
        <v>617808</v>
      </c>
      <c r="E166" t="s">
        <v>34</v>
      </c>
    </row>
    <row r="167" spans="1:5">
      <c r="A167" t="s">
        <v>1466</v>
      </c>
      <c r="B167" t="s">
        <v>896</v>
      </c>
      <c r="C167" t="s">
        <v>1473</v>
      </c>
      <c r="D167">
        <v>468423</v>
      </c>
      <c r="E167" t="s">
        <v>393</v>
      </c>
    </row>
    <row r="168" spans="1:5">
      <c r="A168" t="s">
        <v>1474</v>
      </c>
      <c r="B168" t="s">
        <v>896</v>
      </c>
      <c r="C168" t="s">
        <v>1468</v>
      </c>
      <c r="D168">
        <v>378341</v>
      </c>
      <c r="E168" t="s">
        <v>121</v>
      </c>
    </row>
    <row r="169" spans="1:5">
      <c r="A169" t="s">
        <v>1474</v>
      </c>
      <c r="B169" t="s">
        <v>896</v>
      </c>
      <c r="C169" t="s">
        <v>1470</v>
      </c>
      <c r="D169">
        <v>120046</v>
      </c>
      <c r="E169" t="s">
        <v>553</v>
      </c>
    </row>
    <row r="170" spans="1:5">
      <c r="A170" t="s">
        <v>1474</v>
      </c>
      <c r="B170" t="s">
        <v>896</v>
      </c>
      <c r="C170" t="s">
        <v>1471</v>
      </c>
      <c r="D170">
        <v>168488</v>
      </c>
      <c r="E170" t="s">
        <v>63</v>
      </c>
    </row>
    <row r="171" spans="1:5">
      <c r="A171" t="s">
        <v>1474</v>
      </c>
      <c r="B171" t="s">
        <v>896</v>
      </c>
      <c r="C171" t="s">
        <v>1473</v>
      </c>
      <c r="D171">
        <v>934158</v>
      </c>
      <c r="E171" t="s">
        <v>484</v>
      </c>
    </row>
    <row r="172" spans="1:5">
      <c r="A172" t="s">
        <v>1475</v>
      </c>
      <c r="B172" t="s">
        <v>896</v>
      </c>
      <c r="C172" t="s">
        <v>1476</v>
      </c>
      <c r="D172">
        <v>442578</v>
      </c>
      <c r="E172" t="s">
        <v>67</v>
      </c>
    </row>
    <row r="173" spans="1:5">
      <c r="A173" t="s">
        <v>1475</v>
      </c>
      <c r="B173" t="s">
        <v>896</v>
      </c>
      <c r="C173" t="s">
        <v>1477</v>
      </c>
      <c r="D173">
        <v>248981</v>
      </c>
      <c r="E173" t="s">
        <v>25</v>
      </c>
    </row>
    <row r="174" spans="1:5">
      <c r="A174" t="s">
        <v>1475</v>
      </c>
      <c r="B174" t="s">
        <v>896</v>
      </c>
      <c r="C174" t="s">
        <v>1478</v>
      </c>
      <c r="D174">
        <v>442578</v>
      </c>
      <c r="E174" t="s">
        <v>67</v>
      </c>
    </row>
    <row r="175" spans="1:5">
      <c r="A175" t="s">
        <v>1475</v>
      </c>
      <c r="B175" t="s">
        <v>896</v>
      </c>
      <c r="C175" t="s">
        <v>1478</v>
      </c>
      <c r="D175">
        <v>468423</v>
      </c>
      <c r="E175" t="s">
        <v>393</v>
      </c>
    </row>
    <row r="176" spans="1:5">
      <c r="A176" t="s">
        <v>1475</v>
      </c>
      <c r="B176" t="s">
        <v>896</v>
      </c>
      <c r="C176" t="s">
        <v>1479</v>
      </c>
      <c r="D176">
        <v>248981</v>
      </c>
      <c r="E176" t="s">
        <v>25</v>
      </c>
    </row>
    <row r="177" spans="1:5">
      <c r="A177" t="s">
        <v>1475</v>
      </c>
      <c r="B177" t="s">
        <v>896</v>
      </c>
      <c r="C177" t="s">
        <v>1479</v>
      </c>
      <c r="D177">
        <v>429425</v>
      </c>
      <c r="E177" t="s">
        <v>694</v>
      </c>
    </row>
    <row r="178" spans="1:5">
      <c r="A178" t="s">
        <v>1475</v>
      </c>
      <c r="B178" t="s">
        <v>896</v>
      </c>
      <c r="C178" t="s">
        <v>1480</v>
      </c>
      <c r="D178">
        <v>442578</v>
      </c>
      <c r="E178" t="s">
        <v>67</v>
      </c>
    </row>
    <row r="179" spans="1:5">
      <c r="A179" t="s">
        <v>1475</v>
      </c>
      <c r="B179" t="s">
        <v>896</v>
      </c>
      <c r="C179" t="s">
        <v>1480</v>
      </c>
      <c r="D179">
        <v>628110</v>
      </c>
      <c r="E179" t="s">
        <v>584</v>
      </c>
    </row>
    <row r="180" spans="1:5">
      <c r="A180" t="s">
        <v>1481</v>
      </c>
      <c r="B180" t="s">
        <v>896</v>
      </c>
      <c r="C180" t="s">
        <v>1482</v>
      </c>
      <c r="D180">
        <v>131287</v>
      </c>
      <c r="E180" t="s">
        <v>610</v>
      </c>
    </row>
    <row r="181" spans="1:5">
      <c r="A181" t="s">
        <v>1481</v>
      </c>
      <c r="B181" t="s">
        <v>896</v>
      </c>
      <c r="C181" t="s">
        <v>1483</v>
      </c>
      <c r="D181">
        <v>593512</v>
      </c>
      <c r="E181" t="s">
        <v>120</v>
      </c>
    </row>
    <row r="182" spans="1:5">
      <c r="A182" t="s">
        <v>1481</v>
      </c>
      <c r="B182" t="s">
        <v>896</v>
      </c>
      <c r="C182" t="s">
        <v>1484</v>
      </c>
      <c r="D182">
        <v>557897</v>
      </c>
      <c r="E182" t="s">
        <v>18</v>
      </c>
    </row>
    <row r="183" spans="1:5">
      <c r="A183" t="s">
        <v>1481</v>
      </c>
      <c r="B183" t="s">
        <v>896</v>
      </c>
      <c r="C183" t="s">
        <v>1485</v>
      </c>
      <c r="D183">
        <v>847686</v>
      </c>
      <c r="E183" t="s">
        <v>343</v>
      </c>
    </row>
    <row r="184" spans="1:5">
      <c r="A184" t="s">
        <v>1481</v>
      </c>
      <c r="B184" t="s">
        <v>896</v>
      </c>
      <c r="C184" t="s">
        <v>1486</v>
      </c>
      <c r="D184">
        <v>496999</v>
      </c>
      <c r="E184" t="s">
        <v>781</v>
      </c>
    </row>
    <row r="185" spans="1:5">
      <c r="A185" t="s">
        <v>1481</v>
      </c>
      <c r="B185" t="s">
        <v>896</v>
      </c>
      <c r="C185" t="s">
        <v>1487</v>
      </c>
      <c r="D185">
        <v>926434</v>
      </c>
      <c r="E185" t="s">
        <v>407</v>
      </c>
    </row>
    <row r="186" spans="1:5">
      <c r="A186" t="s">
        <v>1481</v>
      </c>
      <c r="B186" t="s">
        <v>896</v>
      </c>
      <c r="C186" t="s">
        <v>1488</v>
      </c>
      <c r="D186">
        <v>772113</v>
      </c>
      <c r="E186" t="s">
        <v>202</v>
      </c>
    </row>
    <row r="187" spans="1:5">
      <c r="A187" t="s">
        <v>1481</v>
      </c>
      <c r="B187" t="s">
        <v>896</v>
      </c>
      <c r="C187" t="s">
        <v>1489</v>
      </c>
      <c r="D187">
        <v>568663</v>
      </c>
      <c r="E187" t="s">
        <v>379</v>
      </c>
    </row>
    <row r="188" spans="1:5">
      <c r="A188" t="s">
        <v>1481</v>
      </c>
      <c r="B188" t="s">
        <v>896</v>
      </c>
      <c r="C188" t="s">
        <v>1490</v>
      </c>
      <c r="D188">
        <v>772113</v>
      </c>
      <c r="E188" t="s">
        <v>202</v>
      </c>
    </row>
    <row r="189" spans="1:5">
      <c r="A189" t="s">
        <v>1481</v>
      </c>
      <c r="B189" t="s">
        <v>896</v>
      </c>
      <c r="C189" t="s">
        <v>1491</v>
      </c>
      <c r="D189">
        <v>926434</v>
      </c>
      <c r="E189" t="s">
        <v>407</v>
      </c>
    </row>
    <row r="190" spans="1:5">
      <c r="A190" t="s">
        <v>1481</v>
      </c>
      <c r="B190" t="s">
        <v>896</v>
      </c>
      <c r="C190" t="s">
        <v>1492</v>
      </c>
      <c r="D190">
        <v>557897</v>
      </c>
      <c r="E190" t="s">
        <v>18</v>
      </c>
    </row>
    <row r="191" spans="1:5">
      <c r="A191" t="s">
        <v>1481</v>
      </c>
      <c r="B191" t="s">
        <v>896</v>
      </c>
      <c r="C191" t="s">
        <v>1493</v>
      </c>
      <c r="D191">
        <v>674990</v>
      </c>
      <c r="E191" t="s">
        <v>748</v>
      </c>
    </row>
    <row r="192" spans="1:5">
      <c r="A192" t="s">
        <v>1481</v>
      </c>
      <c r="B192" t="s">
        <v>896</v>
      </c>
      <c r="C192" t="s">
        <v>1494</v>
      </c>
      <c r="D192">
        <v>192237</v>
      </c>
      <c r="E192" t="s">
        <v>68</v>
      </c>
    </row>
    <row r="193" spans="1:5">
      <c r="A193" t="s">
        <v>1481</v>
      </c>
      <c r="B193" t="s">
        <v>896</v>
      </c>
      <c r="C193" t="s">
        <v>1495</v>
      </c>
      <c r="D193">
        <v>262000</v>
      </c>
      <c r="E193" t="s">
        <v>275</v>
      </c>
    </row>
    <row r="194" spans="1:5">
      <c r="A194" t="s">
        <v>1481</v>
      </c>
      <c r="B194" t="s">
        <v>896</v>
      </c>
      <c r="C194" t="s">
        <v>1496</v>
      </c>
      <c r="D194">
        <v>772113</v>
      </c>
      <c r="E194" t="s">
        <v>202</v>
      </c>
    </row>
    <row r="195" spans="1:5">
      <c r="A195" t="s">
        <v>1481</v>
      </c>
      <c r="B195" t="s">
        <v>896</v>
      </c>
      <c r="C195" t="s">
        <v>1497</v>
      </c>
      <c r="D195">
        <v>169559</v>
      </c>
      <c r="E195" t="s">
        <v>695</v>
      </c>
    </row>
    <row r="196" spans="1:5">
      <c r="A196" t="s">
        <v>1481</v>
      </c>
      <c r="B196" t="s">
        <v>896</v>
      </c>
      <c r="C196" t="s">
        <v>1498</v>
      </c>
      <c r="D196">
        <v>541166</v>
      </c>
      <c r="E196" t="s">
        <v>372</v>
      </c>
    </row>
    <row r="197" spans="1:5">
      <c r="A197" t="s">
        <v>1481</v>
      </c>
      <c r="B197" t="s">
        <v>896</v>
      </c>
      <c r="C197" t="s">
        <v>1499</v>
      </c>
      <c r="D197">
        <v>809076</v>
      </c>
      <c r="E197" t="s">
        <v>813</v>
      </c>
    </row>
    <row r="198" spans="1:5">
      <c r="A198" t="s">
        <v>1481</v>
      </c>
      <c r="B198" t="s">
        <v>896</v>
      </c>
      <c r="C198" t="s">
        <v>1500</v>
      </c>
      <c r="D198">
        <v>674990</v>
      </c>
      <c r="E198" t="s">
        <v>748</v>
      </c>
    </row>
    <row r="199" spans="1:5">
      <c r="A199" t="s">
        <v>1481</v>
      </c>
      <c r="B199" t="s">
        <v>896</v>
      </c>
      <c r="C199" t="s">
        <v>1501</v>
      </c>
      <c r="D199">
        <v>557897</v>
      </c>
      <c r="E199" t="s">
        <v>18</v>
      </c>
    </row>
    <row r="200" spans="1:5">
      <c r="A200" t="s">
        <v>1481</v>
      </c>
      <c r="B200" t="s">
        <v>896</v>
      </c>
      <c r="C200" t="s">
        <v>1502</v>
      </c>
      <c r="D200">
        <v>869668</v>
      </c>
      <c r="E200" t="s">
        <v>1388</v>
      </c>
    </row>
    <row r="201" spans="1:5">
      <c r="A201" t="s">
        <v>1481</v>
      </c>
      <c r="B201" t="s">
        <v>896</v>
      </c>
      <c r="C201" t="s">
        <v>1503</v>
      </c>
      <c r="D201">
        <v>789902</v>
      </c>
      <c r="E201" t="s">
        <v>485</v>
      </c>
    </row>
    <row r="202" spans="1:5">
      <c r="A202" t="s">
        <v>1481</v>
      </c>
      <c r="B202" t="s">
        <v>896</v>
      </c>
      <c r="C202" t="s">
        <v>1504</v>
      </c>
      <c r="D202">
        <v>621484</v>
      </c>
      <c r="E202" t="s">
        <v>354</v>
      </c>
    </row>
    <row r="203" spans="1:5">
      <c r="A203" t="s">
        <v>1481</v>
      </c>
      <c r="B203" t="s">
        <v>896</v>
      </c>
      <c r="C203" t="s">
        <v>1505</v>
      </c>
      <c r="D203">
        <v>826067</v>
      </c>
      <c r="E203" t="s">
        <v>1506</v>
      </c>
    </row>
    <row r="204" spans="1:5">
      <c r="A204" t="s">
        <v>1481</v>
      </c>
      <c r="B204" t="s">
        <v>896</v>
      </c>
      <c r="C204" t="s">
        <v>1507</v>
      </c>
      <c r="D204">
        <v>636064</v>
      </c>
      <c r="E204" t="s">
        <v>518</v>
      </c>
    </row>
    <row r="205" spans="1:5">
      <c r="A205" t="s">
        <v>1481</v>
      </c>
      <c r="B205" t="s">
        <v>896</v>
      </c>
      <c r="C205" t="s">
        <v>1508</v>
      </c>
      <c r="D205">
        <v>926434</v>
      </c>
      <c r="E205" t="s">
        <v>407</v>
      </c>
    </row>
    <row r="206" spans="1:5">
      <c r="A206" t="s">
        <v>1481</v>
      </c>
      <c r="B206" t="s">
        <v>896</v>
      </c>
      <c r="C206" t="s">
        <v>1509</v>
      </c>
      <c r="D206">
        <v>188883</v>
      </c>
      <c r="E206" t="s">
        <v>721</v>
      </c>
    </row>
    <row r="207" spans="1:5">
      <c r="A207" t="s">
        <v>1481</v>
      </c>
      <c r="B207" t="s">
        <v>896</v>
      </c>
      <c r="C207" t="s">
        <v>1510</v>
      </c>
      <c r="D207">
        <v>660813</v>
      </c>
      <c r="E207" t="s">
        <v>296</v>
      </c>
    </row>
    <row r="208" spans="1:5">
      <c r="A208" t="s">
        <v>1481</v>
      </c>
      <c r="B208" t="s">
        <v>896</v>
      </c>
      <c r="C208" t="s">
        <v>1511</v>
      </c>
      <c r="D208">
        <v>772113</v>
      </c>
      <c r="E208" t="s">
        <v>202</v>
      </c>
    </row>
    <row r="209" spans="1:5">
      <c r="A209" t="s">
        <v>1512</v>
      </c>
      <c r="B209" t="s">
        <v>896</v>
      </c>
      <c r="C209" t="s">
        <v>1513</v>
      </c>
      <c r="D209">
        <v>628110</v>
      </c>
      <c r="E209" t="s">
        <v>584</v>
      </c>
    </row>
    <row r="210" spans="1:5">
      <c r="A210" t="s">
        <v>1512</v>
      </c>
      <c r="B210" t="s">
        <v>896</v>
      </c>
      <c r="C210" t="s">
        <v>1514</v>
      </c>
      <c r="D210">
        <v>935091</v>
      </c>
      <c r="E210" t="s">
        <v>771</v>
      </c>
    </row>
    <row r="211" spans="1:5">
      <c r="A211" t="s">
        <v>1512</v>
      </c>
      <c r="B211" t="s">
        <v>896</v>
      </c>
      <c r="C211" t="s">
        <v>1515</v>
      </c>
      <c r="D211">
        <v>139259</v>
      </c>
      <c r="E211" t="s">
        <v>488</v>
      </c>
    </row>
    <row r="212" spans="1:5">
      <c r="A212" t="s">
        <v>1512</v>
      </c>
      <c r="B212" t="s">
        <v>896</v>
      </c>
      <c r="C212" t="s">
        <v>1516</v>
      </c>
      <c r="D212">
        <v>487210</v>
      </c>
      <c r="E212" t="s">
        <v>373</v>
      </c>
    </row>
    <row r="213" spans="1:5">
      <c r="A213" t="s">
        <v>1512</v>
      </c>
      <c r="B213" t="s">
        <v>896</v>
      </c>
      <c r="C213" t="s">
        <v>1517</v>
      </c>
      <c r="D213">
        <v>628110</v>
      </c>
      <c r="E213" t="s">
        <v>584</v>
      </c>
    </row>
    <row r="214" spans="1:5">
      <c r="A214" t="s">
        <v>1518</v>
      </c>
      <c r="B214" t="s">
        <v>896</v>
      </c>
      <c r="C214" t="s">
        <v>1519</v>
      </c>
      <c r="D214">
        <v>92567</v>
      </c>
      <c r="E214" t="s">
        <v>270</v>
      </c>
    </row>
    <row r="215" spans="1:5">
      <c r="A215" t="s">
        <v>1518</v>
      </c>
      <c r="B215" t="s">
        <v>896</v>
      </c>
      <c r="C215" t="s">
        <v>1520</v>
      </c>
      <c r="D215">
        <v>587311</v>
      </c>
      <c r="E215" t="s">
        <v>399</v>
      </c>
    </row>
    <row r="216" spans="1:5">
      <c r="A216" t="s">
        <v>1518</v>
      </c>
      <c r="B216" t="s">
        <v>896</v>
      </c>
      <c r="C216" t="s">
        <v>1521</v>
      </c>
      <c r="D216">
        <v>175002</v>
      </c>
      <c r="E216" t="s">
        <v>197</v>
      </c>
    </row>
    <row r="217" spans="1:5">
      <c r="A217" t="s">
        <v>1518</v>
      </c>
      <c r="B217" t="s">
        <v>896</v>
      </c>
      <c r="C217" t="s">
        <v>1522</v>
      </c>
      <c r="D217">
        <v>794490</v>
      </c>
      <c r="E217" t="s">
        <v>129</v>
      </c>
    </row>
    <row r="218" spans="1:5">
      <c r="A218" t="s">
        <v>1518</v>
      </c>
      <c r="B218" t="s">
        <v>896</v>
      </c>
      <c r="C218" t="s">
        <v>1523</v>
      </c>
      <c r="D218">
        <v>246792</v>
      </c>
      <c r="E218" t="s">
        <v>116</v>
      </c>
    </row>
    <row r="219" spans="1:5">
      <c r="A219" t="s">
        <v>1518</v>
      </c>
      <c r="B219" t="s">
        <v>896</v>
      </c>
      <c r="C219" t="s">
        <v>1524</v>
      </c>
      <c r="D219">
        <v>170071</v>
      </c>
      <c r="E219" t="s">
        <v>468</v>
      </c>
    </row>
    <row r="220" spans="1:5">
      <c r="A220" t="s">
        <v>1518</v>
      </c>
      <c r="B220" t="s">
        <v>896</v>
      </c>
      <c r="C220" t="s">
        <v>1525</v>
      </c>
      <c r="D220">
        <v>587311</v>
      </c>
      <c r="E220" t="s">
        <v>399</v>
      </c>
    </row>
    <row r="221" spans="1:5">
      <c r="A221" t="s">
        <v>1518</v>
      </c>
      <c r="B221" t="s">
        <v>896</v>
      </c>
      <c r="C221" t="s">
        <v>1526</v>
      </c>
      <c r="D221">
        <v>175002</v>
      </c>
      <c r="E221" t="s">
        <v>197</v>
      </c>
    </row>
    <row r="222" spans="1:5">
      <c r="A222" t="s">
        <v>1518</v>
      </c>
      <c r="B222" t="s">
        <v>896</v>
      </c>
      <c r="C222" t="s">
        <v>1527</v>
      </c>
      <c r="D222">
        <v>175002</v>
      </c>
      <c r="E222" t="s">
        <v>197</v>
      </c>
    </row>
    <row r="223" spans="1:5">
      <c r="A223" t="s">
        <v>1518</v>
      </c>
      <c r="B223" t="s">
        <v>896</v>
      </c>
      <c r="C223" t="s">
        <v>1528</v>
      </c>
      <c r="D223">
        <v>270157</v>
      </c>
      <c r="E223" t="s">
        <v>168</v>
      </c>
    </row>
    <row r="224" spans="1:5">
      <c r="A224" t="s">
        <v>1518</v>
      </c>
      <c r="B224" t="s">
        <v>896</v>
      </c>
      <c r="C224" t="s">
        <v>1529</v>
      </c>
      <c r="D224">
        <v>765474</v>
      </c>
      <c r="E224" t="s">
        <v>48</v>
      </c>
    </row>
    <row r="225" spans="1:5">
      <c r="A225" t="s">
        <v>1518</v>
      </c>
      <c r="B225" t="s">
        <v>896</v>
      </c>
      <c r="C225" t="s">
        <v>1530</v>
      </c>
      <c r="D225">
        <v>170071</v>
      </c>
      <c r="E225" t="s">
        <v>468</v>
      </c>
    </row>
    <row r="226" spans="1:5">
      <c r="A226" t="s">
        <v>1518</v>
      </c>
      <c r="B226" t="s">
        <v>896</v>
      </c>
      <c r="C226" t="s">
        <v>1531</v>
      </c>
      <c r="D226">
        <v>587311</v>
      </c>
      <c r="E226" t="s">
        <v>399</v>
      </c>
    </row>
    <row r="227" spans="1:5">
      <c r="A227" t="s">
        <v>1518</v>
      </c>
      <c r="B227" t="s">
        <v>896</v>
      </c>
      <c r="C227" t="s">
        <v>1532</v>
      </c>
      <c r="D227">
        <v>974730</v>
      </c>
      <c r="E227" t="s">
        <v>93</v>
      </c>
    </row>
    <row r="228" spans="1:5">
      <c r="A228" t="s">
        <v>1518</v>
      </c>
      <c r="B228" t="s">
        <v>896</v>
      </c>
      <c r="C228" t="s">
        <v>1533</v>
      </c>
      <c r="D228">
        <v>246792</v>
      </c>
      <c r="E228" t="s">
        <v>116</v>
      </c>
    </row>
    <row r="229" spans="1:5">
      <c r="A229" t="s">
        <v>1534</v>
      </c>
      <c r="B229" t="s">
        <v>896</v>
      </c>
      <c r="C229" t="s">
        <v>1535</v>
      </c>
      <c r="D229">
        <v>814017</v>
      </c>
      <c r="E229" t="s">
        <v>696</v>
      </c>
    </row>
    <row r="230" spans="1:5">
      <c r="A230" t="s">
        <v>1534</v>
      </c>
      <c r="B230" t="s">
        <v>896</v>
      </c>
      <c r="C230" t="s">
        <v>1536</v>
      </c>
      <c r="D230">
        <v>689981</v>
      </c>
      <c r="E230" t="s">
        <v>666</v>
      </c>
    </row>
    <row r="231" spans="1:5">
      <c r="A231" t="s">
        <v>1534</v>
      </c>
      <c r="B231" t="s">
        <v>896</v>
      </c>
      <c r="C231" t="s">
        <v>1537</v>
      </c>
      <c r="D231">
        <v>538904</v>
      </c>
      <c r="E231" t="s">
        <v>1538</v>
      </c>
    </row>
    <row r="232" spans="1:5">
      <c r="A232" t="s">
        <v>1534</v>
      </c>
      <c r="B232" t="s">
        <v>896</v>
      </c>
      <c r="C232" t="s">
        <v>1539</v>
      </c>
      <c r="D232">
        <v>614883</v>
      </c>
      <c r="E232" t="s">
        <v>340</v>
      </c>
    </row>
    <row r="233" spans="1:5">
      <c r="A233" t="s">
        <v>1534</v>
      </c>
      <c r="B233" t="s">
        <v>896</v>
      </c>
      <c r="C233" t="s">
        <v>1540</v>
      </c>
      <c r="D233">
        <v>5221</v>
      </c>
      <c r="E233" t="s">
        <v>312</v>
      </c>
    </row>
    <row r="234" spans="1:5">
      <c r="A234" t="s">
        <v>1534</v>
      </c>
      <c r="B234" t="s">
        <v>896</v>
      </c>
      <c r="C234" t="s">
        <v>1541</v>
      </c>
      <c r="D234">
        <v>689981</v>
      </c>
      <c r="E234" t="s">
        <v>666</v>
      </c>
    </row>
    <row r="235" spans="1:5">
      <c r="A235" t="s">
        <v>1534</v>
      </c>
      <c r="B235" t="s">
        <v>896</v>
      </c>
      <c r="C235" t="s">
        <v>1542</v>
      </c>
      <c r="D235">
        <v>871573</v>
      </c>
      <c r="E235" t="s">
        <v>1463</v>
      </c>
    </row>
    <row r="236" spans="1:5">
      <c r="A236" t="s">
        <v>1534</v>
      </c>
      <c r="B236" t="s">
        <v>896</v>
      </c>
      <c r="C236" t="s">
        <v>1543</v>
      </c>
      <c r="D236">
        <v>466400</v>
      </c>
      <c r="E236" t="s">
        <v>304</v>
      </c>
    </row>
    <row r="237" spans="1:5">
      <c r="A237" t="s">
        <v>1534</v>
      </c>
      <c r="B237" t="s">
        <v>896</v>
      </c>
      <c r="C237" t="s">
        <v>1544</v>
      </c>
      <c r="D237">
        <v>495533</v>
      </c>
      <c r="E237" t="s">
        <v>147</v>
      </c>
    </row>
    <row r="238" spans="1:5">
      <c r="A238" t="s">
        <v>1534</v>
      </c>
      <c r="B238" t="s">
        <v>896</v>
      </c>
      <c r="C238" t="s">
        <v>1545</v>
      </c>
      <c r="D238">
        <v>689981</v>
      </c>
      <c r="E238" t="s">
        <v>666</v>
      </c>
    </row>
    <row r="239" spans="1:5">
      <c r="A239" t="s">
        <v>1534</v>
      </c>
      <c r="B239" t="s">
        <v>896</v>
      </c>
      <c r="C239" t="s">
        <v>1546</v>
      </c>
      <c r="D239">
        <v>778500</v>
      </c>
      <c r="E239" t="s">
        <v>345</v>
      </c>
    </row>
    <row r="240" spans="1:5">
      <c r="A240" t="s">
        <v>1534</v>
      </c>
      <c r="B240" t="s">
        <v>896</v>
      </c>
      <c r="C240" t="s">
        <v>1547</v>
      </c>
      <c r="D240">
        <v>778500</v>
      </c>
      <c r="E240" t="s">
        <v>345</v>
      </c>
    </row>
    <row r="241" spans="1:5">
      <c r="A241" t="s">
        <v>1534</v>
      </c>
      <c r="B241" t="s">
        <v>896</v>
      </c>
      <c r="C241" t="s">
        <v>1548</v>
      </c>
      <c r="D241">
        <v>689981</v>
      </c>
      <c r="E241" t="s">
        <v>666</v>
      </c>
    </row>
    <row r="242" spans="1:5">
      <c r="A242" t="s">
        <v>1534</v>
      </c>
      <c r="B242" t="s">
        <v>896</v>
      </c>
      <c r="C242" t="s">
        <v>1549</v>
      </c>
      <c r="D242">
        <v>244036</v>
      </c>
      <c r="E242" t="s">
        <v>363</v>
      </c>
    </row>
    <row r="243" spans="1:5">
      <c r="A243" t="s">
        <v>1534</v>
      </c>
      <c r="B243" t="s">
        <v>896</v>
      </c>
      <c r="C243" t="s">
        <v>1550</v>
      </c>
      <c r="D243">
        <v>366558</v>
      </c>
      <c r="E243" t="s">
        <v>502</v>
      </c>
    </row>
    <row r="244" spans="1:5">
      <c r="A244" t="s">
        <v>1534</v>
      </c>
      <c r="B244" t="s">
        <v>896</v>
      </c>
      <c r="C244" t="s">
        <v>1551</v>
      </c>
      <c r="D244">
        <v>466400</v>
      </c>
      <c r="E244" t="s">
        <v>304</v>
      </c>
    </row>
    <row r="245" spans="1:5">
      <c r="A245" t="s">
        <v>1534</v>
      </c>
      <c r="B245" t="s">
        <v>896</v>
      </c>
      <c r="C245" t="s">
        <v>1552</v>
      </c>
      <c r="D245">
        <v>778500</v>
      </c>
      <c r="E245" t="s">
        <v>345</v>
      </c>
    </row>
    <row r="246" spans="1:5">
      <c r="A246" t="s">
        <v>1534</v>
      </c>
      <c r="B246" t="s">
        <v>896</v>
      </c>
      <c r="C246" t="s">
        <v>1553</v>
      </c>
      <c r="D246">
        <v>910139</v>
      </c>
      <c r="E246" t="s">
        <v>215</v>
      </c>
    </row>
    <row r="247" spans="1:5">
      <c r="A247" t="s">
        <v>1534</v>
      </c>
      <c r="B247" t="s">
        <v>896</v>
      </c>
      <c r="C247" t="s">
        <v>1554</v>
      </c>
      <c r="D247">
        <v>778500</v>
      </c>
      <c r="E247" t="s">
        <v>345</v>
      </c>
    </row>
    <row r="248" spans="1:5">
      <c r="A248" t="s">
        <v>1534</v>
      </c>
      <c r="B248" t="s">
        <v>896</v>
      </c>
      <c r="C248" t="s">
        <v>1555</v>
      </c>
      <c r="D248">
        <v>202505</v>
      </c>
      <c r="E248" t="s">
        <v>686</v>
      </c>
    </row>
    <row r="249" spans="1:5">
      <c r="A249" t="s">
        <v>1534</v>
      </c>
      <c r="B249" t="s">
        <v>896</v>
      </c>
      <c r="C249" t="s">
        <v>1556</v>
      </c>
      <c r="D249">
        <v>871573</v>
      </c>
      <c r="E249" t="s">
        <v>1463</v>
      </c>
    </row>
    <row r="250" spans="1:5">
      <c r="A250" t="s">
        <v>1534</v>
      </c>
      <c r="B250" t="s">
        <v>896</v>
      </c>
      <c r="C250" t="s">
        <v>1557</v>
      </c>
      <c r="D250">
        <v>83613</v>
      </c>
      <c r="E250" t="s">
        <v>290</v>
      </c>
    </row>
    <row r="251" spans="1:5">
      <c r="A251" t="s">
        <v>1534</v>
      </c>
      <c r="B251" t="s">
        <v>896</v>
      </c>
      <c r="C251" t="s">
        <v>1558</v>
      </c>
      <c r="D251">
        <v>538904</v>
      </c>
      <c r="E251" t="s">
        <v>1538</v>
      </c>
    </row>
    <row r="252" spans="1:5">
      <c r="A252" t="s">
        <v>1559</v>
      </c>
      <c r="B252" t="s">
        <v>896</v>
      </c>
      <c r="C252" t="s">
        <v>1560</v>
      </c>
      <c r="D252">
        <v>623934</v>
      </c>
      <c r="E252" t="s">
        <v>364</v>
      </c>
    </row>
    <row r="253" spans="1:5">
      <c r="A253" t="s">
        <v>1559</v>
      </c>
      <c r="B253" t="s">
        <v>896</v>
      </c>
      <c r="C253" t="s">
        <v>1561</v>
      </c>
      <c r="D253">
        <v>868469</v>
      </c>
      <c r="E253" t="s">
        <v>1562</v>
      </c>
    </row>
    <row r="254" spans="1:5">
      <c r="A254" t="s">
        <v>1559</v>
      </c>
      <c r="B254" t="s">
        <v>896</v>
      </c>
      <c r="C254" t="s">
        <v>1563</v>
      </c>
      <c r="D254">
        <v>297914</v>
      </c>
      <c r="E254" t="s">
        <v>221</v>
      </c>
    </row>
    <row r="255" spans="1:5">
      <c r="A255" t="s">
        <v>1559</v>
      </c>
      <c r="B255" t="s">
        <v>896</v>
      </c>
      <c r="C255" t="s">
        <v>1564</v>
      </c>
      <c r="D255">
        <v>590029</v>
      </c>
      <c r="E255" t="s">
        <v>157</v>
      </c>
    </row>
    <row r="256" spans="1:5">
      <c r="A256" t="s">
        <v>1559</v>
      </c>
      <c r="B256" t="s">
        <v>896</v>
      </c>
      <c r="C256" t="s">
        <v>1565</v>
      </c>
      <c r="D256">
        <v>623934</v>
      </c>
      <c r="E256" t="s">
        <v>364</v>
      </c>
    </row>
    <row r="257" spans="1:5">
      <c r="A257" t="s">
        <v>1566</v>
      </c>
      <c r="B257" t="s">
        <v>896</v>
      </c>
      <c r="C257" t="s">
        <v>1567</v>
      </c>
      <c r="D257">
        <v>524315</v>
      </c>
      <c r="E257" t="s">
        <v>568</v>
      </c>
    </row>
    <row r="258" spans="1:5">
      <c r="A258" t="s">
        <v>1566</v>
      </c>
      <c r="B258" t="s">
        <v>896</v>
      </c>
      <c r="C258" t="s">
        <v>1568</v>
      </c>
      <c r="D258">
        <v>934158</v>
      </c>
      <c r="E258" t="s">
        <v>484</v>
      </c>
    </row>
    <row r="259" spans="1:5">
      <c r="A259" t="s">
        <v>1566</v>
      </c>
      <c r="B259" t="s">
        <v>896</v>
      </c>
      <c r="C259" t="s">
        <v>1569</v>
      </c>
      <c r="D259">
        <v>934158</v>
      </c>
      <c r="E259" t="s">
        <v>484</v>
      </c>
    </row>
    <row r="260" spans="1:5">
      <c r="A260" t="s">
        <v>1566</v>
      </c>
      <c r="B260" t="s">
        <v>896</v>
      </c>
      <c r="C260" t="s">
        <v>1570</v>
      </c>
      <c r="D260">
        <v>635305</v>
      </c>
      <c r="E260" t="s">
        <v>504</v>
      </c>
    </row>
    <row r="261" spans="1:5">
      <c r="A261" t="s">
        <v>1566</v>
      </c>
      <c r="B261" t="s">
        <v>896</v>
      </c>
      <c r="C261" t="s">
        <v>1571</v>
      </c>
      <c r="D261">
        <v>635305</v>
      </c>
      <c r="E261" t="s">
        <v>504</v>
      </c>
    </row>
    <row r="262" spans="1:5">
      <c r="A262" t="s">
        <v>1572</v>
      </c>
      <c r="B262" t="s">
        <v>896</v>
      </c>
      <c r="C262" t="s">
        <v>1374</v>
      </c>
      <c r="D262">
        <v>794490</v>
      </c>
      <c r="E262" t="s">
        <v>129</v>
      </c>
    </row>
    <row r="263" spans="1:5">
      <c r="A263" t="s">
        <v>1572</v>
      </c>
      <c r="B263" t="s">
        <v>896</v>
      </c>
      <c r="C263" t="s">
        <v>1467</v>
      </c>
      <c r="D263">
        <v>441735</v>
      </c>
      <c r="E263" t="s">
        <v>496</v>
      </c>
    </row>
    <row r="264" spans="1:5">
      <c r="A264" t="s">
        <v>1572</v>
      </c>
      <c r="B264" t="s">
        <v>896</v>
      </c>
      <c r="C264" t="s">
        <v>1054</v>
      </c>
      <c r="D264">
        <v>128554</v>
      </c>
      <c r="E264" t="s">
        <v>709</v>
      </c>
    </row>
    <row r="265" spans="1:5">
      <c r="A265" t="s">
        <v>1572</v>
      </c>
      <c r="B265" t="s">
        <v>896</v>
      </c>
      <c r="C265" t="s">
        <v>1573</v>
      </c>
      <c r="D265">
        <v>162003</v>
      </c>
      <c r="E265" t="s">
        <v>797</v>
      </c>
    </row>
    <row r="266" spans="1:5">
      <c r="A266" t="s">
        <v>1572</v>
      </c>
      <c r="B266" t="s">
        <v>896</v>
      </c>
      <c r="C266" t="s">
        <v>1468</v>
      </c>
      <c r="D266">
        <v>794490</v>
      </c>
      <c r="E266" t="s">
        <v>129</v>
      </c>
    </row>
    <row r="267" spans="1:5">
      <c r="A267" t="s">
        <v>1572</v>
      </c>
      <c r="B267" t="s">
        <v>896</v>
      </c>
      <c r="C267" t="s">
        <v>1055</v>
      </c>
      <c r="D267">
        <v>578846</v>
      </c>
      <c r="E267" t="s">
        <v>810</v>
      </c>
    </row>
    <row r="268" spans="1:5">
      <c r="A268" t="s">
        <v>1572</v>
      </c>
      <c r="B268" t="s">
        <v>896</v>
      </c>
      <c r="C268" t="s">
        <v>1574</v>
      </c>
      <c r="D268">
        <v>439207</v>
      </c>
      <c r="E268" t="s">
        <v>131</v>
      </c>
    </row>
    <row r="269" spans="1:5">
      <c r="A269" t="s">
        <v>1572</v>
      </c>
      <c r="B269" t="s">
        <v>896</v>
      </c>
      <c r="C269" t="s">
        <v>1469</v>
      </c>
      <c r="D269">
        <v>441735</v>
      </c>
      <c r="E269" t="s">
        <v>496</v>
      </c>
    </row>
    <row r="270" spans="1:5">
      <c r="A270" t="s">
        <v>1572</v>
      </c>
      <c r="B270" t="s">
        <v>896</v>
      </c>
      <c r="C270" t="s">
        <v>1056</v>
      </c>
      <c r="D270">
        <v>378341</v>
      </c>
      <c r="E270" t="s">
        <v>121</v>
      </c>
    </row>
    <row r="271" spans="1:5">
      <c r="A271" t="s">
        <v>1572</v>
      </c>
      <c r="B271" t="s">
        <v>896</v>
      </c>
      <c r="C271" t="s">
        <v>1575</v>
      </c>
      <c r="D271">
        <v>128554</v>
      </c>
      <c r="E271" t="s">
        <v>709</v>
      </c>
    </row>
    <row r="272" spans="1:5">
      <c r="A272" t="s">
        <v>1572</v>
      </c>
      <c r="B272" t="s">
        <v>896</v>
      </c>
      <c r="C272" t="s">
        <v>1470</v>
      </c>
      <c r="D272">
        <v>557897</v>
      </c>
      <c r="E272" t="s">
        <v>18</v>
      </c>
    </row>
    <row r="273" spans="1:5">
      <c r="A273" t="s">
        <v>1572</v>
      </c>
      <c r="B273" t="s">
        <v>896</v>
      </c>
      <c r="C273" t="s">
        <v>1057</v>
      </c>
      <c r="D273">
        <v>794490</v>
      </c>
      <c r="E273" t="s">
        <v>129</v>
      </c>
    </row>
    <row r="274" spans="1:5">
      <c r="A274" t="s">
        <v>1572</v>
      </c>
      <c r="B274" t="s">
        <v>896</v>
      </c>
      <c r="C274" t="s">
        <v>1576</v>
      </c>
      <c r="D274">
        <v>828379</v>
      </c>
      <c r="E274" t="s">
        <v>287</v>
      </c>
    </row>
    <row r="275" spans="1:5">
      <c r="A275" t="s">
        <v>1572</v>
      </c>
      <c r="B275" t="s">
        <v>896</v>
      </c>
      <c r="C275" t="s">
        <v>1058</v>
      </c>
      <c r="D275">
        <v>557897</v>
      </c>
      <c r="E275" t="s">
        <v>18</v>
      </c>
    </row>
    <row r="276" spans="1:5">
      <c r="A276" t="s">
        <v>1572</v>
      </c>
      <c r="B276" t="s">
        <v>896</v>
      </c>
      <c r="C276" t="s">
        <v>1059</v>
      </c>
      <c r="D276">
        <v>755301</v>
      </c>
      <c r="E276" t="s">
        <v>192</v>
      </c>
    </row>
    <row r="277" spans="1:5">
      <c r="A277" t="s">
        <v>1572</v>
      </c>
      <c r="B277" t="s">
        <v>896</v>
      </c>
      <c r="C277" t="s">
        <v>1577</v>
      </c>
      <c r="D277">
        <v>441735</v>
      </c>
      <c r="E277" t="s">
        <v>496</v>
      </c>
    </row>
    <row r="278" spans="1:5">
      <c r="A278" t="s">
        <v>1572</v>
      </c>
      <c r="B278" t="s">
        <v>896</v>
      </c>
      <c r="C278" t="s">
        <v>1471</v>
      </c>
      <c r="D278">
        <v>378341</v>
      </c>
      <c r="E278" t="s">
        <v>121</v>
      </c>
    </row>
    <row r="279" spans="1:5">
      <c r="A279" t="s">
        <v>1572</v>
      </c>
      <c r="B279" t="s">
        <v>896</v>
      </c>
      <c r="C279" t="s">
        <v>1060</v>
      </c>
      <c r="D279">
        <v>378341</v>
      </c>
      <c r="E279" t="s">
        <v>121</v>
      </c>
    </row>
    <row r="280" spans="1:5">
      <c r="A280" t="s">
        <v>1572</v>
      </c>
      <c r="B280" t="s">
        <v>896</v>
      </c>
      <c r="C280" t="s">
        <v>1578</v>
      </c>
      <c r="D280">
        <v>378341</v>
      </c>
      <c r="E280" t="s">
        <v>121</v>
      </c>
    </row>
    <row r="281" spans="1:5">
      <c r="A281" t="s">
        <v>1572</v>
      </c>
      <c r="B281" t="s">
        <v>896</v>
      </c>
      <c r="C281" t="s">
        <v>1472</v>
      </c>
      <c r="D281">
        <v>429425</v>
      </c>
      <c r="E281" t="s">
        <v>694</v>
      </c>
    </row>
    <row r="282" spans="1:5">
      <c r="A282" t="s">
        <v>1572</v>
      </c>
      <c r="B282" t="s">
        <v>896</v>
      </c>
      <c r="C282" t="s">
        <v>1061</v>
      </c>
      <c r="D282">
        <v>557897</v>
      </c>
      <c r="E282" t="s">
        <v>18</v>
      </c>
    </row>
    <row r="283" spans="1:5">
      <c r="A283" t="s">
        <v>1572</v>
      </c>
      <c r="B283" t="s">
        <v>896</v>
      </c>
      <c r="C283" t="s">
        <v>1579</v>
      </c>
      <c r="D283">
        <v>128554</v>
      </c>
      <c r="E283" t="s">
        <v>709</v>
      </c>
    </row>
    <row r="284" spans="1:5">
      <c r="A284" t="s">
        <v>1572</v>
      </c>
      <c r="B284" t="s">
        <v>896</v>
      </c>
      <c r="C284" t="s">
        <v>1473</v>
      </c>
      <c r="D284">
        <v>162003</v>
      </c>
      <c r="E284" t="s">
        <v>797</v>
      </c>
    </row>
    <row r="285" spans="1:5">
      <c r="A285" t="s">
        <v>1572</v>
      </c>
      <c r="B285" t="s">
        <v>896</v>
      </c>
      <c r="C285" t="s">
        <v>1062</v>
      </c>
      <c r="D285">
        <v>557897</v>
      </c>
      <c r="E285" t="s">
        <v>18</v>
      </c>
    </row>
    <row r="286" spans="1:5">
      <c r="A286" t="s">
        <v>1572</v>
      </c>
      <c r="B286" t="s">
        <v>896</v>
      </c>
      <c r="C286" t="s">
        <v>1580</v>
      </c>
      <c r="D286">
        <v>578846</v>
      </c>
      <c r="E286" t="s">
        <v>810</v>
      </c>
    </row>
    <row r="287" spans="1:5">
      <c r="A287" t="s">
        <v>1581</v>
      </c>
      <c r="B287" t="s">
        <v>896</v>
      </c>
      <c r="C287" t="s">
        <v>1582</v>
      </c>
      <c r="D287">
        <v>455417</v>
      </c>
      <c r="E287" t="s">
        <v>324</v>
      </c>
    </row>
    <row r="288" spans="1:5">
      <c r="A288" t="s">
        <v>1581</v>
      </c>
      <c r="B288" t="s">
        <v>896</v>
      </c>
      <c r="C288" t="s">
        <v>1583</v>
      </c>
      <c r="D288">
        <v>455417</v>
      </c>
      <c r="E288" t="s">
        <v>324</v>
      </c>
    </row>
    <row r="289" spans="1:5">
      <c r="A289" t="s">
        <v>1581</v>
      </c>
      <c r="B289" t="s">
        <v>896</v>
      </c>
      <c r="C289" t="s">
        <v>1584</v>
      </c>
      <c r="D289">
        <v>22091</v>
      </c>
      <c r="E289" t="s">
        <v>55</v>
      </c>
    </row>
    <row r="290" spans="1:5">
      <c r="A290" t="s">
        <v>1581</v>
      </c>
      <c r="B290" t="s">
        <v>896</v>
      </c>
      <c r="C290" t="s">
        <v>1403</v>
      </c>
      <c r="D290">
        <v>455417</v>
      </c>
      <c r="E290" t="s">
        <v>324</v>
      </c>
    </row>
    <row r="291" spans="1:5">
      <c r="A291" t="s">
        <v>1585</v>
      </c>
      <c r="B291" t="s">
        <v>896</v>
      </c>
      <c r="C291" t="s">
        <v>1586</v>
      </c>
      <c r="D291">
        <v>629424</v>
      </c>
      <c r="E291" t="s">
        <v>51</v>
      </c>
    </row>
    <row r="292" spans="1:5">
      <c r="A292" t="s">
        <v>1585</v>
      </c>
      <c r="B292" t="s">
        <v>896</v>
      </c>
      <c r="C292" t="s">
        <v>1586</v>
      </c>
      <c r="D292">
        <v>765474</v>
      </c>
      <c r="E292" t="s">
        <v>48</v>
      </c>
    </row>
    <row r="293" spans="1:5">
      <c r="A293" t="s">
        <v>1585</v>
      </c>
      <c r="B293" t="s">
        <v>896</v>
      </c>
      <c r="C293" t="s">
        <v>1587</v>
      </c>
      <c r="D293">
        <v>35574</v>
      </c>
      <c r="E293" t="s">
        <v>108</v>
      </c>
    </row>
    <row r="294" spans="1:5">
      <c r="A294" t="s">
        <v>1585</v>
      </c>
      <c r="B294" t="s">
        <v>896</v>
      </c>
      <c r="C294" t="s">
        <v>1588</v>
      </c>
      <c r="D294">
        <v>237426</v>
      </c>
      <c r="E294" t="s">
        <v>708</v>
      </c>
    </row>
    <row r="295" spans="1:5">
      <c r="A295" t="s">
        <v>1585</v>
      </c>
      <c r="B295" t="s">
        <v>896</v>
      </c>
      <c r="C295" t="s">
        <v>1589</v>
      </c>
      <c r="D295">
        <v>11467</v>
      </c>
      <c r="E295" t="s">
        <v>756</v>
      </c>
    </row>
    <row r="296" spans="1:5">
      <c r="A296" t="s">
        <v>1585</v>
      </c>
      <c r="B296" t="s">
        <v>896</v>
      </c>
      <c r="C296" t="s">
        <v>1590</v>
      </c>
      <c r="D296">
        <v>629424</v>
      </c>
      <c r="E296" t="s">
        <v>51</v>
      </c>
    </row>
    <row r="297" spans="1:5">
      <c r="A297" t="s">
        <v>1585</v>
      </c>
      <c r="B297" t="s">
        <v>896</v>
      </c>
      <c r="C297" t="s">
        <v>1590</v>
      </c>
      <c r="D297">
        <v>944892</v>
      </c>
      <c r="E297" t="s">
        <v>948</v>
      </c>
    </row>
    <row r="298" spans="1:5">
      <c r="A298" t="s">
        <v>1585</v>
      </c>
      <c r="B298" t="s">
        <v>896</v>
      </c>
      <c r="C298" t="s">
        <v>1591</v>
      </c>
      <c r="D298">
        <v>725703</v>
      </c>
      <c r="E298" t="s">
        <v>427</v>
      </c>
    </row>
    <row r="299" spans="1:5">
      <c r="A299" t="s">
        <v>1585</v>
      </c>
      <c r="B299" t="s">
        <v>896</v>
      </c>
      <c r="C299" t="s">
        <v>1592</v>
      </c>
      <c r="D299">
        <v>237426</v>
      </c>
      <c r="E299" t="s">
        <v>708</v>
      </c>
    </row>
    <row r="300" spans="1:5">
      <c r="A300" t="s">
        <v>1593</v>
      </c>
      <c r="B300" t="s">
        <v>896</v>
      </c>
      <c r="C300" t="s">
        <v>1594</v>
      </c>
      <c r="D300">
        <v>755301</v>
      </c>
      <c r="E300" t="s">
        <v>192</v>
      </c>
    </row>
    <row r="301" spans="1:5">
      <c r="A301" t="s">
        <v>1593</v>
      </c>
      <c r="B301" t="s">
        <v>896</v>
      </c>
      <c r="C301" t="s">
        <v>1595</v>
      </c>
      <c r="D301">
        <v>378341</v>
      </c>
      <c r="E301" t="s">
        <v>121</v>
      </c>
    </row>
    <row r="302" spans="1:5">
      <c r="A302" t="s">
        <v>1593</v>
      </c>
      <c r="B302" t="s">
        <v>896</v>
      </c>
      <c r="C302" t="s">
        <v>1596</v>
      </c>
      <c r="D302">
        <v>476617</v>
      </c>
      <c r="E302" t="s">
        <v>493</v>
      </c>
    </row>
    <row r="303" spans="1:5">
      <c r="A303" t="s">
        <v>1593</v>
      </c>
      <c r="B303" t="s">
        <v>896</v>
      </c>
      <c r="C303" t="s">
        <v>1597</v>
      </c>
      <c r="D303">
        <v>829843</v>
      </c>
      <c r="E303" t="s">
        <v>792</v>
      </c>
    </row>
    <row r="304" spans="1:5">
      <c r="A304" t="s">
        <v>1593</v>
      </c>
      <c r="B304" t="s">
        <v>896</v>
      </c>
      <c r="C304" t="s">
        <v>1598</v>
      </c>
      <c r="D304">
        <v>894556</v>
      </c>
      <c r="E304" t="s">
        <v>226</v>
      </c>
    </row>
    <row r="305" spans="1:5">
      <c r="A305" t="s">
        <v>1593</v>
      </c>
      <c r="B305" t="s">
        <v>896</v>
      </c>
      <c r="C305" t="s">
        <v>1599</v>
      </c>
      <c r="D305">
        <v>196573</v>
      </c>
      <c r="E305" t="s">
        <v>244</v>
      </c>
    </row>
    <row r="306" spans="1:5">
      <c r="A306" t="s">
        <v>1593</v>
      </c>
      <c r="B306" t="s">
        <v>896</v>
      </c>
      <c r="C306" t="s">
        <v>1600</v>
      </c>
      <c r="D306">
        <v>815694</v>
      </c>
      <c r="E306" t="s">
        <v>718</v>
      </c>
    </row>
    <row r="307" spans="1:5">
      <c r="A307" t="s">
        <v>1593</v>
      </c>
      <c r="B307" t="s">
        <v>896</v>
      </c>
      <c r="C307" t="s">
        <v>1601</v>
      </c>
      <c r="D307">
        <v>755301</v>
      </c>
      <c r="E307" t="s">
        <v>192</v>
      </c>
    </row>
    <row r="308" spans="1:5">
      <c r="A308" t="s">
        <v>1593</v>
      </c>
      <c r="B308" t="s">
        <v>896</v>
      </c>
      <c r="C308" t="s">
        <v>1602</v>
      </c>
      <c r="D308">
        <v>829843</v>
      </c>
      <c r="E308" t="s">
        <v>792</v>
      </c>
    </row>
    <row r="309" spans="1:5">
      <c r="A309" t="s">
        <v>1593</v>
      </c>
      <c r="B309" t="s">
        <v>896</v>
      </c>
      <c r="C309" t="s">
        <v>1603</v>
      </c>
      <c r="D309">
        <v>943909</v>
      </c>
      <c r="E309" t="s">
        <v>674</v>
      </c>
    </row>
    <row r="310" spans="1:5">
      <c r="A310" t="s">
        <v>1593</v>
      </c>
      <c r="B310" t="s">
        <v>896</v>
      </c>
      <c r="C310" t="s">
        <v>1604</v>
      </c>
      <c r="D310">
        <v>923674</v>
      </c>
      <c r="E310" t="s">
        <v>663</v>
      </c>
    </row>
    <row r="311" spans="1:5">
      <c r="A311" t="s">
        <v>1593</v>
      </c>
      <c r="B311" t="s">
        <v>896</v>
      </c>
      <c r="C311" t="s">
        <v>1605</v>
      </c>
      <c r="D311">
        <v>621900</v>
      </c>
      <c r="E311" t="s">
        <v>254</v>
      </c>
    </row>
    <row r="312" spans="1:5">
      <c r="A312" t="s">
        <v>1593</v>
      </c>
      <c r="B312" t="s">
        <v>896</v>
      </c>
      <c r="C312" t="s">
        <v>1606</v>
      </c>
      <c r="D312">
        <v>518980</v>
      </c>
      <c r="E312" t="s">
        <v>582</v>
      </c>
    </row>
    <row r="313" spans="1:5">
      <c r="A313" t="s">
        <v>1593</v>
      </c>
      <c r="B313" t="s">
        <v>896</v>
      </c>
      <c r="C313" t="s">
        <v>1607</v>
      </c>
      <c r="D313">
        <v>476617</v>
      </c>
      <c r="E313" t="s">
        <v>493</v>
      </c>
    </row>
    <row r="314" spans="1:5">
      <c r="A314" t="s">
        <v>1593</v>
      </c>
      <c r="B314" t="s">
        <v>896</v>
      </c>
      <c r="C314" t="s">
        <v>1608</v>
      </c>
      <c r="D314">
        <v>170071</v>
      </c>
      <c r="E314" t="s">
        <v>468</v>
      </c>
    </row>
    <row r="315" spans="1:5">
      <c r="A315" t="s">
        <v>1593</v>
      </c>
      <c r="B315" t="s">
        <v>896</v>
      </c>
      <c r="C315" t="s">
        <v>1609</v>
      </c>
      <c r="D315">
        <v>438689</v>
      </c>
      <c r="E315" t="s">
        <v>36</v>
      </c>
    </row>
    <row r="316" spans="1:5">
      <c r="A316" t="s">
        <v>1593</v>
      </c>
      <c r="B316" t="s">
        <v>896</v>
      </c>
      <c r="C316" t="s">
        <v>1610</v>
      </c>
      <c r="D316">
        <v>541315</v>
      </c>
      <c r="E316" t="s">
        <v>374</v>
      </c>
    </row>
    <row r="317" spans="1:5">
      <c r="A317" t="s">
        <v>1593</v>
      </c>
      <c r="B317" t="s">
        <v>896</v>
      </c>
      <c r="C317" t="s">
        <v>1611</v>
      </c>
      <c r="D317">
        <v>476617</v>
      </c>
      <c r="E317" t="s">
        <v>493</v>
      </c>
    </row>
    <row r="318" spans="1:5">
      <c r="A318" t="s">
        <v>1593</v>
      </c>
      <c r="B318" t="s">
        <v>896</v>
      </c>
      <c r="C318" t="s">
        <v>1612</v>
      </c>
      <c r="D318">
        <v>372832</v>
      </c>
      <c r="E318" t="s">
        <v>326</v>
      </c>
    </row>
    <row r="319" spans="1:5">
      <c r="A319" t="s">
        <v>1593</v>
      </c>
      <c r="B319" t="s">
        <v>896</v>
      </c>
      <c r="C319" t="s">
        <v>1613</v>
      </c>
      <c r="D319">
        <v>518980</v>
      </c>
      <c r="E319" t="s">
        <v>582</v>
      </c>
    </row>
    <row r="320" spans="1:5">
      <c r="A320" t="s">
        <v>1593</v>
      </c>
      <c r="B320" t="s">
        <v>896</v>
      </c>
      <c r="C320" t="s">
        <v>1614</v>
      </c>
      <c r="D320">
        <v>438689</v>
      </c>
      <c r="E320" t="s">
        <v>36</v>
      </c>
    </row>
    <row r="321" spans="1:5">
      <c r="A321" t="s">
        <v>1593</v>
      </c>
      <c r="B321" t="s">
        <v>896</v>
      </c>
      <c r="C321" t="s">
        <v>1615</v>
      </c>
      <c r="D321">
        <v>170071</v>
      </c>
      <c r="E321" t="s">
        <v>468</v>
      </c>
    </row>
    <row r="322" spans="1:5">
      <c r="A322" t="s">
        <v>1593</v>
      </c>
      <c r="B322" t="s">
        <v>896</v>
      </c>
      <c r="C322" t="s">
        <v>1616</v>
      </c>
      <c r="D322">
        <v>755301</v>
      </c>
      <c r="E322" t="s">
        <v>192</v>
      </c>
    </row>
    <row r="323" spans="1:5">
      <c r="A323" t="s">
        <v>1593</v>
      </c>
      <c r="B323" t="s">
        <v>896</v>
      </c>
      <c r="C323" t="s">
        <v>1617</v>
      </c>
      <c r="D323">
        <v>438689</v>
      </c>
      <c r="E323" t="s">
        <v>36</v>
      </c>
    </row>
    <row r="324" spans="1:5">
      <c r="A324" t="s">
        <v>1593</v>
      </c>
      <c r="B324" t="s">
        <v>896</v>
      </c>
      <c r="C324" t="s">
        <v>1618</v>
      </c>
      <c r="D324">
        <v>518980</v>
      </c>
      <c r="E324" t="s">
        <v>582</v>
      </c>
    </row>
    <row r="325" spans="1:5">
      <c r="A325" t="s">
        <v>1593</v>
      </c>
      <c r="B325" t="s">
        <v>896</v>
      </c>
      <c r="C325" t="s">
        <v>1619</v>
      </c>
      <c r="D325">
        <v>150669</v>
      </c>
      <c r="E325" t="s">
        <v>789</v>
      </c>
    </row>
    <row r="326" spans="1:5">
      <c r="A326" t="s">
        <v>1593</v>
      </c>
      <c r="B326" t="s">
        <v>896</v>
      </c>
      <c r="C326" t="s">
        <v>1620</v>
      </c>
      <c r="D326">
        <v>196573</v>
      </c>
      <c r="E326" t="s">
        <v>244</v>
      </c>
    </row>
    <row r="327" spans="1:5">
      <c r="A327" t="s">
        <v>1621</v>
      </c>
      <c r="B327" t="s">
        <v>896</v>
      </c>
      <c r="C327" t="s">
        <v>1374</v>
      </c>
      <c r="D327">
        <v>629424</v>
      </c>
      <c r="E327" t="s">
        <v>51</v>
      </c>
    </row>
    <row r="328" spans="1:5">
      <c r="A328" t="s">
        <v>1621</v>
      </c>
      <c r="B328" t="s">
        <v>896</v>
      </c>
      <c r="C328" t="s">
        <v>1622</v>
      </c>
      <c r="D328">
        <v>302687</v>
      </c>
      <c r="E328" t="s">
        <v>560</v>
      </c>
    </row>
    <row r="329" spans="1:5">
      <c r="A329" t="s">
        <v>1621</v>
      </c>
      <c r="B329" t="s">
        <v>896</v>
      </c>
      <c r="C329" t="s">
        <v>1623</v>
      </c>
      <c r="D329">
        <v>584608</v>
      </c>
      <c r="E329" t="s">
        <v>98</v>
      </c>
    </row>
    <row r="330" spans="1:5">
      <c r="A330" t="s">
        <v>1621</v>
      </c>
      <c r="B330" t="s">
        <v>896</v>
      </c>
      <c r="C330" t="s">
        <v>1467</v>
      </c>
      <c r="D330">
        <v>494196</v>
      </c>
      <c r="E330" t="s">
        <v>463</v>
      </c>
    </row>
    <row r="331" spans="1:5">
      <c r="A331" t="s">
        <v>1621</v>
      </c>
      <c r="B331" t="s">
        <v>896</v>
      </c>
      <c r="C331" t="s">
        <v>1054</v>
      </c>
      <c r="D331">
        <v>568489</v>
      </c>
      <c r="E331" t="s">
        <v>526</v>
      </c>
    </row>
    <row r="332" spans="1:5">
      <c r="A332" t="s">
        <v>1621</v>
      </c>
      <c r="B332" t="s">
        <v>896</v>
      </c>
      <c r="C332" t="s">
        <v>1573</v>
      </c>
      <c r="D332">
        <v>216555</v>
      </c>
      <c r="E332" t="s">
        <v>8</v>
      </c>
    </row>
    <row r="333" spans="1:5">
      <c r="A333" t="s">
        <v>1621</v>
      </c>
      <c r="B333" t="s">
        <v>896</v>
      </c>
      <c r="C333" t="s">
        <v>1468</v>
      </c>
      <c r="D333">
        <v>778500</v>
      </c>
      <c r="E333" t="s">
        <v>345</v>
      </c>
    </row>
    <row r="334" spans="1:5">
      <c r="A334" t="s">
        <v>1621</v>
      </c>
      <c r="B334" t="s">
        <v>896</v>
      </c>
      <c r="C334" t="s">
        <v>1055</v>
      </c>
      <c r="D334">
        <v>128554</v>
      </c>
      <c r="E334" t="s">
        <v>709</v>
      </c>
    </row>
    <row r="335" spans="1:5">
      <c r="A335" t="s">
        <v>1621</v>
      </c>
      <c r="B335" t="s">
        <v>896</v>
      </c>
      <c r="C335" t="s">
        <v>1624</v>
      </c>
      <c r="D335">
        <v>302687</v>
      </c>
      <c r="E335" t="s">
        <v>560</v>
      </c>
    </row>
    <row r="336" spans="1:5">
      <c r="A336" t="s">
        <v>1621</v>
      </c>
      <c r="B336" t="s">
        <v>896</v>
      </c>
      <c r="C336" t="s">
        <v>1625</v>
      </c>
      <c r="D336">
        <v>584608</v>
      </c>
      <c r="E336" t="s">
        <v>98</v>
      </c>
    </row>
    <row r="337" spans="1:5">
      <c r="A337" t="s">
        <v>1621</v>
      </c>
      <c r="B337" t="s">
        <v>896</v>
      </c>
      <c r="C337" t="s">
        <v>1469</v>
      </c>
      <c r="D337">
        <v>772113</v>
      </c>
      <c r="E337" t="s">
        <v>202</v>
      </c>
    </row>
    <row r="338" spans="1:5">
      <c r="A338" t="s">
        <v>1621</v>
      </c>
      <c r="B338" t="s">
        <v>896</v>
      </c>
      <c r="C338" t="s">
        <v>1056</v>
      </c>
      <c r="D338">
        <v>809076</v>
      </c>
      <c r="E338" t="s">
        <v>813</v>
      </c>
    </row>
    <row r="339" spans="1:5">
      <c r="A339" t="s">
        <v>1621</v>
      </c>
      <c r="B339" t="s">
        <v>896</v>
      </c>
      <c r="C339" t="s">
        <v>1575</v>
      </c>
      <c r="D339">
        <v>729487</v>
      </c>
      <c r="E339" t="s">
        <v>96</v>
      </c>
    </row>
    <row r="340" spans="1:5">
      <c r="A340" t="s">
        <v>1621</v>
      </c>
      <c r="B340" t="s">
        <v>896</v>
      </c>
      <c r="C340" t="s">
        <v>1470</v>
      </c>
      <c r="D340">
        <v>477377</v>
      </c>
      <c r="E340" t="s">
        <v>40</v>
      </c>
    </row>
    <row r="341" spans="1:5">
      <c r="A341" t="s">
        <v>1621</v>
      </c>
      <c r="B341" t="s">
        <v>896</v>
      </c>
      <c r="C341" t="s">
        <v>1057</v>
      </c>
      <c r="D341">
        <v>778500</v>
      </c>
      <c r="E341" t="s">
        <v>345</v>
      </c>
    </row>
    <row r="342" spans="1:5">
      <c r="A342" t="s">
        <v>1621</v>
      </c>
      <c r="B342" t="s">
        <v>896</v>
      </c>
      <c r="C342" t="s">
        <v>1058</v>
      </c>
      <c r="D342">
        <v>778500</v>
      </c>
      <c r="E342" t="s">
        <v>345</v>
      </c>
    </row>
    <row r="343" spans="1:5">
      <c r="A343" t="s">
        <v>1621</v>
      </c>
      <c r="B343" t="s">
        <v>896</v>
      </c>
      <c r="C343" t="s">
        <v>1059</v>
      </c>
      <c r="D343">
        <v>477377</v>
      </c>
      <c r="E343" t="s">
        <v>40</v>
      </c>
    </row>
    <row r="344" spans="1:5">
      <c r="A344" t="s">
        <v>1621</v>
      </c>
      <c r="B344" t="s">
        <v>896</v>
      </c>
      <c r="C344" t="s">
        <v>1577</v>
      </c>
      <c r="D344">
        <v>772113</v>
      </c>
      <c r="E344" t="s">
        <v>202</v>
      </c>
    </row>
    <row r="345" spans="1:5">
      <c r="A345" t="s">
        <v>1621</v>
      </c>
      <c r="B345" t="s">
        <v>896</v>
      </c>
      <c r="C345" t="s">
        <v>1471</v>
      </c>
      <c r="D345">
        <v>496999</v>
      </c>
      <c r="E345" t="s">
        <v>781</v>
      </c>
    </row>
    <row r="346" spans="1:5">
      <c r="A346" t="s">
        <v>1621</v>
      </c>
      <c r="B346" t="s">
        <v>896</v>
      </c>
      <c r="C346" t="s">
        <v>1060</v>
      </c>
      <c r="D346">
        <v>888948</v>
      </c>
      <c r="E346" t="s">
        <v>801</v>
      </c>
    </row>
    <row r="347" spans="1:5">
      <c r="A347" t="s">
        <v>1621</v>
      </c>
      <c r="B347" t="s">
        <v>896</v>
      </c>
      <c r="C347" t="s">
        <v>1626</v>
      </c>
      <c r="D347">
        <v>302687</v>
      </c>
      <c r="E347" t="s">
        <v>560</v>
      </c>
    </row>
    <row r="348" spans="1:5">
      <c r="A348" t="s">
        <v>1621</v>
      </c>
      <c r="B348" t="s">
        <v>896</v>
      </c>
      <c r="C348" t="s">
        <v>1627</v>
      </c>
      <c r="D348">
        <v>632638</v>
      </c>
      <c r="E348" t="s">
        <v>260</v>
      </c>
    </row>
    <row r="349" spans="1:5">
      <c r="A349" t="s">
        <v>1621</v>
      </c>
      <c r="B349" t="s">
        <v>896</v>
      </c>
      <c r="C349" t="s">
        <v>1472</v>
      </c>
      <c r="D349">
        <v>888948</v>
      </c>
      <c r="E349" t="s">
        <v>801</v>
      </c>
    </row>
    <row r="350" spans="1:5">
      <c r="A350" t="s">
        <v>1621</v>
      </c>
      <c r="B350" t="s">
        <v>896</v>
      </c>
      <c r="C350" t="s">
        <v>1061</v>
      </c>
      <c r="D350">
        <v>593512</v>
      </c>
      <c r="E350" t="s">
        <v>120</v>
      </c>
    </row>
    <row r="351" spans="1:5">
      <c r="A351" t="s">
        <v>1621</v>
      </c>
      <c r="B351" t="s">
        <v>896</v>
      </c>
      <c r="C351" t="s">
        <v>1579</v>
      </c>
      <c r="D351">
        <v>514839</v>
      </c>
      <c r="E351" t="s">
        <v>409</v>
      </c>
    </row>
    <row r="352" spans="1:5">
      <c r="A352" t="s">
        <v>1621</v>
      </c>
      <c r="B352" t="s">
        <v>896</v>
      </c>
      <c r="C352" t="s">
        <v>1473</v>
      </c>
      <c r="D352">
        <v>378310</v>
      </c>
      <c r="E352" t="s">
        <v>506</v>
      </c>
    </row>
    <row r="353" spans="1:5">
      <c r="A353" t="s">
        <v>1621</v>
      </c>
      <c r="B353" t="s">
        <v>896</v>
      </c>
      <c r="C353" t="s">
        <v>1062</v>
      </c>
      <c r="D353">
        <v>632638</v>
      </c>
      <c r="E353" t="s">
        <v>260</v>
      </c>
    </row>
    <row r="354" spans="1:5">
      <c r="A354" t="s">
        <v>1621</v>
      </c>
      <c r="B354" t="s">
        <v>896</v>
      </c>
      <c r="C354" t="s">
        <v>1628</v>
      </c>
      <c r="D354">
        <v>302687</v>
      </c>
      <c r="E354" t="s">
        <v>560</v>
      </c>
    </row>
    <row r="355" spans="1:5">
      <c r="A355" t="s">
        <v>1629</v>
      </c>
      <c r="B355" t="s">
        <v>896</v>
      </c>
      <c r="C355" t="s">
        <v>1630</v>
      </c>
      <c r="D355">
        <v>621916</v>
      </c>
      <c r="E355" t="s">
        <v>181</v>
      </c>
    </row>
    <row r="356" spans="1:5">
      <c r="A356" t="s">
        <v>1629</v>
      </c>
      <c r="B356" t="s">
        <v>896</v>
      </c>
      <c r="C356" t="s">
        <v>1631</v>
      </c>
      <c r="D356">
        <v>804908</v>
      </c>
      <c r="E356" t="s">
        <v>601</v>
      </c>
    </row>
    <row r="357" spans="1:5">
      <c r="A357" t="s">
        <v>1629</v>
      </c>
      <c r="B357" t="s">
        <v>896</v>
      </c>
      <c r="C357" t="s">
        <v>1631</v>
      </c>
      <c r="D357">
        <v>960559</v>
      </c>
      <c r="E357" t="s">
        <v>403</v>
      </c>
    </row>
    <row r="358" spans="1:5">
      <c r="A358" t="s">
        <v>1629</v>
      </c>
      <c r="B358" t="s">
        <v>896</v>
      </c>
      <c r="C358" t="s">
        <v>1632</v>
      </c>
      <c r="D358">
        <v>833503</v>
      </c>
      <c r="E358" t="s">
        <v>230</v>
      </c>
    </row>
    <row r="359" spans="1:5">
      <c r="A359" t="s">
        <v>1629</v>
      </c>
      <c r="B359" t="s">
        <v>896</v>
      </c>
      <c r="C359" t="s">
        <v>1633</v>
      </c>
      <c r="D359">
        <v>597830</v>
      </c>
      <c r="E359" t="s">
        <v>134</v>
      </c>
    </row>
    <row r="360" spans="1:5">
      <c r="A360" t="s">
        <v>1629</v>
      </c>
      <c r="B360" t="s">
        <v>896</v>
      </c>
      <c r="C360" t="s">
        <v>1634</v>
      </c>
      <c r="D360">
        <v>967920</v>
      </c>
      <c r="E360" t="s">
        <v>499</v>
      </c>
    </row>
    <row r="361" spans="1:5">
      <c r="A361" t="s">
        <v>1629</v>
      </c>
      <c r="B361" t="s">
        <v>896</v>
      </c>
      <c r="C361" t="s">
        <v>1635</v>
      </c>
      <c r="D361">
        <v>635305</v>
      </c>
      <c r="E361" t="s">
        <v>504</v>
      </c>
    </row>
    <row r="362" spans="1:5">
      <c r="A362" t="s">
        <v>1629</v>
      </c>
      <c r="B362" t="s">
        <v>896</v>
      </c>
      <c r="C362" t="s">
        <v>1636</v>
      </c>
      <c r="D362">
        <v>447184</v>
      </c>
      <c r="E362" t="s">
        <v>153</v>
      </c>
    </row>
    <row r="363" spans="1:5">
      <c r="A363" t="s">
        <v>1629</v>
      </c>
      <c r="B363" t="s">
        <v>896</v>
      </c>
      <c r="C363" t="s">
        <v>1636</v>
      </c>
      <c r="D363">
        <v>413594</v>
      </c>
      <c r="E363" t="s">
        <v>782</v>
      </c>
    </row>
    <row r="364" spans="1:5">
      <c r="A364" t="s">
        <v>1629</v>
      </c>
      <c r="B364" t="s">
        <v>896</v>
      </c>
      <c r="C364" t="s">
        <v>1637</v>
      </c>
      <c r="D364">
        <v>898849</v>
      </c>
      <c r="E364" t="s">
        <v>301</v>
      </c>
    </row>
    <row r="365" spans="1:5">
      <c r="A365" t="s">
        <v>1629</v>
      </c>
      <c r="B365" t="s">
        <v>896</v>
      </c>
      <c r="C365" t="s">
        <v>1638</v>
      </c>
      <c r="D365">
        <v>621916</v>
      </c>
      <c r="E365" t="s">
        <v>181</v>
      </c>
    </row>
    <row r="366" spans="1:5">
      <c r="A366" t="s">
        <v>1629</v>
      </c>
      <c r="B366" t="s">
        <v>896</v>
      </c>
      <c r="C366" t="s">
        <v>1638</v>
      </c>
      <c r="D366">
        <v>562264</v>
      </c>
      <c r="E366" t="s">
        <v>276</v>
      </c>
    </row>
    <row r="367" spans="1:5">
      <c r="A367" t="s">
        <v>1629</v>
      </c>
      <c r="B367" t="s">
        <v>896</v>
      </c>
      <c r="C367" t="s">
        <v>1639</v>
      </c>
      <c r="D367">
        <v>804908</v>
      </c>
      <c r="E367" t="s">
        <v>601</v>
      </c>
    </row>
    <row r="368" spans="1:5">
      <c r="A368" t="s">
        <v>1629</v>
      </c>
      <c r="B368" t="s">
        <v>896</v>
      </c>
      <c r="C368" t="s">
        <v>1639</v>
      </c>
      <c r="D368">
        <v>960559</v>
      </c>
      <c r="E368" t="s">
        <v>403</v>
      </c>
    </row>
    <row r="369" spans="1:5">
      <c r="A369" t="s">
        <v>1629</v>
      </c>
      <c r="B369" t="s">
        <v>896</v>
      </c>
      <c r="C369" t="s">
        <v>1640</v>
      </c>
      <c r="D369">
        <v>724841</v>
      </c>
      <c r="E369" t="s">
        <v>176</v>
      </c>
    </row>
    <row r="370" spans="1:5">
      <c r="A370" t="s">
        <v>1629</v>
      </c>
      <c r="B370" t="s">
        <v>896</v>
      </c>
      <c r="C370" t="s">
        <v>1640</v>
      </c>
      <c r="D370">
        <v>724884</v>
      </c>
      <c r="E370" t="s">
        <v>650</v>
      </c>
    </row>
    <row r="371" spans="1:5">
      <c r="A371" t="s">
        <v>1629</v>
      </c>
      <c r="B371" t="s">
        <v>896</v>
      </c>
      <c r="C371" t="s">
        <v>1641</v>
      </c>
      <c r="D371">
        <v>468423</v>
      </c>
      <c r="E371" t="s">
        <v>393</v>
      </c>
    </row>
    <row r="372" spans="1:5">
      <c r="A372" t="s">
        <v>1629</v>
      </c>
      <c r="B372" t="s">
        <v>896</v>
      </c>
      <c r="C372" t="s">
        <v>1642</v>
      </c>
      <c r="D372">
        <v>366232</v>
      </c>
      <c r="E372" t="s">
        <v>152</v>
      </c>
    </row>
    <row r="373" spans="1:5">
      <c r="A373" t="s">
        <v>1629</v>
      </c>
      <c r="B373" t="s">
        <v>896</v>
      </c>
      <c r="C373" t="s">
        <v>1643</v>
      </c>
      <c r="D373">
        <v>873830</v>
      </c>
      <c r="E373" t="s">
        <v>174</v>
      </c>
    </row>
    <row r="374" spans="1:5">
      <c r="A374" t="s">
        <v>1629</v>
      </c>
      <c r="B374" t="s">
        <v>896</v>
      </c>
      <c r="C374" t="s">
        <v>1643</v>
      </c>
      <c r="D374">
        <v>244036</v>
      </c>
      <c r="E374" t="s">
        <v>363</v>
      </c>
    </row>
    <row r="375" spans="1:5">
      <c r="A375" t="s">
        <v>1629</v>
      </c>
      <c r="B375" t="s">
        <v>896</v>
      </c>
      <c r="C375" t="s">
        <v>1644</v>
      </c>
      <c r="D375">
        <v>967743</v>
      </c>
      <c r="E375" t="s">
        <v>87</v>
      </c>
    </row>
    <row r="376" spans="1:5">
      <c r="A376" t="s">
        <v>1629</v>
      </c>
      <c r="B376" t="s">
        <v>896</v>
      </c>
      <c r="C376" t="s">
        <v>1644</v>
      </c>
      <c r="D376">
        <v>967569</v>
      </c>
      <c r="E376" t="s">
        <v>617</v>
      </c>
    </row>
    <row r="377" spans="1:5">
      <c r="A377" t="s">
        <v>1629</v>
      </c>
      <c r="B377" t="s">
        <v>896</v>
      </c>
      <c r="C377" t="s">
        <v>1645</v>
      </c>
      <c r="D377">
        <v>773189</v>
      </c>
      <c r="E377" t="s">
        <v>618</v>
      </c>
    </row>
    <row r="378" spans="1:5">
      <c r="A378" t="s">
        <v>1629</v>
      </c>
      <c r="B378" t="s">
        <v>896</v>
      </c>
      <c r="C378" t="s">
        <v>1645</v>
      </c>
      <c r="D378">
        <v>563635</v>
      </c>
      <c r="E378" t="s">
        <v>678</v>
      </c>
    </row>
    <row r="379" spans="1:5">
      <c r="A379" t="s">
        <v>1629</v>
      </c>
      <c r="B379" t="s">
        <v>896</v>
      </c>
      <c r="C379" t="s">
        <v>1646</v>
      </c>
      <c r="D379">
        <v>623934</v>
      </c>
      <c r="E379" t="s">
        <v>364</v>
      </c>
    </row>
    <row r="380" spans="1:5">
      <c r="A380" t="s">
        <v>1629</v>
      </c>
      <c r="B380" t="s">
        <v>896</v>
      </c>
      <c r="C380" t="s">
        <v>1647</v>
      </c>
      <c r="D380">
        <v>468423</v>
      </c>
      <c r="E380" t="s">
        <v>393</v>
      </c>
    </row>
    <row r="381" spans="1:5">
      <c r="A381" t="s">
        <v>1629</v>
      </c>
      <c r="B381" t="s">
        <v>896</v>
      </c>
      <c r="C381" t="s">
        <v>1648</v>
      </c>
      <c r="D381">
        <v>693099</v>
      </c>
      <c r="E381" t="s">
        <v>461</v>
      </c>
    </row>
    <row r="382" spans="1:5">
      <c r="A382" t="s">
        <v>1629</v>
      </c>
      <c r="B382" t="s">
        <v>896</v>
      </c>
      <c r="C382" t="s">
        <v>1649</v>
      </c>
      <c r="D382">
        <v>557853</v>
      </c>
      <c r="E382" t="s">
        <v>747</v>
      </c>
    </row>
    <row r="383" spans="1:5">
      <c r="A383" t="s">
        <v>1629</v>
      </c>
      <c r="B383" t="s">
        <v>896</v>
      </c>
      <c r="C383" t="s">
        <v>1650</v>
      </c>
      <c r="D383">
        <v>861261</v>
      </c>
      <c r="E383" t="s">
        <v>252</v>
      </c>
    </row>
    <row r="384" spans="1:5">
      <c r="A384" t="s">
        <v>1629</v>
      </c>
      <c r="B384" t="s">
        <v>896</v>
      </c>
      <c r="C384" t="s">
        <v>1651</v>
      </c>
      <c r="D384">
        <v>571947</v>
      </c>
      <c r="E384" t="s">
        <v>228</v>
      </c>
    </row>
    <row r="385" spans="1:5">
      <c r="A385" t="s">
        <v>1629</v>
      </c>
      <c r="B385" t="s">
        <v>896</v>
      </c>
      <c r="C385" t="s">
        <v>1652</v>
      </c>
      <c r="D385">
        <v>495110</v>
      </c>
      <c r="E385" t="s">
        <v>413</v>
      </c>
    </row>
    <row r="386" spans="1:5">
      <c r="A386" t="s">
        <v>1629</v>
      </c>
      <c r="B386" t="s">
        <v>896</v>
      </c>
      <c r="C386" t="s">
        <v>1653</v>
      </c>
      <c r="D386">
        <v>597830</v>
      </c>
      <c r="E386" t="s">
        <v>134</v>
      </c>
    </row>
    <row r="387" spans="1:5">
      <c r="A387" t="s">
        <v>1629</v>
      </c>
      <c r="B387" t="s">
        <v>896</v>
      </c>
      <c r="C387" t="s">
        <v>1654</v>
      </c>
      <c r="D387">
        <v>661416</v>
      </c>
      <c r="E387" t="s">
        <v>211</v>
      </c>
    </row>
    <row r="388" spans="1:5">
      <c r="A388" t="s">
        <v>1629</v>
      </c>
      <c r="B388" t="s">
        <v>896</v>
      </c>
      <c r="C388" t="s">
        <v>1655</v>
      </c>
      <c r="D388">
        <v>456761</v>
      </c>
      <c r="E388" t="s">
        <v>558</v>
      </c>
    </row>
    <row r="389" spans="1:5">
      <c r="A389" t="s">
        <v>1629</v>
      </c>
      <c r="B389" t="s">
        <v>896</v>
      </c>
      <c r="C389" t="s">
        <v>1656</v>
      </c>
      <c r="D389">
        <v>366232</v>
      </c>
      <c r="E389" t="s">
        <v>152</v>
      </c>
    </row>
    <row r="390" spans="1:5">
      <c r="A390" t="s">
        <v>1629</v>
      </c>
      <c r="B390" t="s">
        <v>896</v>
      </c>
      <c r="C390" t="s">
        <v>1657</v>
      </c>
      <c r="D390">
        <v>468423</v>
      </c>
      <c r="E390" t="s">
        <v>393</v>
      </c>
    </row>
    <row r="391" spans="1:5">
      <c r="A391" t="s">
        <v>1629</v>
      </c>
      <c r="B391" t="s">
        <v>896</v>
      </c>
      <c r="C391" t="s">
        <v>1658</v>
      </c>
      <c r="D391">
        <v>922976</v>
      </c>
      <c r="E391" t="s">
        <v>199</v>
      </c>
    </row>
    <row r="392" spans="1:5">
      <c r="A392" t="s">
        <v>1629</v>
      </c>
      <c r="B392" t="s">
        <v>896</v>
      </c>
      <c r="C392" t="s">
        <v>1659</v>
      </c>
      <c r="D392">
        <v>845124</v>
      </c>
      <c r="E392" t="s">
        <v>474</v>
      </c>
    </row>
    <row r="393" spans="1:5">
      <c r="A393" t="s">
        <v>1660</v>
      </c>
      <c r="B393" t="s">
        <v>896</v>
      </c>
      <c r="C393" t="s">
        <v>1661</v>
      </c>
      <c r="D393">
        <v>726889</v>
      </c>
      <c r="E393" t="s">
        <v>505</v>
      </c>
    </row>
    <row r="394" spans="1:5">
      <c r="A394" t="s">
        <v>1660</v>
      </c>
      <c r="B394" t="s">
        <v>896</v>
      </c>
      <c r="C394" t="s">
        <v>1662</v>
      </c>
      <c r="D394">
        <v>494196</v>
      </c>
      <c r="E394" t="s">
        <v>463</v>
      </c>
    </row>
    <row r="395" spans="1:5">
      <c r="A395" t="s">
        <v>1660</v>
      </c>
      <c r="B395" t="s">
        <v>896</v>
      </c>
      <c r="C395" t="s">
        <v>1447</v>
      </c>
      <c r="D395">
        <v>847686</v>
      </c>
      <c r="E395" t="s">
        <v>343</v>
      </c>
    </row>
    <row r="396" spans="1:5">
      <c r="A396" t="s">
        <v>1660</v>
      </c>
      <c r="B396" t="s">
        <v>896</v>
      </c>
      <c r="C396" t="s">
        <v>1663</v>
      </c>
      <c r="D396">
        <v>262000</v>
      </c>
      <c r="E396" t="s">
        <v>275</v>
      </c>
    </row>
    <row r="397" spans="1:5">
      <c r="A397" t="s">
        <v>1660</v>
      </c>
      <c r="B397" t="s">
        <v>896</v>
      </c>
      <c r="C397" t="s">
        <v>1664</v>
      </c>
      <c r="D397">
        <v>709830</v>
      </c>
      <c r="E397" t="s">
        <v>679</v>
      </c>
    </row>
    <row r="398" spans="1:5">
      <c r="A398" t="s">
        <v>1660</v>
      </c>
      <c r="B398" t="s">
        <v>896</v>
      </c>
      <c r="C398" t="s">
        <v>1665</v>
      </c>
      <c r="D398">
        <v>499114</v>
      </c>
      <c r="E398" t="s">
        <v>555</v>
      </c>
    </row>
    <row r="399" spans="1:5">
      <c r="A399" t="s">
        <v>1660</v>
      </c>
      <c r="B399" t="s">
        <v>896</v>
      </c>
      <c r="C399" t="s">
        <v>1666</v>
      </c>
      <c r="D399">
        <v>641872</v>
      </c>
      <c r="E399" t="s">
        <v>401</v>
      </c>
    </row>
    <row r="400" spans="1:5">
      <c r="A400" t="s">
        <v>1660</v>
      </c>
      <c r="B400" t="s">
        <v>896</v>
      </c>
      <c r="C400" t="s">
        <v>1449</v>
      </c>
      <c r="D400">
        <v>499114</v>
      </c>
      <c r="E400" t="s">
        <v>555</v>
      </c>
    </row>
    <row r="401" spans="1:5">
      <c r="A401" t="s">
        <v>1660</v>
      </c>
      <c r="B401" t="s">
        <v>896</v>
      </c>
      <c r="C401" t="s">
        <v>1667</v>
      </c>
      <c r="D401">
        <v>709830</v>
      </c>
      <c r="E401" t="s">
        <v>679</v>
      </c>
    </row>
    <row r="402" spans="1:5">
      <c r="A402" t="s">
        <v>1660</v>
      </c>
      <c r="B402" t="s">
        <v>896</v>
      </c>
      <c r="C402" t="s">
        <v>1668</v>
      </c>
      <c r="D402">
        <v>604888</v>
      </c>
      <c r="E402" t="s">
        <v>509</v>
      </c>
    </row>
    <row r="403" spans="1:5">
      <c r="A403" t="s">
        <v>1660</v>
      </c>
      <c r="B403" t="s">
        <v>896</v>
      </c>
      <c r="C403" t="s">
        <v>1669</v>
      </c>
      <c r="D403">
        <v>499114</v>
      </c>
      <c r="E403" t="s">
        <v>555</v>
      </c>
    </row>
    <row r="404" spans="1:5">
      <c r="A404" t="s">
        <v>1660</v>
      </c>
      <c r="B404" t="s">
        <v>896</v>
      </c>
      <c r="C404" t="s">
        <v>1670</v>
      </c>
      <c r="D404">
        <v>968584</v>
      </c>
      <c r="E404" t="s">
        <v>143</v>
      </c>
    </row>
    <row r="405" spans="1:5">
      <c r="A405" t="s">
        <v>1660</v>
      </c>
      <c r="B405" t="s">
        <v>896</v>
      </c>
      <c r="C405" t="s">
        <v>1451</v>
      </c>
      <c r="D405">
        <v>623934</v>
      </c>
      <c r="E405" t="s">
        <v>364</v>
      </c>
    </row>
    <row r="406" spans="1:5">
      <c r="A406" t="s">
        <v>1660</v>
      </c>
      <c r="B406" t="s">
        <v>896</v>
      </c>
      <c r="C406" t="s">
        <v>1671</v>
      </c>
      <c r="D406">
        <v>262000</v>
      </c>
      <c r="E406" t="s">
        <v>275</v>
      </c>
    </row>
    <row r="407" spans="1:5">
      <c r="A407" t="s">
        <v>1660</v>
      </c>
      <c r="B407" t="s">
        <v>896</v>
      </c>
      <c r="C407" t="s">
        <v>1672</v>
      </c>
      <c r="D407">
        <v>577220</v>
      </c>
      <c r="E407" t="s">
        <v>665</v>
      </c>
    </row>
    <row r="408" spans="1:5">
      <c r="A408" t="s">
        <v>1660</v>
      </c>
      <c r="B408" t="s">
        <v>896</v>
      </c>
      <c r="C408" t="s">
        <v>1402</v>
      </c>
      <c r="D408">
        <v>394805</v>
      </c>
      <c r="E408" t="s">
        <v>323</v>
      </c>
    </row>
    <row r="409" spans="1:5">
      <c r="A409" t="s">
        <v>1660</v>
      </c>
      <c r="B409" t="s">
        <v>896</v>
      </c>
      <c r="C409" t="s">
        <v>1673</v>
      </c>
      <c r="D409">
        <v>604888</v>
      </c>
      <c r="E409" t="s">
        <v>509</v>
      </c>
    </row>
    <row r="410" spans="1:5">
      <c r="A410" t="s">
        <v>1660</v>
      </c>
      <c r="B410" t="s">
        <v>896</v>
      </c>
      <c r="C410" t="s">
        <v>1453</v>
      </c>
      <c r="D410">
        <v>394805</v>
      </c>
      <c r="E410" t="s">
        <v>323</v>
      </c>
    </row>
    <row r="411" spans="1:5">
      <c r="A411" t="s">
        <v>1660</v>
      </c>
      <c r="B411" t="s">
        <v>896</v>
      </c>
      <c r="C411" t="s">
        <v>1674</v>
      </c>
      <c r="D411">
        <v>262000</v>
      </c>
      <c r="E411" t="s">
        <v>275</v>
      </c>
    </row>
    <row r="412" spans="1:5">
      <c r="A412" t="s">
        <v>1660</v>
      </c>
      <c r="B412" t="s">
        <v>896</v>
      </c>
      <c r="C412" t="s">
        <v>1675</v>
      </c>
      <c r="D412">
        <v>765474</v>
      </c>
      <c r="E412" t="s">
        <v>48</v>
      </c>
    </row>
    <row r="413" spans="1:5">
      <c r="A413" t="s">
        <v>1660</v>
      </c>
      <c r="B413" t="s">
        <v>896</v>
      </c>
      <c r="C413" t="s">
        <v>1676</v>
      </c>
      <c r="D413">
        <v>886392</v>
      </c>
      <c r="E413" t="s">
        <v>805</v>
      </c>
    </row>
    <row r="414" spans="1:5">
      <c r="A414" t="s">
        <v>1677</v>
      </c>
      <c r="B414" t="s">
        <v>896</v>
      </c>
      <c r="C414" t="s">
        <v>1630</v>
      </c>
      <c r="D414">
        <v>554842</v>
      </c>
      <c r="E414" t="s">
        <v>588</v>
      </c>
    </row>
    <row r="415" spans="1:5">
      <c r="A415" t="s">
        <v>1677</v>
      </c>
      <c r="B415" t="s">
        <v>896</v>
      </c>
      <c r="C415" t="s">
        <v>1535</v>
      </c>
      <c r="D415">
        <v>321254</v>
      </c>
      <c r="E415" t="s">
        <v>310</v>
      </c>
    </row>
    <row r="416" spans="1:5">
      <c r="A416" t="s">
        <v>1677</v>
      </c>
      <c r="B416" t="s">
        <v>896</v>
      </c>
      <c r="C416" t="s">
        <v>1631</v>
      </c>
      <c r="D416">
        <v>829985</v>
      </c>
      <c r="E416" t="s">
        <v>806</v>
      </c>
    </row>
    <row r="417" spans="1:5">
      <c r="A417" t="s">
        <v>1677</v>
      </c>
      <c r="B417" t="s">
        <v>896</v>
      </c>
      <c r="C417" t="s">
        <v>1633</v>
      </c>
      <c r="D417">
        <v>959536</v>
      </c>
      <c r="E417" t="s">
        <v>796</v>
      </c>
    </row>
    <row r="418" spans="1:5">
      <c r="A418" t="s">
        <v>1677</v>
      </c>
      <c r="B418" t="s">
        <v>896</v>
      </c>
      <c r="C418" t="s">
        <v>1537</v>
      </c>
      <c r="D418">
        <v>177147</v>
      </c>
      <c r="E418" t="s">
        <v>263</v>
      </c>
    </row>
    <row r="419" spans="1:5">
      <c r="A419" t="s">
        <v>1677</v>
      </c>
      <c r="B419" t="s">
        <v>896</v>
      </c>
      <c r="C419" t="s">
        <v>1634</v>
      </c>
      <c r="D419">
        <v>487643</v>
      </c>
      <c r="E419" t="s">
        <v>586</v>
      </c>
    </row>
    <row r="420" spans="1:5">
      <c r="A420" t="s">
        <v>1677</v>
      </c>
      <c r="B420" t="s">
        <v>896</v>
      </c>
      <c r="C420" t="s">
        <v>1678</v>
      </c>
      <c r="D420">
        <v>480351</v>
      </c>
      <c r="E420" t="s">
        <v>599</v>
      </c>
    </row>
    <row r="421" spans="1:5">
      <c r="A421" t="s">
        <v>1677</v>
      </c>
      <c r="B421" t="s">
        <v>896</v>
      </c>
      <c r="C421" t="s">
        <v>1635</v>
      </c>
      <c r="D421">
        <v>959536</v>
      </c>
      <c r="E421" t="s">
        <v>796</v>
      </c>
    </row>
    <row r="422" spans="1:5">
      <c r="A422" t="s">
        <v>1677</v>
      </c>
      <c r="B422" t="s">
        <v>896</v>
      </c>
      <c r="C422" t="s">
        <v>1539</v>
      </c>
      <c r="D422">
        <v>267168</v>
      </c>
      <c r="E422" t="s">
        <v>206</v>
      </c>
    </row>
    <row r="423" spans="1:5">
      <c r="A423" t="s">
        <v>1677</v>
      </c>
      <c r="B423" t="s">
        <v>896</v>
      </c>
      <c r="C423" t="s">
        <v>1636</v>
      </c>
      <c r="D423">
        <v>269049</v>
      </c>
      <c r="E423" t="s">
        <v>632</v>
      </c>
    </row>
    <row r="424" spans="1:5">
      <c r="A424" t="s">
        <v>1677</v>
      </c>
      <c r="B424" t="s">
        <v>896</v>
      </c>
      <c r="C424" t="s">
        <v>1679</v>
      </c>
      <c r="D424">
        <v>829985</v>
      </c>
      <c r="E424" t="s">
        <v>806</v>
      </c>
    </row>
    <row r="425" spans="1:5">
      <c r="A425" t="s">
        <v>1677</v>
      </c>
      <c r="B425" t="s">
        <v>896</v>
      </c>
      <c r="C425" t="s">
        <v>1637</v>
      </c>
      <c r="D425">
        <v>487643</v>
      </c>
      <c r="E425" t="s">
        <v>586</v>
      </c>
    </row>
    <row r="426" spans="1:5">
      <c r="A426" t="s">
        <v>1677</v>
      </c>
      <c r="B426" t="s">
        <v>896</v>
      </c>
      <c r="C426" t="s">
        <v>1638</v>
      </c>
      <c r="D426">
        <v>480346</v>
      </c>
      <c r="E426" t="s">
        <v>741</v>
      </c>
    </row>
    <row r="427" spans="1:5">
      <c r="A427" t="s">
        <v>1677</v>
      </c>
      <c r="B427" t="s">
        <v>896</v>
      </c>
      <c r="C427" t="s">
        <v>1541</v>
      </c>
      <c r="D427">
        <v>482778</v>
      </c>
      <c r="E427" t="s">
        <v>512</v>
      </c>
    </row>
    <row r="428" spans="1:5">
      <c r="A428" t="s">
        <v>1677</v>
      </c>
      <c r="B428" t="s">
        <v>896</v>
      </c>
      <c r="C428" t="s">
        <v>1640</v>
      </c>
      <c r="D428">
        <v>480346</v>
      </c>
      <c r="E428" t="s">
        <v>741</v>
      </c>
    </row>
    <row r="429" spans="1:5">
      <c r="A429" t="s">
        <v>1677</v>
      </c>
      <c r="B429" t="s">
        <v>896</v>
      </c>
      <c r="C429" t="s">
        <v>1641</v>
      </c>
      <c r="D429">
        <v>267168</v>
      </c>
      <c r="E429" t="s">
        <v>206</v>
      </c>
    </row>
    <row r="430" spans="1:5">
      <c r="A430" t="s">
        <v>1677</v>
      </c>
      <c r="B430" t="s">
        <v>896</v>
      </c>
      <c r="C430" t="s">
        <v>1680</v>
      </c>
      <c r="D430">
        <v>269049</v>
      </c>
      <c r="E430" t="s">
        <v>632</v>
      </c>
    </row>
    <row r="431" spans="1:5">
      <c r="A431" t="s">
        <v>1677</v>
      </c>
      <c r="B431" t="s">
        <v>896</v>
      </c>
      <c r="C431" t="s">
        <v>1642</v>
      </c>
      <c r="D431">
        <v>959536</v>
      </c>
      <c r="E431" t="s">
        <v>796</v>
      </c>
    </row>
    <row r="432" spans="1:5">
      <c r="A432" t="s">
        <v>1677</v>
      </c>
      <c r="B432" t="s">
        <v>896</v>
      </c>
      <c r="C432" t="s">
        <v>1643</v>
      </c>
      <c r="D432">
        <v>829985</v>
      </c>
      <c r="E432" t="s">
        <v>806</v>
      </c>
    </row>
    <row r="433" spans="1:5">
      <c r="A433" t="s">
        <v>1677</v>
      </c>
      <c r="B433" t="s">
        <v>896</v>
      </c>
      <c r="C433" t="s">
        <v>1644</v>
      </c>
      <c r="D433">
        <v>871845</v>
      </c>
      <c r="E433" t="s">
        <v>19</v>
      </c>
    </row>
    <row r="434" spans="1:5">
      <c r="A434" t="s">
        <v>1677</v>
      </c>
      <c r="B434" t="s">
        <v>896</v>
      </c>
      <c r="C434" t="s">
        <v>1645</v>
      </c>
      <c r="D434">
        <v>314692</v>
      </c>
      <c r="E434" t="s">
        <v>516</v>
      </c>
    </row>
    <row r="435" spans="1:5">
      <c r="A435" t="s">
        <v>1677</v>
      </c>
      <c r="B435" t="s">
        <v>896</v>
      </c>
      <c r="C435" t="s">
        <v>1547</v>
      </c>
      <c r="D435">
        <v>959536</v>
      </c>
      <c r="E435" t="s">
        <v>796</v>
      </c>
    </row>
    <row r="436" spans="1:5">
      <c r="A436" t="s">
        <v>1677</v>
      </c>
      <c r="B436" t="s">
        <v>896</v>
      </c>
      <c r="C436" t="s">
        <v>1647</v>
      </c>
      <c r="D436">
        <v>959536</v>
      </c>
      <c r="E436" t="s">
        <v>796</v>
      </c>
    </row>
    <row r="437" spans="1:5">
      <c r="A437" t="s">
        <v>1677</v>
      </c>
      <c r="B437" t="s">
        <v>896</v>
      </c>
      <c r="C437" t="s">
        <v>1648</v>
      </c>
      <c r="D437">
        <v>480346</v>
      </c>
      <c r="E437" t="s">
        <v>741</v>
      </c>
    </row>
    <row r="438" spans="1:5">
      <c r="A438" t="s">
        <v>1677</v>
      </c>
      <c r="B438" t="s">
        <v>896</v>
      </c>
      <c r="C438" t="s">
        <v>1549</v>
      </c>
      <c r="D438">
        <v>269049</v>
      </c>
      <c r="E438" t="s">
        <v>632</v>
      </c>
    </row>
    <row r="439" spans="1:5">
      <c r="A439" t="s">
        <v>1677</v>
      </c>
      <c r="B439" t="s">
        <v>896</v>
      </c>
      <c r="C439" t="s">
        <v>1649</v>
      </c>
      <c r="D439">
        <v>858450</v>
      </c>
      <c r="E439" t="s">
        <v>764</v>
      </c>
    </row>
    <row r="440" spans="1:5">
      <c r="A440" t="s">
        <v>1677</v>
      </c>
      <c r="B440" t="s">
        <v>896</v>
      </c>
      <c r="C440" t="s">
        <v>1550</v>
      </c>
      <c r="D440">
        <v>955121</v>
      </c>
      <c r="E440" t="s">
        <v>611</v>
      </c>
    </row>
    <row r="441" spans="1:5">
      <c r="A441" t="s">
        <v>1677</v>
      </c>
      <c r="B441" t="s">
        <v>896</v>
      </c>
      <c r="C441" t="s">
        <v>1650</v>
      </c>
      <c r="D441">
        <v>314692</v>
      </c>
      <c r="E441" t="s">
        <v>516</v>
      </c>
    </row>
    <row r="442" spans="1:5">
      <c r="A442" t="s">
        <v>1677</v>
      </c>
      <c r="B442" t="s">
        <v>896</v>
      </c>
      <c r="C442" t="s">
        <v>1651</v>
      </c>
      <c r="D442">
        <v>959536</v>
      </c>
      <c r="E442" t="s">
        <v>796</v>
      </c>
    </row>
    <row r="443" spans="1:5">
      <c r="A443" t="s">
        <v>1677</v>
      </c>
      <c r="B443" t="s">
        <v>896</v>
      </c>
      <c r="C443" t="s">
        <v>1652</v>
      </c>
      <c r="D443">
        <v>606598</v>
      </c>
      <c r="E443" t="s">
        <v>331</v>
      </c>
    </row>
    <row r="444" spans="1:5">
      <c r="A444" t="s">
        <v>1677</v>
      </c>
      <c r="B444" t="s">
        <v>896</v>
      </c>
      <c r="C444" t="s">
        <v>1553</v>
      </c>
      <c r="D444">
        <v>604621</v>
      </c>
      <c r="E444" t="s">
        <v>91</v>
      </c>
    </row>
    <row r="445" spans="1:5">
      <c r="A445" t="s">
        <v>1677</v>
      </c>
      <c r="B445" t="s">
        <v>896</v>
      </c>
      <c r="C445" t="s">
        <v>1654</v>
      </c>
      <c r="D445">
        <v>613604</v>
      </c>
      <c r="E445" t="s">
        <v>219</v>
      </c>
    </row>
    <row r="446" spans="1:5">
      <c r="A446" t="s">
        <v>1677</v>
      </c>
      <c r="B446" t="s">
        <v>896</v>
      </c>
      <c r="C446" t="s">
        <v>1655</v>
      </c>
      <c r="D446">
        <v>267168</v>
      </c>
      <c r="E446" t="s">
        <v>206</v>
      </c>
    </row>
    <row r="447" spans="1:5">
      <c r="A447" t="s">
        <v>1677</v>
      </c>
      <c r="B447" t="s">
        <v>896</v>
      </c>
      <c r="C447" t="s">
        <v>1555</v>
      </c>
      <c r="D447">
        <v>322182</v>
      </c>
      <c r="E447" t="s">
        <v>751</v>
      </c>
    </row>
    <row r="448" spans="1:5">
      <c r="A448" t="s">
        <v>1677</v>
      </c>
      <c r="B448" t="s">
        <v>896</v>
      </c>
      <c r="C448" t="s">
        <v>1656</v>
      </c>
      <c r="D448">
        <v>959536</v>
      </c>
      <c r="E448" t="s">
        <v>796</v>
      </c>
    </row>
    <row r="449" spans="1:5">
      <c r="A449" t="s">
        <v>1677</v>
      </c>
      <c r="B449" t="s">
        <v>896</v>
      </c>
      <c r="C449" t="s">
        <v>1657</v>
      </c>
      <c r="D449">
        <v>233308</v>
      </c>
      <c r="E449" t="s">
        <v>707</v>
      </c>
    </row>
    <row r="450" spans="1:5">
      <c r="A450" t="s">
        <v>1677</v>
      </c>
      <c r="B450" t="s">
        <v>896</v>
      </c>
      <c r="C450" t="s">
        <v>1658</v>
      </c>
      <c r="D450">
        <v>299942</v>
      </c>
      <c r="E450" t="s">
        <v>39</v>
      </c>
    </row>
    <row r="451" spans="1:5">
      <c r="A451" t="s">
        <v>1677</v>
      </c>
      <c r="B451" t="s">
        <v>896</v>
      </c>
      <c r="C451" t="s">
        <v>1558</v>
      </c>
      <c r="D451">
        <v>583731</v>
      </c>
      <c r="E451" t="s">
        <v>740</v>
      </c>
    </row>
    <row r="452" spans="1:5">
      <c r="A452" t="s">
        <v>1677</v>
      </c>
      <c r="B452" t="s">
        <v>896</v>
      </c>
      <c r="C452" t="s">
        <v>1659</v>
      </c>
      <c r="D452">
        <v>829985</v>
      </c>
      <c r="E452" t="s">
        <v>806</v>
      </c>
    </row>
    <row r="453" spans="1:5">
      <c r="A453" t="s">
        <v>1677</v>
      </c>
      <c r="B453" t="s">
        <v>896</v>
      </c>
      <c r="C453" t="s">
        <v>1681</v>
      </c>
      <c r="D453">
        <v>590233</v>
      </c>
      <c r="E453" t="s">
        <v>500</v>
      </c>
    </row>
    <row r="454" spans="1:5">
      <c r="A454" t="s">
        <v>1682</v>
      </c>
      <c r="B454" t="s">
        <v>896</v>
      </c>
      <c r="C454" t="s">
        <v>926</v>
      </c>
      <c r="D454">
        <v>847592</v>
      </c>
      <c r="E454" t="s">
        <v>989</v>
      </c>
    </row>
    <row r="455" spans="1:5">
      <c r="A455" t="s">
        <v>1682</v>
      </c>
      <c r="B455" t="s">
        <v>896</v>
      </c>
      <c r="C455" t="s">
        <v>1374</v>
      </c>
      <c r="D455">
        <v>294548</v>
      </c>
      <c r="E455" t="s">
        <v>1683</v>
      </c>
    </row>
    <row r="456" spans="1:5">
      <c r="A456" t="s">
        <v>1682</v>
      </c>
      <c r="B456" t="s">
        <v>896</v>
      </c>
      <c r="C456" t="s">
        <v>1037</v>
      </c>
      <c r="D456">
        <v>22091</v>
      </c>
      <c r="E456" t="s">
        <v>55</v>
      </c>
    </row>
    <row r="457" spans="1:5">
      <c r="A457" t="s">
        <v>1682</v>
      </c>
      <c r="B457" t="s">
        <v>896</v>
      </c>
      <c r="C457" t="s">
        <v>1684</v>
      </c>
      <c r="D457">
        <v>816531</v>
      </c>
      <c r="E457" t="s">
        <v>102</v>
      </c>
    </row>
    <row r="458" spans="1:5">
      <c r="A458" t="s">
        <v>1682</v>
      </c>
      <c r="B458" t="s">
        <v>896</v>
      </c>
      <c r="C458" t="s">
        <v>1467</v>
      </c>
      <c r="D458">
        <v>136136</v>
      </c>
      <c r="E458" t="s">
        <v>198</v>
      </c>
    </row>
    <row r="459" spans="1:5">
      <c r="A459" t="s">
        <v>1682</v>
      </c>
      <c r="B459" t="s">
        <v>896</v>
      </c>
      <c r="C459" t="s">
        <v>1054</v>
      </c>
      <c r="D459">
        <v>22091</v>
      </c>
      <c r="E459" t="s">
        <v>55</v>
      </c>
    </row>
    <row r="460" spans="1:5">
      <c r="A460" t="s">
        <v>1682</v>
      </c>
      <c r="B460" t="s">
        <v>896</v>
      </c>
      <c r="C460" t="s">
        <v>1573</v>
      </c>
      <c r="D460">
        <v>373149</v>
      </c>
      <c r="E460" t="s">
        <v>653</v>
      </c>
    </row>
    <row r="461" spans="1:5">
      <c r="A461" t="s">
        <v>1682</v>
      </c>
      <c r="B461" t="s">
        <v>896</v>
      </c>
      <c r="C461" t="s">
        <v>1468</v>
      </c>
      <c r="D461">
        <v>721932</v>
      </c>
      <c r="E461" t="s">
        <v>451</v>
      </c>
    </row>
    <row r="462" spans="1:5">
      <c r="A462" t="s">
        <v>1682</v>
      </c>
      <c r="B462" t="s">
        <v>896</v>
      </c>
      <c r="C462" t="s">
        <v>1055</v>
      </c>
      <c r="D462">
        <v>624638</v>
      </c>
      <c r="E462" t="s">
        <v>421</v>
      </c>
    </row>
    <row r="463" spans="1:5">
      <c r="A463" t="s">
        <v>1682</v>
      </c>
      <c r="B463" t="s">
        <v>896</v>
      </c>
      <c r="C463" t="s">
        <v>1041</v>
      </c>
      <c r="D463">
        <v>816531</v>
      </c>
      <c r="E463" t="s">
        <v>102</v>
      </c>
    </row>
    <row r="464" spans="1:5">
      <c r="A464" t="s">
        <v>1682</v>
      </c>
      <c r="B464" t="s">
        <v>896</v>
      </c>
      <c r="C464" t="s">
        <v>934</v>
      </c>
      <c r="D464">
        <v>22091</v>
      </c>
      <c r="E464" t="s">
        <v>55</v>
      </c>
    </row>
    <row r="465" spans="1:5">
      <c r="A465" t="s">
        <v>1682</v>
      </c>
      <c r="B465" t="s">
        <v>896</v>
      </c>
      <c r="C465" t="s">
        <v>1469</v>
      </c>
      <c r="D465">
        <v>480346</v>
      </c>
      <c r="E465" t="s">
        <v>741</v>
      </c>
    </row>
    <row r="466" spans="1:5">
      <c r="A466" t="s">
        <v>1682</v>
      </c>
      <c r="B466" t="s">
        <v>896</v>
      </c>
      <c r="C466" t="s">
        <v>1056</v>
      </c>
      <c r="D466">
        <v>847592</v>
      </c>
      <c r="E466" t="s">
        <v>989</v>
      </c>
    </row>
    <row r="467" spans="1:5">
      <c r="A467" t="s">
        <v>1682</v>
      </c>
      <c r="B467" t="s">
        <v>896</v>
      </c>
      <c r="C467" t="s">
        <v>1575</v>
      </c>
      <c r="D467">
        <v>480346</v>
      </c>
      <c r="E467" t="s">
        <v>741</v>
      </c>
    </row>
    <row r="468" spans="1:5">
      <c r="A468" t="s">
        <v>1682</v>
      </c>
      <c r="B468" t="s">
        <v>896</v>
      </c>
      <c r="C468" t="s">
        <v>1470</v>
      </c>
      <c r="D468">
        <v>676235</v>
      </c>
      <c r="E468" t="s">
        <v>524</v>
      </c>
    </row>
    <row r="469" spans="1:5">
      <c r="A469" t="s">
        <v>1682</v>
      </c>
      <c r="B469" t="s">
        <v>896</v>
      </c>
      <c r="C469" t="s">
        <v>1057</v>
      </c>
      <c r="D469">
        <v>816531</v>
      </c>
      <c r="E469" t="s">
        <v>102</v>
      </c>
    </row>
    <row r="470" spans="1:5">
      <c r="A470" t="s">
        <v>1682</v>
      </c>
      <c r="B470" t="s">
        <v>896</v>
      </c>
      <c r="C470" t="s">
        <v>1044</v>
      </c>
      <c r="D470">
        <v>22091</v>
      </c>
      <c r="E470" t="s">
        <v>55</v>
      </c>
    </row>
    <row r="471" spans="1:5">
      <c r="A471" t="s">
        <v>1682</v>
      </c>
      <c r="B471" t="s">
        <v>896</v>
      </c>
      <c r="C471" t="s">
        <v>941</v>
      </c>
      <c r="D471">
        <v>816531</v>
      </c>
      <c r="E471" t="s">
        <v>102</v>
      </c>
    </row>
    <row r="472" spans="1:5">
      <c r="A472" t="s">
        <v>1682</v>
      </c>
      <c r="B472" t="s">
        <v>896</v>
      </c>
      <c r="C472" t="s">
        <v>1058</v>
      </c>
      <c r="D472">
        <v>373149</v>
      </c>
      <c r="E472" t="s">
        <v>653</v>
      </c>
    </row>
    <row r="473" spans="1:5">
      <c r="A473" t="s">
        <v>1682</v>
      </c>
      <c r="B473" t="s">
        <v>896</v>
      </c>
      <c r="C473" t="s">
        <v>1059</v>
      </c>
      <c r="D473">
        <v>816531</v>
      </c>
      <c r="E473" t="s">
        <v>102</v>
      </c>
    </row>
    <row r="474" spans="1:5">
      <c r="A474" t="s">
        <v>1682</v>
      </c>
      <c r="B474" t="s">
        <v>896</v>
      </c>
      <c r="C474" t="s">
        <v>1577</v>
      </c>
      <c r="D474">
        <v>621916</v>
      </c>
      <c r="E474" t="s">
        <v>181</v>
      </c>
    </row>
    <row r="475" spans="1:5">
      <c r="A475" t="s">
        <v>1682</v>
      </c>
      <c r="B475" t="s">
        <v>896</v>
      </c>
      <c r="C475" t="s">
        <v>1471</v>
      </c>
      <c r="D475">
        <v>480346</v>
      </c>
      <c r="E475" t="s">
        <v>741</v>
      </c>
    </row>
    <row r="476" spans="1:5">
      <c r="A476" t="s">
        <v>1682</v>
      </c>
      <c r="B476" t="s">
        <v>896</v>
      </c>
      <c r="C476" t="s">
        <v>1060</v>
      </c>
      <c r="D476">
        <v>624638</v>
      </c>
      <c r="E476" t="s">
        <v>421</v>
      </c>
    </row>
    <row r="477" spans="1:5">
      <c r="A477" t="s">
        <v>1682</v>
      </c>
      <c r="B477" t="s">
        <v>896</v>
      </c>
      <c r="C477" t="s">
        <v>1048</v>
      </c>
      <c r="D477">
        <v>721932</v>
      </c>
      <c r="E477" t="s">
        <v>451</v>
      </c>
    </row>
    <row r="478" spans="1:5">
      <c r="A478" t="s">
        <v>1682</v>
      </c>
      <c r="B478" t="s">
        <v>896</v>
      </c>
      <c r="C478" t="s">
        <v>949</v>
      </c>
      <c r="D478">
        <v>816531</v>
      </c>
      <c r="E478" t="s">
        <v>102</v>
      </c>
    </row>
    <row r="479" spans="1:5">
      <c r="A479" t="s">
        <v>1682</v>
      </c>
      <c r="B479" t="s">
        <v>896</v>
      </c>
      <c r="C479" t="s">
        <v>1472</v>
      </c>
      <c r="D479">
        <v>480346</v>
      </c>
      <c r="E479" t="s">
        <v>741</v>
      </c>
    </row>
    <row r="480" spans="1:5">
      <c r="A480" t="s">
        <v>1682</v>
      </c>
      <c r="B480" t="s">
        <v>896</v>
      </c>
      <c r="C480" t="s">
        <v>1061</v>
      </c>
      <c r="D480">
        <v>480346</v>
      </c>
      <c r="E480" t="s">
        <v>741</v>
      </c>
    </row>
    <row r="481" spans="1:5">
      <c r="A481" t="s">
        <v>1682</v>
      </c>
      <c r="B481" t="s">
        <v>896</v>
      </c>
      <c r="C481" t="s">
        <v>1579</v>
      </c>
      <c r="D481">
        <v>230735</v>
      </c>
      <c r="E481" t="s">
        <v>428</v>
      </c>
    </row>
    <row r="482" spans="1:5">
      <c r="A482" t="s">
        <v>1682</v>
      </c>
      <c r="B482" t="s">
        <v>896</v>
      </c>
      <c r="C482" t="s">
        <v>1473</v>
      </c>
      <c r="D482">
        <v>847592</v>
      </c>
      <c r="E482" t="s">
        <v>989</v>
      </c>
    </row>
    <row r="483" spans="1:5">
      <c r="A483" t="s">
        <v>1682</v>
      </c>
      <c r="B483" t="s">
        <v>896</v>
      </c>
      <c r="C483" t="s">
        <v>1062</v>
      </c>
      <c r="D483">
        <v>676235</v>
      </c>
      <c r="E483" t="s">
        <v>524</v>
      </c>
    </row>
    <row r="484" spans="1:5">
      <c r="A484" t="s">
        <v>1682</v>
      </c>
      <c r="B484" t="s">
        <v>896</v>
      </c>
      <c r="C484" t="s">
        <v>1052</v>
      </c>
      <c r="D484">
        <v>624638</v>
      </c>
      <c r="E484" t="s">
        <v>421</v>
      </c>
    </row>
    <row r="485" spans="1:5">
      <c r="A485" t="s">
        <v>1685</v>
      </c>
      <c r="B485" t="s">
        <v>896</v>
      </c>
      <c r="C485" t="s">
        <v>1457</v>
      </c>
      <c r="D485">
        <v>729156</v>
      </c>
      <c r="E485" t="s">
        <v>1686</v>
      </c>
    </row>
    <row r="486" spans="1:5">
      <c r="A486" t="s">
        <v>1685</v>
      </c>
      <c r="B486" t="s">
        <v>896</v>
      </c>
      <c r="C486" t="s">
        <v>1460</v>
      </c>
      <c r="D486">
        <v>476617</v>
      </c>
      <c r="E486" t="s">
        <v>493</v>
      </c>
    </row>
    <row r="487" spans="1:5">
      <c r="A487" t="s">
        <v>1685</v>
      </c>
      <c r="B487" t="s">
        <v>896</v>
      </c>
      <c r="C487" t="s">
        <v>1462</v>
      </c>
      <c r="D487">
        <v>210824</v>
      </c>
      <c r="E487" t="s">
        <v>600</v>
      </c>
    </row>
    <row r="488" spans="1:5">
      <c r="A488" t="s">
        <v>1685</v>
      </c>
      <c r="B488" t="s">
        <v>896</v>
      </c>
      <c r="C488" t="s">
        <v>1465</v>
      </c>
      <c r="D488">
        <v>703541</v>
      </c>
      <c r="E488" t="s">
        <v>523</v>
      </c>
    </row>
    <row r="489" spans="1:5">
      <c r="A489" t="s">
        <v>1687</v>
      </c>
      <c r="B489" t="s">
        <v>896</v>
      </c>
      <c r="C489" t="s">
        <v>1688</v>
      </c>
      <c r="D489">
        <v>725703</v>
      </c>
      <c r="E489" t="s">
        <v>427</v>
      </c>
    </row>
    <row r="490" spans="1:5">
      <c r="A490" t="s">
        <v>1687</v>
      </c>
      <c r="B490" t="s">
        <v>896</v>
      </c>
      <c r="C490" t="s">
        <v>1688</v>
      </c>
      <c r="D490">
        <v>914365</v>
      </c>
      <c r="E490" t="s">
        <v>513</v>
      </c>
    </row>
    <row r="491" spans="1:5">
      <c r="A491" t="s">
        <v>1687</v>
      </c>
      <c r="B491" t="s">
        <v>896</v>
      </c>
      <c r="C491" t="s">
        <v>1689</v>
      </c>
      <c r="D491">
        <v>960559</v>
      </c>
      <c r="E491" t="s">
        <v>403</v>
      </c>
    </row>
    <row r="492" spans="1:5">
      <c r="A492" t="s">
        <v>1687</v>
      </c>
      <c r="B492" t="s">
        <v>896</v>
      </c>
      <c r="C492" t="s">
        <v>1038</v>
      </c>
      <c r="D492">
        <v>960559</v>
      </c>
      <c r="E492" t="s">
        <v>403</v>
      </c>
    </row>
    <row r="493" spans="1:5">
      <c r="A493" t="s">
        <v>1687</v>
      </c>
      <c r="B493" t="s">
        <v>896</v>
      </c>
      <c r="C493" t="s">
        <v>1038</v>
      </c>
      <c r="D493">
        <v>804908</v>
      </c>
      <c r="E493" t="s">
        <v>601</v>
      </c>
    </row>
    <row r="494" spans="1:5">
      <c r="A494" t="s">
        <v>1687</v>
      </c>
      <c r="B494" t="s">
        <v>896</v>
      </c>
      <c r="C494" t="s">
        <v>1690</v>
      </c>
      <c r="D494">
        <v>623934</v>
      </c>
      <c r="E494" t="s">
        <v>364</v>
      </c>
    </row>
    <row r="495" spans="1:5">
      <c r="A495" t="s">
        <v>1687</v>
      </c>
      <c r="B495" t="s">
        <v>896</v>
      </c>
      <c r="C495" t="s">
        <v>1690</v>
      </c>
      <c r="D495">
        <v>696603</v>
      </c>
      <c r="E495" t="s">
        <v>458</v>
      </c>
    </row>
    <row r="496" spans="1:5">
      <c r="A496" t="s">
        <v>1687</v>
      </c>
      <c r="B496" t="s">
        <v>896</v>
      </c>
      <c r="C496" t="s">
        <v>1691</v>
      </c>
      <c r="D496">
        <v>964211</v>
      </c>
      <c r="E496" t="s">
        <v>1379</v>
      </c>
    </row>
    <row r="497" spans="1:5">
      <c r="A497" t="s">
        <v>1687</v>
      </c>
      <c r="B497" t="s">
        <v>896</v>
      </c>
      <c r="C497" t="s">
        <v>1691</v>
      </c>
      <c r="D497">
        <v>620545</v>
      </c>
      <c r="E497" t="s">
        <v>126</v>
      </c>
    </row>
    <row r="498" spans="1:5">
      <c r="A498" t="s">
        <v>1687</v>
      </c>
      <c r="B498" t="s">
        <v>896</v>
      </c>
      <c r="C498" t="s">
        <v>1042</v>
      </c>
      <c r="D498">
        <v>898849</v>
      </c>
      <c r="E498" t="s">
        <v>301</v>
      </c>
    </row>
    <row r="499" spans="1:5">
      <c r="A499" t="s">
        <v>1687</v>
      </c>
      <c r="B499" t="s">
        <v>896</v>
      </c>
      <c r="C499" t="s">
        <v>1042</v>
      </c>
      <c r="D499">
        <v>960559</v>
      </c>
      <c r="E499" t="s">
        <v>403</v>
      </c>
    </row>
    <row r="500" spans="1:5">
      <c r="A500" t="s">
        <v>1687</v>
      </c>
      <c r="B500" t="s">
        <v>896</v>
      </c>
      <c r="C500" t="s">
        <v>1588</v>
      </c>
      <c r="D500">
        <v>613604</v>
      </c>
      <c r="E500" t="s">
        <v>219</v>
      </c>
    </row>
    <row r="501" spans="1:5">
      <c r="A501" t="s">
        <v>1687</v>
      </c>
      <c r="B501" t="s">
        <v>896</v>
      </c>
      <c r="C501" t="s">
        <v>1588</v>
      </c>
      <c r="D501">
        <v>899316</v>
      </c>
      <c r="E501" t="s">
        <v>589</v>
      </c>
    </row>
    <row r="502" spans="1:5">
      <c r="A502" t="s">
        <v>1687</v>
      </c>
      <c r="B502" t="s">
        <v>896</v>
      </c>
      <c r="C502" t="s">
        <v>1045</v>
      </c>
      <c r="D502">
        <v>326161</v>
      </c>
      <c r="E502" t="s">
        <v>104</v>
      </c>
    </row>
    <row r="503" spans="1:5">
      <c r="A503" t="s">
        <v>1687</v>
      </c>
      <c r="B503" t="s">
        <v>896</v>
      </c>
      <c r="C503" t="s">
        <v>1045</v>
      </c>
      <c r="D503">
        <v>806909</v>
      </c>
      <c r="E503" t="s">
        <v>769</v>
      </c>
    </row>
    <row r="504" spans="1:5">
      <c r="A504" t="s">
        <v>1687</v>
      </c>
      <c r="B504" t="s">
        <v>896</v>
      </c>
      <c r="C504" t="s">
        <v>1046</v>
      </c>
      <c r="D504">
        <v>899316</v>
      </c>
      <c r="E504" t="s">
        <v>589</v>
      </c>
    </row>
    <row r="505" spans="1:5">
      <c r="A505" t="s">
        <v>1687</v>
      </c>
      <c r="B505" t="s">
        <v>896</v>
      </c>
      <c r="C505" t="s">
        <v>1046</v>
      </c>
      <c r="D505">
        <v>480346</v>
      </c>
      <c r="E505" t="s">
        <v>741</v>
      </c>
    </row>
    <row r="506" spans="1:5">
      <c r="A506" t="s">
        <v>1687</v>
      </c>
      <c r="B506" t="s">
        <v>896</v>
      </c>
      <c r="C506" t="s">
        <v>1692</v>
      </c>
      <c r="D506">
        <v>623934</v>
      </c>
      <c r="E506" t="s">
        <v>364</v>
      </c>
    </row>
    <row r="507" spans="1:5">
      <c r="A507" t="s">
        <v>1687</v>
      </c>
      <c r="B507" t="s">
        <v>896</v>
      </c>
      <c r="C507" t="s">
        <v>1692</v>
      </c>
      <c r="D507">
        <v>829723</v>
      </c>
      <c r="E507" t="s">
        <v>735</v>
      </c>
    </row>
    <row r="508" spans="1:5">
      <c r="A508" t="s">
        <v>1687</v>
      </c>
      <c r="B508" t="s">
        <v>896</v>
      </c>
      <c r="C508" t="s">
        <v>1049</v>
      </c>
      <c r="D508">
        <v>789902</v>
      </c>
      <c r="E508" t="s">
        <v>485</v>
      </c>
    </row>
    <row r="509" spans="1:5">
      <c r="A509" t="s">
        <v>1687</v>
      </c>
      <c r="B509" t="s">
        <v>896</v>
      </c>
      <c r="C509" t="s">
        <v>1049</v>
      </c>
      <c r="D509">
        <v>703541</v>
      </c>
      <c r="E509" t="s">
        <v>523</v>
      </c>
    </row>
    <row r="510" spans="1:5">
      <c r="A510" t="s">
        <v>1687</v>
      </c>
      <c r="B510" t="s">
        <v>896</v>
      </c>
      <c r="C510" t="s">
        <v>1050</v>
      </c>
      <c r="D510">
        <v>960559</v>
      </c>
      <c r="E510" t="s">
        <v>403</v>
      </c>
    </row>
    <row r="511" spans="1:5">
      <c r="A511" t="s">
        <v>1687</v>
      </c>
      <c r="B511" t="s">
        <v>896</v>
      </c>
      <c r="C511" t="s">
        <v>1050</v>
      </c>
      <c r="D511">
        <v>804908</v>
      </c>
      <c r="E511" t="s">
        <v>601</v>
      </c>
    </row>
    <row r="512" spans="1:5">
      <c r="A512" t="s">
        <v>1687</v>
      </c>
      <c r="B512" t="s">
        <v>896</v>
      </c>
      <c r="C512" t="s">
        <v>1592</v>
      </c>
      <c r="D512">
        <v>899316</v>
      </c>
      <c r="E512" t="s">
        <v>589</v>
      </c>
    </row>
    <row r="513" spans="1:5">
      <c r="A513" t="s">
        <v>1687</v>
      </c>
      <c r="B513" t="s">
        <v>896</v>
      </c>
      <c r="C513" t="s">
        <v>1592</v>
      </c>
      <c r="D513">
        <v>936159</v>
      </c>
      <c r="E513" t="s">
        <v>834</v>
      </c>
    </row>
    <row r="514" spans="1:5">
      <c r="A514" t="s">
        <v>1693</v>
      </c>
      <c r="B514" t="s">
        <v>896</v>
      </c>
      <c r="C514" t="s">
        <v>927</v>
      </c>
      <c r="D514">
        <v>574333</v>
      </c>
      <c r="E514" t="s">
        <v>630</v>
      </c>
    </row>
    <row r="515" spans="1:5">
      <c r="A515" t="s">
        <v>1693</v>
      </c>
      <c r="B515" t="s">
        <v>896</v>
      </c>
      <c r="C515" t="s">
        <v>927</v>
      </c>
      <c r="D515">
        <v>710236</v>
      </c>
      <c r="E515" t="s">
        <v>103</v>
      </c>
    </row>
    <row r="516" spans="1:5">
      <c r="A516" t="s">
        <v>1693</v>
      </c>
      <c r="B516" t="s">
        <v>896</v>
      </c>
      <c r="C516" t="s">
        <v>1694</v>
      </c>
      <c r="D516">
        <v>542923</v>
      </c>
      <c r="E516" t="s">
        <v>32</v>
      </c>
    </row>
    <row r="517" spans="1:5">
      <c r="A517" t="s">
        <v>1693</v>
      </c>
      <c r="B517" t="s">
        <v>896</v>
      </c>
      <c r="C517" t="s">
        <v>1694</v>
      </c>
      <c r="D517">
        <v>927192</v>
      </c>
      <c r="E517" t="s">
        <v>641</v>
      </c>
    </row>
    <row r="518" spans="1:5">
      <c r="A518" t="s">
        <v>1693</v>
      </c>
      <c r="B518" t="s">
        <v>896</v>
      </c>
      <c r="C518" t="s">
        <v>929</v>
      </c>
      <c r="D518">
        <v>844290</v>
      </c>
      <c r="E518" t="s">
        <v>476</v>
      </c>
    </row>
    <row r="519" spans="1:5">
      <c r="A519" t="s">
        <v>1693</v>
      </c>
      <c r="B519" t="s">
        <v>896</v>
      </c>
      <c r="C519" t="s">
        <v>929</v>
      </c>
      <c r="D519">
        <v>479121</v>
      </c>
      <c r="E519" t="s">
        <v>38</v>
      </c>
    </row>
    <row r="520" spans="1:5">
      <c r="A520" t="s">
        <v>1693</v>
      </c>
      <c r="B520" t="s">
        <v>896</v>
      </c>
      <c r="C520" t="s">
        <v>930</v>
      </c>
      <c r="D520">
        <v>425464</v>
      </c>
      <c r="E520" t="s">
        <v>235</v>
      </c>
    </row>
    <row r="521" spans="1:5">
      <c r="A521" t="s">
        <v>1693</v>
      </c>
      <c r="B521" t="s">
        <v>896</v>
      </c>
      <c r="C521" t="s">
        <v>930</v>
      </c>
      <c r="D521">
        <v>875441</v>
      </c>
      <c r="E521" t="s">
        <v>160</v>
      </c>
    </row>
    <row r="522" spans="1:5">
      <c r="A522" t="s">
        <v>1693</v>
      </c>
      <c r="B522" t="s">
        <v>896</v>
      </c>
      <c r="C522" t="s">
        <v>931</v>
      </c>
      <c r="D522">
        <v>869668</v>
      </c>
      <c r="E522" t="s">
        <v>1388</v>
      </c>
    </row>
    <row r="523" spans="1:5">
      <c r="A523" t="s">
        <v>1693</v>
      </c>
      <c r="B523" t="s">
        <v>896</v>
      </c>
      <c r="C523" t="s">
        <v>931</v>
      </c>
      <c r="D523">
        <v>844290</v>
      </c>
      <c r="E523" t="s">
        <v>476</v>
      </c>
    </row>
    <row r="524" spans="1:5">
      <c r="A524" t="s">
        <v>1693</v>
      </c>
      <c r="B524" t="s">
        <v>896</v>
      </c>
      <c r="C524" t="s">
        <v>932</v>
      </c>
      <c r="D524">
        <v>710236</v>
      </c>
      <c r="E524" t="s">
        <v>103</v>
      </c>
    </row>
    <row r="525" spans="1:5">
      <c r="A525" t="s">
        <v>1693</v>
      </c>
      <c r="B525" t="s">
        <v>896</v>
      </c>
      <c r="C525" t="s">
        <v>932</v>
      </c>
      <c r="D525">
        <v>574333</v>
      </c>
      <c r="E525" t="s">
        <v>630</v>
      </c>
    </row>
    <row r="526" spans="1:5">
      <c r="A526" t="s">
        <v>1693</v>
      </c>
      <c r="B526" t="s">
        <v>896</v>
      </c>
      <c r="C526" t="s">
        <v>933</v>
      </c>
      <c r="D526">
        <v>425464</v>
      </c>
      <c r="E526" t="s">
        <v>235</v>
      </c>
    </row>
    <row r="527" spans="1:5">
      <c r="A527" t="s">
        <v>1693</v>
      </c>
      <c r="B527" t="s">
        <v>896</v>
      </c>
      <c r="C527" t="s">
        <v>933</v>
      </c>
      <c r="D527">
        <v>343330</v>
      </c>
      <c r="E527" t="s">
        <v>1695</v>
      </c>
    </row>
    <row r="528" spans="1:5">
      <c r="A528" t="s">
        <v>1693</v>
      </c>
      <c r="B528" t="s">
        <v>896</v>
      </c>
      <c r="C528" t="s">
        <v>1696</v>
      </c>
      <c r="D528">
        <v>542923</v>
      </c>
      <c r="E528" t="s">
        <v>32</v>
      </c>
    </row>
    <row r="529" spans="1:5">
      <c r="A529" t="s">
        <v>1693</v>
      </c>
      <c r="B529" t="s">
        <v>896</v>
      </c>
      <c r="C529" t="s">
        <v>1696</v>
      </c>
      <c r="D529">
        <v>900975</v>
      </c>
      <c r="E529" t="s">
        <v>412</v>
      </c>
    </row>
    <row r="530" spans="1:5">
      <c r="A530" t="s">
        <v>1693</v>
      </c>
      <c r="B530" t="s">
        <v>896</v>
      </c>
      <c r="C530" t="s">
        <v>935</v>
      </c>
      <c r="D530">
        <v>710236</v>
      </c>
      <c r="E530" t="s">
        <v>103</v>
      </c>
    </row>
    <row r="531" spans="1:5">
      <c r="A531" t="s">
        <v>1693</v>
      </c>
      <c r="B531" t="s">
        <v>896</v>
      </c>
      <c r="C531" t="s">
        <v>935</v>
      </c>
      <c r="D531">
        <v>935091</v>
      </c>
      <c r="E531" t="s">
        <v>771</v>
      </c>
    </row>
    <row r="532" spans="1:5">
      <c r="A532" t="s">
        <v>1693</v>
      </c>
      <c r="B532" t="s">
        <v>896</v>
      </c>
      <c r="C532" t="s">
        <v>936</v>
      </c>
      <c r="D532">
        <v>191302</v>
      </c>
      <c r="E532" t="s">
        <v>314</v>
      </c>
    </row>
    <row r="533" spans="1:5">
      <c r="A533" t="s">
        <v>1693</v>
      </c>
      <c r="B533" t="s">
        <v>896</v>
      </c>
      <c r="C533" t="s">
        <v>937</v>
      </c>
      <c r="D533">
        <v>480180</v>
      </c>
      <c r="E533" t="s">
        <v>28</v>
      </c>
    </row>
    <row r="534" spans="1:5">
      <c r="A534" t="s">
        <v>1693</v>
      </c>
      <c r="B534" t="s">
        <v>896</v>
      </c>
      <c r="C534" t="s">
        <v>937</v>
      </c>
      <c r="D534">
        <v>844290</v>
      </c>
      <c r="E534" t="s">
        <v>476</v>
      </c>
    </row>
    <row r="535" spans="1:5">
      <c r="A535" t="s">
        <v>1693</v>
      </c>
      <c r="B535" t="s">
        <v>896</v>
      </c>
      <c r="C535" t="s">
        <v>938</v>
      </c>
      <c r="D535">
        <v>844290</v>
      </c>
      <c r="E535" t="s">
        <v>476</v>
      </c>
    </row>
    <row r="536" spans="1:5">
      <c r="A536" t="s">
        <v>1693</v>
      </c>
      <c r="B536" t="s">
        <v>896</v>
      </c>
      <c r="C536" t="s">
        <v>939</v>
      </c>
      <c r="D536">
        <v>869668</v>
      </c>
      <c r="E536" t="s">
        <v>1388</v>
      </c>
    </row>
    <row r="537" spans="1:5">
      <c r="A537" t="s">
        <v>1693</v>
      </c>
      <c r="B537" t="s">
        <v>896</v>
      </c>
      <c r="C537" t="s">
        <v>939</v>
      </c>
      <c r="D537">
        <v>479121</v>
      </c>
      <c r="E537" t="s">
        <v>38</v>
      </c>
    </row>
    <row r="538" spans="1:5">
      <c r="A538" t="s">
        <v>1693</v>
      </c>
      <c r="B538" t="s">
        <v>896</v>
      </c>
      <c r="C538" t="s">
        <v>1697</v>
      </c>
      <c r="D538">
        <v>542923</v>
      </c>
      <c r="E538" t="s">
        <v>32</v>
      </c>
    </row>
    <row r="539" spans="1:5">
      <c r="A539" t="s">
        <v>1693</v>
      </c>
      <c r="B539" t="s">
        <v>896</v>
      </c>
      <c r="C539" t="s">
        <v>1697</v>
      </c>
      <c r="D539">
        <v>710236</v>
      </c>
      <c r="E539" t="s">
        <v>103</v>
      </c>
    </row>
    <row r="540" spans="1:5">
      <c r="A540" t="s">
        <v>1693</v>
      </c>
      <c r="B540" t="s">
        <v>896</v>
      </c>
      <c r="C540" t="s">
        <v>942</v>
      </c>
      <c r="D540">
        <v>574333</v>
      </c>
      <c r="E540" t="s">
        <v>630</v>
      </c>
    </row>
    <row r="541" spans="1:5">
      <c r="A541" t="s">
        <v>1693</v>
      </c>
      <c r="B541" t="s">
        <v>896</v>
      </c>
      <c r="C541" t="s">
        <v>943</v>
      </c>
      <c r="D541">
        <v>468423</v>
      </c>
      <c r="E541" t="s">
        <v>393</v>
      </c>
    </row>
    <row r="542" spans="1:5">
      <c r="A542" t="s">
        <v>1693</v>
      </c>
      <c r="B542" t="s">
        <v>896</v>
      </c>
      <c r="C542" t="s">
        <v>944</v>
      </c>
      <c r="D542">
        <v>246792</v>
      </c>
      <c r="E542" t="s">
        <v>116</v>
      </c>
    </row>
    <row r="543" spans="1:5">
      <c r="A543" t="s">
        <v>1693</v>
      </c>
      <c r="B543" t="s">
        <v>896</v>
      </c>
      <c r="C543" t="s">
        <v>944</v>
      </c>
      <c r="D543">
        <v>710236</v>
      </c>
      <c r="E543" t="s">
        <v>103</v>
      </c>
    </row>
    <row r="544" spans="1:5">
      <c r="A544" t="s">
        <v>1693</v>
      </c>
      <c r="B544" t="s">
        <v>896</v>
      </c>
      <c r="C544" t="s">
        <v>945</v>
      </c>
      <c r="D544">
        <v>687118</v>
      </c>
      <c r="E544" t="s">
        <v>422</v>
      </c>
    </row>
    <row r="545" spans="1:5">
      <c r="A545" t="s">
        <v>1693</v>
      </c>
      <c r="B545" t="s">
        <v>896</v>
      </c>
      <c r="C545" t="s">
        <v>946</v>
      </c>
      <c r="D545">
        <v>967743</v>
      </c>
      <c r="E545" t="s">
        <v>87</v>
      </c>
    </row>
    <row r="546" spans="1:5">
      <c r="A546" t="s">
        <v>1693</v>
      </c>
      <c r="B546" t="s">
        <v>896</v>
      </c>
      <c r="C546" t="s">
        <v>946</v>
      </c>
      <c r="D546">
        <v>967569</v>
      </c>
      <c r="E546" t="s">
        <v>617</v>
      </c>
    </row>
    <row r="547" spans="1:5">
      <c r="A547" t="s">
        <v>1693</v>
      </c>
      <c r="B547" t="s">
        <v>896</v>
      </c>
      <c r="C547" t="s">
        <v>1698</v>
      </c>
      <c r="D547">
        <v>542923</v>
      </c>
      <c r="E547" t="s">
        <v>32</v>
      </c>
    </row>
    <row r="548" spans="1:5">
      <c r="A548" t="s">
        <v>1693</v>
      </c>
      <c r="B548" t="s">
        <v>896</v>
      </c>
      <c r="C548" t="s">
        <v>1698</v>
      </c>
      <c r="D548">
        <v>927192</v>
      </c>
      <c r="E548" t="s">
        <v>641</v>
      </c>
    </row>
    <row r="549" spans="1:5">
      <c r="A549" t="s">
        <v>1693</v>
      </c>
      <c r="B549" t="s">
        <v>896</v>
      </c>
      <c r="C549" t="s">
        <v>950</v>
      </c>
      <c r="D549">
        <v>775465</v>
      </c>
      <c r="E549" t="s">
        <v>571</v>
      </c>
    </row>
    <row r="550" spans="1:5">
      <c r="A550" t="s">
        <v>1693</v>
      </c>
      <c r="B550" t="s">
        <v>896</v>
      </c>
      <c r="C550" t="s">
        <v>950</v>
      </c>
      <c r="D550">
        <v>574333</v>
      </c>
      <c r="E550" t="s">
        <v>630</v>
      </c>
    </row>
    <row r="551" spans="1:5">
      <c r="A551" t="s">
        <v>1693</v>
      </c>
      <c r="B551" t="s">
        <v>896</v>
      </c>
      <c r="C551" t="s">
        <v>951</v>
      </c>
      <c r="D551">
        <v>401614</v>
      </c>
      <c r="E551" t="s">
        <v>49</v>
      </c>
    </row>
    <row r="552" spans="1:5">
      <c r="A552" t="s">
        <v>1693</v>
      </c>
      <c r="B552" t="s">
        <v>896</v>
      </c>
      <c r="C552" t="s">
        <v>951</v>
      </c>
      <c r="D552">
        <v>934158</v>
      </c>
      <c r="E552" t="s">
        <v>484</v>
      </c>
    </row>
    <row r="553" spans="1:5">
      <c r="A553" t="s">
        <v>1693</v>
      </c>
      <c r="B553" t="s">
        <v>896</v>
      </c>
      <c r="C553" t="s">
        <v>952</v>
      </c>
      <c r="D553">
        <v>246792</v>
      </c>
      <c r="E553" t="s">
        <v>116</v>
      </c>
    </row>
    <row r="554" spans="1:5">
      <c r="A554" t="s">
        <v>1693</v>
      </c>
      <c r="B554" t="s">
        <v>896</v>
      </c>
      <c r="C554" t="s">
        <v>952</v>
      </c>
      <c r="D554">
        <v>935091</v>
      </c>
      <c r="E554" t="s">
        <v>771</v>
      </c>
    </row>
    <row r="555" spans="1:5">
      <c r="A555" t="s">
        <v>1693</v>
      </c>
      <c r="B555" t="s">
        <v>896</v>
      </c>
      <c r="C555" t="s">
        <v>953</v>
      </c>
      <c r="D555">
        <v>900975</v>
      </c>
      <c r="E555" t="s">
        <v>412</v>
      </c>
    </row>
    <row r="556" spans="1:5">
      <c r="A556" t="s">
        <v>1693</v>
      </c>
      <c r="B556" t="s">
        <v>896</v>
      </c>
      <c r="C556" t="s">
        <v>953</v>
      </c>
      <c r="D556">
        <v>574333</v>
      </c>
      <c r="E556" t="s">
        <v>630</v>
      </c>
    </row>
    <row r="557" spans="1:5">
      <c r="A557" t="s">
        <v>1693</v>
      </c>
      <c r="B557" t="s">
        <v>896</v>
      </c>
      <c r="C557" t="s">
        <v>954</v>
      </c>
      <c r="D557">
        <v>869668</v>
      </c>
      <c r="E557" t="s">
        <v>1388</v>
      </c>
    </row>
    <row r="558" spans="1:5">
      <c r="A558" t="s">
        <v>1693</v>
      </c>
      <c r="B558" t="s">
        <v>896</v>
      </c>
      <c r="C558" t="s">
        <v>954</v>
      </c>
      <c r="D558">
        <v>191302</v>
      </c>
      <c r="E558" t="s">
        <v>314</v>
      </c>
    </row>
    <row r="559" spans="1:5">
      <c r="A559" t="s">
        <v>1693</v>
      </c>
      <c r="B559" t="s">
        <v>896</v>
      </c>
      <c r="C559" t="s">
        <v>1699</v>
      </c>
      <c r="D559">
        <v>542923</v>
      </c>
      <c r="E559" t="s">
        <v>32</v>
      </c>
    </row>
    <row r="560" spans="1:5">
      <c r="A560" t="s">
        <v>1693</v>
      </c>
      <c r="B560" t="s">
        <v>896</v>
      </c>
      <c r="C560" t="s">
        <v>1699</v>
      </c>
      <c r="D560">
        <v>710236</v>
      </c>
      <c r="E560" t="s">
        <v>103</v>
      </c>
    </row>
    <row r="561" spans="1:5">
      <c r="A561" t="s">
        <v>1700</v>
      </c>
      <c r="B561" t="s">
        <v>896</v>
      </c>
      <c r="C561" t="s">
        <v>1701</v>
      </c>
      <c r="D561">
        <v>298763</v>
      </c>
      <c r="E561" t="s">
        <v>9</v>
      </c>
    </row>
    <row r="562" spans="1:5">
      <c r="A562" t="s">
        <v>1700</v>
      </c>
      <c r="B562" t="s">
        <v>896</v>
      </c>
      <c r="C562" t="s">
        <v>1702</v>
      </c>
      <c r="D562">
        <v>175002</v>
      </c>
      <c r="E562" t="s">
        <v>197</v>
      </c>
    </row>
    <row r="563" spans="1:5">
      <c r="A563" t="s">
        <v>1700</v>
      </c>
      <c r="B563" t="s">
        <v>896</v>
      </c>
      <c r="C563" t="s">
        <v>1703</v>
      </c>
      <c r="D563">
        <v>230735</v>
      </c>
      <c r="E563" t="s">
        <v>428</v>
      </c>
    </row>
    <row r="564" spans="1:5">
      <c r="A564" t="s">
        <v>1700</v>
      </c>
      <c r="B564" t="s">
        <v>896</v>
      </c>
      <c r="C564" t="s">
        <v>1704</v>
      </c>
      <c r="D564">
        <v>429425</v>
      </c>
      <c r="E564" t="s">
        <v>694</v>
      </c>
    </row>
    <row r="565" spans="1:5">
      <c r="A565" t="s">
        <v>1700</v>
      </c>
      <c r="B565" t="s">
        <v>896</v>
      </c>
      <c r="C565" t="s">
        <v>1705</v>
      </c>
      <c r="D565">
        <v>802419</v>
      </c>
      <c r="E565" t="s">
        <v>647</v>
      </c>
    </row>
    <row r="566" spans="1:5">
      <c r="A566" t="s">
        <v>1700</v>
      </c>
      <c r="B566" t="s">
        <v>896</v>
      </c>
      <c r="C566" t="s">
        <v>1706</v>
      </c>
      <c r="D566">
        <v>606598</v>
      </c>
      <c r="E566" t="s">
        <v>331</v>
      </c>
    </row>
    <row r="567" spans="1:5">
      <c r="A567" t="s">
        <v>1700</v>
      </c>
      <c r="B567" t="s">
        <v>896</v>
      </c>
      <c r="C567" t="s">
        <v>1707</v>
      </c>
      <c r="D567">
        <v>131287</v>
      </c>
      <c r="E567" t="s">
        <v>610</v>
      </c>
    </row>
    <row r="568" spans="1:5">
      <c r="A568" t="s">
        <v>1700</v>
      </c>
      <c r="B568" t="s">
        <v>896</v>
      </c>
      <c r="C568" t="s">
        <v>1708</v>
      </c>
      <c r="D568">
        <v>170071</v>
      </c>
      <c r="E568" t="s">
        <v>468</v>
      </c>
    </row>
    <row r="569" spans="1:5">
      <c r="A569" t="s">
        <v>1700</v>
      </c>
      <c r="B569" t="s">
        <v>896</v>
      </c>
      <c r="C569" t="s">
        <v>1708</v>
      </c>
      <c r="D569">
        <v>175002</v>
      </c>
      <c r="E569" t="s">
        <v>197</v>
      </c>
    </row>
    <row r="570" spans="1:5">
      <c r="A570" t="s">
        <v>1700</v>
      </c>
      <c r="B570" t="s">
        <v>896</v>
      </c>
      <c r="C570" t="s">
        <v>1709</v>
      </c>
      <c r="D570">
        <v>660813</v>
      </c>
      <c r="E570" t="s">
        <v>296</v>
      </c>
    </row>
    <row r="571" spans="1:5">
      <c r="A571" t="s">
        <v>1710</v>
      </c>
      <c r="B571" t="s">
        <v>896</v>
      </c>
      <c r="C571" t="s">
        <v>1711</v>
      </c>
      <c r="D571">
        <v>735827</v>
      </c>
      <c r="E571" t="s">
        <v>128</v>
      </c>
    </row>
    <row r="572" spans="1:5">
      <c r="A572" t="s">
        <v>1710</v>
      </c>
      <c r="B572" t="s">
        <v>896</v>
      </c>
      <c r="C572" t="s">
        <v>1712</v>
      </c>
      <c r="D572">
        <v>532285</v>
      </c>
      <c r="E572" t="s">
        <v>62</v>
      </c>
    </row>
    <row r="573" spans="1:5">
      <c r="A573" t="s">
        <v>1710</v>
      </c>
      <c r="B573" t="s">
        <v>896</v>
      </c>
      <c r="C573" t="s">
        <v>1713</v>
      </c>
      <c r="D573">
        <v>716693</v>
      </c>
      <c r="E573" t="s">
        <v>551</v>
      </c>
    </row>
    <row r="574" spans="1:5">
      <c r="A574" t="s">
        <v>1710</v>
      </c>
      <c r="B574" t="s">
        <v>896</v>
      </c>
      <c r="C574" t="s">
        <v>1714</v>
      </c>
      <c r="D574">
        <v>687118</v>
      </c>
      <c r="E574" t="s">
        <v>422</v>
      </c>
    </row>
    <row r="575" spans="1:5">
      <c r="A575" t="s">
        <v>1710</v>
      </c>
      <c r="B575" t="s">
        <v>896</v>
      </c>
      <c r="C575" t="s">
        <v>1715</v>
      </c>
      <c r="D575">
        <v>532285</v>
      </c>
      <c r="E575" t="s">
        <v>62</v>
      </c>
    </row>
    <row r="576" spans="1:5">
      <c r="A576" t="s">
        <v>1710</v>
      </c>
      <c r="B576" t="s">
        <v>896</v>
      </c>
      <c r="C576" t="s">
        <v>1716</v>
      </c>
      <c r="D576">
        <v>735827</v>
      </c>
      <c r="E576" t="s">
        <v>128</v>
      </c>
    </row>
    <row r="577" spans="1:5">
      <c r="A577" t="s">
        <v>1710</v>
      </c>
      <c r="B577" t="s">
        <v>896</v>
      </c>
      <c r="C577" t="s">
        <v>1717</v>
      </c>
      <c r="D577">
        <v>687118</v>
      </c>
      <c r="E577" t="s">
        <v>422</v>
      </c>
    </row>
    <row r="578" spans="1:5">
      <c r="A578" t="s">
        <v>1710</v>
      </c>
      <c r="B578" t="s">
        <v>896</v>
      </c>
      <c r="C578" t="s">
        <v>1718</v>
      </c>
      <c r="D578">
        <v>532285</v>
      </c>
      <c r="E578" t="s">
        <v>62</v>
      </c>
    </row>
    <row r="579" spans="1:5">
      <c r="A579" t="s">
        <v>1710</v>
      </c>
      <c r="B579" t="s">
        <v>896</v>
      </c>
      <c r="C579" t="s">
        <v>1719</v>
      </c>
      <c r="D579">
        <v>721932</v>
      </c>
      <c r="E579" t="s">
        <v>451</v>
      </c>
    </row>
    <row r="580" spans="1:5">
      <c r="A580" t="s">
        <v>1710</v>
      </c>
      <c r="B580" t="s">
        <v>896</v>
      </c>
      <c r="C580" t="s">
        <v>1720</v>
      </c>
      <c r="D580">
        <v>686972</v>
      </c>
      <c r="E580" t="s">
        <v>417</v>
      </c>
    </row>
    <row r="581" spans="1:5">
      <c r="A581" t="s">
        <v>1710</v>
      </c>
      <c r="B581" t="s">
        <v>896</v>
      </c>
      <c r="C581" t="s">
        <v>1721</v>
      </c>
      <c r="D581">
        <v>687118</v>
      </c>
      <c r="E581" t="s">
        <v>422</v>
      </c>
    </row>
    <row r="582" spans="1:5">
      <c r="A582" t="s">
        <v>1722</v>
      </c>
      <c r="B582" t="s">
        <v>896</v>
      </c>
      <c r="C582" t="s">
        <v>1723</v>
      </c>
      <c r="D582">
        <v>476617</v>
      </c>
      <c r="E582" t="s">
        <v>493</v>
      </c>
    </row>
    <row r="583" spans="1:5">
      <c r="A583" t="s">
        <v>1722</v>
      </c>
      <c r="B583" t="s">
        <v>896</v>
      </c>
      <c r="C583" t="s">
        <v>1724</v>
      </c>
      <c r="D583">
        <v>761889</v>
      </c>
      <c r="E583" t="s">
        <v>381</v>
      </c>
    </row>
    <row r="584" spans="1:5">
      <c r="A584" t="s">
        <v>1722</v>
      </c>
      <c r="B584" t="s">
        <v>896</v>
      </c>
      <c r="C584" t="s">
        <v>1725</v>
      </c>
      <c r="D584">
        <v>789902</v>
      </c>
      <c r="E584" t="s">
        <v>485</v>
      </c>
    </row>
    <row r="585" spans="1:5">
      <c r="A585" t="s">
        <v>1722</v>
      </c>
      <c r="B585" t="s">
        <v>896</v>
      </c>
      <c r="C585" t="s">
        <v>1726</v>
      </c>
      <c r="D585">
        <v>583731</v>
      </c>
      <c r="E585" t="s">
        <v>740</v>
      </c>
    </row>
    <row r="586" spans="1:5">
      <c r="A586" t="s">
        <v>1722</v>
      </c>
      <c r="B586" t="s">
        <v>896</v>
      </c>
      <c r="C586" t="s">
        <v>1727</v>
      </c>
      <c r="D586">
        <v>803118</v>
      </c>
      <c r="E586" t="s">
        <v>590</v>
      </c>
    </row>
    <row r="587" spans="1:5">
      <c r="A587" t="s">
        <v>1722</v>
      </c>
      <c r="B587" t="s">
        <v>896</v>
      </c>
      <c r="C587" t="s">
        <v>1728</v>
      </c>
      <c r="D587">
        <v>11467</v>
      </c>
      <c r="E587" t="s">
        <v>756</v>
      </c>
    </row>
    <row r="588" spans="1:5">
      <c r="A588" t="s">
        <v>1722</v>
      </c>
      <c r="B588" t="s">
        <v>896</v>
      </c>
      <c r="C588" t="s">
        <v>1729</v>
      </c>
      <c r="D588">
        <v>967920</v>
      </c>
      <c r="E588" t="s">
        <v>499</v>
      </c>
    </row>
    <row r="589" spans="1:5">
      <c r="A589" t="s">
        <v>1722</v>
      </c>
      <c r="B589" t="s">
        <v>896</v>
      </c>
      <c r="C589" t="s">
        <v>1730</v>
      </c>
      <c r="D589">
        <v>11467</v>
      </c>
      <c r="E589" t="s">
        <v>756</v>
      </c>
    </row>
    <row r="590" spans="1:5">
      <c r="A590" t="s">
        <v>1722</v>
      </c>
      <c r="B590" t="s">
        <v>896</v>
      </c>
      <c r="C590" t="s">
        <v>1731</v>
      </c>
      <c r="D590">
        <v>803535</v>
      </c>
      <c r="E590" t="s">
        <v>729</v>
      </c>
    </row>
    <row r="591" spans="1:5">
      <c r="A591" t="s">
        <v>1722</v>
      </c>
      <c r="B591" t="s">
        <v>896</v>
      </c>
      <c r="C591" t="s">
        <v>1732</v>
      </c>
      <c r="D591">
        <v>774526</v>
      </c>
      <c r="E591" t="s">
        <v>772</v>
      </c>
    </row>
    <row r="592" spans="1:5">
      <c r="A592" t="s">
        <v>1722</v>
      </c>
      <c r="B592" t="s">
        <v>896</v>
      </c>
      <c r="C592" t="s">
        <v>1733</v>
      </c>
      <c r="D592">
        <v>761889</v>
      </c>
      <c r="E592" t="s">
        <v>381</v>
      </c>
    </row>
    <row r="593" spans="1:5">
      <c r="A593" t="s">
        <v>1722</v>
      </c>
      <c r="B593" t="s">
        <v>896</v>
      </c>
      <c r="C593" t="s">
        <v>1734</v>
      </c>
      <c r="D593">
        <v>583731</v>
      </c>
      <c r="E593" t="s">
        <v>740</v>
      </c>
    </row>
    <row r="594" spans="1:5">
      <c r="A594" t="s">
        <v>1722</v>
      </c>
      <c r="B594" t="s">
        <v>896</v>
      </c>
      <c r="C594" t="s">
        <v>1735</v>
      </c>
      <c r="D594">
        <v>476617</v>
      </c>
      <c r="E594" t="s">
        <v>493</v>
      </c>
    </row>
    <row r="595" spans="1:5">
      <c r="A595" t="s">
        <v>1722</v>
      </c>
      <c r="B595" t="s">
        <v>896</v>
      </c>
      <c r="C595" t="s">
        <v>1736</v>
      </c>
      <c r="D595">
        <v>774526</v>
      </c>
      <c r="E595" t="s">
        <v>772</v>
      </c>
    </row>
    <row r="596" spans="1:5">
      <c r="A596" t="s">
        <v>1722</v>
      </c>
      <c r="B596" t="s">
        <v>896</v>
      </c>
      <c r="C596" t="s">
        <v>1737</v>
      </c>
      <c r="D596">
        <v>803535</v>
      </c>
      <c r="E596" t="s">
        <v>729</v>
      </c>
    </row>
    <row r="597" spans="1:5">
      <c r="A597" t="s">
        <v>1722</v>
      </c>
      <c r="B597" t="s">
        <v>896</v>
      </c>
      <c r="C597" t="s">
        <v>1738</v>
      </c>
      <c r="D597">
        <v>774526</v>
      </c>
      <c r="E597" t="s">
        <v>772</v>
      </c>
    </row>
    <row r="598" spans="1:5">
      <c r="A598" t="s">
        <v>1722</v>
      </c>
      <c r="B598" t="s">
        <v>896</v>
      </c>
      <c r="C598" t="s">
        <v>1739</v>
      </c>
      <c r="D598">
        <v>11467</v>
      </c>
      <c r="E598" t="s">
        <v>756</v>
      </c>
    </row>
    <row r="599" spans="1:5">
      <c r="A599" t="s">
        <v>1722</v>
      </c>
      <c r="B599" t="s">
        <v>896</v>
      </c>
      <c r="C599" t="s">
        <v>1740</v>
      </c>
      <c r="D599">
        <v>964211</v>
      </c>
      <c r="E599" t="s">
        <v>1379</v>
      </c>
    </row>
    <row r="600" spans="1:5">
      <c r="A600" t="s">
        <v>1722</v>
      </c>
      <c r="B600" t="s">
        <v>896</v>
      </c>
      <c r="C600" t="s">
        <v>1741</v>
      </c>
      <c r="D600">
        <v>803535</v>
      </c>
      <c r="E600" t="s">
        <v>729</v>
      </c>
    </row>
    <row r="601" spans="1:5">
      <c r="A601" t="s">
        <v>1722</v>
      </c>
      <c r="B601" t="s">
        <v>896</v>
      </c>
      <c r="C601" t="s">
        <v>1742</v>
      </c>
      <c r="D601">
        <v>761889</v>
      </c>
      <c r="E601" t="s">
        <v>381</v>
      </c>
    </row>
    <row r="602" spans="1:5">
      <c r="A602" t="s">
        <v>1743</v>
      </c>
      <c r="B602" t="s">
        <v>896</v>
      </c>
      <c r="C602" t="s">
        <v>1744</v>
      </c>
      <c r="D602">
        <v>854317</v>
      </c>
      <c r="E602" t="s">
        <v>734</v>
      </c>
    </row>
    <row r="603" spans="1:5">
      <c r="A603" t="s">
        <v>1743</v>
      </c>
      <c r="B603" t="s">
        <v>896</v>
      </c>
      <c r="C603" t="s">
        <v>1745</v>
      </c>
      <c r="D603">
        <v>948789</v>
      </c>
      <c r="E603" t="s">
        <v>212</v>
      </c>
    </row>
    <row r="604" spans="1:5">
      <c r="A604" t="s">
        <v>1743</v>
      </c>
      <c r="B604" t="s">
        <v>896</v>
      </c>
      <c r="C604" t="s">
        <v>1746</v>
      </c>
      <c r="D604">
        <v>755301</v>
      </c>
      <c r="E604" t="s">
        <v>192</v>
      </c>
    </row>
    <row r="605" spans="1:5">
      <c r="A605" t="s">
        <v>1743</v>
      </c>
      <c r="B605" t="s">
        <v>896</v>
      </c>
      <c r="C605" t="s">
        <v>1747</v>
      </c>
      <c r="D605">
        <v>429425</v>
      </c>
      <c r="E605" t="s">
        <v>694</v>
      </c>
    </row>
    <row r="606" spans="1:5">
      <c r="A606" t="s">
        <v>1743</v>
      </c>
      <c r="B606" t="s">
        <v>896</v>
      </c>
      <c r="C606" t="s">
        <v>1748</v>
      </c>
      <c r="D606">
        <v>948789</v>
      </c>
      <c r="E606" t="s">
        <v>212</v>
      </c>
    </row>
    <row r="607" spans="1:5">
      <c r="A607" t="s">
        <v>1743</v>
      </c>
      <c r="B607" t="s">
        <v>896</v>
      </c>
      <c r="C607" t="s">
        <v>1749</v>
      </c>
      <c r="D607">
        <v>854317</v>
      </c>
      <c r="E607" t="s">
        <v>734</v>
      </c>
    </row>
    <row r="608" spans="1:5">
      <c r="A608" t="s">
        <v>1743</v>
      </c>
      <c r="B608" t="s">
        <v>896</v>
      </c>
      <c r="C608" t="s">
        <v>1750</v>
      </c>
      <c r="D608">
        <v>943909</v>
      </c>
      <c r="E608" t="s">
        <v>674</v>
      </c>
    </row>
    <row r="609" spans="1:5">
      <c r="A609" t="s">
        <v>1743</v>
      </c>
      <c r="B609" t="s">
        <v>896</v>
      </c>
      <c r="C609" t="s">
        <v>1751</v>
      </c>
      <c r="D609">
        <v>943909</v>
      </c>
      <c r="E609" t="s">
        <v>674</v>
      </c>
    </row>
    <row r="610" spans="1:5">
      <c r="A610" t="s">
        <v>1743</v>
      </c>
      <c r="B610" t="s">
        <v>896</v>
      </c>
      <c r="C610" t="s">
        <v>1752</v>
      </c>
      <c r="D610">
        <v>765474</v>
      </c>
      <c r="E610" t="s">
        <v>48</v>
      </c>
    </row>
    <row r="611" spans="1:5">
      <c r="A611" t="s">
        <v>1743</v>
      </c>
      <c r="B611" t="s">
        <v>896</v>
      </c>
      <c r="C611" t="s">
        <v>1753</v>
      </c>
      <c r="D611">
        <v>593512</v>
      </c>
      <c r="E611" t="s">
        <v>120</v>
      </c>
    </row>
    <row r="612" spans="1:5">
      <c r="A612" t="s">
        <v>1743</v>
      </c>
      <c r="B612" t="s">
        <v>896</v>
      </c>
      <c r="C612" t="s">
        <v>1754</v>
      </c>
      <c r="D612">
        <v>755301</v>
      </c>
      <c r="E612" t="s">
        <v>192</v>
      </c>
    </row>
    <row r="613" spans="1:5">
      <c r="A613" t="s">
        <v>1743</v>
      </c>
      <c r="B613" t="s">
        <v>896</v>
      </c>
      <c r="C613" t="s">
        <v>1755</v>
      </c>
      <c r="D613">
        <v>560546</v>
      </c>
      <c r="E613" t="s">
        <v>318</v>
      </c>
    </row>
    <row r="614" spans="1:5">
      <c r="A614" t="s">
        <v>1743</v>
      </c>
      <c r="B614" t="s">
        <v>896</v>
      </c>
      <c r="C614" t="s">
        <v>1756</v>
      </c>
      <c r="D614">
        <v>854317</v>
      </c>
      <c r="E614" t="s">
        <v>734</v>
      </c>
    </row>
    <row r="615" spans="1:5">
      <c r="A615" t="s">
        <v>1743</v>
      </c>
      <c r="B615" t="s">
        <v>896</v>
      </c>
      <c r="C615" t="s">
        <v>1757</v>
      </c>
      <c r="D615">
        <v>557897</v>
      </c>
      <c r="E615" t="s">
        <v>18</v>
      </c>
    </row>
    <row r="616" spans="1:5">
      <c r="A616" t="s">
        <v>1743</v>
      </c>
      <c r="B616" t="s">
        <v>896</v>
      </c>
      <c r="C616" t="s">
        <v>1758</v>
      </c>
      <c r="D616">
        <v>597434</v>
      </c>
      <c r="E616" t="s">
        <v>47</v>
      </c>
    </row>
    <row r="617" spans="1:5">
      <c r="A617" t="s">
        <v>1743</v>
      </c>
      <c r="B617" t="s">
        <v>896</v>
      </c>
      <c r="C617" t="s">
        <v>1759</v>
      </c>
      <c r="D617">
        <v>809076</v>
      </c>
      <c r="E617" t="s">
        <v>813</v>
      </c>
    </row>
    <row r="618" spans="1:5">
      <c r="A618" t="s">
        <v>1743</v>
      </c>
      <c r="B618" t="s">
        <v>896</v>
      </c>
      <c r="C618" t="s">
        <v>1760</v>
      </c>
      <c r="D618">
        <v>854317</v>
      </c>
      <c r="E618" t="s">
        <v>734</v>
      </c>
    </row>
    <row r="619" spans="1:5">
      <c r="A619" t="s">
        <v>1743</v>
      </c>
      <c r="B619" t="s">
        <v>896</v>
      </c>
      <c r="C619" t="s">
        <v>1761</v>
      </c>
      <c r="D619">
        <v>560546</v>
      </c>
      <c r="E619" t="s">
        <v>318</v>
      </c>
    </row>
    <row r="620" spans="1:5">
      <c r="A620" t="s">
        <v>1743</v>
      </c>
      <c r="B620" t="s">
        <v>896</v>
      </c>
      <c r="C620" t="s">
        <v>1762</v>
      </c>
      <c r="D620">
        <v>486886</v>
      </c>
      <c r="E620" t="s">
        <v>29</v>
      </c>
    </row>
    <row r="621" spans="1:5">
      <c r="A621" t="s">
        <v>1743</v>
      </c>
      <c r="B621" t="s">
        <v>896</v>
      </c>
      <c r="C621" t="s">
        <v>1763</v>
      </c>
      <c r="D621">
        <v>723096</v>
      </c>
      <c r="E621" t="s">
        <v>768</v>
      </c>
    </row>
    <row r="622" spans="1:5">
      <c r="A622" t="s">
        <v>1743</v>
      </c>
      <c r="B622" t="s">
        <v>896</v>
      </c>
      <c r="C622" t="s">
        <v>1764</v>
      </c>
      <c r="D622">
        <v>828379</v>
      </c>
      <c r="E622" t="s">
        <v>287</v>
      </c>
    </row>
    <row r="623" spans="1:5">
      <c r="A623" t="s">
        <v>1743</v>
      </c>
      <c r="B623" t="s">
        <v>896</v>
      </c>
      <c r="C623" t="s">
        <v>1765</v>
      </c>
      <c r="D623">
        <v>593512</v>
      </c>
      <c r="E623" t="s">
        <v>120</v>
      </c>
    </row>
    <row r="624" spans="1:5">
      <c r="A624" t="s">
        <v>1743</v>
      </c>
      <c r="B624" t="s">
        <v>896</v>
      </c>
      <c r="C624" t="s">
        <v>1766</v>
      </c>
      <c r="D624">
        <v>755301</v>
      </c>
      <c r="E624" t="s">
        <v>192</v>
      </c>
    </row>
    <row r="625" spans="1:5">
      <c r="A625" t="s">
        <v>1743</v>
      </c>
      <c r="B625" t="s">
        <v>896</v>
      </c>
      <c r="C625" t="s">
        <v>1767</v>
      </c>
      <c r="D625">
        <v>348165</v>
      </c>
      <c r="E625" t="s">
        <v>35</v>
      </c>
    </row>
    <row r="626" spans="1:5">
      <c r="A626" t="s">
        <v>1743</v>
      </c>
      <c r="B626" t="s">
        <v>896</v>
      </c>
      <c r="C626" t="s">
        <v>1768</v>
      </c>
      <c r="D626">
        <v>943909</v>
      </c>
      <c r="E626" t="s">
        <v>674</v>
      </c>
    </row>
    <row r="627" spans="1:5">
      <c r="A627" t="s">
        <v>1743</v>
      </c>
      <c r="B627" t="s">
        <v>896</v>
      </c>
      <c r="C627" t="s">
        <v>1769</v>
      </c>
      <c r="D627">
        <v>723096</v>
      </c>
      <c r="E627" t="s">
        <v>768</v>
      </c>
    </row>
    <row r="628" spans="1:5">
      <c r="A628" t="s">
        <v>1770</v>
      </c>
      <c r="B628" t="s">
        <v>896</v>
      </c>
      <c r="C628" t="s">
        <v>958</v>
      </c>
      <c r="D628">
        <v>237426</v>
      </c>
      <c r="E628" t="s">
        <v>708</v>
      </c>
    </row>
    <row r="629" spans="1:5">
      <c r="A629" t="s">
        <v>1770</v>
      </c>
      <c r="B629" t="s">
        <v>896</v>
      </c>
      <c r="C629" t="s">
        <v>959</v>
      </c>
      <c r="D629">
        <v>614883</v>
      </c>
      <c r="E629" t="s">
        <v>340</v>
      </c>
    </row>
    <row r="630" spans="1:5">
      <c r="A630" t="s">
        <v>1770</v>
      </c>
      <c r="B630" t="s">
        <v>896</v>
      </c>
      <c r="C630" t="s">
        <v>961</v>
      </c>
      <c r="D630">
        <v>384287</v>
      </c>
      <c r="E630" t="s">
        <v>236</v>
      </c>
    </row>
    <row r="631" spans="1:5">
      <c r="A631" t="s">
        <v>1770</v>
      </c>
      <c r="B631" t="s">
        <v>896</v>
      </c>
      <c r="C631" t="s">
        <v>961</v>
      </c>
      <c r="D631">
        <v>933107</v>
      </c>
      <c r="E631" t="s">
        <v>1458</v>
      </c>
    </row>
    <row r="632" spans="1:5">
      <c r="A632" t="s">
        <v>1770</v>
      </c>
      <c r="B632" t="s">
        <v>896</v>
      </c>
      <c r="C632" t="s">
        <v>962</v>
      </c>
      <c r="D632">
        <v>452434</v>
      </c>
      <c r="E632" t="s">
        <v>554</v>
      </c>
    </row>
    <row r="633" spans="1:5">
      <c r="A633" t="s">
        <v>1770</v>
      </c>
      <c r="B633" t="s">
        <v>896</v>
      </c>
      <c r="C633" t="s">
        <v>963</v>
      </c>
      <c r="D633">
        <v>875441</v>
      </c>
      <c r="E633" t="s">
        <v>160</v>
      </c>
    </row>
    <row r="634" spans="1:5">
      <c r="A634" t="s">
        <v>1770</v>
      </c>
      <c r="B634" t="s">
        <v>896</v>
      </c>
      <c r="C634" t="s">
        <v>964</v>
      </c>
      <c r="D634">
        <v>661416</v>
      </c>
      <c r="E634" t="s">
        <v>211</v>
      </c>
    </row>
    <row r="635" spans="1:5">
      <c r="A635" t="s">
        <v>1770</v>
      </c>
      <c r="B635" t="s">
        <v>896</v>
      </c>
      <c r="C635" t="s">
        <v>1771</v>
      </c>
      <c r="D635">
        <v>614883</v>
      </c>
      <c r="E635" t="s">
        <v>340</v>
      </c>
    </row>
    <row r="636" spans="1:5">
      <c r="A636" t="s">
        <v>1770</v>
      </c>
      <c r="B636" t="s">
        <v>896</v>
      </c>
      <c r="C636" t="s">
        <v>966</v>
      </c>
      <c r="D636">
        <v>139259</v>
      </c>
      <c r="E636" t="s">
        <v>488</v>
      </c>
    </row>
    <row r="637" spans="1:5">
      <c r="A637" t="s">
        <v>1770</v>
      </c>
      <c r="B637" t="s">
        <v>896</v>
      </c>
      <c r="C637" t="s">
        <v>1772</v>
      </c>
      <c r="D637">
        <v>343330</v>
      </c>
      <c r="E637" t="s">
        <v>117</v>
      </c>
    </row>
    <row r="638" spans="1:5">
      <c r="A638" t="s">
        <v>1770</v>
      </c>
      <c r="B638" t="s">
        <v>896</v>
      </c>
      <c r="C638" t="s">
        <v>1772</v>
      </c>
      <c r="D638">
        <v>626186</v>
      </c>
      <c r="E638" t="s">
        <v>579</v>
      </c>
    </row>
    <row r="639" spans="1:5">
      <c r="A639" t="s">
        <v>1770</v>
      </c>
      <c r="B639" t="s">
        <v>896</v>
      </c>
      <c r="C639" t="s">
        <v>968</v>
      </c>
      <c r="D639">
        <v>343330</v>
      </c>
      <c r="E639" t="s">
        <v>117</v>
      </c>
    </row>
    <row r="640" spans="1:5">
      <c r="A640" t="s">
        <v>1770</v>
      </c>
      <c r="B640" t="s">
        <v>896</v>
      </c>
      <c r="C640" t="s">
        <v>969</v>
      </c>
      <c r="D640">
        <v>933107</v>
      </c>
      <c r="E640" t="s">
        <v>1458</v>
      </c>
    </row>
    <row r="641" spans="1:5">
      <c r="A641" t="s">
        <v>1770</v>
      </c>
      <c r="B641" t="s">
        <v>896</v>
      </c>
      <c r="C641" t="s">
        <v>970</v>
      </c>
      <c r="D641">
        <v>661416</v>
      </c>
      <c r="E641" t="s">
        <v>211</v>
      </c>
    </row>
    <row r="642" spans="1:5">
      <c r="A642" t="s">
        <v>1770</v>
      </c>
      <c r="B642" t="s">
        <v>896</v>
      </c>
      <c r="C642" t="s">
        <v>972</v>
      </c>
      <c r="D642">
        <v>959536</v>
      </c>
      <c r="E642" t="s">
        <v>796</v>
      </c>
    </row>
    <row r="643" spans="1:5">
      <c r="A643" t="s">
        <v>1770</v>
      </c>
      <c r="B643" t="s">
        <v>896</v>
      </c>
      <c r="C643" t="s">
        <v>973</v>
      </c>
      <c r="D643">
        <v>959536</v>
      </c>
      <c r="E643" t="s">
        <v>796</v>
      </c>
    </row>
    <row r="644" spans="1:5">
      <c r="A644" t="s">
        <v>1770</v>
      </c>
      <c r="B644" t="s">
        <v>896</v>
      </c>
      <c r="C644" t="s">
        <v>975</v>
      </c>
      <c r="D644">
        <v>343330</v>
      </c>
      <c r="E644" t="s">
        <v>117</v>
      </c>
    </row>
    <row r="645" spans="1:5">
      <c r="A645" t="s">
        <v>1770</v>
      </c>
      <c r="B645" t="s">
        <v>896</v>
      </c>
      <c r="C645" t="s">
        <v>975</v>
      </c>
      <c r="D645">
        <v>933107</v>
      </c>
      <c r="E645" t="s">
        <v>1458</v>
      </c>
    </row>
    <row r="646" spans="1:5">
      <c r="A646" t="s">
        <v>1770</v>
      </c>
      <c r="B646" t="s">
        <v>896</v>
      </c>
      <c r="C646" t="s">
        <v>976</v>
      </c>
      <c r="D646">
        <v>926434</v>
      </c>
      <c r="E646" t="s">
        <v>407</v>
      </c>
    </row>
    <row r="647" spans="1:5">
      <c r="A647" t="s">
        <v>1770</v>
      </c>
      <c r="B647" t="s">
        <v>896</v>
      </c>
      <c r="C647" t="s">
        <v>977</v>
      </c>
      <c r="D647">
        <v>75350</v>
      </c>
      <c r="E647" t="s">
        <v>391</v>
      </c>
    </row>
    <row r="648" spans="1:5">
      <c r="A648" t="s">
        <v>1770</v>
      </c>
      <c r="B648" t="s">
        <v>896</v>
      </c>
      <c r="C648" t="s">
        <v>978</v>
      </c>
      <c r="D648">
        <v>384287</v>
      </c>
      <c r="E648" t="s">
        <v>236</v>
      </c>
    </row>
    <row r="649" spans="1:5">
      <c r="A649" t="s">
        <v>1770</v>
      </c>
      <c r="B649" t="s">
        <v>896</v>
      </c>
      <c r="C649" t="s">
        <v>979</v>
      </c>
      <c r="D649">
        <v>314692</v>
      </c>
      <c r="E649" t="s">
        <v>516</v>
      </c>
    </row>
    <row r="650" spans="1:5">
      <c r="A650" t="s">
        <v>1770</v>
      </c>
      <c r="B650" t="s">
        <v>896</v>
      </c>
      <c r="C650" t="s">
        <v>980</v>
      </c>
      <c r="D650">
        <v>959536</v>
      </c>
      <c r="E650" t="s">
        <v>796</v>
      </c>
    </row>
    <row r="651" spans="1:5">
      <c r="A651" t="s">
        <v>1770</v>
      </c>
      <c r="B651" t="s">
        <v>896</v>
      </c>
      <c r="C651" t="s">
        <v>1773</v>
      </c>
      <c r="D651">
        <v>384287</v>
      </c>
      <c r="E651" t="s">
        <v>236</v>
      </c>
    </row>
    <row r="652" spans="1:5">
      <c r="A652" t="s">
        <v>1770</v>
      </c>
      <c r="B652" t="s">
        <v>896</v>
      </c>
      <c r="C652" t="s">
        <v>1774</v>
      </c>
      <c r="D652">
        <v>745275</v>
      </c>
      <c r="E652" t="s">
        <v>288</v>
      </c>
    </row>
    <row r="653" spans="1:5">
      <c r="A653" t="s">
        <v>1770</v>
      </c>
      <c r="B653" t="s">
        <v>896</v>
      </c>
      <c r="C653" t="s">
        <v>983</v>
      </c>
      <c r="D653">
        <v>926434</v>
      </c>
      <c r="E653" t="s">
        <v>407</v>
      </c>
    </row>
    <row r="654" spans="1:5">
      <c r="A654" t="s">
        <v>1770</v>
      </c>
      <c r="B654" t="s">
        <v>896</v>
      </c>
      <c r="C654" t="s">
        <v>984</v>
      </c>
      <c r="D654">
        <v>661416</v>
      </c>
      <c r="E654" t="s">
        <v>211</v>
      </c>
    </row>
    <row r="655" spans="1:5">
      <c r="A655" t="s">
        <v>1770</v>
      </c>
      <c r="B655" t="s">
        <v>896</v>
      </c>
      <c r="C655" t="s">
        <v>985</v>
      </c>
      <c r="D655">
        <v>314692</v>
      </c>
      <c r="E655" t="s">
        <v>516</v>
      </c>
    </row>
    <row r="656" spans="1:5">
      <c r="A656" t="s">
        <v>1770</v>
      </c>
      <c r="B656" t="s">
        <v>896</v>
      </c>
      <c r="C656" t="s">
        <v>986</v>
      </c>
      <c r="D656">
        <v>139259</v>
      </c>
      <c r="E656" t="s">
        <v>488</v>
      </c>
    </row>
    <row r="657" spans="1:5">
      <c r="A657" t="s">
        <v>1775</v>
      </c>
      <c r="B657" t="s">
        <v>896</v>
      </c>
      <c r="C657" t="s">
        <v>1776</v>
      </c>
      <c r="D657">
        <v>964211</v>
      </c>
      <c r="E657" t="s">
        <v>1379</v>
      </c>
    </row>
    <row r="658" spans="1:5">
      <c r="A658" t="s">
        <v>1777</v>
      </c>
      <c r="B658" t="s">
        <v>896</v>
      </c>
      <c r="C658" t="s">
        <v>1778</v>
      </c>
      <c r="D658">
        <v>127590</v>
      </c>
      <c r="E658" t="s">
        <v>162</v>
      </c>
    </row>
    <row r="659" spans="1:5">
      <c r="A659" t="s">
        <v>1777</v>
      </c>
      <c r="B659" t="s">
        <v>896</v>
      </c>
      <c r="C659" t="s">
        <v>1779</v>
      </c>
      <c r="D659">
        <v>127590</v>
      </c>
      <c r="E659" t="s">
        <v>162</v>
      </c>
    </row>
    <row r="660" spans="1:5">
      <c r="A660" t="s">
        <v>1777</v>
      </c>
      <c r="B660" t="s">
        <v>896</v>
      </c>
      <c r="C660" t="s">
        <v>1780</v>
      </c>
      <c r="D660">
        <v>127590</v>
      </c>
      <c r="E660" t="s">
        <v>162</v>
      </c>
    </row>
    <row r="661" spans="1:5">
      <c r="A661" t="s">
        <v>1777</v>
      </c>
      <c r="B661" t="s">
        <v>896</v>
      </c>
      <c r="C661" t="s">
        <v>1781</v>
      </c>
      <c r="D661">
        <v>455417</v>
      </c>
      <c r="E661" t="s">
        <v>324</v>
      </c>
    </row>
    <row r="662" spans="1:5">
      <c r="A662" t="s">
        <v>1777</v>
      </c>
      <c r="B662" t="s">
        <v>896</v>
      </c>
      <c r="C662" t="s">
        <v>1782</v>
      </c>
      <c r="D662">
        <v>315468</v>
      </c>
      <c r="E662" t="s">
        <v>1783</v>
      </c>
    </row>
    <row r="663" spans="1:5">
      <c r="A663" t="s">
        <v>1784</v>
      </c>
      <c r="B663" t="s">
        <v>896</v>
      </c>
      <c r="C663" t="s">
        <v>1389</v>
      </c>
      <c r="D663">
        <v>267168</v>
      </c>
      <c r="E663" t="s">
        <v>206</v>
      </c>
    </row>
    <row r="664" spans="1:5">
      <c r="A664" t="s">
        <v>1784</v>
      </c>
      <c r="B664" t="s">
        <v>896</v>
      </c>
      <c r="C664" t="s">
        <v>1389</v>
      </c>
      <c r="D664">
        <v>638067</v>
      </c>
      <c r="E664" t="s">
        <v>182</v>
      </c>
    </row>
    <row r="665" spans="1:5">
      <c r="A665" t="s">
        <v>1784</v>
      </c>
      <c r="B665" t="s">
        <v>896</v>
      </c>
      <c r="C665" t="s">
        <v>1389</v>
      </c>
      <c r="D665">
        <v>860818</v>
      </c>
      <c r="E665" t="s">
        <v>640</v>
      </c>
    </row>
    <row r="666" spans="1:5">
      <c r="A666" t="s">
        <v>1784</v>
      </c>
      <c r="B666" t="s">
        <v>896</v>
      </c>
      <c r="C666" t="s">
        <v>1389</v>
      </c>
      <c r="D666">
        <v>897381</v>
      </c>
      <c r="E666" t="s">
        <v>1785</v>
      </c>
    </row>
    <row r="667" spans="1:5">
      <c r="A667" t="s">
        <v>1784</v>
      </c>
      <c r="B667" t="s">
        <v>896</v>
      </c>
      <c r="C667" t="s">
        <v>1786</v>
      </c>
      <c r="D667">
        <v>860818</v>
      </c>
      <c r="E667" t="s">
        <v>640</v>
      </c>
    </row>
    <row r="668" spans="1:5">
      <c r="A668" t="s">
        <v>1784</v>
      </c>
      <c r="B668" t="s">
        <v>896</v>
      </c>
      <c r="C668" t="s">
        <v>1787</v>
      </c>
      <c r="D668">
        <v>267168</v>
      </c>
      <c r="E668" t="s">
        <v>206</v>
      </c>
    </row>
    <row r="669" spans="1:5">
      <c r="A669" t="s">
        <v>1784</v>
      </c>
      <c r="B669" t="s">
        <v>896</v>
      </c>
      <c r="C669" t="s">
        <v>1787</v>
      </c>
      <c r="D669">
        <v>620545</v>
      </c>
      <c r="E669" t="s">
        <v>126</v>
      </c>
    </row>
    <row r="670" spans="1:5">
      <c r="A670" t="s">
        <v>1784</v>
      </c>
      <c r="B670" t="s">
        <v>896</v>
      </c>
      <c r="C670" t="s">
        <v>1787</v>
      </c>
      <c r="D670">
        <v>855449</v>
      </c>
      <c r="E670" t="s">
        <v>70</v>
      </c>
    </row>
    <row r="671" spans="1:5">
      <c r="A671" t="s">
        <v>1784</v>
      </c>
      <c r="B671" t="s">
        <v>896</v>
      </c>
      <c r="C671" t="s">
        <v>1787</v>
      </c>
      <c r="D671">
        <v>845124</v>
      </c>
      <c r="E671" t="s">
        <v>474</v>
      </c>
    </row>
    <row r="672" spans="1:5">
      <c r="A672" t="s">
        <v>1784</v>
      </c>
      <c r="B672" t="s">
        <v>896</v>
      </c>
      <c r="C672" t="s">
        <v>1788</v>
      </c>
      <c r="D672">
        <v>860818</v>
      </c>
      <c r="E672" t="s">
        <v>640</v>
      </c>
    </row>
    <row r="673" spans="1:5">
      <c r="A673" t="s">
        <v>1784</v>
      </c>
      <c r="B673" t="s">
        <v>896</v>
      </c>
      <c r="C673" t="s">
        <v>1570</v>
      </c>
      <c r="D673">
        <v>267168</v>
      </c>
      <c r="E673" t="s">
        <v>206</v>
      </c>
    </row>
    <row r="674" spans="1:5">
      <c r="A674" t="s">
        <v>1784</v>
      </c>
      <c r="B674" t="s">
        <v>896</v>
      </c>
      <c r="C674" t="s">
        <v>1570</v>
      </c>
      <c r="D674">
        <v>638067</v>
      </c>
      <c r="E674" t="s">
        <v>182</v>
      </c>
    </row>
    <row r="675" spans="1:5">
      <c r="A675" t="s">
        <v>1784</v>
      </c>
      <c r="B675" t="s">
        <v>896</v>
      </c>
      <c r="C675" t="s">
        <v>1570</v>
      </c>
      <c r="D675">
        <v>914365</v>
      </c>
      <c r="E675" t="s">
        <v>513</v>
      </c>
    </row>
    <row r="676" spans="1:5">
      <c r="A676" t="s">
        <v>1789</v>
      </c>
      <c r="B676" t="s">
        <v>896</v>
      </c>
      <c r="C676" t="s">
        <v>958</v>
      </c>
      <c r="D676">
        <v>967743</v>
      </c>
      <c r="E676" t="s">
        <v>1790</v>
      </c>
    </row>
    <row r="677" spans="1:5">
      <c r="A677" t="s">
        <v>1789</v>
      </c>
      <c r="B677" t="s">
        <v>896</v>
      </c>
      <c r="C677" t="s">
        <v>961</v>
      </c>
      <c r="D677">
        <v>770790</v>
      </c>
      <c r="E677" t="s">
        <v>365</v>
      </c>
    </row>
    <row r="678" spans="1:5">
      <c r="A678" t="s">
        <v>1789</v>
      </c>
      <c r="B678" t="s">
        <v>896</v>
      </c>
      <c r="C678" t="s">
        <v>963</v>
      </c>
      <c r="D678">
        <v>648771</v>
      </c>
      <c r="E678" t="s">
        <v>619</v>
      </c>
    </row>
    <row r="679" spans="1:5">
      <c r="A679" t="s">
        <v>1789</v>
      </c>
      <c r="B679" t="s">
        <v>896</v>
      </c>
      <c r="C679" t="s">
        <v>964</v>
      </c>
      <c r="D679">
        <v>748420</v>
      </c>
      <c r="E679" t="s">
        <v>1376</v>
      </c>
    </row>
    <row r="680" spans="1:5">
      <c r="A680" t="s">
        <v>1789</v>
      </c>
      <c r="B680" t="s">
        <v>896</v>
      </c>
      <c r="C680" t="s">
        <v>1791</v>
      </c>
      <c r="D680">
        <v>806909</v>
      </c>
      <c r="E680" t="s">
        <v>769</v>
      </c>
    </row>
    <row r="681" spans="1:5">
      <c r="A681" t="s">
        <v>1789</v>
      </c>
      <c r="B681" t="s">
        <v>896</v>
      </c>
      <c r="C681" t="s">
        <v>1013</v>
      </c>
      <c r="D681">
        <v>792959</v>
      </c>
      <c r="E681" t="s">
        <v>1454</v>
      </c>
    </row>
    <row r="682" spans="1:5">
      <c r="A682" t="s">
        <v>1789</v>
      </c>
      <c r="B682" t="s">
        <v>896</v>
      </c>
      <c r="C682" t="s">
        <v>1772</v>
      </c>
      <c r="D682">
        <v>746046</v>
      </c>
      <c r="E682" t="s">
        <v>818</v>
      </c>
    </row>
    <row r="683" spans="1:5">
      <c r="A683" t="s">
        <v>1789</v>
      </c>
      <c r="B683" t="s">
        <v>896</v>
      </c>
      <c r="C683" t="s">
        <v>968</v>
      </c>
      <c r="D683">
        <v>770790</v>
      </c>
      <c r="E683" t="s">
        <v>365</v>
      </c>
    </row>
    <row r="684" spans="1:5">
      <c r="A684" t="s">
        <v>1789</v>
      </c>
      <c r="B684" t="s">
        <v>896</v>
      </c>
      <c r="C684" t="s">
        <v>972</v>
      </c>
      <c r="D684">
        <v>590233</v>
      </c>
      <c r="E684" t="s">
        <v>500</v>
      </c>
    </row>
    <row r="685" spans="1:5">
      <c r="A685" t="s">
        <v>1789</v>
      </c>
      <c r="B685" t="s">
        <v>896</v>
      </c>
      <c r="C685" t="s">
        <v>1792</v>
      </c>
      <c r="D685">
        <v>806909</v>
      </c>
      <c r="E685" t="s">
        <v>769</v>
      </c>
    </row>
    <row r="686" spans="1:5">
      <c r="A686" t="s">
        <v>1789</v>
      </c>
      <c r="B686" t="s">
        <v>896</v>
      </c>
      <c r="C686" t="s">
        <v>1020</v>
      </c>
      <c r="D686">
        <v>340877</v>
      </c>
      <c r="E686" t="s">
        <v>299</v>
      </c>
    </row>
    <row r="687" spans="1:5">
      <c r="A687" t="s">
        <v>1789</v>
      </c>
      <c r="B687" t="s">
        <v>896</v>
      </c>
      <c r="C687" t="s">
        <v>975</v>
      </c>
      <c r="D687">
        <v>828379</v>
      </c>
      <c r="E687" t="s">
        <v>287</v>
      </c>
    </row>
    <row r="688" spans="1:5">
      <c r="A688" t="s">
        <v>1789</v>
      </c>
      <c r="B688" t="s">
        <v>896</v>
      </c>
      <c r="C688" t="s">
        <v>976</v>
      </c>
      <c r="D688">
        <v>803704</v>
      </c>
      <c r="E688" t="s">
        <v>727</v>
      </c>
    </row>
    <row r="689" spans="1:5">
      <c r="A689" t="s">
        <v>1789</v>
      </c>
      <c r="B689" t="s">
        <v>896</v>
      </c>
      <c r="C689" t="s">
        <v>977</v>
      </c>
      <c r="D689">
        <v>887315</v>
      </c>
      <c r="E689" t="s">
        <v>725</v>
      </c>
    </row>
    <row r="690" spans="1:5">
      <c r="A690" t="s">
        <v>1789</v>
      </c>
      <c r="B690" t="s">
        <v>896</v>
      </c>
      <c r="C690" t="s">
        <v>978</v>
      </c>
      <c r="D690">
        <v>725703</v>
      </c>
      <c r="E690" t="s">
        <v>427</v>
      </c>
    </row>
    <row r="691" spans="1:5">
      <c r="A691" t="s">
        <v>1789</v>
      </c>
      <c r="B691" t="s">
        <v>896</v>
      </c>
      <c r="C691" t="s">
        <v>979</v>
      </c>
      <c r="D691">
        <v>803704</v>
      </c>
      <c r="E691" t="s">
        <v>727</v>
      </c>
    </row>
    <row r="692" spans="1:5">
      <c r="A692" t="s">
        <v>1789</v>
      </c>
      <c r="B692" t="s">
        <v>896</v>
      </c>
      <c r="C692" t="s">
        <v>1793</v>
      </c>
      <c r="D692">
        <v>216555</v>
      </c>
      <c r="E692" t="s">
        <v>8</v>
      </c>
    </row>
    <row r="693" spans="1:5">
      <c r="A693" t="s">
        <v>1789</v>
      </c>
      <c r="B693" t="s">
        <v>896</v>
      </c>
      <c r="C693" t="s">
        <v>1028</v>
      </c>
      <c r="D693">
        <v>858450</v>
      </c>
      <c r="E693" t="s">
        <v>764</v>
      </c>
    </row>
    <row r="694" spans="1:5">
      <c r="A694" t="s">
        <v>1789</v>
      </c>
      <c r="B694" t="s">
        <v>896</v>
      </c>
      <c r="C694" t="s">
        <v>1773</v>
      </c>
      <c r="D694">
        <v>723096</v>
      </c>
      <c r="E694" t="s">
        <v>768</v>
      </c>
    </row>
    <row r="695" spans="1:5">
      <c r="A695" t="s">
        <v>1789</v>
      </c>
      <c r="B695" t="s">
        <v>896</v>
      </c>
      <c r="C695" t="s">
        <v>982</v>
      </c>
      <c r="D695">
        <v>648771</v>
      </c>
      <c r="E695" t="s">
        <v>619</v>
      </c>
    </row>
    <row r="696" spans="1:5">
      <c r="A696" t="s">
        <v>1789</v>
      </c>
      <c r="B696" t="s">
        <v>896</v>
      </c>
      <c r="C696" t="s">
        <v>984</v>
      </c>
      <c r="D696">
        <v>804250</v>
      </c>
      <c r="E696" t="s">
        <v>145</v>
      </c>
    </row>
    <row r="697" spans="1:5">
      <c r="A697" t="s">
        <v>1789</v>
      </c>
      <c r="B697" t="s">
        <v>896</v>
      </c>
      <c r="C697" t="s">
        <v>985</v>
      </c>
      <c r="D697">
        <v>340877</v>
      </c>
      <c r="E697" t="s">
        <v>299</v>
      </c>
    </row>
    <row r="698" spans="1:5">
      <c r="A698" t="s">
        <v>1789</v>
      </c>
      <c r="B698" t="s">
        <v>896</v>
      </c>
      <c r="C698" t="s">
        <v>1794</v>
      </c>
      <c r="D698">
        <v>949198</v>
      </c>
      <c r="E698" t="s">
        <v>229</v>
      </c>
    </row>
    <row r="699" spans="1:5">
      <c r="A699" t="s">
        <v>1795</v>
      </c>
      <c r="B699" t="s">
        <v>896</v>
      </c>
      <c r="C699" t="s">
        <v>1004</v>
      </c>
      <c r="D699">
        <v>584071</v>
      </c>
      <c r="E699" t="s">
        <v>138</v>
      </c>
    </row>
    <row r="700" spans="1:5">
      <c r="A700" t="s">
        <v>1795</v>
      </c>
      <c r="B700" t="s">
        <v>896</v>
      </c>
      <c r="C700" t="s">
        <v>1005</v>
      </c>
      <c r="D700">
        <v>298763</v>
      </c>
      <c r="E700" t="s">
        <v>9</v>
      </c>
    </row>
    <row r="701" spans="1:5">
      <c r="A701" t="s">
        <v>1795</v>
      </c>
      <c r="B701" t="s">
        <v>896</v>
      </c>
      <c r="C701" t="s">
        <v>1007</v>
      </c>
      <c r="D701">
        <v>872540</v>
      </c>
      <c r="E701" t="s">
        <v>733</v>
      </c>
    </row>
    <row r="702" spans="1:5">
      <c r="A702" t="s">
        <v>1795</v>
      </c>
      <c r="B702" t="s">
        <v>896</v>
      </c>
      <c r="C702" t="s">
        <v>1008</v>
      </c>
      <c r="D702">
        <v>872540</v>
      </c>
      <c r="E702" t="s">
        <v>733</v>
      </c>
    </row>
    <row r="703" spans="1:5">
      <c r="A703" t="s">
        <v>1795</v>
      </c>
      <c r="B703" t="s">
        <v>896</v>
      </c>
      <c r="C703" t="s">
        <v>1009</v>
      </c>
      <c r="D703">
        <v>344349</v>
      </c>
      <c r="E703" t="s">
        <v>362</v>
      </c>
    </row>
    <row r="704" spans="1:5">
      <c r="A704" t="s">
        <v>1795</v>
      </c>
      <c r="B704" t="s">
        <v>896</v>
      </c>
      <c r="C704" t="s">
        <v>1010</v>
      </c>
      <c r="D704">
        <v>584071</v>
      </c>
      <c r="E704" t="s">
        <v>138</v>
      </c>
    </row>
    <row r="705" spans="1:5">
      <c r="A705" t="s">
        <v>1795</v>
      </c>
      <c r="B705" t="s">
        <v>896</v>
      </c>
      <c r="C705" t="s">
        <v>1011</v>
      </c>
      <c r="D705">
        <v>872540</v>
      </c>
      <c r="E705" t="s">
        <v>733</v>
      </c>
    </row>
    <row r="706" spans="1:5">
      <c r="A706" t="s">
        <v>1795</v>
      </c>
      <c r="B706" t="s">
        <v>896</v>
      </c>
      <c r="C706" t="s">
        <v>1012</v>
      </c>
      <c r="D706">
        <v>344349</v>
      </c>
      <c r="E706" t="s">
        <v>362</v>
      </c>
    </row>
    <row r="707" spans="1:5">
      <c r="A707" t="s">
        <v>1795</v>
      </c>
      <c r="B707" t="s">
        <v>896</v>
      </c>
      <c r="C707" t="s">
        <v>1014</v>
      </c>
      <c r="D707">
        <v>495533</v>
      </c>
      <c r="E707" t="s">
        <v>147</v>
      </c>
    </row>
    <row r="708" spans="1:5">
      <c r="A708" t="s">
        <v>1795</v>
      </c>
      <c r="B708" t="s">
        <v>896</v>
      </c>
      <c r="C708" t="s">
        <v>1015</v>
      </c>
      <c r="D708">
        <v>617808</v>
      </c>
      <c r="E708" t="s">
        <v>34</v>
      </c>
    </row>
    <row r="709" spans="1:5">
      <c r="A709" t="s">
        <v>1795</v>
      </c>
      <c r="B709" t="s">
        <v>896</v>
      </c>
      <c r="C709" t="s">
        <v>1016</v>
      </c>
      <c r="D709">
        <v>664967</v>
      </c>
      <c r="E709" t="s">
        <v>812</v>
      </c>
    </row>
    <row r="710" spans="1:5">
      <c r="A710" t="s">
        <v>1795</v>
      </c>
      <c r="B710" t="s">
        <v>896</v>
      </c>
      <c r="C710" t="s">
        <v>1017</v>
      </c>
      <c r="D710">
        <v>872540</v>
      </c>
      <c r="E710" t="s">
        <v>733</v>
      </c>
    </row>
    <row r="711" spans="1:5">
      <c r="A711" t="s">
        <v>1795</v>
      </c>
      <c r="B711" t="s">
        <v>896</v>
      </c>
      <c r="C711" t="s">
        <v>1018</v>
      </c>
      <c r="D711">
        <v>814017</v>
      </c>
      <c r="E711" t="s">
        <v>696</v>
      </c>
    </row>
    <row r="712" spans="1:5">
      <c r="A712" t="s">
        <v>1795</v>
      </c>
      <c r="B712" t="s">
        <v>896</v>
      </c>
      <c r="C712" t="s">
        <v>1019</v>
      </c>
      <c r="D712">
        <v>320478</v>
      </c>
      <c r="E712" t="s">
        <v>101</v>
      </c>
    </row>
    <row r="713" spans="1:5">
      <c r="A713" t="s">
        <v>1795</v>
      </c>
      <c r="B713" t="s">
        <v>896</v>
      </c>
      <c r="C713" t="s">
        <v>1021</v>
      </c>
      <c r="D713">
        <v>175002</v>
      </c>
      <c r="E713" t="s">
        <v>197</v>
      </c>
    </row>
    <row r="714" spans="1:5">
      <c r="A714" t="s">
        <v>1795</v>
      </c>
      <c r="B714" t="s">
        <v>896</v>
      </c>
      <c r="C714" t="s">
        <v>1022</v>
      </c>
      <c r="D714">
        <v>617808</v>
      </c>
      <c r="E714" t="s">
        <v>34</v>
      </c>
    </row>
    <row r="715" spans="1:5">
      <c r="A715" t="s">
        <v>1795</v>
      </c>
      <c r="B715" t="s">
        <v>896</v>
      </c>
      <c r="C715" t="s">
        <v>1023</v>
      </c>
      <c r="D715">
        <v>495533</v>
      </c>
      <c r="E715" t="s">
        <v>147</v>
      </c>
    </row>
    <row r="716" spans="1:5">
      <c r="A716" t="s">
        <v>1795</v>
      </c>
      <c r="B716" t="s">
        <v>896</v>
      </c>
      <c r="C716" t="s">
        <v>1024</v>
      </c>
      <c r="D716">
        <v>584071</v>
      </c>
      <c r="E716" t="s">
        <v>138</v>
      </c>
    </row>
    <row r="717" spans="1:5">
      <c r="A717" t="s">
        <v>1795</v>
      </c>
      <c r="B717" t="s">
        <v>896</v>
      </c>
      <c r="C717" t="s">
        <v>1025</v>
      </c>
      <c r="D717">
        <v>872540</v>
      </c>
      <c r="E717" t="s">
        <v>733</v>
      </c>
    </row>
    <row r="718" spans="1:5">
      <c r="A718" t="s">
        <v>1795</v>
      </c>
      <c r="B718" t="s">
        <v>896</v>
      </c>
      <c r="C718" t="s">
        <v>1027</v>
      </c>
      <c r="D718">
        <v>968584</v>
      </c>
      <c r="E718" t="s">
        <v>143</v>
      </c>
    </row>
    <row r="719" spans="1:5">
      <c r="A719" t="s">
        <v>1795</v>
      </c>
      <c r="B719" t="s">
        <v>896</v>
      </c>
      <c r="C719" t="s">
        <v>1029</v>
      </c>
      <c r="D719">
        <v>872540</v>
      </c>
      <c r="E719" t="s">
        <v>733</v>
      </c>
    </row>
    <row r="720" spans="1:5">
      <c r="A720" t="s">
        <v>1795</v>
      </c>
      <c r="B720" t="s">
        <v>896</v>
      </c>
      <c r="C720" t="s">
        <v>1030</v>
      </c>
      <c r="D720">
        <v>872540</v>
      </c>
      <c r="E720" t="s">
        <v>733</v>
      </c>
    </row>
    <row r="721" spans="1:5">
      <c r="A721" t="s">
        <v>1795</v>
      </c>
      <c r="B721" t="s">
        <v>896</v>
      </c>
      <c r="C721" t="s">
        <v>1031</v>
      </c>
      <c r="D721">
        <v>584071</v>
      </c>
      <c r="E721" t="s">
        <v>138</v>
      </c>
    </row>
    <row r="722" spans="1:5">
      <c r="A722" t="s">
        <v>1795</v>
      </c>
      <c r="B722" t="s">
        <v>896</v>
      </c>
      <c r="C722" t="s">
        <v>1033</v>
      </c>
      <c r="D722">
        <v>814017</v>
      </c>
      <c r="E722" t="s">
        <v>696</v>
      </c>
    </row>
    <row r="723" spans="1:5">
      <c r="A723" t="s">
        <v>1795</v>
      </c>
      <c r="B723" t="s">
        <v>896</v>
      </c>
      <c r="C723" t="s">
        <v>1034</v>
      </c>
      <c r="D723">
        <v>872540</v>
      </c>
      <c r="E723" t="s">
        <v>733</v>
      </c>
    </row>
    <row r="724" spans="1:5">
      <c r="A724" t="s">
        <v>1796</v>
      </c>
      <c r="B724" t="s">
        <v>896</v>
      </c>
      <c r="C724" t="s">
        <v>1797</v>
      </c>
      <c r="D724">
        <v>681494</v>
      </c>
      <c r="E724" t="s">
        <v>535</v>
      </c>
    </row>
    <row r="725" spans="1:5">
      <c r="A725" t="s">
        <v>1796</v>
      </c>
      <c r="B725" t="s">
        <v>896</v>
      </c>
      <c r="C725" t="s">
        <v>1798</v>
      </c>
      <c r="D725">
        <v>510212</v>
      </c>
      <c r="E725" t="s">
        <v>293</v>
      </c>
    </row>
    <row r="726" spans="1:5">
      <c r="A726" t="s">
        <v>1796</v>
      </c>
      <c r="B726" t="s">
        <v>896</v>
      </c>
      <c r="C726" t="s">
        <v>1799</v>
      </c>
      <c r="D726">
        <v>610944</v>
      </c>
      <c r="E726" t="s">
        <v>1210</v>
      </c>
    </row>
    <row r="727" spans="1:5">
      <c r="A727" t="s">
        <v>1796</v>
      </c>
      <c r="B727" t="s">
        <v>896</v>
      </c>
      <c r="C727" t="s">
        <v>1799</v>
      </c>
      <c r="D727">
        <v>923674</v>
      </c>
      <c r="E727" t="s">
        <v>663</v>
      </c>
    </row>
    <row r="728" spans="1:5">
      <c r="A728" t="s">
        <v>1796</v>
      </c>
      <c r="B728" t="s">
        <v>896</v>
      </c>
      <c r="C728" t="s">
        <v>1800</v>
      </c>
      <c r="D728">
        <v>510212</v>
      </c>
      <c r="E728" t="s">
        <v>293</v>
      </c>
    </row>
    <row r="729" spans="1:5">
      <c r="A729" t="s">
        <v>1801</v>
      </c>
      <c r="B729" t="s">
        <v>896</v>
      </c>
      <c r="C729" t="s">
        <v>1802</v>
      </c>
      <c r="D729">
        <v>974730</v>
      </c>
      <c r="E729" t="s">
        <v>93</v>
      </c>
    </row>
    <row r="730" spans="1:5">
      <c r="A730" t="s">
        <v>1801</v>
      </c>
      <c r="B730" t="s">
        <v>896</v>
      </c>
      <c r="C730" t="s">
        <v>1803</v>
      </c>
      <c r="D730">
        <v>552211</v>
      </c>
      <c r="E730" t="s">
        <v>75</v>
      </c>
    </row>
    <row r="731" spans="1:5">
      <c r="A731" t="s">
        <v>1801</v>
      </c>
      <c r="B731" t="s">
        <v>896</v>
      </c>
      <c r="C731" t="s">
        <v>1804</v>
      </c>
      <c r="D731">
        <v>964211</v>
      </c>
      <c r="E731" t="s">
        <v>1379</v>
      </c>
    </row>
    <row r="732" spans="1:5">
      <c r="A732" t="s">
        <v>1801</v>
      </c>
      <c r="B732" t="s">
        <v>896</v>
      </c>
      <c r="C732" t="s">
        <v>1805</v>
      </c>
      <c r="D732">
        <v>803118</v>
      </c>
      <c r="E732" t="s">
        <v>590</v>
      </c>
    </row>
    <row r="733" spans="1:5">
      <c r="A733" t="s">
        <v>1801</v>
      </c>
      <c r="B733" t="s">
        <v>896</v>
      </c>
      <c r="C733" t="s">
        <v>1806</v>
      </c>
      <c r="D733">
        <v>866328</v>
      </c>
      <c r="E733" t="s">
        <v>583</v>
      </c>
    </row>
    <row r="734" spans="1:5">
      <c r="A734" t="s">
        <v>1801</v>
      </c>
      <c r="B734" t="s">
        <v>896</v>
      </c>
      <c r="C734" t="s">
        <v>1807</v>
      </c>
      <c r="D734">
        <v>542923</v>
      </c>
      <c r="E734" t="s">
        <v>32</v>
      </c>
    </row>
    <row r="735" spans="1:5">
      <c r="A735" t="s">
        <v>1801</v>
      </c>
      <c r="B735" t="s">
        <v>896</v>
      </c>
      <c r="C735" t="s">
        <v>1808</v>
      </c>
      <c r="D735">
        <v>964211</v>
      </c>
      <c r="E735" t="s">
        <v>1379</v>
      </c>
    </row>
    <row r="736" spans="1:5">
      <c r="A736" t="s">
        <v>1801</v>
      </c>
      <c r="B736" t="s">
        <v>896</v>
      </c>
      <c r="C736" t="s">
        <v>1809</v>
      </c>
      <c r="D736">
        <v>587311</v>
      </c>
      <c r="E736" t="s">
        <v>399</v>
      </c>
    </row>
    <row r="737" spans="1:5">
      <c r="A737" t="s">
        <v>1801</v>
      </c>
      <c r="B737" t="s">
        <v>896</v>
      </c>
      <c r="C737" t="s">
        <v>1810</v>
      </c>
      <c r="D737">
        <v>803118</v>
      </c>
      <c r="E737" t="s">
        <v>590</v>
      </c>
    </row>
    <row r="738" spans="1:5">
      <c r="A738" t="s">
        <v>1801</v>
      </c>
      <c r="B738" t="s">
        <v>896</v>
      </c>
      <c r="C738" t="s">
        <v>1810</v>
      </c>
      <c r="D738">
        <v>803535</v>
      </c>
      <c r="E738" t="s">
        <v>729</v>
      </c>
    </row>
    <row r="739" spans="1:5">
      <c r="A739" t="s">
        <v>1801</v>
      </c>
      <c r="B739" t="s">
        <v>896</v>
      </c>
      <c r="C739" t="s">
        <v>1811</v>
      </c>
      <c r="D739">
        <v>613604</v>
      </c>
      <c r="E739" t="s">
        <v>219</v>
      </c>
    </row>
    <row r="740" spans="1:5">
      <c r="A740" t="s">
        <v>1801</v>
      </c>
      <c r="B740" t="s">
        <v>896</v>
      </c>
      <c r="C740" t="s">
        <v>1812</v>
      </c>
      <c r="D740">
        <v>866328</v>
      </c>
      <c r="E740" t="s">
        <v>583</v>
      </c>
    </row>
    <row r="741" spans="1:5">
      <c r="A741" t="s">
        <v>1801</v>
      </c>
      <c r="B741" t="s">
        <v>896</v>
      </c>
      <c r="C741" t="s">
        <v>1813</v>
      </c>
      <c r="D741">
        <v>542923</v>
      </c>
      <c r="E741" t="s">
        <v>32</v>
      </c>
    </row>
    <row r="742" spans="1:5">
      <c r="A742" t="s">
        <v>1801</v>
      </c>
      <c r="B742" t="s">
        <v>896</v>
      </c>
      <c r="C742" t="s">
        <v>1813</v>
      </c>
      <c r="D742">
        <v>910139</v>
      </c>
      <c r="E742" t="s">
        <v>215</v>
      </c>
    </row>
    <row r="743" spans="1:5">
      <c r="A743" t="s">
        <v>1801</v>
      </c>
      <c r="B743" t="s">
        <v>896</v>
      </c>
      <c r="C743" t="s">
        <v>1814</v>
      </c>
      <c r="D743">
        <v>571329</v>
      </c>
      <c r="E743" t="s">
        <v>319</v>
      </c>
    </row>
    <row r="744" spans="1:5">
      <c r="A744" t="s">
        <v>1801</v>
      </c>
      <c r="B744" t="s">
        <v>896</v>
      </c>
      <c r="C744" t="s">
        <v>1814</v>
      </c>
      <c r="D744">
        <v>803118</v>
      </c>
      <c r="E744" t="s">
        <v>590</v>
      </c>
    </row>
    <row r="745" spans="1:5">
      <c r="A745" t="s">
        <v>1801</v>
      </c>
      <c r="B745" t="s">
        <v>896</v>
      </c>
      <c r="C745" t="s">
        <v>1815</v>
      </c>
      <c r="D745">
        <v>803118</v>
      </c>
      <c r="E745" t="s">
        <v>590</v>
      </c>
    </row>
    <row r="746" spans="1:5">
      <c r="A746" t="s">
        <v>1801</v>
      </c>
      <c r="B746" t="s">
        <v>896</v>
      </c>
      <c r="C746" t="s">
        <v>1816</v>
      </c>
      <c r="D746">
        <v>866328</v>
      </c>
      <c r="E746" t="s">
        <v>583</v>
      </c>
    </row>
    <row r="747" spans="1:5">
      <c r="A747" t="s">
        <v>1801</v>
      </c>
      <c r="B747" t="s">
        <v>896</v>
      </c>
      <c r="C747" t="s">
        <v>1817</v>
      </c>
      <c r="D747">
        <v>803118</v>
      </c>
      <c r="E747" t="s">
        <v>590</v>
      </c>
    </row>
    <row r="748" spans="1:5">
      <c r="A748" t="s">
        <v>1801</v>
      </c>
      <c r="B748" t="s">
        <v>896</v>
      </c>
      <c r="C748" t="s">
        <v>1817</v>
      </c>
      <c r="D748">
        <v>803535</v>
      </c>
      <c r="E748" t="s">
        <v>729</v>
      </c>
    </row>
    <row r="749" spans="1:5">
      <c r="A749" t="s">
        <v>1801</v>
      </c>
      <c r="B749" t="s">
        <v>896</v>
      </c>
      <c r="C749" t="s">
        <v>1818</v>
      </c>
      <c r="D749">
        <v>542923</v>
      </c>
      <c r="E749" t="s">
        <v>32</v>
      </c>
    </row>
    <row r="750" spans="1:5">
      <c r="A750" t="s">
        <v>1801</v>
      </c>
      <c r="B750" t="s">
        <v>896</v>
      </c>
      <c r="C750" t="s">
        <v>1819</v>
      </c>
      <c r="D750">
        <v>552211</v>
      </c>
      <c r="E750" t="s">
        <v>75</v>
      </c>
    </row>
    <row r="751" spans="1:5">
      <c r="A751" t="s">
        <v>1801</v>
      </c>
      <c r="B751" t="s">
        <v>896</v>
      </c>
      <c r="C751" t="s">
        <v>1819</v>
      </c>
      <c r="D751">
        <v>671569</v>
      </c>
      <c r="E751" t="s">
        <v>33</v>
      </c>
    </row>
    <row r="752" spans="1:5">
      <c r="A752" t="s">
        <v>1801</v>
      </c>
      <c r="B752" t="s">
        <v>896</v>
      </c>
      <c r="C752" t="s">
        <v>1820</v>
      </c>
      <c r="D752">
        <v>803118</v>
      </c>
      <c r="E752" t="s">
        <v>590</v>
      </c>
    </row>
    <row r="753" spans="1:5">
      <c r="A753" t="s">
        <v>1801</v>
      </c>
      <c r="B753" t="s">
        <v>896</v>
      </c>
      <c r="C753" t="s">
        <v>1820</v>
      </c>
      <c r="D753">
        <v>331144</v>
      </c>
      <c r="E753" t="s">
        <v>273</v>
      </c>
    </row>
    <row r="754" spans="1:5">
      <c r="A754" t="s">
        <v>1801</v>
      </c>
      <c r="B754" t="s">
        <v>896</v>
      </c>
      <c r="C754" t="s">
        <v>1821</v>
      </c>
      <c r="D754">
        <v>392247</v>
      </c>
      <c r="E754" t="s">
        <v>532</v>
      </c>
    </row>
    <row r="755" spans="1:5">
      <c r="A755" t="s">
        <v>1801</v>
      </c>
      <c r="B755" t="s">
        <v>896</v>
      </c>
      <c r="C755" t="s">
        <v>1822</v>
      </c>
      <c r="D755">
        <v>866328</v>
      </c>
      <c r="E755" t="s">
        <v>583</v>
      </c>
    </row>
    <row r="756" spans="1:5">
      <c r="A756" t="s">
        <v>1801</v>
      </c>
      <c r="B756" t="s">
        <v>896</v>
      </c>
      <c r="C756" t="s">
        <v>1823</v>
      </c>
      <c r="D756">
        <v>542923</v>
      </c>
      <c r="E756" t="s">
        <v>32</v>
      </c>
    </row>
    <row r="757" spans="1:5">
      <c r="A757" t="s">
        <v>1801</v>
      </c>
      <c r="B757" t="s">
        <v>896</v>
      </c>
      <c r="C757" t="s">
        <v>1824</v>
      </c>
      <c r="D757">
        <v>921659</v>
      </c>
      <c r="E757" t="s">
        <v>356</v>
      </c>
    </row>
    <row r="758" spans="1:5">
      <c r="A758" t="s">
        <v>1801</v>
      </c>
      <c r="B758" t="s">
        <v>896</v>
      </c>
      <c r="C758" t="s">
        <v>1825</v>
      </c>
      <c r="D758">
        <v>964211</v>
      </c>
      <c r="E758" t="s">
        <v>1379</v>
      </c>
    </row>
    <row r="759" spans="1:5">
      <c r="A759" t="s">
        <v>1801</v>
      </c>
      <c r="B759" t="s">
        <v>896</v>
      </c>
      <c r="C759" t="s">
        <v>1825</v>
      </c>
      <c r="D759">
        <v>571329</v>
      </c>
      <c r="E759" t="s">
        <v>319</v>
      </c>
    </row>
    <row r="760" spans="1:5">
      <c r="A760" t="s">
        <v>1826</v>
      </c>
      <c r="B760" t="s">
        <v>896</v>
      </c>
      <c r="C760" t="s">
        <v>1467</v>
      </c>
      <c r="D760">
        <v>875441</v>
      </c>
      <c r="E760" t="s">
        <v>160</v>
      </c>
    </row>
    <row r="761" spans="1:5">
      <c r="A761" t="s">
        <v>1826</v>
      </c>
      <c r="B761" t="s">
        <v>896</v>
      </c>
      <c r="C761" t="s">
        <v>1467</v>
      </c>
      <c r="D761">
        <v>466400</v>
      </c>
      <c r="E761" t="s">
        <v>304</v>
      </c>
    </row>
    <row r="762" spans="1:5">
      <c r="A762" t="s">
        <v>1826</v>
      </c>
      <c r="B762" t="s">
        <v>896</v>
      </c>
      <c r="C762" t="s">
        <v>1827</v>
      </c>
      <c r="D762">
        <v>470624</v>
      </c>
      <c r="E762" t="s">
        <v>525</v>
      </c>
    </row>
    <row r="763" spans="1:5">
      <c r="A763" t="s">
        <v>1826</v>
      </c>
      <c r="B763" t="s">
        <v>896</v>
      </c>
      <c r="C763" t="s">
        <v>1573</v>
      </c>
      <c r="D763">
        <v>340877</v>
      </c>
      <c r="E763" t="s">
        <v>299</v>
      </c>
    </row>
    <row r="764" spans="1:5">
      <c r="A764" t="s">
        <v>1826</v>
      </c>
      <c r="B764" t="s">
        <v>896</v>
      </c>
      <c r="C764" t="s">
        <v>1573</v>
      </c>
      <c r="D764">
        <v>175002</v>
      </c>
      <c r="E764" t="s">
        <v>197</v>
      </c>
    </row>
    <row r="765" spans="1:5">
      <c r="A765" t="s">
        <v>1826</v>
      </c>
      <c r="B765" t="s">
        <v>896</v>
      </c>
      <c r="C765" t="s">
        <v>1573</v>
      </c>
      <c r="D765">
        <v>343330</v>
      </c>
      <c r="E765" t="s">
        <v>117</v>
      </c>
    </row>
    <row r="766" spans="1:5">
      <c r="A766" t="s">
        <v>1826</v>
      </c>
      <c r="B766" t="s">
        <v>896</v>
      </c>
      <c r="C766" t="s">
        <v>1573</v>
      </c>
      <c r="D766">
        <v>875441</v>
      </c>
      <c r="E766" t="s">
        <v>160</v>
      </c>
    </row>
    <row r="767" spans="1:5">
      <c r="A767" t="s">
        <v>1826</v>
      </c>
      <c r="B767" t="s">
        <v>896</v>
      </c>
      <c r="C767" t="s">
        <v>1468</v>
      </c>
      <c r="D767">
        <v>872540</v>
      </c>
      <c r="E767" t="s">
        <v>733</v>
      </c>
    </row>
    <row r="768" spans="1:5">
      <c r="A768" t="s">
        <v>1826</v>
      </c>
      <c r="B768" t="s">
        <v>896</v>
      </c>
      <c r="C768" t="s">
        <v>1468</v>
      </c>
      <c r="D768">
        <v>875441</v>
      </c>
      <c r="E768" t="s">
        <v>160</v>
      </c>
    </row>
    <row r="769" spans="1:5">
      <c r="A769" t="s">
        <v>1826</v>
      </c>
      <c r="B769" t="s">
        <v>896</v>
      </c>
      <c r="C769" t="s">
        <v>1055</v>
      </c>
      <c r="D769">
        <v>967743</v>
      </c>
      <c r="E769" t="s">
        <v>87</v>
      </c>
    </row>
    <row r="770" spans="1:5">
      <c r="A770" t="s">
        <v>1826</v>
      </c>
      <c r="B770" t="s">
        <v>896</v>
      </c>
      <c r="C770" t="s">
        <v>1055</v>
      </c>
      <c r="D770">
        <v>967569</v>
      </c>
      <c r="E770" t="s">
        <v>617</v>
      </c>
    </row>
    <row r="771" spans="1:5">
      <c r="A771" t="s">
        <v>1826</v>
      </c>
      <c r="B771" t="s">
        <v>896</v>
      </c>
      <c r="C771" t="s">
        <v>1828</v>
      </c>
      <c r="D771">
        <v>960559</v>
      </c>
      <c r="E771" t="s">
        <v>403</v>
      </c>
    </row>
    <row r="772" spans="1:5">
      <c r="A772" t="s">
        <v>1826</v>
      </c>
      <c r="B772" t="s">
        <v>896</v>
      </c>
      <c r="C772" t="s">
        <v>1469</v>
      </c>
      <c r="D772">
        <v>875441</v>
      </c>
      <c r="E772" t="s">
        <v>160</v>
      </c>
    </row>
    <row r="773" spans="1:5">
      <c r="A773" t="s">
        <v>1826</v>
      </c>
      <c r="B773" t="s">
        <v>896</v>
      </c>
      <c r="C773" t="s">
        <v>1469</v>
      </c>
      <c r="D773">
        <v>610944</v>
      </c>
      <c r="E773" t="s">
        <v>1210</v>
      </c>
    </row>
    <row r="774" spans="1:5">
      <c r="A774" t="s">
        <v>1826</v>
      </c>
      <c r="B774" t="s">
        <v>896</v>
      </c>
      <c r="C774" t="s">
        <v>1829</v>
      </c>
      <c r="D774">
        <v>746181</v>
      </c>
      <c r="E774" t="s">
        <v>1830</v>
      </c>
    </row>
    <row r="775" spans="1:5">
      <c r="A775" t="s">
        <v>1826</v>
      </c>
      <c r="B775" t="s">
        <v>896</v>
      </c>
      <c r="C775" t="s">
        <v>1056</v>
      </c>
      <c r="D775">
        <v>610944</v>
      </c>
      <c r="E775" t="s">
        <v>1210</v>
      </c>
    </row>
    <row r="776" spans="1:5">
      <c r="A776" t="s">
        <v>1826</v>
      </c>
      <c r="B776" t="s">
        <v>896</v>
      </c>
      <c r="C776" t="s">
        <v>1056</v>
      </c>
      <c r="D776">
        <v>425464</v>
      </c>
      <c r="E776" t="s">
        <v>235</v>
      </c>
    </row>
    <row r="777" spans="1:5">
      <c r="A777" t="s">
        <v>1826</v>
      </c>
      <c r="B777" t="s">
        <v>896</v>
      </c>
      <c r="C777" t="s">
        <v>1056</v>
      </c>
      <c r="D777">
        <v>578846</v>
      </c>
      <c r="E777" t="s">
        <v>810</v>
      </c>
    </row>
    <row r="778" spans="1:5">
      <c r="A778" t="s">
        <v>1826</v>
      </c>
      <c r="B778" t="s">
        <v>896</v>
      </c>
      <c r="C778" t="s">
        <v>1831</v>
      </c>
      <c r="D778">
        <v>898849</v>
      </c>
      <c r="E778" t="s">
        <v>301</v>
      </c>
    </row>
    <row r="779" spans="1:5">
      <c r="A779" t="s">
        <v>1826</v>
      </c>
      <c r="B779" t="s">
        <v>896</v>
      </c>
      <c r="C779" t="s">
        <v>1470</v>
      </c>
      <c r="D779">
        <v>466400</v>
      </c>
      <c r="E779" t="s">
        <v>304</v>
      </c>
    </row>
    <row r="780" spans="1:5">
      <c r="A780" t="s">
        <v>1826</v>
      </c>
      <c r="B780" t="s">
        <v>896</v>
      </c>
      <c r="C780" t="s">
        <v>1832</v>
      </c>
      <c r="D780">
        <v>960559</v>
      </c>
      <c r="E780" t="s">
        <v>403</v>
      </c>
    </row>
    <row r="781" spans="1:5">
      <c r="A781" t="s">
        <v>1826</v>
      </c>
      <c r="B781" t="s">
        <v>896</v>
      </c>
      <c r="C781" t="s">
        <v>1833</v>
      </c>
      <c r="D781">
        <v>326161</v>
      </c>
      <c r="E781" t="s">
        <v>104</v>
      </c>
    </row>
    <row r="782" spans="1:5">
      <c r="A782" t="s">
        <v>1826</v>
      </c>
      <c r="B782" t="s">
        <v>896</v>
      </c>
      <c r="C782" t="s">
        <v>1058</v>
      </c>
      <c r="D782">
        <v>806909</v>
      </c>
      <c r="E782" t="s">
        <v>769</v>
      </c>
    </row>
    <row r="783" spans="1:5">
      <c r="A783" t="s">
        <v>1826</v>
      </c>
      <c r="B783" t="s">
        <v>896</v>
      </c>
      <c r="C783" t="s">
        <v>1058</v>
      </c>
      <c r="D783">
        <v>872540</v>
      </c>
      <c r="E783" t="s">
        <v>733</v>
      </c>
    </row>
    <row r="784" spans="1:5">
      <c r="A784" t="s">
        <v>1826</v>
      </c>
      <c r="B784" t="s">
        <v>896</v>
      </c>
      <c r="C784" t="s">
        <v>1834</v>
      </c>
      <c r="D784">
        <v>267168</v>
      </c>
      <c r="E784" t="s">
        <v>206</v>
      </c>
    </row>
    <row r="785" spans="1:5">
      <c r="A785" t="s">
        <v>1826</v>
      </c>
      <c r="B785" t="s">
        <v>896</v>
      </c>
      <c r="C785" t="s">
        <v>1059</v>
      </c>
      <c r="D785">
        <v>343330</v>
      </c>
      <c r="E785" t="s">
        <v>117</v>
      </c>
    </row>
    <row r="786" spans="1:5">
      <c r="A786" t="s">
        <v>1826</v>
      </c>
      <c r="B786" t="s">
        <v>896</v>
      </c>
      <c r="C786" t="s">
        <v>1059</v>
      </c>
      <c r="D786">
        <v>872540</v>
      </c>
      <c r="E786" t="s">
        <v>733</v>
      </c>
    </row>
    <row r="787" spans="1:5">
      <c r="A787" t="s">
        <v>1826</v>
      </c>
      <c r="B787" t="s">
        <v>896</v>
      </c>
      <c r="C787" t="s">
        <v>1835</v>
      </c>
      <c r="D787">
        <v>773189</v>
      </c>
      <c r="E787" t="s">
        <v>618</v>
      </c>
    </row>
    <row r="788" spans="1:5">
      <c r="A788" t="s">
        <v>1826</v>
      </c>
      <c r="B788" t="s">
        <v>896</v>
      </c>
      <c r="C788" t="s">
        <v>1577</v>
      </c>
      <c r="D788">
        <v>477040</v>
      </c>
      <c r="E788" t="s">
        <v>442</v>
      </c>
    </row>
    <row r="789" spans="1:5">
      <c r="A789" t="s">
        <v>1826</v>
      </c>
      <c r="B789" t="s">
        <v>896</v>
      </c>
      <c r="C789" t="s">
        <v>1577</v>
      </c>
      <c r="D789">
        <v>455603</v>
      </c>
      <c r="E789" t="s">
        <v>711</v>
      </c>
    </row>
    <row r="790" spans="1:5">
      <c r="A790" t="s">
        <v>1826</v>
      </c>
      <c r="B790" t="s">
        <v>896</v>
      </c>
      <c r="C790" t="s">
        <v>1836</v>
      </c>
      <c r="D790">
        <v>154044</v>
      </c>
      <c r="E790" t="s">
        <v>266</v>
      </c>
    </row>
    <row r="791" spans="1:5">
      <c r="A791" t="s">
        <v>1826</v>
      </c>
      <c r="B791" t="s">
        <v>896</v>
      </c>
      <c r="C791" t="s">
        <v>1471</v>
      </c>
      <c r="D791">
        <v>828379</v>
      </c>
      <c r="E791" t="s">
        <v>287</v>
      </c>
    </row>
    <row r="792" spans="1:5">
      <c r="A792" t="s">
        <v>1826</v>
      </c>
      <c r="B792" t="s">
        <v>896</v>
      </c>
      <c r="C792" t="s">
        <v>1471</v>
      </c>
      <c r="D792">
        <v>340877</v>
      </c>
      <c r="E792" t="s">
        <v>299</v>
      </c>
    </row>
    <row r="793" spans="1:5">
      <c r="A793" t="s">
        <v>1826</v>
      </c>
      <c r="B793" t="s">
        <v>896</v>
      </c>
      <c r="C793" t="s">
        <v>1837</v>
      </c>
      <c r="D793">
        <v>470624</v>
      </c>
      <c r="E793" t="s">
        <v>525</v>
      </c>
    </row>
    <row r="794" spans="1:5">
      <c r="A794" t="s">
        <v>1826</v>
      </c>
      <c r="B794" t="s">
        <v>896</v>
      </c>
      <c r="C794" t="s">
        <v>1060</v>
      </c>
      <c r="D794">
        <v>439207</v>
      </c>
      <c r="E794" t="s">
        <v>131</v>
      </c>
    </row>
    <row r="795" spans="1:5">
      <c r="A795" t="s">
        <v>1826</v>
      </c>
      <c r="B795" t="s">
        <v>896</v>
      </c>
      <c r="C795" t="s">
        <v>1838</v>
      </c>
      <c r="D795">
        <v>955121</v>
      </c>
      <c r="E795" t="s">
        <v>611</v>
      </c>
    </row>
    <row r="796" spans="1:5">
      <c r="A796" t="s">
        <v>1826</v>
      </c>
      <c r="B796" t="s">
        <v>896</v>
      </c>
      <c r="C796" t="s">
        <v>1472</v>
      </c>
      <c r="D796">
        <v>875441</v>
      </c>
      <c r="E796" t="s">
        <v>160</v>
      </c>
    </row>
    <row r="797" spans="1:5">
      <c r="A797" t="s">
        <v>1826</v>
      </c>
      <c r="B797" t="s">
        <v>896</v>
      </c>
      <c r="C797" t="s">
        <v>1839</v>
      </c>
      <c r="D797">
        <v>157111</v>
      </c>
      <c r="E797" t="s">
        <v>459</v>
      </c>
    </row>
    <row r="798" spans="1:5">
      <c r="A798" t="s">
        <v>1826</v>
      </c>
      <c r="B798" t="s">
        <v>896</v>
      </c>
      <c r="C798" t="s">
        <v>1840</v>
      </c>
      <c r="D798">
        <v>944892</v>
      </c>
      <c r="E798" t="s">
        <v>948</v>
      </c>
    </row>
    <row r="799" spans="1:5">
      <c r="A799" t="s">
        <v>1826</v>
      </c>
      <c r="B799" t="s">
        <v>896</v>
      </c>
      <c r="C799" t="s">
        <v>1061</v>
      </c>
      <c r="D799">
        <v>900975</v>
      </c>
      <c r="E799" t="s">
        <v>412</v>
      </c>
    </row>
    <row r="800" spans="1:5">
      <c r="A800" t="s">
        <v>1826</v>
      </c>
      <c r="B800" t="s">
        <v>896</v>
      </c>
      <c r="C800" t="s">
        <v>1061</v>
      </c>
      <c r="D800">
        <v>378759</v>
      </c>
      <c r="E800" t="s">
        <v>389</v>
      </c>
    </row>
    <row r="801" spans="1:5">
      <c r="A801" t="s">
        <v>1826</v>
      </c>
      <c r="B801" t="s">
        <v>896</v>
      </c>
      <c r="C801" t="s">
        <v>1061</v>
      </c>
      <c r="D801">
        <v>875441</v>
      </c>
      <c r="E801" t="s">
        <v>160</v>
      </c>
    </row>
    <row r="802" spans="1:5">
      <c r="A802" t="s">
        <v>1826</v>
      </c>
      <c r="B802" t="s">
        <v>896</v>
      </c>
      <c r="C802" t="s">
        <v>1841</v>
      </c>
      <c r="D802">
        <v>693099</v>
      </c>
      <c r="E802" t="s">
        <v>461</v>
      </c>
    </row>
    <row r="803" spans="1:5">
      <c r="A803" t="s">
        <v>1826</v>
      </c>
      <c r="B803" t="s">
        <v>896</v>
      </c>
      <c r="C803" t="s">
        <v>1579</v>
      </c>
      <c r="D803">
        <v>578846</v>
      </c>
      <c r="E803" t="s">
        <v>810</v>
      </c>
    </row>
    <row r="804" spans="1:5">
      <c r="A804" t="s">
        <v>1826</v>
      </c>
      <c r="B804" t="s">
        <v>896</v>
      </c>
      <c r="C804" t="s">
        <v>1842</v>
      </c>
      <c r="D804">
        <v>470624</v>
      </c>
      <c r="E804" t="s">
        <v>525</v>
      </c>
    </row>
    <row r="805" spans="1:5">
      <c r="A805" t="s">
        <v>1826</v>
      </c>
      <c r="B805" t="s">
        <v>896</v>
      </c>
      <c r="C805" t="s">
        <v>1842</v>
      </c>
      <c r="D805">
        <v>806909</v>
      </c>
      <c r="E805" t="s">
        <v>769</v>
      </c>
    </row>
    <row r="806" spans="1:5">
      <c r="A806" t="s">
        <v>1826</v>
      </c>
      <c r="B806" t="s">
        <v>896</v>
      </c>
      <c r="C806" t="s">
        <v>1473</v>
      </c>
      <c r="D806">
        <v>872540</v>
      </c>
      <c r="E806" t="s">
        <v>733</v>
      </c>
    </row>
    <row r="807" spans="1:5">
      <c r="A807" t="s">
        <v>1826</v>
      </c>
      <c r="B807" t="s">
        <v>896</v>
      </c>
      <c r="C807" t="s">
        <v>1473</v>
      </c>
      <c r="D807">
        <v>466400</v>
      </c>
      <c r="E807" t="s">
        <v>304</v>
      </c>
    </row>
    <row r="808" spans="1:5">
      <c r="A808" t="s">
        <v>1843</v>
      </c>
      <c r="B808" t="s">
        <v>896</v>
      </c>
      <c r="C808" t="s">
        <v>1844</v>
      </c>
      <c r="D808">
        <v>618122</v>
      </c>
      <c r="E808" t="s">
        <v>783</v>
      </c>
    </row>
    <row r="809" spans="1:5">
      <c r="A809" t="s">
        <v>1843</v>
      </c>
      <c r="B809" t="s">
        <v>896</v>
      </c>
      <c r="C809" t="s">
        <v>1845</v>
      </c>
      <c r="D809">
        <v>618122</v>
      </c>
      <c r="E809" t="s">
        <v>783</v>
      </c>
    </row>
    <row r="810" spans="1:5">
      <c r="A810" t="s">
        <v>1843</v>
      </c>
      <c r="B810" t="s">
        <v>896</v>
      </c>
      <c r="C810" t="s">
        <v>1846</v>
      </c>
      <c r="D810">
        <v>974730</v>
      </c>
      <c r="E810" t="s">
        <v>93</v>
      </c>
    </row>
    <row r="811" spans="1:5">
      <c r="A811" t="s">
        <v>1843</v>
      </c>
      <c r="B811" t="s">
        <v>896</v>
      </c>
      <c r="C811" t="s">
        <v>1847</v>
      </c>
      <c r="D811">
        <v>872540</v>
      </c>
      <c r="E811" t="s">
        <v>733</v>
      </c>
    </row>
    <row r="812" spans="1:5">
      <c r="A812" t="s">
        <v>1843</v>
      </c>
      <c r="B812" t="s">
        <v>896</v>
      </c>
      <c r="C812" t="s">
        <v>1848</v>
      </c>
      <c r="D812">
        <v>618122</v>
      </c>
      <c r="E812" t="s">
        <v>783</v>
      </c>
    </row>
    <row r="813" spans="1:5">
      <c r="A813" t="s">
        <v>1843</v>
      </c>
      <c r="B813" t="s">
        <v>896</v>
      </c>
      <c r="C813" t="s">
        <v>1849</v>
      </c>
      <c r="D813">
        <v>618122</v>
      </c>
      <c r="E813" t="s">
        <v>783</v>
      </c>
    </row>
    <row r="814" spans="1:5">
      <c r="A814" t="s">
        <v>1843</v>
      </c>
      <c r="B814" t="s">
        <v>896</v>
      </c>
      <c r="C814" t="s">
        <v>1727</v>
      </c>
      <c r="D814">
        <v>872540</v>
      </c>
      <c r="E814" t="s">
        <v>733</v>
      </c>
    </row>
    <row r="815" spans="1:5">
      <c r="A815" t="s">
        <v>1843</v>
      </c>
      <c r="B815" t="s">
        <v>896</v>
      </c>
      <c r="C815" t="s">
        <v>1850</v>
      </c>
      <c r="D815">
        <v>618122</v>
      </c>
      <c r="E815" t="s">
        <v>783</v>
      </c>
    </row>
    <row r="816" spans="1:5">
      <c r="A816" t="s">
        <v>1843</v>
      </c>
      <c r="B816" t="s">
        <v>896</v>
      </c>
      <c r="C816" t="s">
        <v>1851</v>
      </c>
      <c r="D816">
        <v>974730</v>
      </c>
      <c r="E816" t="s">
        <v>93</v>
      </c>
    </row>
    <row r="817" spans="1:5">
      <c r="A817" t="s">
        <v>1843</v>
      </c>
      <c r="B817" t="s">
        <v>896</v>
      </c>
      <c r="C817" t="s">
        <v>1852</v>
      </c>
      <c r="D817">
        <v>872540</v>
      </c>
      <c r="E817" t="s">
        <v>733</v>
      </c>
    </row>
    <row r="818" spans="1:5">
      <c r="A818" t="s">
        <v>1843</v>
      </c>
      <c r="B818" t="s">
        <v>896</v>
      </c>
      <c r="C818" t="s">
        <v>1853</v>
      </c>
      <c r="D818">
        <v>571329</v>
      </c>
      <c r="E818" t="s">
        <v>319</v>
      </c>
    </row>
    <row r="819" spans="1:5">
      <c r="A819" t="s">
        <v>1843</v>
      </c>
      <c r="B819" t="s">
        <v>896</v>
      </c>
      <c r="C819" t="s">
        <v>1732</v>
      </c>
      <c r="D819">
        <v>872540</v>
      </c>
      <c r="E819" t="s">
        <v>733</v>
      </c>
    </row>
    <row r="820" spans="1:5">
      <c r="A820" t="s">
        <v>1843</v>
      </c>
      <c r="B820" t="s">
        <v>896</v>
      </c>
      <c r="C820" t="s">
        <v>1854</v>
      </c>
      <c r="D820">
        <v>459115</v>
      </c>
      <c r="E820" t="s">
        <v>631</v>
      </c>
    </row>
    <row r="821" spans="1:5">
      <c r="A821" t="s">
        <v>1843</v>
      </c>
      <c r="B821" t="s">
        <v>896</v>
      </c>
      <c r="C821" t="s">
        <v>1855</v>
      </c>
      <c r="D821">
        <v>571329</v>
      </c>
      <c r="E821" t="s">
        <v>319</v>
      </c>
    </row>
    <row r="822" spans="1:5">
      <c r="A822" t="s">
        <v>1843</v>
      </c>
      <c r="B822" t="s">
        <v>896</v>
      </c>
      <c r="C822" t="s">
        <v>1856</v>
      </c>
      <c r="D822">
        <v>872540</v>
      </c>
      <c r="E822" t="s">
        <v>733</v>
      </c>
    </row>
    <row r="823" spans="1:5">
      <c r="A823" t="s">
        <v>1843</v>
      </c>
      <c r="B823" t="s">
        <v>896</v>
      </c>
      <c r="C823" t="s">
        <v>1857</v>
      </c>
      <c r="D823">
        <v>904795</v>
      </c>
      <c r="E823" t="s">
        <v>971</v>
      </c>
    </row>
    <row r="824" spans="1:5">
      <c r="A824" t="s">
        <v>1843</v>
      </c>
      <c r="B824" t="s">
        <v>896</v>
      </c>
      <c r="C824" t="s">
        <v>1737</v>
      </c>
      <c r="D824">
        <v>331144</v>
      </c>
      <c r="E824" t="s">
        <v>273</v>
      </c>
    </row>
    <row r="825" spans="1:5">
      <c r="A825" t="s">
        <v>1843</v>
      </c>
      <c r="B825" t="s">
        <v>896</v>
      </c>
      <c r="C825" t="s">
        <v>1858</v>
      </c>
      <c r="D825">
        <v>904795</v>
      </c>
      <c r="E825" t="s">
        <v>971</v>
      </c>
    </row>
    <row r="826" spans="1:5">
      <c r="A826" t="s">
        <v>1843</v>
      </c>
      <c r="B826" t="s">
        <v>896</v>
      </c>
      <c r="C826" t="s">
        <v>1859</v>
      </c>
      <c r="D826">
        <v>872540</v>
      </c>
      <c r="E826" t="s">
        <v>733</v>
      </c>
    </row>
    <row r="827" spans="1:5">
      <c r="A827" t="s">
        <v>1843</v>
      </c>
      <c r="B827" t="s">
        <v>896</v>
      </c>
      <c r="C827" t="s">
        <v>1860</v>
      </c>
      <c r="D827">
        <v>872540</v>
      </c>
      <c r="E827" t="s">
        <v>733</v>
      </c>
    </row>
    <row r="828" spans="1:5">
      <c r="A828" t="s">
        <v>1843</v>
      </c>
      <c r="B828" t="s">
        <v>896</v>
      </c>
      <c r="C828" t="s">
        <v>1861</v>
      </c>
      <c r="D828">
        <v>974730</v>
      </c>
      <c r="E828" t="s">
        <v>93</v>
      </c>
    </row>
    <row r="829" spans="1:5">
      <c r="A829" t="s">
        <v>1843</v>
      </c>
      <c r="B829" t="s">
        <v>896</v>
      </c>
      <c r="C829" t="s">
        <v>1742</v>
      </c>
      <c r="D829">
        <v>618122</v>
      </c>
      <c r="E829" t="s">
        <v>783</v>
      </c>
    </row>
    <row r="830" spans="1:5">
      <c r="A830" t="s">
        <v>1862</v>
      </c>
      <c r="B830" t="s">
        <v>896</v>
      </c>
      <c r="C830" t="s">
        <v>1863</v>
      </c>
      <c r="D830">
        <v>765474</v>
      </c>
      <c r="E830" t="s">
        <v>48</v>
      </c>
    </row>
    <row r="831" spans="1:5">
      <c r="A831" t="s">
        <v>1862</v>
      </c>
      <c r="B831" t="s">
        <v>896</v>
      </c>
      <c r="C831" t="s">
        <v>1864</v>
      </c>
      <c r="D831">
        <v>888948</v>
      </c>
      <c r="E831" t="s">
        <v>801</v>
      </c>
    </row>
    <row r="832" spans="1:5">
      <c r="A832" t="s">
        <v>1862</v>
      </c>
      <c r="B832" t="s">
        <v>896</v>
      </c>
      <c r="C832" t="s">
        <v>1865</v>
      </c>
      <c r="D832">
        <v>368256</v>
      </c>
      <c r="E832" t="s">
        <v>661</v>
      </c>
    </row>
    <row r="833" spans="1:5">
      <c r="A833" t="s">
        <v>1862</v>
      </c>
      <c r="B833" t="s">
        <v>896</v>
      </c>
      <c r="C833" t="s">
        <v>1866</v>
      </c>
      <c r="D833">
        <v>802419</v>
      </c>
      <c r="E833" t="s">
        <v>647</v>
      </c>
    </row>
    <row r="834" spans="1:5">
      <c r="A834" t="s">
        <v>1862</v>
      </c>
      <c r="B834" t="s">
        <v>896</v>
      </c>
      <c r="C834" t="s">
        <v>1867</v>
      </c>
      <c r="D834">
        <v>888948</v>
      </c>
      <c r="E834" t="s">
        <v>801</v>
      </c>
    </row>
    <row r="835" spans="1:5">
      <c r="A835" t="s">
        <v>1862</v>
      </c>
      <c r="B835" t="s">
        <v>896</v>
      </c>
      <c r="C835" t="s">
        <v>1868</v>
      </c>
      <c r="D835">
        <v>802419</v>
      </c>
      <c r="E835" t="s">
        <v>647</v>
      </c>
    </row>
    <row r="836" spans="1:5">
      <c r="A836" t="s">
        <v>1862</v>
      </c>
      <c r="B836" t="s">
        <v>896</v>
      </c>
      <c r="C836" t="s">
        <v>1869</v>
      </c>
      <c r="D836">
        <v>96959</v>
      </c>
      <c r="E836" t="s">
        <v>56</v>
      </c>
    </row>
    <row r="837" spans="1:5">
      <c r="A837" t="s">
        <v>1862</v>
      </c>
      <c r="B837" t="s">
        <v>896</v>
      </c>
      <c r="C837" t="s">
        <v>1870</v>
      </c>
      <c r="D837">
        <v>968584</v>
      </c>
      <c r="E837" t="s">
        <v>143</v>
      </c>
    </row>
    <row r="838" spans="1:5">
      <c r="A838" t="s">
        <v>1862</v>
      </c>
      <c r="B838" t="s">
        <v>896</v>
      </c>
      <c r="C838" t="s">
        <v>1871</v>
      </c>
      <c r="D838">
        <v>970202</v>
      </c>
      <c r="E838" t="s">
        <v>836</v>
      </c>
    </row>
    <row r="839" spans="1:5">
      <c r="A839" t="s">
        <v>1862</v>
      </c>
      <c r="B839" t="s">
        <v>896</v>
      </c>
      <c r="C839" t="s">
        <v>1872</v>
      </c>
      <c r="D839">
        <v>420519</v>
      </c>
      <c r="E839" t="s">
        <v>544</v>
      </c>
    </row>
    <row r="840" spans="1:5">
      <c r="A840" t="s">
        <v>1862</v>
      </c>
      <c r="B840" t="s">
        <v>896</v>
      </c>
      <c r="C840" t="s">
        <v>1873</v>
      </c>
      <c r="D840">
        <v>922976</v>
      </c>
      <c r="E840" t="s">
        <v>199</v>
      </c>
    </row>
    <row r="841" spans="1:5">
      <c r="A841" t="s">
        <v>1862</v>
      </c>
      <c r="B841" t="s">
        <v>896</v>
      </c>
      <c r="C841" t="s">
        <v>1874</v>
      </c>
      <c r="D841">
        <v>802419</v>
      </c>
      <c r="E841" t="s">
        <v>647</v>
      </c>
    </row>
    <row r="842" spans="1:5">
      <c r="A842" t="s">
        <v>1862</v>
      </c>
      <c r="B842" t="s">
        <v>896</v>
      </c>
      <c r="C842" t="s">
        <v>1875</v>
      </c>
      <c r="D842">
        <v>421212</v>
      </c>
      <c r="E842" t="s">
        <v>680</v>
      </c>
    </row>
    <row r="843" spans="1:5">
      <c r="A843" t="s">
        <v>1862</v>
      </c>
      <c r="B843" t="s">
        <v>896</v>
      </c>
      <c r="C843" t="s">
        <v>1876</v>
      </c>
      <c r="D843">
        <v>818752</v>
      </c>
      <c r="E843" t="s">
        <v>376</v>
      </c>
    </row>
    <row r="844" spans="1:5">
      <c r="A844" t="s">
        <v>1862</v>
      </c>
      <c r="B844" t="s">
        <v>896</v>
      </c>
      <c r="C844" t="s">
        <v>1877</v>
      </c>
      <c r="D844">
        <v>326161</v>
      </c>
      <c r="E844" t="s">
        <v>104</v>
      </c>
    </row>
    <row r="845" spans="1:5">
      <c r="A845" t="s">
        <v>1862</v>
      </c>
      <c r="B845" t="s">
        <v>896</v>
      </c>
      <c r="C845" t="s">
        <v>1878</v>
      </c>
      <c r="D845">
        <v>765474</v>
      </c>
      <c r="E845" t="s">
        <v>48</v>
      </c>
    </row>
    <row r="846" spans="1:5">
      <c r="A846" t="s">
        <v>1862</v>
      </c>
      <c r="B846" t="s">
        <v>896</v>
      </c>
      <c r="C846" t="s">
        <v>1879</v>
      </c>
      <c r="D846">
        <v>568663</v>
      </c>
      <c r="E846" t="s">
        <v>379</v>
      </c>
    </row>
    <row r="847" spans="1:5">
      <c r="A847" t="s">
        <v>1862</v>
      </c>
      <c r="B847" t="s">
        <v>896</v>
      </c>
      <c r="C847" t="s">
        <v>1880</v>
      </c>
      <c r="D847">
        <v>420519</v>
      </c>
      <c r="E847" t="s">
        <v>544</v>
      </c>
    </row>
    <row r="848" spans="1:5">
      <c r="A848" t="s">
        <v>1862</v>
      </c>
      <c r="B848" t="s">
        <v>896</v>
      </c>
      <c r="C848" t="s">
        <v>1881</v>
      </c>
      <c r="D848">
        <v>9184</v>
      </c>
      <c r="E848" t="s">
        <v>655</v>
      </c>
    </row>
    <row r="849" spans="1:5">
      <c r="A849" t="s">
        <v>1862</v>
      </c>
      <c r="B849" t="s">
        <v>896</v>
      </c>
      <c r="C849" t="s">
        <v>1882</v>
      </c>
      <c r="D849">
        <v>802419</v>
      </c>
      <c r="E849" t="s">
        <v>647</v>
      </c>
    </row>
    <row r="850" spans="1:5">
      <c r="A850" t="s">
        <v>1862</v>
      </c>
      <c r="B850" t="s">
        <v>896</v>
      </c>
      <c r="C850" t="s">
        <v>1883</v>
      </c>
      <c r="D850">
        <v>368256</v>
      </c>
      <c r="E850" t="s">
        <v>661</v>
      </c>
    </row>
    <row r="851" spans="1:5">
      <c r="A851" t="s">
        <v>1862</v>
      </c>
      <c r="B851" t="s">
        <v>896</v>
      </c>
      <c r="C851" t="s">
        <v>1884</v>
      </c>
      <c r="D851">
        <v>888948</v>
      </c>
      <c r="E851" t="s">
        <v>801</v>
      </c>
    </row>
    <row r="852" spans="1:5">
      <c r="A852" t="s">
        <v>1862</v>
      </c>
      <c r="B852" t="s">
        <v>896</v>
      </c>
      <c r="C852" t="s">
        <v>1885</v>
      </c>
      <c r="D852">
        <v>96959</v>
      </c>
      <c r="E852" t="s">
        <v>56</v>
      </c>
    </row>
    <row r="853" spans="1:5">
      <c r="A853" t="s">
        <v>1862</v>
      </c>
      <c r="B853" t="s">
        <v>896</v>
      </c>
      <c r="C853" t="s">
        <v>1886</v>
      </c>
      <c r="D853">
        <v>421212</v>
      </c>
      <c r="E853" t="s">
        <v>680</v>
      </c>
    </row>
    <row r="854" spans="1:5">
      <c r="A854" t="s">
        <v>1862</v>
      </c>
      <c r="B854" t="s">
        <v>896</v>
      </c>
      <c r="C854" t="s">
        <v>1887</v>
      </c>
      <c r="D854">
        <v>420519</v>
      </c>
      <c r="E854" t="s">
        <v>544</v>
      </c>
    </row>
    <row r="855" spans="1:5">
      <c r="A855" t="s">
        <v>1862</v>
      </c>
      <c r="B855" t="s">
        <v>896</v>
      </c>
      <c r="C855" t="s">
        <v>1888</v>
      </c>
      <c r="D855">
        <v>239594</v>
      </c>
      <c r="E855" t="s">
        <v>119</v>
      </c>
    </row>
    <row r="856" spans="1:5">
      <c r="A856" t="s">
        <v>1862</v>
      </c>
      <c r="B856" t="s">
        <v>896</v>
      </c>
      <c r="C856" t="s">
        <v>1889</v>
      </c>
      <c r="D856">
        <v>804250</v>
      </c>
      <c r="E856" t="s">
        <v>145</v>
      </c>
    </row>
    <row r="857" spans="1:5">
      <c r="A857" t="s">
        <v>1862</v>
      </c>
      <c r="B857" t="s">
        <v>896</v>
      </c>
      <c r="C857" t="s">
        <v>1890</v>
      </c>
      <c r="D857">
        <v>239594</v>
      </c>
      <c r="E857" t="s">
        <v>119</v>
      </c>
    </row>
    <row r="858" spans="1:5">
      <c r="A858" t="s">
        <v>1891</v>
      </c>
      <c r="B858" t="s">
        <v>896</v>
      </c>
      <c r="C858" t="s">
        <v>1116</v>
      </c>
      <c r="D858">
        <v>495533</v>
      </c>
      <c r="E858" t="s">
        <v>147</v>
      </c>
    </row>
    <row r="859" spans="1:5">
      <c r="A859" t="s">
        <v>1891</v>
      </c>
      <c r="B859" t="s">
        <v>896</v>
      </c>
      <c r="C859" t="s">
        <v>1118</v>
      </c>
      <c r="D859">
        <v>584071</v>
      </c>
      <c r="E859" t="s">
        <v>138</v>
      </c>
    </row>
    <row r="860" spans="1:5">
      <c r="A860" t="s">
        <v>1891</v>
      </c>
      <c r="B860" t="s">
        <v>896</v>
      </c>
      <c r="C860" t="s">
        <v>1120</v>
      </c>
      <c r="D860">
        <v>872540</v>
      </c>
      <c r="E860" t="s">
        <v>733</v>
      </c>
    </row>
    <row r="861" spans="1:5">
      <c r="A861" t="s">
        <v>1891</v>
      </c>
      <c r="B861" t="s">
        <v>896</v>
      </c>
      <c r="C861" t="s">
        <v>1122</v>
      </c>
      <c r="D861">
        <v>716693</v>
      </c>
      <c r="E861" t="s">
        <v>551</v>
      </c>
    </row>
    <row r="862" spans="1:5">
      <c r="A862" t="s">
        <v>1891</v>
      </c>
      <c r="B862" t="s">
        <v>896</v>
      </c>
      <c r="C862" t="s">
        <v>1123</v>
      </c>
      <c r="D862">
        <v>833503</v>
      </c>
      <c r="E862" t="s">
        <v>230</v>
      </c>
    </row>
    <row r="863" spans="1:5">
      <c r="A863" t="s">
        <v>1891</v>
      </c>
      <c r="B863" t="s">
        <v>896</v>
      </c>
      <c r="C863" t="s">
        <v>1125</v>
      </c>
      <c r="D863">
        <v>686974</v>
      </c>
      <c r="E863" t="s">
        <v>712</v>
      </c>
    </row>
    <row r="864" spans="1:5">
      <c r="A864" t="s">
        <v>1891</v>
      </c>
      <c r="B864" t="s">
        <v>896</v>
      </c>
      <c r="C864" t="s">
        <v>1127</v>
      </c>
      <c r="D864">
        <v>716693</v>
      </c>
      <c r="E864" t="s">
        <v>551</v>
      </c>
    </row>
    <row r="865" spans="1:5">
      <c r="A865" t="s">
        <v>1891</v>
      </c>
      <c r="B865" t="s">
        <v>896</v>
      </c>
      <c r="C865" t="s">
        <v>1129</v>
      </c>
      <c r="D865">
        <v>686972</v>
      </c>
      <c r="E865" t="s">
        <v>417</v>
      </c>
    </row>
    <row r="866" spans="1:5">
      <c r="A866" t="s">
        <v>1891</v>
      </c>
      <c r="B866" t="s">
        <v>896</v>
      </c>
      <c r="C866" t="s">
        <v>1130</v>
      </c>
      <c r="D866">
        <v>495533</v>
      </c>
      <c r="E866" t="s">
        <v>147</v>
      </c>
    </row>
    <row r="867" spans="1:5">
      <c r="A867" t="s">
        <v>1891</v>
      </c>
      <c r="B867" t="s">
        <v>896</v>
      </c>
      <c r="C867" t="s">
        <v>1132</v>
      </c>
      <c r="D867">
        <v>681494</v>
      </c>
      <c r="E867" t="s">
        <v>535</v>
      </c>
    </row>
    <row r="868" spans="1:5">
      <c r="A868" t="s">
        <v>1891</v>
      </c>
      <c r="B868" t="s">
        <v>896</v>
      </c>
      <c r="C868" t="s">
        <v>1134</v>
      </c>
      <c r="D868">
        <v>584071</v>
      </c>
      <c r="E868" t="s">
        <v>138</v>
      </c>
    </row>
    <row r="869" spans="1:5">
      <c r="A869" t="s">
        <v>1891</v>
      </c>
      <c r="B869" t="s">
        <v>896</v>
      </c>
      <c r="C869" t="s">
        <v>1136</v>
      </c>
      <c r="D869">
        <v>267168</v>
      </c>
      <c r="E869" t="s">
        <v>206</v>
      </c>
    </row>
    <row r="870" spans="1:5">
      <c r="A870" t="s">
        <v>1891</v>
      </c>
      <c r="B870" t="s">
        <v>896</v>
      </c>
      <c r="C870" t="s">
        <v>1137</v>
      </c>
      <c r="D870">
        <v>230735</v>
      </c>
      <c r="E870" t="s">
        <v>428</v>
      </c>
    </row>
    <row r="871" spans="1:5">
      <c r="A871" t="s">
        <v>1891</v>
      </c>
      <c r="B871" t="s">
        <v>896</v>
      </c>
      <c r="C871" t="s">
        <v>1139</v>
      </c>
      <c r="D871">
        <v>872540</v>
      </c>
      <c r="E871" t="s">
        <v>733</v>
      </c>
    </row>
    <row r="872" spans="1:5">
      <c r="A872" t="s">
        <v>1891</v>
      </c>
      <c r="B872" t="s">
        <v>896</v>
      </c>
      <c r="C872" t="s">
        <v>1141</v>
      </c>
      <c r="D872">
        <v>716693</v>
      </c>
      <c r="E872" t="s">
        <v>551</v>
      </c>
    </row>
    <row r="873" spans="1:5">
      <c r="A873" t="s">
        <v>1891</v>
      </c>
      <c r="B873" t="s">
        <v>896</v>
      </c>
      <c r="C873" t="s">
        <v>1143</v>
      </c>
      <c r="D873">
        <v>686972</v>
      </c>
      <c r="E873" t="s">
        <v>417</v>
      </c>
    </row>
    <row r="874" spans="1:5">
      <c r="A874" t="s">
        <v>1892</v>
      </c>
      <c r="B874" t="s">
        <v>896</v>
      </c>
      <c r="C874" t="s">
        <v>1893</v>
      </c>
      <c r="D874">
        <v>420519</v>
      </c>
      <c r="E874" t="s">
        <v>544</v>
      </c>
    </row>
    <row r="875" spans="1:5">
      <c r="A875" t="s">
        <v>1892</v>
      </c>
      <c r="B875" t="s">
        <v>896</v>
      </c>
      <c r="C875" t="s">
        <v>1893</v>
      </c>
      <c r="D875">
        <v>174416</v>
      </c>
      <c r="E875" t="s">
        <v>921</v>
      </c>
    </row>
    <row r="876" spans="1:5">
      <c r="A876" t="s">
        <v>1892</v>
      </c>
      <c r="B876" t="s">
        <v>896</v>
      </c>
      <c r="C876" t="s">
        <v>1893</v>
      </c>
      <c r="D876">
        <v>902755</v>
      </c>
      <c r="E876" t="s">
        <v>231</v>
      </c>
    </row>
    <row r="877" spans="1:5">
      <c r="A877" t="s">
        <v>1892</v>
      </c>
      <c r="B877" t="s">
        <v>896</v>
      </c>
      <c r="C877" t="s">
        <v>1893</v>
      </c>
      <c r="D877">
        <v>445999</v>
      </c>
      <c r="E877" t="s">
        <v>914</v>
      </c>
    </row>
    <row r="878" spans="1:5">
      <c r="A878" t="s">
        <v>1892</v>
      </c>
      <c r="B878" t="s">
        <v>896</v>
      </c>
      <c r="C878" t="s">
        <v>1894</v>
      </c>
      <c r="D878">
        <v>770790</v>
      </c>
      <c r="E878" t="s">
        <v>365</v>
      </c>
    </row>
    <row r="879" spans="1:5">
      <c r="A879" t="s">
        <v>1892</v>
      </c>
      <c r="B879" t="s">
        <v>896</v>
      </c>
      <c r="C879" t="s">
        <v>1894</v>
      </c>
      <c r="D879">
        <v>445999</v>
      </c>
      <c r="E879" t="s">
        <v>914</v>
      </c>
    </row>
    <row r="880" spans="1:5">
      <c r="A880" t="s">
        <v>1892</v>
      </c>
      <c r="B880" t="s">
        <v>896</v>
      </c>
      <c r="C880" t="s">
        <v>1894</v>
      </c>
      <c r="D880">
        <v>802419</v>
      </c>
      <c r="E880" t="s">
        <v>647</v>
      </c>
    </row>
    <row r="881" spans="1:5">
      <c r="A881" t="s">
        <v>1892</v>
      </c>
      <c r="B881" t="s">
        <v>896</v>
      </c>
      <c r="C881" t="s">
        <v>1894</v>
      </c>
      <c r="D881">
        <v>804250</v>
      </c>
      <c r="E881" t="s">
        <v>145</v>
      </c>
    </row>
    <row r="882" spans="1:5">
      <c r="A882" t="s">
        <v>1892</v>
      </c>
      <c r="B882" t="s">
        <v>896</v>
      </c>
      <c r="C882" t="s">
        <v>1895</v>
      </c>
      <c r="D882">
        <v>445999</v>
      </c>
      <c r="E882" t="s">
        <v>914</v>
      </c>
    </row>
    <row r="883" spans="1:5">
      <c r="A883" t="s">
        <v>1892</v>
      </c>
      <c r="B883" t="s">
        <v>896</v>
      </c>
      <c r="C883" t="s">
        <v>1895</v>
      </c>
      <c r="D883">
        <v>902755</v>
      </c>
      <c r="E883" t="s">
        <v>231</v>
      </c>
    </row>
    <row r="884" spans="1:5">
      <c r="A884" t="s">
        <v>1892</v>
      </c>
      <c r="B884" t="s">
        <v>896</v>
      </c>
      <c r="C884" t="s">
        <v>1895</v>
      </c>
      <c r="D884">
        <v>970202</v>
      </c>
      <c r="E884" t="s">
        <v>836</v>
      </c>
    </row>
    <row r="885" spans="1:5">
      <c r="A885" t="s">
        <v>1892</v>
      </c>
      <c r="B885" t="s">
        <v>896</v>
      </c>
      <c r="C885" t="s">
        <v>1895</v>
      </c>
      <c r="D885">
        <v>830884</v>
      </c>
      <c r="E885" t="s">
        <v>587</v>
      </c>
    </row>
    <row r="886" spans="1:5">
      <c r="A886" t="s">
        <v>1892</v>
      </c>
      <c r="B886" t="s">
        <v>896</v>
      </c>
      <c r="C886" t="s">
        <v>1896</v>
      </c>
      <c r="D886">
        <v>847682</v>
      </c>
      <c r="E886" t="s">
        <v>79</v>
      </c>
    </row>
    <row r="887" spans="1:5">
      <c r="A887" t="s">
        <v>1892</v>
      </c>
      <c r="B887" t="s">
        <v>896</v>
      </c>
      <c r="C887" t="s">
        <v>1896</v>
      </c>
      <c r="D887">
        <v>8789</v>
      </c>
      <c r="E887" t="s">
        <v>784</v>
      </c>
    </row>
    <row r="888" spans="1:5">
      <c r="A888" t="s">
        <v>1892</v>
      </c>
      <c r="B888" t="s">
        <v>896</v>
      </c>
      <c r="C888" t="s">
        <v>1896</v>
      </c>
      <c r="D888">
        <v>751976</v>
      </c>
      <c r="E888" t="s">
        <v>726</v>
      </c>
    </row>
    <row r="889" spans="1:5">
      <c r="A889" t="s">
        <v>1892</v>
      </c>
      <c r="B889" t="s">
        <v>896</v>
      </c>
      <c r="C889" t="s">
        <v>1897</v>
      </c>
      <c r="D889">
        <v>76997</v>
      </c>
      <c r="E889" t="s">
        <v>72</v>
      </c>
    </row>
    <row r="890" spans="1:5">
      <c r="A890" t="s">
        <v>1892</v>
      </c>
      <c r="B890" t="s">
        <v>896</v>
      </c>
      <c r="C890" t="s">
        <v>1897</v>
      </c>
      <c r="D890">
        <v>970202</v>
      </c>
      <c r="E890" t="s">
        <v>836</v>
      </c>
    </row>
    <row r="891" spans="1:5">
      <c r="A891" t="s">
        <v>1892</v>
      </c>
      <c r="B891" t="s">
        <v>896</v>
      </c>
      <c r="C891" t="s">
        <v>1897</v>
      </c>
      <c r="D891">
        <v>847686</v>
      </c>
      <c r="E891" t="s">
        <v>343</v>
      </c>
    </row>
    <row r="892" spans="1:5">
      <c r="A892" t="s">
        <v>1892</v>
      </c>
      <c r="B892" t="s">
        <v>896</v>
      </c>
      <c r="C892" t="s">
        <v>1897</v>
      </c>
      <c r="D892">
        <v>847682</v>
      </c>
      <c r="E892" t="s">
        <v>79</v>
      </c>
    </row>
    <row r="893" spans="1:5">
      <c r="A893" t="s">
        <v>1892</v>
      </c>
      <c r="B893" t="s">
        <v>896</v>
      </c>
      <c r="C893" t="s">
        <v>1898</v>
      </c>
      <c r="D893">
        <v>886392</v>
      </c>
      <c r="E893" t="s">
        <v>805</v>
      </c>
    </row>
    <row r="894" spans="1:5">
      <c r="A894" t="s">
        <v>1892</v>
      </c>
      <c r="B894" t="s">
        <v>896</v>
      </c>
      <c r="C894" t="s">
        <v>1898</v>
      </c>
      <c r="D894">
        <v>595693</v>
      </c>
      <c r="E894" t="s">
        <v>472</v>
      </c>
    </row>
    <row r="895" spans="1:5">
      <c r="A895" t="s">
        <v>1892</v>
      </c>
      <c r="B895" t="s">
        <v>896</v>
      </c>
      <c r="C895" t="s">
        <v>1898</v>
      </c>
      <c r="D895">
        <v>9184</v>
      </c>
      <c r="E895" t="s">
        <v>655</v>
      </c>
    </row>
    <row r="896" spans="1:5">
      <c r="A896" t="s">
        <v>1892</v>
      </c>
      <c r="B896" t="s">
        <v>896</v>
      </c>
      <c r="C896" t="s">
        <v>1899</v>
      </c>
      <c r="D896">
        <v>921659</v>
      </c>
      <c r="E896" t="s">
        <v>356</v>
      </c>
    </row>
    <row r="897" spans="1:5">
      <c r="A897" t="s">
        <v>1892</v>
      </c>
      <c r="B897" t="s">
        <v>896</v>
      </c>
      <c r="C897" t="s">
        <v>1899</v>
      </c>
      <c r="D897">
        <v>792959</v>
      </c>
      <c r="E897" t="s">
        <v>1454</v>
      </c>
    </row>
    <row r="898" spans="1:5">
      <c r="A898" t="s">
        <v>1892</v>
      </c>
      <c r="B898" t="s">
        <v>896</v>
      </c>
      <c r="C898" t="s">
        <v>1899</v>
      </c>
      <c r="D898">
        <v>174416</v>
      </c>
      <c r="E898" t="s">
        <v>921</v>
      </c>
    </row>
    <row r="899" spans="1:5">
      <c r="A899" t="s">
        <v>1892</v>
      </c>
      <c r="B899" t="s">
        <v>896</v>
      </c>
      <c r="C899" t="s">
        <v>1900</v>
      </c>
      <c r="D899">
        <v>830884</v>
      </c>
      <c r="E899" t="s">
        <v>587</v>
      </c>
    </row>
    <row r="900" spans="1:5">
      <c r="A900" t="s">
        <v>1892</v>
      </c>
      <c r="B900" t="s">
        <v>896</v>
      </c>
      <c r="C900" t="s">
        <v>1900</v>
      </c>
      <c r="D900">
        <v>748316</v>
      </c>
      <c r="E900" t="s">
        <v>861</v>
      </c>
    </row>
    <row r="901" spans="1:5">
      <c r="A901" t="s">
        <v>1892</v>
      </c>
      <c r="B901" t="s">
        <v>896</v>
      </c>
      <c r="C901" t="s">
        <v>1900</v>
      </c>
      <c r="D901">
        <v>804250</v>
      </c>
      <c r="E901" t="s">
        <v>145</v>
      </c>
    </row>
    <row r="902" spans="1:5">
      <c r="A902" t="s">
        <v>1892</v>
      </c>
      <c r="B902" t="s">
        <v>896</v>
      </c>
      <c r="C902" t="s">
        <v>1900</v>
      </c>
      <c r="D902">
        <v>9184</v>
      </c>
      <c r="E902" t="s">
        <v>655</v>
      </c>
    </row>
    <row r="903" spans="1:5">
      <c r="A903" t="s">
        <v>1901</v>
      </c>
      <c r="B903" t="s">
        <v>896</v>
      </c>
      <c r="C903" t="s">
        <v>1902</v>
      </c>
      <c r="D903">
        <v>314692</v>
      </c>
      <c r="E903" t="s">
        <v>516</v>
      </c>
    </row>
    <row r="904" spans="1:5">
      <c r="A904" t="s">
        <v>1901</v>
      </c>
      <c r="B904" t="s">
        <v>896</v>
      </c>
      <c r="C904" t="s">
        <v>1902</v>
      </c>
      <c r="D904">
        <v>202505</v>
      </c>
      <c r="E904" t="s">
        <v>686</v>
      </c>
    </row>
    <row r="905" spans="1:5">
      <c r="A905" t="s">
        <v>1901</v>
      </c>
      <c r="B905" t="s">
        <v>896</v>
      </c>
      <c r="C905" t="s">
        <v>1903</v>
      </c>
      <c r="D905">
        <v>871573</v>
      </c>
      <c r="E905" t="s">
        <v>1463</v>
      </c>
    </row>
    <row r="906" spans="1:5">
      <c r="A906" t="s">
        <v>1901</v>
      </c>
      <c r="B906" t="s">
        <v>896</v>
      </c>
      <c r="C906" t="s">
        <v>1903</v>
      </c>
      <c r="D906">
        <v>314692</v>
      </c>
      <c r="E906" t="s">
        <v>516</v>
      </c>
    </row>
    <row r="907" spans="1:5">
      <c r="A907" t="s">
        <v>1901</v>
      </c>
      <c r="B907" t="s">
        <v>896</v>
      </c>
      <c r="C907" t="s">
        <v>1903</v>
      </c>
      <c r="D907">
        <v>455603</v>
      </c>
      <c r="E907" t="s">
        <v>711</v>
      </c>
    </row>
    <row r="908" spans="1:5">
      <c r="A908" t="s">
        <v>1901</v>
      </c>
      <c r="B908" t="s">
        <v>896</v>
      </c>
      <c r="C908" t="s">
        <v>1904</v>
      </c>
      <c r="D908">
        <v>935091</v>
      </c>
      <c r="E908" t="s">
        <v>771</v>
      </c>
    </row>
    <row r="909" spans="1:5">
      <c r="A909" t="s">
        <v>1901</v>
      </c>
      <c r="B909" t="s">
        <v>896</v>
      </c>
      <c r="C909" t="s">
        <v>1904</v>
      </c>
      <c r="D909">
        <v>244036</v>
      </c>
      <c r="E909" t="s">
        <v>363</v>
      </c>
    </row>
    <row r="910" spans="1:5">
      <c r="A910" t="s">
        <v>1901</v>
      </c>
      <c r="B910" t="s">
        <v>896</v>
      </c>
      <c r="C910" t="s">
        <v>1905</v>
      </c>
      <c r="D910">
        <v>314692</v>
      </c>
      <c r="E910" t="s">
        <v>516</v>
      </c>
    </row>
    <row r="911" spans="1:5">
      <c r="A911" t="s">
        <v>1901</v>
      </c>
      <c r="B911" t="s">
        <v>896</v>
      </c>
      <c r="C911" t="s">
        <v>1905</v>
      </c>
      <c r="D911">
        <v>687118</v>
      </c>
      <c r="E911" t="s">
        <v>422</v>
      </c>
    </row>
    <row r="912" spans="1:5">
      <c r="A912" t="s">
        <v>1901</v>
      </c>
      <c r="B912" t="s">
        <v>896</v>
      </c>
      <c r="C912" t="s">
        <v>1905</v>
      </c>
      <c r="D912">
        <v>801788</v>
      </c>
      <c r="E912" t="s">
        <v>515</v>
      </c>
    </row>
    <row r="913" spans="1:5">
      <c r="A913" t="s">
        <v>1901</v>
      </c>
      <c r="B913" t="s">
        <v>896</v>
      </c>
      <c r="C913" t="s">
        <v>1906</v>
      </c>
      <c r="D913">
        <v>968584</v>
      </c>
      <c r="E913" t="s">
        <v>143</v>
      </c>
    </row>
    <row r="914" spans="1:5">
      <c r="A914" t="s">
        <v>1901</v>
      </c>
      <c r="B914" t="s">
        <v>896</v>
      </c>
      <c r="C914" t="s">
        <v>1906</v>
      </c>
      <c r="D914">
        <v>202505</v>
      </c>
      <c r="E914" t="s">
        <v>686</v>
      </c>
    </row>
    <row r="915" spans="1:5">
      <c r="A915" t="s">
        <v>1901</v>
      </c>
      <c r="B915" t="s">
        <v>896</v>
      </c>
      <c r="C915" t="s">
        <v>1907</v>
      </c>
      <c r="D915">
        <v>933107</v>
      </c>
      <c r="E915" t="s">
        <v>1458</v>
      </c>
    </row>
    <row r="916" spans="1:5">
      <c r="A916" t="s">
        <v>1901</v>
      </c>
      <c r="B916" t="s">
        <v>896</v>
      </c>
      <c r="C916" t="s">
        <v>1907</v>
      </c>
      <c r="D916">
        <v>314692</v>
      </c>
      <c r="E916" t="s">
        <v>516</v>
      </c>
    </row>
    <row r="917" spans="1:5">
      <c r="A917" t="s">
        <v>1901</v>
      </c>
      <c r="B917" t="s">
        <v>896</v>
      </c>
      <c r="C917" t="s">
        <v>1907</v>
      </c>
      <c r="D917">
        <v>955121</v>
      </c>
      <c r="E917" t="s">
        <v>611</v>
      </c>
    </row>
    <row r="918" spans="1:5">
      <c r="A918" t="s">
        <v>1901</v>
      </c>
      <c r="B918" t="s">
        <v>896</v>
      </c>
      <c r="C918" t="s">
        <v>1908</v>
      </c>
      <c r="D918">
        <v>728700</v>
      </c>
      <c r="E918" t="s">
        <v>249</v>
      </c>
    </row>
    <row r="919" spans="1:5">
      <c r="A919" t="s">
        <v>1901</v>
      </c>
      <c r="B919" t="s">
        <v>896</v>
      </c>
      <c r="C919" t="s">
        <v>1909</v>
      </c>
      <c r="D919">
        <v>314692</v>
      </c>
      <c r="E919" t="s">
        <v>516</v>
      </c>
    </row>
    <row r="920" spans="1:5">
      <c r="A920" t="s">
        <v>1901</v>
      </c>
      <c r="B920" t="s">
        <v>896</v>
      </c>
      <c r="C920" t="s">
        <v>1909</v>
      </c>
      <c r="D920">
        <v>933107</v>
      </c>
      <c r="E920" t="s">
        <v>1458</v>
      </c>
    </row>
    <row r="921" spans="1:5">
      <c r="A921" t="s">
        <v>1901</v>
      </c>
      <c r="B921" t="s">
        <v>896</v>
      </c>
      <c r="C921" t="s">
        <v>1909</v>
      </c>
      <c r="D921">
        <v>455603</v>
      </c>
      <c r="E921" t="s">
        <v>711</v>
      </c>
    </row>
    <row r="922" spans="1:5">
      <c r="A922" t="s">
        <v>1910</v>
      </c>
      <c r="B922" t="s">
        <v>896</v>
      </c>
      <c r="C922" t="s">
        <v>1911</v>
      </c>
      <c r="D922">
        <v>394635</v>
      </c>
      <c r="E922" t="s">
        <v>659</v>
      </c>
    </row>
    <row r="923" spans="1:5">
      <c r="A923" t="s">
        <v>1910</v>
      </c>
      <c r="B923" t="s">
        <v>896</v>
      </c>
      <c r="C923" t="s">
        <v>1204</v>
      </c>
      <c r="D923">
        <v>845124</v>
      </c>
      <c r="E923" t="s">
        <v>474</v>
      </c>
    </row>
    <row r="924" spans="1:5">
      <c r="A924" t="s">
        <v>1910</v>
      </c>
      <c r="B924" t="s">
        <v>896</v>
      </c>
      <c r="C924" t="s">
        <v>1912</v>
      </c>
      <c r="D924">
        <v>904795</v>
      </c>
      <c r="E924" t="s">
        <v>971</v>
      </c>
    </row>
    <row r="925" spans="1:5">
      <c r="A925" t="s">
        <v>1910</v>
      </c>
      <c r="B925" t="s">
        <v>896</v>
      </c>
      <c r="C925" t="s">
        <v>1912</v>
      </c>
      <c r="D925">
        <v>394635</v>
      </c>
      <c r="E925" t="s">
        <v>659</v>
      </c>
    </row>
    <row r="926" spans="1:5">
      <c r="A926" t="s">
        <v>1910</v>
      </c>
      <c r="B926" t="s">
        <v>896</v>
      </c>
      <c r="C926" t="s">
        <v>1913</v>
      </c>
      <c r="D926">
        <v>617808</v>
      </c>
      <c r="E926" t="s">
        <v>34</v>
      </c>
    </row>
    <row r="927" spans="1:5">
      <c r="A927" t="s">
        <v>1910</v>
      </c>
      <c r="B927" t="s">
        <v>896</v>
      </c>
      <c r="C927" t="s">
        <v>1206</v>
      </c>
      <c r="D927">
        <v>394635</v>
      </c>
      <c r="E927" t="s">
        <v>659</v>
      </c>
    </row>
    <row r="928" spans="1:5">
      <c r="A928" t="s">
        <v>1910</v>
      </c>
      <c r="B928" t="s">
        <v>896</v>
      </c>
      <c r="C928" t="s">
        <v>1206</v>
      </c>
      <c r="D928">
        <v>468423</v>
      </c>
      <c r="E928" t="s">
        <v>393</v>
      </c>
    </row>
    <row r="929" spans="1:5">
      <c r="A929" t="s">
        <v>1910</v>
      </c>
      <c r="B929" t="s">
        <v>896</v>
      </c>
      <c r="C929" t="s">
        <v>1914</v>
      </c>
      <c r="D929">
        <v>394635</v>
      </c>
      <c r="E929" t="s">
        <v>659</v>
      </c>
    </row>
    <row r="930" spans="1:5">
      <c r="A930" t="s">
        <v>1910</v>
      </c>
      <c r="B930" t="s">
        <v>896</v>
      </c>
      <c r="C930" t="s">
        <v>1915</v>
      </c>
      <c r="D930">
        <v>617808</v>
      </c>
      <c r="E930" t="s">
        <v>34</v>
      </c>
    </row>
    <row r="931" spans="1:5">
      <c r="A931" t="s">
        <v>1910</v>
      </c>
      <c r="B931" t="s">
        <v>896</v>
      </c>
      <c r="C931" t="s">
        <v>1915</v>
      </c>
      <c r="D931">
        <v>547872</v>
      </c>
      <c r="E931" t="s">
        <v>527</v>
      </c>
    </row>
    <row r="932" spans="1:5">
      <c r="A932" t="s">
        <v>1910</v>
      </c>
      <c r="B932" t="s">
        <v>896</v>
      </c>
      <c r="C932" t="s">
        <v>1208</v>
      </c>
      <c r="D932">
        <v>394635</v>
      </c>
      <c r="E932" t="s">
        <v>659</v>
      </c>
    </row>
    <row r="933" spans="1:5">
      <c r="A933" t="s">
        <v>1910</v>
      </c>
      <c r="B933" t="s">
        <v>896</v>
      </c>
      <c r="C933" t="s">
        <v>1916</v>
      </c>
      <c r="D933">
        <v>904795</v>
      </c>
      <c r="E933" t="s">
        <v>971</v>
      </c>
    </row>
    <row r="934" spans="1:5">
      <c r="A934" t="s">
        <v>1910</v>
      </c>
      <c r="B934" t="s">
        <v>896</v>
      </c>
      <c r="C934" t="s">
        <v>1916</v>
      </c>
      <c r="D934">
        <v>468423</v>
      </c>
      <c r="E934" t="s">
        <v>393</v>
      </c>
    </row>
    <row r="935" spans="1:5">
      <c r="A935" t="s">
        <v>1910</v>
      </c>
      <c r="B935" t="s">
        <v>896</v>
      </c>
      <c r="C935" t="s">
        <v>1109</v>
      </c>
      <c r="D935">
        <v>547872</v>
      </c>
      <c r="E935" t="s">
        <v>527</v>
      </c>
    </row>
    <row r="936" spans="1:5">
      <c r="A936" t="s">
        <v>1910</v>
      </c>
      <c r="B936" t="s">
        <v>896</v>
      </c>
      <c r="C936" t="s">
        <v>1211</v>
      </c>
      <c r="D936">
        <v>617808</v>
      </c>
      <c r="E936" t="s">
        <v>34</v>
      </c>
    </row>
    <row r="937" spans="1:5">
      <c r="A937" t="s">
        <v>1910</v>
      </c>
      <c r="B937" t="s">
        <v>896</v>
      </c>
      <c r="C937" t="s">
        <v>1211</v>
      </c>
      <c r="D937">
        <v>394635</v>
      </c>
      <c r="E937" t="s">
        <v>659</v>
      </c>
    </row>
    <row r="938" spans="1:5">
      <c r="A938" t="s">
        <v>1910</v>
      </c>
      <c r="B938" t="s">
        <v>896</v>
      </c>
      <c r="C938" t="s">
        <v>1917</v>
      </c>
      <c r="D938">
        <v>861261</v>
      </c>
      <c r="E938" t="s">
        <v>252</v>
      </c>
    </row>
    <row r="939" spans="1:5">
      <c r="A939" t="s">
        <v>1918</v>
      </c>
      <c r="B939" t="s">
        <v>896</v>
      </c>
      <c r="C939" t="s">
        <v>1912</v>
      </c>
      <c r="D939">
        <v>687118</v>
      </c>
      <c r="E939" t="s">
        <v>422</v>
      </c>
    </row>
    <row r="940" spans="1:5">
      <c r="A940" t="s">
        <v>1918</v>
      </c>
      <c r="B940" t="s">
        <v>896</v>
      </c>
      <c r="C940" t="s">
        <v>1914</v>
      </c>
      <c r="D940">
        <v>246792</v>
      </c>
      <c r="E940" t="s">
        <v>116</v>
      </c>
    </row>
    <row r="941" spans="1:5">
      <c r="A941" t="s">
        <v>1918</v>
      </c>
      <c r="B941" t="s">
        <v>896</v>
      </c>
      <c r="C941" t="s">
        <v>1916</v>
      </c>
      <c r="D941">
        <v>687118</v>
      </c>
      <c r="E941" t="s">
        <v>422</v>
      </c>
    </row>
    <row r="942" spans="1:5">
      <c r="A942" t="s">
        <v>1918</v>
      </c>
      <c r="B942" t="s">
        <v>896</v>
      </c>
      <c r="C942" t="s">
        <v>1917</v>
      </c>
      <c r="D942">
        <v>859332</v>
      </c>
      <c r="E942" t="s">
        <v>271</v>
      </c>
    </row>
    <row r="943" spans="1:5">
      <c r="A943" t="s">
        <v>1919</v>
      </c>
      <c r="B943" t="s">
        <v>896</v>
      </c>
      <c r="C943" t="s">
        <v>1920</v>
      </c>
      <c r="D943">
        <v>442578</v>
      </c>
      <c r="E943" t="s">
        <v>67</v>
      </c>
    </row>
    <row r="944" spans="1:5">
      <c r="A944" t="s">
        <v>1919</v>
      </c>
      <c r="B944" t="s">
        <v>896</v>
      </c>
      <c r="C944" t="s">
        <v>1920</v>
      </c>
      <c r="D944">
        <v>147814</v>
      </c>
      <c r="E944" t="s">
        <v>762</v>
      </c>
    </row>
    <row r="945" spans="1:5">
      <c r="A945" t="s">
        <v>1919</v>
      </c>
      <c r="B945" t="s">
        <v>896</v>
      </c>
      <c r="C945" t="s">
        <v>1921</v>
      </c>
      <c r="D945">
        <v>628110</v>
      </c>
      <c r="E945" t="s">
        <v>584</v>
      </c>
    </row>
    <row r="946" spans="1:5">
      <c r="A946" t="s">
        <v>1919</v>
      </c>
      <c r="B946" t="s">
        <v>896</v>
      </c>
      <c r="C946" t="s">
        <v>1921</v>
      </c>
      <c r="D946">
        <v>248981</v>
      </c>
      <c r="E946" t="s">
        <v>25</v>
      </c>
    </row>
    <row r="947" spans="1:5">
      <c r="A947" t="s">
        <v>1919</v>
      </c>
      <c r="B947" t="s">
        <v>896</v>
      </c>
      <c r="C947" t="s">
        <v>1922</v>
      </c>
      <c r="D947">
        <v>442578</v>
      </c>
      <c r="E947" t="s">
        <v>67</v>
      </c>
    </row>
    <row r="948" spans="1:5">
      <c r="A948" t="s">
        <v>1919</v>
      </c>
      <c r="B948" t="s">
        <v>896</v>
      </c>
      <c r="C948" t="s">
        <v>1922</v>
      </c>
      <c r="D948">
        <v>560546</v>
      </c>
      <c r="E948" t="s">
        <v>318</v>
      </c>
    </row>
    <row r="949" spans="1:5">
      <c r="A949" t="s">
        <v>1919</v>
      </c>
      <c r="B949" t="s">
        <v>896</v>
      </c>
      <c r="C949" t="s">
        <v>1923</v>
      </c>
      <c r="D949">
        <v>560546</v>
      </c>
      <c r="E949" t="s">
        <v>318</v>
      </c>
    </row>
    <row r="950" spans="1:5">
      <c r="A950" t="s">
        <v>1924</v>
      </c>
      <c r="B950" t="s">
        <v>896</v>
      </c>
      <c r="C950" t="s">
        <v>1925</v>
      </c>
      <c r="D950">
        <v>674990</v>
      </c>
      <c r="E950" t="s">
        <v>748</v>
      </c>
    </row>
    <row r="951" spans="1:5">
      <c r="A951" t="s">
        <v>1924</v>
      </c>
      <c r="B951" t="s">
        <v>896</v>
      </c>
      <c r="C951" t="s">
        <v>1926</v>
      </c>
      <c r="D951">
        <v>220393</v>
      </c>
      <c r="E951" t="s">
        <v>410</v>
      </c>
    </row>
    <row r="952" spans="1:5">
      <c r="A952" t="s">
        <v>1924</v>
      </c>
      <c r="B952" t="s">
        <v>896</v>
      </c>
      <c r="C952" t="s">
        <v>1927</v>
      </c>
      <c r="D952">
        <v>593512</v>
      </c>
      <c r="E952" t="s">
        <v>120</v>
      </c>
    </row>
    <row r="953" spans="1:5">
      <c r="A953" t="s">
        <v>1924</v>
      </c>
      <c r="B953" t="s">
        <v>896</v>
      </c>
      <c r="C953" t="s">
        <v>1928</v>
      </c>
      <c r="D953">
        <v>597434</v>
      </c>
      <c r="E953" t="s">
        <v>47</v>
      </c>
    </row>
    <row r="954" spans="1:5">
      <c r="A954" t="s">
        <v>1924</v>
      </c>
      <c r="B954" t="s">
        <v>896</v>
      </c>
      <c r="C954" t="s">
        <v>1929</v>
      </c>
      <c r="D954">
        <v>674990</v>
      </c>
      <c r="E954" t="s">
        <v>748</v>
      </c>
    </row>
    <row r="955" spans="1:5">
      <c r="A955" t="s">
        <v>1924</v>
      </c>
      <c r="B955" t="s">
        <v>896</v>
      </c>
      <c r="C955" t="s">
        <v>1930</v>
      </c>
      <c r="D955">
        <v>378310</v>
      </c>
      <c r="E955" t="s">
        <v>506</v>
      </c>
    </row>
    <row r="956" spans="1:5">
      <c r="A956" t="s">
        <v>1924</v>
      </c>
      <c r="B956" t="s">
        <v>896</v>
      </c>
      <c r="C956" t="s">
        <v>1931</v>
      </c>
      <c r="D956">
        <v>472114</v>
      </c>
      <c r="E956" t="s">
        <v>135</v>
      </c>
    </row>
    <row r="957" spans="1:5">
      <c r="A957" t="s">
        <v>1924</v>
      </c>
      <c r="B957" t="s">
        <v>896</v>
      </c>
      <c r="C957" t="s">
        <v>1932</v>
      </c>
      <c r="D957">
        <v>772113</v>
      </c>
      <c r="E957" t="s">
        <v>202</v>
      </c>
    </row>
    <row r="958" spans="1:5">
      <c r="A958" t="s">
        <v>1924</v>
      </c>
      <c r="B958" t="s">
        <v>896</v>
      </c>
      <c r="C958" t="s">
        <v>1933</v>
      </c>
      <c r="D958">
        <v>557897</v>
      </c>
      <c r="E958" t="s">
        <v>18</v>
      </c>
    </row>
    <row r="959" spans="1:5">
      <c r="A959" t="s">
        <v>1924</v>
      </c>
      <c r="B959" t="s">
        <v>896</v>
      </c>
      <c r="C959" t="s">
        <v>1934</v>
      </c>
      <c r="D959">
        <v>968584</v>
      </c>
      <c r="E959" t="s">
        <v>143</v>
      </c>
    </row>
    <row r="960" spans="1:5">
      <c r="A960" t="s">
        <v>1924</v>
      </c>
      <c r="B960" t="s">
        <v>896</v>
      </c>
      <c r="C960" t="s">
        <v>1935</v>
      </c>
      <c r="D960">
        <v>472114</v>
      </c>
      <c r="E960" t="s">
        <v>135</v>
      </c>
    </row>
    <row r="961" spans="1:5">
      <c r="A961" t="s">
        <v>1924</v>
      </c>
      <c r="B961" t="s">
        <v>896</v>
      </c>
      <c r="C961" t="s">
        <v>1936</v>
      </c>
      <c r="D961">
        <v>262000</v>
      </c>
      <c r="E961" t="s">
        <v>275</v>
      </c>
    </row>
    <row r="962" spans="1:5">
      <c r="A962" t="s">
        <v>1924</v>
      </c>
      <c r="B962" t="s">
        <v>896</v>
      </c>
      <c r="C962" t="s">
        <v>1937</v>
      </c>
      <c r="D962">
        <v>9184</v>
      </c>
      <c r="E962" t="s">
        <v>655</v>
      </c>
    </row>
    <row r="963" spans="1:5">
      <c r="A963" t="s">
        <v>1924</v>
      </c>
      <c r="B963" t="s">
        <v>896</v>
      </c>
      <c r="C963" t="s">
        <v>1938</v>
      </c>
      <c r="D963">
        <v>830884</v>
      </c>
      <c r="E963" t="s">
        <v>587</v>
      </c>
    </row>
    <row r="964" spans="1:5">
      <c r="A964" t="s">
        <v>1924</v>
      </c>
      <c r="B964" t="s">
        <v>896</v>
      </c>
      <c r="C964" t="s">
        <v>1939</v>
      </c>
      <c r="D964">
        <v>220393</v>
      </c>
      <c r="E964" t="s">
        <v>410</v>
      </c>
    </row>
    <row r="965" spans="1:5">
      <c r="A965" t="s">
        <v>1924</v>
      </c>
      <c r="B965" t="s">
        <v>896</v>
      </c>
      <c r="C965" t="s">
        <v>1940</v>
      </c>
      <c r="D965">
        <v>809076</v>
      </c>
      <c r="E965" t="s">
        <v>813</v>
      </c>
    </row>
    <row r="966" spans="1:5">
      <c r="A966" t="s">
        <v>1924</v>
      </c>
      <c r="B966" t="s">
        <v>896</v>
      </c>
      <c r="C966" t="s">
        <v>1941</v>
      </c>
      <c r="D966">
        <v>239819</v>
      </c>
      <c r="E966" t="s">
        <v>336</v>
      </c>
    </row>
    <row r="967" spans="1:5">
      <c r="A967" t="s">
        <v>1924</v>
      </c>
      <c r="B967" t="s">
        <v>896</v>
      </c>
      <c r="C967" t="s">
        <v>1942</v>
      </c>
      <c r="D967">
        <v>847686</v>
      </c>
      <c r="E967" t="s">
        <v>343</v>
      </c>
    </row>
    <row r="968" spans="1:5">
      <c r="A968" t="s">
        <v>1924</v>
      </c>
      <c r="B968" t="s">
        <v>896</v>
      </c>
      <c r="C968" t="s">
        <v>1943</v>
      </c>
      <c r="D968">
        <v>674990</v>
      </c>
      <c r="E968" t="s">
        <v>748</v>
      </c>
    </row>
    <row r="969" spans="1:5">
      <c r="A969" t="s">
        <v>1924</v>
      </c>
      <c r="B969" t="s">
        <v>896</v>
      </c>
      <c r="C969" t="s">
        <v>1944</v>
      </c>
      <c r="D969">
        <v>826067</v>
      </c>
      <c r="E969" t="s">
        <v>1506</v>
      </c>
    </row>
    <row r="970" spans="1:5">
      <c r="A970" t="s">
        <v>1924</v>
      </c>
      <c r="B970" t="s">
        <v>896</v>
      </c>
      <c r="C970" t="s">
        <v>1945</v>
      </c>
      <c r="D970">
        <v>772113</v>
      </c>
      <c r="E970" t="s">
        <v>202</v>
      </c>
    </row>
    <row r="971" spans="1:5">
      <c r="A971" t="s">
        <v>1924</v>
      </c>
      <c r="B971" t="s">
        <v>896</v>
      </c>
      <c r="C971" t="s">
        <v>1946</v>
      </c>
      <c r="D971">
        <v>239819</v>
      </c>
      <c r="E971" t="s">
        <v>336</v>
      </c>
    </row>
    <row r="972" spans="1:5">
      <c r="A972" t="s">
        <v>1924</v>
      </c>
      <c r="B972" t="s">
        <v>896</v>
      </c>
      <c r="C972" t="s">
        <v>1947</v>
      </c>
      <c r="D972">
        <v>641151</v>
      </c>
      <c r="E972" t="s">
        <v>58</v>
      </c>
    </row>
    <row r="973" spans="1:5">
      <c r="A973" t="s">
        <v>1924</v>
      </c>
      <c r="B973" t="s">
        <v>896</v>
      </c>
      <c r="C973" t="s">
        <v>1948</v>
      </c>
      <c r="D973">
        <v>557897</v>
      </c>
      <c r="E973" t="s">
        <v>18</v>
      </c>
    </row>
    <row r="974" spans="1:5">
      <c r="A974" t="s">
        <v>1924</v>
      </c>
      <c r="B974" t="s">
        <v>896</v>
      </c>
      <c r="C974" t="s">
        <v>1949</v>
      </c>
      <c r="D974">
        <v>428553</v>
      </c>
      <c r="E974" t="s">
        <v>872</v>
      </c>
    </row>
    <row r="975" spans="1:5">
      <c r="A975" t="s">
        <v>1924</v>
      </c>
      <c r="B975" t="s">
        <v>896</v>
      </c>
      <c r="C975" t="s">
        <v>1950</v>
      </c>
      <c r="D975">
        <v>494196</v>
      </c>
      <c r="E975" t="s">
        <v>463</v>
      </c>
    </row>
    <row r="976" spans="1:5">
      <c r="A976" t="s">
        <v>1924</v>
      </c>
      <c r="B976" t="s">
        <v>896</v>
      </c>
      <c r="C976" t="s">
        <v>1951</v>
      </c>
      <c r="D976">
        <v>262000</v>
      </c>
      <c r="E976" t="s">
        <v>275</v>
      </c>
    </row>
    <row r="977" spans="1:5">
      <c r="A977" t="s">
        <v>1952</v>
      </c>
      <c r="B977" t="s">
        <v>896</v>
      </c>
      <c r="C977" t="s">
        <v>1953</v>
      </c>
      <c r="D977">
        <v>617808</v>
      </c>
      <c r="E977" t="s">
        <v>34</v>
      </c>
    </row>
    <row r="978" spans="1:5">
      <c r="A978" t="s">
        <v>1952</v>
      </c>
      <c r="B978" t="s">
        <v>896</v>
      </c>
      <c r="C978" t="s">
        <v>1954</v>
      </c>
      <c r="D978">
        <v>486886</v>
      </c>
      <c r="E978" t="s">
        <v>29</v>
      </c>
    </row>
    <row r="979" spans="1:5">
      <c r="A979" t="s">
        <v>1952</v>
      </c>
      <c r="B979" t="s">
        <v>896</v>
      </c>
      <c r="C979" t="s">
        <v>1955</v>
      </c>
      <c r="D979">
        <v>628110</v>
      </c>
      <c r="E979" t="s">
        <v>584</v>
      </c>
    </row>
    <row r="980" spans="1:5">
      <c r="A980" t="s">
        <v>1952</v>
      </c>
      <c r="B980" t="s">
        <v>896</v>
      </c>
      <c r="C980" t="s">
        <v>1956</v>
      </c>
      <c r="D980">
        <v>96959</v>
      </c>
      <c r="E980" t="s">
        <v>56</v>
      </c>
    </row>
    <row r="981" spans="1:5">
      <c r="A981" t="s">
        <v>1957</v>
      </c>
      <c r="B981" t="s">
        <v>896</v>
      </c>
      <c r="C981" t="s">
        <v>1958</v>
      </c>
      <c r="D981">
        <v>891376</v>
      </c>
      <c r="E981" t="s">
        <v>770</v>
      </c>
    </row>
    <row r="982" spans="1:5">
      <c r="A982" t="s">
        <v>1957</v>
      </c>
      <c r="B982" t="s">
        <v>896</v>
      </c>
      <c r="C982" t="s">
        <v>1959</v>
      </c>
      <c r="D982">
        <v>587311</v>
      </c>
      <c r="E982" t="s">
        <v>399</v>
      </c>
    </row>
    <row r="983" spans="1:5">
      <c r="A983" t="s">
        <v>1957</v>
      </c>
      <c r="B983" t="s">
        <v>896</v>
      </c>
      <c r="C983" t="s">
        <v>1960</v>
      </c>
      <c r="D983">
        <v>170071</v>
      </c>
      <c r="E983" t="s">
        <v>468</v>
      </c>
    </row>
    <row r="984" spans="1:5">
      <c r="A984" t="s">
        <v>1957</v>
      </c>
      <c r="B984" t="s">
        <v>896</v>
      </c>
      <c r="C984" t="s">
        <v>1961</v>
      </c>
      <c r="D984">
        <v>974730</v>
      </c>
      <c r="E984" t="s">
        <v>93</v>
      </c>
    </row>
    <row r="985" spans="1:5">
      <c r="A985" t="s">
        <v>1957</v>
      </c>
      <c r="B985" t="s">
        <v>896</v>
      </c>
      <c r="C985" t="s">
        <v>1962</v>
      </c>
      <c r="D985">
        <v>246792</v>
      </c>
      <c r="E985" t="s">
        <v>116</v>
      </c>
    </row>
    <row r="986" spans="1:5">
      <c r="A986" t="s">
        <v>1957</v>
      </c>
      <c r="B986" t="s">
        <v>896</v>
      </c>
      <c r="C986" t="s">
        <v>1963</v>
      </c>
      <c r="D986">
        <v>92567</v>
      </c>
      <c r="E986" t="s">
        <v>270</v>
      </c>
    </row>
    <row r="987" spans="1:5">
      <c r="A987" t="s">
        <v>1957</v>
      </c>
      <c r="B987" t="s">
        <v>896</v>
      </c>
      <c r="C987" t="s">
        <v>1964</v>
      </c>
      <c r="D987">
        <v>270157</v>
      </c>
      <c r="E987" t="s">
        <v>168</v>
      </c>
    </row>
    <row r="988" spans="1:5">
      <c r="A988" t="s">
        <v>1957</v>
      </c>
      <c r="B988" t="s">
        <v>896</v>
      </c>
      <c r="C988" t="s">
        <v>1965</v>
      </c>
      <c r="D988">
        <v>170071</v>
      </c>
      <c r="E988" t="s">
        <v>468</v>
      </c>
    </row>
    <row r="989" spans="1:5">
      <c r="A989" t="s">
        <v>1957</v>
      </c>
      <c r="B989" t="s">
        <v>896</v>
      </c>
      <c r="C989" t="s">
        <v>1966</v>
      </c>
      <c r="D989">
        <v>92567</v>
      </c>
      <c r="E989" t="s">
        <v>270</v>
      </c>
    </row>
    <row r="990" spans="1:5">
      <c r="A990" t="s">
        <v>1957</v>
      </c>
      <c r="B990" t="s">
        <v>896</v>
      </c>
      <c r="C990" t="s">
        <v>1967</v>
      </c>
      <c r="D990">
        <v>765474</v>
      </c>
      <c r="E990" t="s">
        <v>48</v>
      </c>
    </row>
    <row r="991" spans="1:5">
      <c r="A991" t="s">
        <v>1957</v>
      </c>
      <c r="B991" t="s">
        <v>896</v>
      </c>
      <c r="C991" t="s">
        <v>1968</v>
      </c>
      <c r="D991">
        <v>587311</v>
      </c>
      <c r="E991" t="s">
        <v>399</v>
      </c>
    </row>
    <row r="992" spans="1:5">
      <c r="A992" t="s">
        <v>1957</v>
      </c>
      <c r="B992" t="s">
        <v>896</v>
      </c>
      <c r="C992" t="s">
        <v>1969</v>
      </c>
      <c r="D992">
        <v>891376</v>
      </c>
      <c r="E992" t="s">
        <v>770</v>
      </c>
    </row>
    <row r="993" spans="1:5">
      <c r="A993" t="s">
        <v>1957</v>
      </c>
      <c r="B993" t="s">
        <v>896</v>
      </c>
      <c r="C993" t="s">
        <v>1970</v>
      </c>
      <c r="D993">
        <v>974730</v>
      </c>
      <c r="E993" t="s">
        <v>93</v>
      </c>
    </row>
    <row r="994" spans="1:5">
      <c r="A994" t="s">
        <v>1957</v>
      </c>
      <c r="B994" t="s">
        <v>896</v>
      </c>
      <c r="C994" t="s">
        <v>1971</v>
      </c>
      <c r="D994">
        <v>170071</v>
      </c>
      <c r="E994" t="s">
        <v>468</v>
      </c>
    </row>
    <row r="995" spans="1:5">
      <c r="A995" t="s">
        <v>1972</v>
      </c>
      <c r="B995" t="s">
        <v>896</v>
      </c>
      <c r="C995" t="s">
        <v>1973</v>
      </c>
      <c r="D995">
        <v>202505</v>
      </c>
      <c r="E995" t="s">
        <v>686</v>
      </c>
    </row>
    <row r="996" spans="1:5">
      <c r="A996" t="s">
        <v>1972</v>
      </c>
      <c r="B996" t="s">
        <v>896</v>
      </c>
      <c r="C996" t="s">
        <v>1974</v>
      </c>
      <c r="D996">
        <v>693099</v>
      </c>
      <c r="E996" t="s">
        <v>461</v>
      </c>
    </row>
    <row r="997" spans="1:5">
      <c r="A997" t="s">
        <v>1972</v>
      </c>
      <c r="B997" t="s">
        <v>896</v>
      </c>
      <c r="C997" t="s">
        <v>1975</v>
      </c>
      <c r="D997">
        <v>538904</v>
      </c>
      <c r="E997" t="s">
        <v>1538</v>
      </c>
    </row>
    <row r="998" spans="1:5">
      <c r="A998" t="s">
        <v>1972</v>
      </c>
      <c r="B998" t="s">
        <v>896</v>
      </c>
      <c r="C998" t="s">
        <v>1976</v>
      </c>
      <c r="D998">
        <v>689981</v>
      </c>
      <c r="E998" t="s">
        <v>666</v>
      </c>
    </row>
    <row r="999" spans="1:5">
      <c r="A999" t="s">
        <v>1972</v>
      </c>
      <c r="B999" t="s">
        <v>896</v>
      </c>
      <c r="C999" t="s">
        <v>1977</v>
      </c>
      <c r="D999">
        <v>200292</v>
      </c>
      <c r="E999" t="s">
        <v>1978</v>
      </c>
    </row>
    <row r="1000" spans="1:5">
      <c r="A1000" t="s">
        <v>1972</v>
      </c>
      <c r="B1000" t="s">
        <v>896</v>
      </c>
      <c r="C1000" t="s">
        <v>1979</v>
      </c>
      <c r="D1000">
        <v>277668</v>
      </c>
      <c r="E1000" t="s">
        <v>656</v>
      </c>
    </row>
    <row r="1001" spans="1:5">
      <c r="A1001" t="s">
        <v>1972</v>
      </c>
      <c r="B1001" t="s">
        <v>896</v>
      </c>
      <c r="C1001" t="s">
        <v>1980</v>
      </c>
      <c r="D1001">
        <v>689981</v>
      </c>
      <c r="E1001" t="s">
        <v>666</v>
      </c>
    </row>
    <row r="1002" spans="1:5">
      <c r="A1002" t="s">
        <v>1972</v>
      </c>
      <c r="B1002" t="s">
        <v>896</v>
      </c>
      <c r="C1002" t="s">
        <v>1981</v>
      </c>
      <c r="D1002">
        <v>403781</v>
      </c>
      <c r="E1002" t="s">
        <v>261</v>
      </c>
    </row>
    <row r="1003" spans="1:5">
      <c r="A1003" t="s">
        <v>1972</v>
      </c>
      <c r="B1003" t="s">
        <v>896</v>
      </c>
      <c r="C1003" t="s">
        <v>1982</v>
      </c>
      <c r="D1003">
        <v>366558</v>
      </c>
      <c r="E1003" t="s">
        <v>502</v>
      </c>
    </row>
    <row r="1004" spans="1:5">
      <c r="A1004" t="s">
        <v>1972</v>
      </c>
      <c r="B1004" t="s">
        <v>896</v>
      </c>
      <c r="C1004" t="s">
        <v>1983</v>
      </c>
      <c r="D1004">
        <v>5221</v>
      </c>
      <c r="E1004" t="s">
        <v>312</v>
      </c>
    </row>
    <row r="1005" spans="1:5">
      <c r="A1005" t="s">
        <v>1972</v>
      </c>
      <c r="B1005" t="s">
        <v>896</v>
      </c>
      <c r="C1005" t="s">
        <v>1984</v>
      </c>
      <c r="D1005">
        <v>538904</v>
      </c>
      <c r="E1005" t="s">
        <v>1538</v>
      </c>
    </row>
    <row r="1006" spans="1:5">
      <c r="A1006" t="s">
        <v>1972</v>
      </c>
      <c r="B1006" t="s">
        <v>896</v>
      </c>
      <c r="C1006" t="s">
        <v>1985</v>
      </c>
      <c r="D1006">
        <v>175069</v>
      </c>
      <c r="E1006" t="s">
        <v>159</v>
      </c>
    </row>
    <row r="1007" spans="1:5">
      <c r="A1007" t="s">
        <v>1972</v>
      </c>
      <c r="B1007" t="s">
        <v>896</v>
      </c>
      <c r="C1007" t="s">
        <v>1986</v>
      </c>
      <c r="D1007">
        <v>689981</v>
      </c>
      <c r="E1007" t="s">
        <v>666</v>
      </c>
    </row>
    <row r="1008" spans="1:5">
      <c r="A1008" t="s">
        <v>1972</v>
      </c>
      <c r="B1008" t="s">
        <v>896</v>
      </c>
      <c r="C1008" t="s">
        <v>1987</v>
      </c>
      <c r="D1008">
        <v>871573</v>
      </c>
      <c r="E1008" t="s">
        <v>1463</v>
      </c>
    </row>
    <row r="1009" spans="1:5">
      <c r="A1009" t="s">
        <v>1972</v>
      </c>
      <c r="B1009" t="s">
        <v>896</v>
      </c>
      <c r="C1009" t="s">
        <v>1988</v>
      </c>
      <c r="D1009">
        <v>466400</v>
      </c>
      <c r="E1009" t="s">
        <v>304</v>
      </c>
    </row>
    <row r="1010" spans="1:5">
      <c r="A1010" t="s">
        <v>1972</v>
      </c>
      <c r="B1010" t="s">
        <v>896</v>
      </c>
      <c r="C1010" t="s">
        <v>1989</v>
      </c>
      <c r="D1010">
        <v>538904</v>
      </c>
      <c r="E1010" t="s">
        <v>1538</v>
      </c>
    </row>
    <row r="1011" spans="1:5">
      <c r="A1011" t="s">
        <v>1972</v>
      </c>
      <c r="B1011" t="s">
        <v>896</v>
      </c>
      <c r="C1011" t="s">
        <v>1990</v>
      </c>
      <c r="D1011">
        <v>778500</v>
      </c>
      <c r="E1011" t="s">
        <v>345</v>
      </c>
    </row>
    <row r="1012" spans="1:5">
      <c r="A1012" t="s">
        <v>1972</v>
      </c>
      <c r="B1012" t="s">
        <v>896</v>
      </c>
      <c r="C1012" t="s">
        <v>1991</v>
      </c>
      <c r="D1012">
        <v>83613</v>
      </c>
      <c r="E1012" t="s">
        <v>290</v>
      </c>
    </row>
    <row r="1013" spans="1:5">
      <c r="A1013" t="s">
        <v>1972</v>
      </c>
      <c r="B1013" t="s">
        <v>896</v>
      </c>
      <c r="C1013" t="s">
        <v>1992</v>
      </c>
      <c r="D1013">
        <v>693099</v>
      </c>
      <c r="E1013" t="s">
        <v>461</v>
      </c>
    </row>
    <row r="1014" spans="1:5">
      <c r="A1014" t="s">
        <v>1972</v>
      </c>
      <c r="B1014" t="s">
        <v>896</v>
      </c>
      <c r="C1014" t="s">
        <v>1993</v>
      </c>
      <c r="D1014">
        <v>466400</v>
      </c>
      <c r="E1014" t="s">
        <v>304</v>
      </c>
    </row>
    <row r="1015" spans="1:5">
      <c r="A1015" t="s">
        <v>1972</v>
      </c>
      <c r="B1015" t="s">
        <v>896</v>
      </c>
      <c r="C1015" t="s">
        <v>1994</v>
      </c>
      <c r="D1015">
        <v>693099</v>
      </c>
      <c r="E1015" t="s">
        <v>461</v>
      </c>
    </row>
    <row r="1016" spans="1:5">
      <c r="A1016" t="s">
        <v>1972</v>
      </c>
      <c r="B1016" t="s">
        <v>896</v>
      </c>
      <c r="C1016" t="s">
        <v>1995</v>
      </c>
      <c r="D1016">
        <v>466400</v>
      </c>
      <c r="E1016" t="s">
        <v>304</v>
      </c>
    </row>
    <row r="1017" spans="1:5">
      <c r="A1017" t="s">
        <v>1996</v>
      </c>
      <c r="B1017" t="s">
        <v>896</v>
      </c>
      <c r="C1017" t="s">
        <v>1997</v>
      </c>
      <c r="D1017">
        <v>2140</v>
      </c>
      <c r="E1017" t="s">
        <v>742</v>
      </c>
    </row>
    <row r="1018" spans="1:5">
      <c r="A1018" t="s">
        <v>1996</v>
      </c>
      <c r="B1018" t="s">
        <v>896</v>
      </c>
      <c r="C1018" t="s">
        <v>1998</v>
      </c>
      <c r="D1018">
        <v>11467</v>
      </c>
      <c r="E1018" t="s">
        <v>756</v>
      </c>
    </row>
    <row r="1019" spans="1:5">
      <c r="A1019" t="s">
        <v>1996</v>
      </c>
      <c r="B1019" t="s">
        <v>896</v>
      </c>
      <c r="C1019" t="s">
        <v>1999</v>
      </c>
      <c r="D1019">
        <v>868469</v>
      </c>
      <c r="E1019" t="s">
        <v>1562</v>
      </c>
    </row>
    <row r="1020" spans="1:5">
      <c r="A1020" t="s">
        <v>1996</v>
      </c>
      <c r="B1020" t="s">
        <v>896</v>
      </c>
      <c r="C1020" t="s">
        <v>2000</v>
      </c>
      <c r="D1020">
        <v>623934</v>
      </c>
      <c r="E1020" t="s">
        <v>364</v>
      </c>
    </row>
    <row r="1021" spans="1:5">
      <c r="A1021" t="s">
        <v>2001</v>
      </c>
      <c r="B1021" t="s">
        <v>896</v>
      </c>
      <c r="C1021" t="s">
        <v>2002</v>
      </c>
      <c r="D1021">
        <v>657156</v>
      </c>
      <c r="E1021" t="s">
        <v>305</v>
      </c>
    </row>
    <row r="1022" spans="1:5">
      <c r="A1022" t="s">
        <v>2001</v>
      </c>
      <c r="B1022" t="s">
        <v>896</v>
      </c>
      <c r="C1022" t="s">
        <v>2003</v>
      </c>
      <c r="D1022">
        <v>657156</v>
      </c>
      <c r="E1022" t="s">
        <v>305</v>
      </c>
    </row>
    <row r="1023" spans="1:5">
      <c r="A1023" t="s">
        <v>2001</v>
      </c>
      <c r="B1023" t="s">
        <v>896</v>
      </c>
      <c r="C1023" t="s">
        <v>2004</v>
      </c>
      <c r="D1023">
        <v>524315</v>
      </c>
      <c r="E1023" t="s">
        <v>568</v>
      </c>
    </row>
    <row r="1024" spans="1:5">
      <c r="A1024" t="s">
        <v>2001</v>
      </c>
      <c r="B1024" t="s">
        <v>896</v>
      </c>
      <c r="C1024" t="s">
        <v>2005</v>
      </c>
      <c r="D1024">
        <v>524315</v>
      </c>
      <c r="E1024" t="s">
        <v>568</v>
      </c>
    </row>
    <row r="1025" spans="1:5">
      <c r="A1025" t="s">
        <v>2001</v>
      </c>
      <c r="B1025" t="s">
        <v>896</v>
      </c>
      <c r="C1025" t="s">
        <v>2006</v>
      </c>
      <c r="D1025">
        <v>934158</v>
      </c>
      <c r="E1025" t="s">
        <v>484</v>
      </c>
    </row>
    <row r="1026" spans="1:5">
      <c r="A1026" t="s">
        <v>2001</v>
      </c>
      <c r="B1026" t="s">
        <v>896</v>
      </c>
      <c r="C1026" t="s">
        <v>2007</v>
      </c>
      <c r="D1026">
        <v>934158</v>
      </c>
      <c r="E1026" t="s">
        <v>484</v>
      </c>
    </row>
    <row r="1027" spans="1:5">
      <c r="A1027" t="s">
        <v>2001</v>
      </c>
      <c r="B1027" t="s">
        <v>896</v>
      </c>
      <c r="C1027" t="s">
        <v>2008</v>
      </c>
      <c r="D1027">
        <v>455603</v>
      </c>
      <c r="E1027" t="s">
        <v>711</v>
      </c>
    </row>
    <row r="1028" spans="1:5">
      <c r="A1028" t="s">
        <v>2001</v>
      </c>
      <c r="B1028" t="s">
        <v>896</v>
      </c>
      <c r="C1028" t="s">
        <v>2009</v>
      </c>
      <c r="D1028">
        <v>128554</v>
      </c>
      <c r="E1028" t="s">
        <v>709</v>
      </c>
    </row>
    <row r="1029" spans="1:5">
      <c r="A1029" t="s">
        <v>2001</v>
      </c>
      <c r="B1029" t="s">
        <v>896</v>
      </c>
      <c r="C1029" t="s">
        <v>2010</v>
      </c>
      <c r="D1029">
        <v>128554</v>
      </c>
      <c r="E1029" t="s">
        <v>709</v>
      </c>
    </row>
    <row r="1030" spans="1:5">
      <c r="A1030" t="s">
        <v>2001</v>
      </c>
      <c r="B1030" t="s">
        <v>896</v>
      </c>
      <c r="C1030" t="s">
        <v>2011</v>
      </c>
      <c r="D1030">
        <v>696603</v>
      </c>
      <c r="E1030" t="s">
        <v>458</v>
      </c>
    </row>
    <row r="1031" spans="1:5">
      <c r="A1031" t="s">
        <v>2001</v>
      </c>
      <c r="B1031" t="s">
        <v>896</v>
      </c>
      <c r="C1031" t="s">
        <v>2012</v>
      </c>
      <c r="D1031">
        <v>696603</v>
      </c>
      <c r="E1031" t="s">
        <v>458</v>
      </c>
    </row>
    <row r="1032" spans="1:5">
      <c r="A1032" t="s">
        <v>2001</v>
      </c>
      <c r="B1032" t="s">
        <v>896</v>
      </c>
      <c r="C1032" t="s">
        <v>2013</v>
      </c>
      <c r="D1032">
        <v>657156</v>
      </c>
      <c r="E1032" t="s">
        <v>305</v>
      </c>
    </row>
    <row r="1033" spans="1:5">
      <c r="A1033" t="s">
        <v>2001</v>
      </c>
      <c r="B1033" t="s">
        <v>896</v>
      </c>
      <c r="C1033" t="s">
        <v>2014</v>
      </c>
      <c r="D1033">
        <v>657156</v>
      </c>
      <c r="E1033" t="s">
        <v>305</v>
      </c>
    </row>
    <row r="1034" spans="1:5">
      <c r="A1034" t="s">
        <v>2015</v>
      </c>
      <c r="B1034" t="s">
        <v>896</v>
      </c>
      <c r="C1034" t="s">
        <v>1911</v>
      </c>
      <c r="D1034">
        <v>755301</v>
      </c>
      <c r="E1034" t="s">
        <v>192</v>
      </c>
    </row>
    <row r="1035" spans="1:5">
      <c r="A1035" t="s">
        <v>2015</v>
      </c>
      <c r="B1035" t="s">
        <v>896</v>
      </c>
      <c r="C1035" t="s">
        <v>1204</v>
      </c>
      <c r="D1035">
        <v>597434</v>
      </c>
      <c r="E1035" t="s">
        <v>47</v>
      </c>
    </row>
    <row r="1036" spans="1:5">
      <c r="A1036" t="s">
        <v>2015</v>
      </c>
      <c r="B1036" t="s">
        <v>896</v>
      </c>
      <c r="C1036" t="s">
        <v>2016</v>
      </c>
      <c r="D1036">
        <v>578846</v>
      </c>
      <c r="E1036" t="s">
        <v>810</v>
      </c>
    </row>
    <row r="1037" spans="1:5">
      <c r="A1037" t="s">
        <v>2015</v>
      </c>
      <c r="B1037" t="s">
        <v>896</v>
      </c>
      <c r="C1037" t="s">
        <v>1912</v>
      </c>
      <c r="D1037">
        <v>578846</v>
      </c>
      <c r="E1037" t="s">
        <v>810</v>
      </c>
    </row>
    <row r="1038" spans="1:5">
      <c r="A1038" t="s">
        <v>2015</v>
      </c>
      <c r="B1038" t="s">
        <v>896</v>
      </c>
      <c r="C1038" t="s">
        <v>1205</v>
      </c>
      <c r="D1038">
        <v>741443</v>
      </c>
      <c r="E1038" t="s">
        <v>267</v>
      </c>
    </row>
    <row r="1039" spans="1:5">
      <c r="A1039" t="s">
        <v>2015</v>
      </c>
      <c r="B1039" t="s">
        <v>896</v>
      </c>
      <c r="C1039" t="s">
        <v>2017</v>
      </c>
      <c r="D1039">
        <v>741443</v>
      </c>
      <c r="E1039" t="s">
        <v>267</v>
      </c>
    </row>
    <row r="1040" spans="1:5">
      <c r="A1040" t="s">
        <v>2015</v>
      </c>
      <c r="B1040" t="s">
        <v>896</v>
      </c>
      <c r="C1040" t="s">
        <v>1913</v>
      </c>
      <c r="D1040">
        <v>184651</v>
      </c>
      <c r="E1040" t="s">
        <v>457</v>
      </c>
    </row>
    <row r="1041" spans="1:5">
      <c r="A1041" t="s">
        <v>2015</v>
      </c>
      <c r="B1041" t="s">
        <v>896</v>
      </c>
      <c r="C1041" t="s">
        <v>1206</v>
      </c>
      <c r="D1041">
        <v>541315</v>
      </c>
      <c r="E1041" t="s">
        <v>374</v>
      </c>
    </row>
    <row r="1042" spans="1:5">
      <c r="A1042" t="s">
        <v>2015</v>
      </c>
      <c r="B1042" t="s">
        <v>896</v>
      </c>
      <c r="C1042" t="s">
        <v>2018</v>
      </c>
      <c r="D1042">
        <v>441735</v>
      </c>
      <c r="E1042" t="s">
        <v>496</v>
      </c>
    </row>
    <row r="1043" spans="1:5">
      <c r="A1043" t="s">
        <v>2015</v>
      </c>
      <c r="B1043" t="s">
        <v>896</v>
      </c>
      <c r="C1043" t="s">
        <v>1914</v>
      </c>
      <c r="D1043">
        <v>429425</v>
      </c>
      <c r="E1043" t="s">
        <v>694</v>
      </c>
    </row>
    <row r="1044" spans="1:5">
      <c r="A1044" t="s">
        <v>2015</v>
      </c>
      <c r="B1044" t="s">
        <v>896</v>
      </c>
      <c r="C1044" t="s">
        <v>1207</v>
      </c>
      <c r="D1044">
        <v>128554</v>
      </c>
      <c r="E1044" t="s">
        <v>709</v>
      </c>
    </row>
    <row r="1045" spans="1:5">
      <c r="A1045" t="s">
        <v>2015</v>
      </c>
      <c r="B1045" t="s">
        <v>896</v>
      </c>
      <c r="C1045" t="s">
        <v>2019</v>
      </c>
      <c r="D1045">
        <v>128554</v>
      </c>
      <c r="E1045" t="s">
        <v>709</v>
      </c>
    </row>
    <row r="1046" spans="1:5">
      <c r="A1046" t="s">
        <v>2015</v>
      </c>
      <c r="B1046" t="s">
        <v>896</v>
      </c>
      <c r="C1046" t="s">
        <v>1915</v>
      </c>
      <c r="D1046">
        <v>441735</v>
      </c>
      <c r="E1046" t="s">
        <v>496</v>
      </c>
    </row>
    <row r="1047" spans="1:5">
      <c r="A1047" t="s">
        <v>2015</v>
      </c>
      <c r="B1047" t="s">
        <v>896</v>
      </c>
      <c r="C1047" t="s">
        <v>1208</v>
      </c>
      <c r="D1047">
        <v>741443</v>
      </c>
      <c r="E1047" t="s">
        <v>267</v>
      </c>
    </row>
    <row r="1048" spans="1:5">
      <c r="A1048" t="s">
        <v>2015</v>
      </c>
      <c r="B1048" t="s">
        <v>896</v>
      </c>
      <c r="C1048" t="s">
        <v>2020</v>
      </c>
      <c r="D1048">
        <v>429425</v>
      </c>
      <c r="E1048" t="s">
        <v>694</v>
      </c>
    </row>
    <row r="1049" spans="1:5">
      <c r="A1049" t="s">
        <v>2015</v>
      </c>
      <c r="B1049" t="s">
        <v>896</v>
      </c>
      <c r="C1049" t="s">
        <v>1916</v>
      </c>
      <c r="D1049">
        <v>439207</v>
      </c>
      <c r="E1049" t="s">
        <v>131</v>
      </c>
    </row>
    <row r="1050" spans="1:5">
      <c r="A1050" t="s">
        <v>2015</v>
      </c>
      <c r="B1050" t="s">
        <v>896</v>
      </c>
      <c r="C1050" t="s">
        <v>1106</v>
      </c>
      <c r="D1050">
        <v>184651</v>
      </c>
      <c r="E1050" t="s">
        <v>457</v>
      </c>
    </row>
    <row r="1051" spans="1:5">
      <c r="A1051" t="s">
        <v>2015</v>
      </c>
      <c r="B1051" t="s">
        <v>896</v>
      </c>
      <c r="C1051" t="s">
        <v>2021</v>
      </c>
      <c r="D1051">
        <v>378341</v>
      </c>
      <c r="E1051" t="s">
        <v>121</v>
      </c>
    </row>
    <row r="1052" spans="1:5">
      <c r="A1052" t="s">
        <v>2015</v>
      </c>
      <c r="B1052" t="s">
        <v>896</v>
      </c>
      <c r="C1052" t="s">
        <v>2022</v>
      </c>
      <c r="D1052">
        <v>741443</v>
      </c>
      <c r="E1052" t="s">
        <v>267</v>
      </c>
    </row>
    <row r="1053" spans="1:5">
      <c r="A1053" t="s">
        <v>2015</v>
      </c>
      <c r="B1053" t="s">
        <v>896</v>
      </c>
      <c r="C1053" t="s">
        <v>1211</v>
      </c>
      <c r="D1053">
        <v>841219</v>
      </c>
      <c r="E1053" t="s">
        <v>877</v>
      </c>
    </row>
    <row r="1054" spans="1:5">
      <c r="A1054" t="s">
        <v>2015</v>
      </c>
      <c r="B1054" t="s">
        <v>896</v>
      </c>
      <c r="C1054" t="s">
        <v>2023</v>
      </c>
      <c r="D1054">
        <v>828379</v>
      </c>
      <c r="E1054" t="s">
        <v>287</v>
      </c>
    </row>
    <row r="1055" spans="1:5">
      <c r="A1055" t="s">
        <v>2015</v>
      </c>
      <c r="B1055" t="s">
        <v>896</v>
      </c>
      <c r="C1055" t="s">
        <v>1917</v>
      </c>
      <c r="D1055">
        <v>755301</v>
      </c>
      <c r="E1055" t="s">
        <v>192</v>
      </c>
    </row>
    <row r="1056" spans="1:5">
      <c r="A1056" t="s">
        <v>2024</v>
      </c>
      <c r="B1056" t="s">
        <v>896</v>
      </c>
      <c r="C1056" t="s">
        <v>2025</v>
      </c>
      <c r="D1056">
        <v>773189</v>
      </c>
      <c r="E1056" t="s">
        <v>618</v>
      </c>
    </row>
    <row r="1057" spans="1:5">
      <c r="A1057" t="s">
        <v>2024</v>
      </c>
      <c r="B1057" t="s">
        <v>896</v>
      </c>
      <c r="C1057" t="s">
        <v>2026</v>
      </c>
      <c r="D1057">
        <v>562264</v>
      </c>
      <c r="E1057" t="s">
        <v>276</v>
      </c>
    </row>
    <row r="1058" spans="1:5">
      <c r="A1058" t="s">
        <v>2024</v>
      </c>
      <c r="B1058" t="s">
        <v>896</v>
      </c>
      <c r="C1058" t="s">
        <v>2027</v>
      </c>
      <c r="D1058">
        <v>22091</v>
      </c>
      <c r="E1058" t="s">
        <v>2028</v>
      </c>
    </row>
    <row r="1059" spans="1:5">
      <c r="A1059" t="s">
        <v>2024</v>
      </c>
      <c r="B1059" t="s">
        <v>896</v>
      </c>
      <c r="C1059" t="s">
        <v>2029</v>
      </c>
      <c r="D1059">
        <v>455417</v>
      </c>
      <c r="E1059" t="s">
        <v>324</v>
      </c>
    </row>
    <row r="1060" spans="1:5">
      <c r="A1060" t="s">
        <v>2024</v>
      </c>
      <c r="B1060" t="s">
        <v>896</v>
      </c>
      <c r="C1060" t="s">
        <v>2030</v>
      </c>
      <c r="D1060">
        <v>455417</v>
      </c>
      <c r="E1060" t="s">
        <v>324</v>
      </c>
    </row>
    <row r="1061" spans="1:5">
      <c r="A1061" t="s">
        <v>2024</v>
      </c>
      <c r="B1061" t="s">
        <v>896</v>
      </c>
      <c r="C1061" t="s">
        <v>2031</v>
      </c>
      <c r="D1061">
        <v>22091</v>
      </c>
      <c r="E1061" t="s">
        <v>2028</v>
      </c>
    </row>
    <row r="1062" spans="1:5">
      <c r="A1062" t="s">
        <v>2032</v>
      </c>
      <c r="B1062" t="s">
        <v>896</v>
      </c>
      <c r="C1062" t="s">
        <v>2033</v>
      </c>
      <c r="D1062">
        <v>944892</v>
      </c>
      <c r="E1062" t="s">
        <v>948</v>
      </c>
    </row>
    <row r="1063" spans="1:5">
      <c r="A1063" t="s">
        <v>2032</v>
      </c>
      <c r="B1063" t="s">
        <v>896</v>
      </c>
      <c r="C1063" t="s">
        <v>2034</v>
      </c>
      <c r="D1063">
        <v>11467</v>
      </c>
      <c r="E1063" t="s">
        <v>756</v>
      </c>
    </row>
    <row r="1064" spans="1:5">
      <c r="A1064" t="s">
        <v>2032</v>
      </c>
      <c r="B1064" t="s">
        <v>896</v>
      </c>
      <c r="C1064" t="s">
        <v>2034</v>
      </c>
      <c r="D1064">
        <v>725703</v>
      </c>
      <c r="E1064" t="s">
        <v>427</v>
      </c>
    </row>
    <row r="1065" spans="1:5">
      <c r="A1065" t="s">
        <v>2032</v>
      </c>
      <c r="B1065" t="s">
        <v>896</v>
      </c>
      <c r="C1065" t="s">
        <v>2035</v>
      </c>
      <c r="D1065">
        <v>237426</v>
      </c>
      <c r="E1065" t="s">
        <v>708</v>
      </c>
    </row>
    <row r="1066" spans="1:5">
      <c r="A1066" t="s">
        <v>2036</v>
      </c>
      <c r="B1066" t="s">
        <v>896</v>
      </c>
      <c r="C1066" t="s">
        <v>2037</v>
      </c>
      <c r="D1066">
        <v>449352</v>
      </c>
      <c r="E1066" t="s">
        <v>503</v>
      </c>
    </row>
    <row r="1067" spans="1:5">
      <c r="A1067" t="s">
        <v>2036</v>
      </c>
      <c r="B1067" t="s">
        <v>896</v>
      </c>
      <c r="C1067" t="s">
        <v>2038</v>
      </c>
      <c r="D1067">
        <v>105763</v>
      </c>
      <c r="E1067" t="s">
        <v>113</v>
      </c>
    </row>
    <row r="1068" spans="1:5">
      <c r="A1068" t="s">
        <v>2036</v>
      </c>
      <c r="B1068" t="s">
        <v>896</v>
      </c>
      <c r="C1068" t="s">
        <v>2039</v>
      </c>
      <c r="D1068">
        <v>597434</v>
      </c>
      <c r="E1068" t="s">
        <v>47</v>
      </c>
    </row>
    <row r="1069" spans="1:5">
      <c r="A1069" t="s">
        <v>2036</v>
      </c>
      <c r="B1069" t="s">
        <v>896</v>
      </c>
      <c r="C1069" t="s">
        <v>2040</v>
      </c>
      <c r="D1069">
        <v>923674</v>
      </c>
      <c r="E1069" t="s">
        <v>663</v>
      </c>
    </row>
    <row r="1070" spans="1:5">
      <c r="A1070" t="s">
        <v>2036</v>
      </c>
      <c r="B1070" t="s">
        <v>896</v>
      </c>
      <c r="C1070" t="s">
        <v>2041</v>
      </c>
      <c r="D1070">
        <v>494196</v>
      </c>
      <c r="E1070" t="s">
        <v>463</v>
      </c>
    </row>
    <row r="1071" spans="1:5">
      <c r="A1071" t="s">
        <v>2036</v>
      </c>
      <c r="B1071" t="s">
        <v>896</v>
      </c>
      <c r="C1071" t="s">
        <v>2042</v>
      </c>
      <c r="D1071">
        <v>632638</v>
      </c>
      <c r="E1071" t="s">
        <v>260</v>
      </c>
    </row>
    <row r="1072" spans="1:5">
      <c r="A1072" t="s">
        <v>2036</v>
      </c>
      <c r="B1072" t="s">
        <v>896</v>
      </c>
      <c r="C1072" t="s">
        <v>2043</v>
      </c>
      <c r="D1072">
        <v>541315</v>
      </c>
      <c r="E1072" t="s">
        <v>374</v>
      </c>
    </row>
    <row r="1073" spans="1:5">
      <c r="A1073" t="s">
        <v>2036</v>
      </c>
      <c r="B1073" t="s">
        <v>896</v>
      </c>
      <c r="C1073" t="s">
        <v>2044</v>
      </c>
      <c r="D1073">
        <v>815694</v>
      </c>
      <c r="E1073" t="s">
        <v>718</v>
      </c>
    </row>
    <row r="1074" spans="1:5">
      <c r="A1074" t="s">
        <v>2036</v>
      </c>
      <c r="B1074" t="s">
        <v>896</v>
      </c>
      <c r="C1074" t="s">
        <v>2045</v>
      </c>
      <c r="D1074">
        <v>266487</v>
      </c>
      <c r="E1074" t="s">
        <v>255</v>
      </c>
    </row>
    <row r="1075" spans="1:5">
      <c r="A1075" t="s">
        <v>2036</v>
      </c>
      <c r="B1075" t="s">
        <v>896</v>
      </c>
      <c r="C1075" t="s">
        <v>2046</v>
      </c>
      <c r="D1075">
        <v>755301</v>
      </c>
      <c r="E1075" t="s">
        <v>192</v>
      </c>
    </row>
    <row r="1076" spans="1:5">
      <c r="A1076" t="s">
        <v>2036</v>
      </c>
      <c r="B1076" t="s">
        <v>896</v>
      </c>
      <c r="C1076" t="s">
        <v>2047</v>
      </c>
      <c r="D1076">
        <v>621900</v>
      </c>
      <c r="E1076" t="s">
        <v>254</v>
      </c>
    </row>
    <row r="1077" spans="1:5">
      <c r="A1077" t="s">
        <v>2036</v>
      </c>
      <c r="B1077" t="s">
        <v>896</v>
      </c>
      <c r="C1077" t="s">
        <v>2048</v>
      </c>
      <c r="D1077">
        <v>518980</v>
      </c>
      <c r="E1077" t="s">
        <v>582</v>
      </c>
    </row>
    <row r="1078" spans="1:5">
      <c r="A1078" t="s">
        <v>2036</v>
      </c>
      <c r="B1078" t="s">
        <v>896</v>
      </c>
      <c r="C1078" t="s">
        <v>2049</v>
      </c>
      <c r="D1078">
        <v>372832</v>
      </c>
      <c r="E1078" t="s">
        <v>326</v>
      </c>
    </row>
    <row r="1079" spans="1:5">
      <c r="A1079" t="s">
        <v>2036</v>
      </c>
      <c r="B1079" t="s">
        <v>896</v>
      </c>
      <c r="C1079" t="s">
        <v>2050</v>
      </c>
      <c r="D1079">
        <v>248981</v>
      </c>
      <c r="E1079" t="s">
        <v>25</v>
      </c>
    </row>
    <row r="1080" spans="1:5">
      <c r="A1080" t="s">
        <v>2036</v>
      </c>
      <c r="B1080" t="s">
        <v>896</v>
      </c>
      <c r="C1080" t="s">
        <v>2051</v>
      </c>
      <c r="D1080">
        <v>815694</v>
      </c>
      <c r="E1080" t="s">
        <v>718</v>
      </c>
    </row>
    <row r="1081" spans="1:5">
      <c r="A1081" t="s">
        <v>2036</v>
      </c>
      <c r="B1081" t="s">
        <v>896</v>
      </c>
      <c r="C1081" t="s">
        <v>2052</v>
      </c>
      <c r="D1081">
        <v>151929</v>
      </c>
      <c r="E1081" t="s">
        <v>180</v>
      </c>
    </row>
    <row r="1082" spans="1:5">
      <c r="A1082" t="s">
        <v>2036</v>
      </c>
      <c r="B1082" t="s">
        <v>896</v>
      </c>
      <c r="C1082" t="s">
        <v>2053</v>
      </c>
      <c r="D1082">
        <v>923674</v>
      </c>
      <c r="E1082" t="s">
        <v>663</v>
      </c>
    </row>
    <row r="1083" spans="1:5">
      <c r="A1083" t="s">
        <v>2036</v>
      </c>
      <c r="B1083" t="s">
        <v>896</v>
      </c>
      <c r="C1083" t="s">
        <v>2054</v>
      </c>
      <c r="D1083">
        <v>943909</v>
      </c>
      <c r="E1083" t="s">
        <v>674</v>
      </c>
    </row>
    <row r="1084" spans="1:5">
      <c r="A1084" t="s">
        <v>2036</v>
      </c>
      <c r="B1084" t="s">
        <v>896</v>
      </c>
      <c r="C1084" t="s">
        <v>2055</v>
      </c>
      <c r="D1084">
        <v>755301</v>
      </c>
      <c r="E1084" t="s">
        <v>192</v>
      </c>
    </row>
    <row r="1085" spans="1:5">
      <c r="A1085" t="s">
        <v>2036</v>
      </c>
      <c r="B1085" t="s">
        <v>896</v>
      </c>
      <c r="C1085" t="s">
        <v>2056</v>
      </c>
      <c r="D1085">
        <v>184651</v>
      </c>
      <c r="E1085" t="s">
        <v>457</v>
      </c>
    </row>
    <row r="1086" spans="1:5">
      <c r="A1086" t="s">
        <v>2036</v>
      </c>
      <c r="B1086" t="s">
        <v>896</v>
      </c>
      <c r="C1086" t="s">
        <v>2057</v>
      </c>
      <c r="D1086">
        <v>518980</v>
      </c>
      <c r="E1086" t="s">
        <v>582</v>
      </c>
    </row>
    <row r="1087" spans="1:5">
      <c r="A1087" t="s">
        <v>2036</v>
      </c>
      <c r="B1087" t="s">
        <v>896</v>
      </c>
      <c r="C1087" t="s">
        <v>2058</v>
      </c>
      <c r="D1087">
        <v>829985</v>
      </c>
      <c r="E1087" t="s">
        <v>806</v>
      </c>
    </row>
    <row r="1088" spans="1:5">
      <c r="A1088" t="s">
        <v>2036</v>
      </c>
      <c r="B1088" t="s">
        <v>896</v>
      </c>
      <c r="C1088" t="s">
        <v>2059</v>
      </c>
      <c r="D1088">
        <v>170071</v>
      </c>
      <c r="E1088" t="s">
        <v>468</v>
      </c>
    </row>
    <row r="1089" spans="1:5">
      <c r="A1089" t="s">
        <v>2036</v>
      </c>
      <c r="B1089" t="s">
        <v>896</v>
      </c>
      <c r="C1089" t="s">
        <v>2060</v>
      </c>
      <c r="D1089">
        <v>438689</v>
      </c>
      <c r="E1089" t="s">
        <v>36</v>
      </c>
    </row>
    <row r="1090" spans="1:5">
      <c r="A1090" t="s">
        <v>2036</v>
      </c>
      <c r="B1090" t="s">
        <v>896</v>
      </c>
      <c r="C1090" t="s">
        <v>2061</v>
      </c>
      <c r="D1090">
        <v>664967</v>
      </c>
      <c r="E1090" t="s">
        <v>812</v>
      </c>
    </row>
    <row r="1091" spans="1:5">
      <c r="A1091" t="s">
        <v>2036</v>
      </c>
      <c r="B1091" t="s">
        <v>896</v>
      </c>
      <c r="C1091" t="s">
        <v>2062</v>
      </c>
      <c r="D1091">
        <v>518980</v>
      </c>
      <c r="E1091" t="s">
        <v>582</v>
      </c>
    </row>
    <row r="1092" spans="1:5">
      <c r="A1092" t="s">
        <v>2036</v>
      </c>
      <c r="B1092" t="s">
        <v>896</v>
      </c>
      <c r="C1092" t="s">
        <v>2063</v>
      </c>
      <c r="D1092">
        <v>621900</v>
      </c>
      <c r="E1092" t="s">
        <v>254</v>
      </c>
    </row>
    <row r="1093" spans="1:5">
      <c r="A1093" t="s">
        <v>2036</v>
      </c>
      <c r="B1093" t="s">
        <v>896</v>
      </c>
      <c r="C1093" t="s">
        <v>2064</v>
      </c>
      <c r="D1093">
        <v>978989</v>
      </c>
      <c r="E1093" t="s">
        <v>859</v>
      </c>
    </row>
    <row r="1094" spans="1:5">
      <c r="A1094" t="s">
        <v>2065</v>
      </c>
      <c r="B1094" t="s">
        <v>896</v>
      </c>
      <c r="C1094" t="s">
        <v>2066</v>
      </c>
      <c r="D1094">
        <v>585909</v>
      </c>
      <c r="E1094" t="s">
        <v>673</v>
      </c>
    </row>
    <row r="1095" spans="1:5">
      <c r="A1095" t="s">
        <v>2065</v>
      </c>
      <c r="B1095" t="s">
        <v>896</v>
      </c>
      <c r="C1095" t="s">
        <v>1911</v>
      </c>
      <c r="D1095">
        <v>712984</v>
      </c>
      <c r="E1095" t="s">
        <v>114</v>
      </c>
    </row>
    <row r="1096" spans="1:5">
      <c r="A1096" t="s">
        <v>2065</v>
      </c>
      <c r="B1096" t="s">
        <v>896</v>
      </c>
      <c r="C1096" t="s">
        <v>1204</v>
      </c>
      <c r="D1096">
        <v>496999</v>
      </c>
      <c r="E1096" t="s">
        <v>781</v>
      </c>
    </row>
    <row r="1097" spans="1:5">
      <c r="A1097" t="s">
        <v>2065</v>
      </c>
      <c r="B1097" t="s">
        <v>896</v>
      </c>
      <c r="C1097" t="s">
        <v>2016</v>
      </c>
      <c r="D1097">
        <v>772113</v>
      </c>
      <c r="E1097" t="s">
        <v>202</v>
      </c>
    </row>
    <row r="1098" spans="1:5">
      <c r="A1098" t="s">
        <v>2065</v>
      </c>
      <c r="B1098" t="s">
        <v>896</v>
      </c>
      <c r="C1098" t="s">
        <v>1912</v>
      </c>
      <c r="D1098">
        <v>620294</v>
      </c>
      <c r="E1098" t="s">
        <v>482</v>
      </c>
    </row>
    <row r="1099" spans="1:5">
      <c r="A1099" t="s">
        <v>2065</v>
      </c>
      <c r="B1099" t="s">
        <v>896</v>
      </c>
      <c r="C1099" t="s">
        <v>1205</v>
      </c>
      <c r="D1099">
        <v>494196</v>
      </c>
      <c r="E1099" t="s">
        <v>463</v>
      </c>
    </row>
    <row r="1100" spans="1:5">
      <c r="A1100" t="s">
        <v>2065</v>
      </c>
      <c r="B1100" t="s">
        <v>896</v>
      </c>
      <c r="C1100" t="s">
        <v>2067</v>
      </c>
      <c r="D1100">
        <v>302687</v>
      </c>
      <c r="E1100" t="s">
        <v>560</v>
      </c>
    </row>
    <row r="1101" spans="1:5">
      <c r="A1101" t="s">
        <v>2065</v>
      </c>
      <c r="B1101" t="s">
        <v>896</v>
      </c>
      <c r="C1101" t="s">
        <v>2068</v>
      </c>
      <c r="D1101">
        <v>585909</v>
      </c>
      <c r="E1101" t="s">
        <v>673</v>
      </c>
    </row>
    <row r="1102" spans="1:5">
      <c r="A1102" t="s">
        <v>2065</v>
      </c>
      <c r="B1102" t="s">
        <v>896</v>
      </c>
      <c r="C1102" t="s">
        <v>1913</v>
      </c>
      <c r="D1102">
        <v>751054</v>
      </c>
      <c r="E1102" t="s">
        <v>115</v>
      </c>
    </row>
    <row r="1103" spans="1:5">
      <c r="A1103" t="s">
        <v>2065</v>
      </c>
      <c r="B1103" t="s">
        <v>896</v>
      </c>
      <c r="C1103" t="s">
        <v>1206</v>
      </c>
      <c r="D1103">
        <v>593512</v>
      </c>
      <c r="E1103" t="s">
        <v>120</v>
      </c>
    </row>
    <row r="1104" spans="1:5">
      <c r="A1104" t="s">
        <v>2065</v>
      </c>
      <c r="B1104" t="s">
        <v>896</v>
      </c>
      <c r="C1104" t="s">
        <v>2018</v>
      </c>
      <c r="D1104">
        <v>772113</v>
      </c>
      <c r="E1104" t="s">
        <v>202</v>
      </c>
    </row>
    <row r="1105" spans="1:5">
      <c r="A1105" t="s">
        <v>2065</v>
      </c>
      <c r="B1105" t="s">
        <v>896</v>
      </c>
      <c r="C1105" t="s">
        <v>1914</v>
      </c>
      <c r="D1105">
        <v>514839</v>
      </c>
      <c r="E1105" t="s">
        <v>409</v>
      </c>
    </row>
    <row r="1106" spans="1:5">
      <c r="A1106" t="s">
        <v>2065</v>
      </c>
      <c r="B1106" t="s">
        <v>896</v>
      </c>
      <c r="C1106" t="s">
        <v>1207</v>
      </c>
      <c r="D1106">
        <v>914365</v>
      </c>
      <c r="E1106" t="s">
        <v>513</v>
      </c>
    </row>
    <row r="1107" spans="1:5">
      <c r="A1107" t="s">
        <v>2065</v>
      </c>
      <c r="B1107" t="s">
        <v>896</v>
      </c>
      <c r="C1107" t="s">
        <v>2069</v>
      </c>
      <c r="D1107">
        <v>302687</v>
      </c>
      <c r="E1107" t="s">
        <v>560</v>
      </c>
    </row>
    <row r="1108" spans="1:5">
      <c r="A1108" t="s">
        <v>2065</v>
      </c>
      <c r="B1108" t="s">
        <v>896</v>
      </c>
      <c r="C1108" t="s">
        <v>2070</v>
      </c>
      <c r="D1108">
        <v>554842</v>
      </c>
      <c r="E1108" t="s">
        <v>588</v>
      </c>
    </row>
    <row r="1109" spans="1:5">
      <c r="A1109" t="s">
        <v>2065</v>
      </c>
      <c r="B1109" t="s">
        <v>896</v>
      </c>
      <c r="C1109" t="s">
        <v>1915</v>
      </c>
      <c r="D1109">
        <v>643668</v>
      </c>
      <c r="E1109" t="s">
        <v>378</v>
      </c>
    </row>
    <row r="1110" spans="1:5">
      <c r="A1110" t="s">
        <v>2065</v>
      </c>
      <c r="B1110" t="s">
        <v>896</v>
      </c>
      <c r="C1110" t="s">
        <v>1208</v>
      </c>
      <c r="D1110">
        <v>772113</v>
      </c>
      <c r="E1110" t="s">
        <v>202</v>
      </c>
    </row>
    <row r="1111" spans="1:5">
      <c r="A1111" t="s">
        <v>2065</v>
      </c>
      <c r="B1111" t="s">
        <v>896</v>
      </c>
      <c r="C1111" t="s">
        <v>2020</v>
      </c>
      <c r="D1111">
        <v>620294</v>
      </c>
      <c r="E1111" t="s">
        <v>482</v>
      </c>
    </row>
    <row r="1112" spans="1:5">
      <c r="A1112" t="s">
        <v>2065</v>
      </c>
      <c r="B1112" t="s">
        <v>896</v>
      </c>
      <c r="C1112" t="s">
        <v>1916</v>
      </c>
      <c r="D1112">
        <v>751054</v>
      </c>
      <c r="E1112" t="s">
        <v>115</v>
      </c>
    </row>
    <row r="1113" spans="1:5">
      <c r="A1113" t="s">
        <v>2065</v>
      </c>
      <c r="B1113" t="s">
        <v>896</v>
      </c>
      <c r="C1113" t="s">
        <v>1209</v>
      </c>
      <c r="D1113">
        <v>858791</v>
      </c>
      <c r="E1113" t="s">
        <v>1083</v>
      </c>
    </row>
    <row r="1114" spans="1:5">
      <c r="A1114" t="s">
        <v>2065</v>
      </c>
      <c r="B1114" t="s">
        <v>896</v>
      </c>
      <c r="C1114" t="s">
        <v>2071</v>
      </c>
      <c r="D1114">
        <v>183984</v>
      </c>
      <c r="E1114" t="s">
        <v>580</v>
      </c>
    </row>
    <row r="1115" spans="1:5">
      <c r="A1115" t="s">
        <v>2065</v>
      </c>
      <c r="B1115" t="s">
        <v>896</v>
      </c>
      <c r="C1115" t="s">
        <v>2072</v>
      </c>
      <c r="D1115">
        <v>632638</v>
      </c>
      <c r="E1115" t="s">
        <v>260</v>
      </c>
    </row>
    <row r="1116" spans="1:5">
      <c r="A1116" t="s">
        <v>2065</v>
      </c>
      <c r="B1116" t="s">
        <v>896</v>
      </c>
      <c r="C1116" t="s">
        <v>2022</v>
      </c>
      <c r="D1116">
        <v>712984</v>
      </c>
      <c r="E1116" t="s">
        <v>114</v>
      </c>
    </row>
    <row r="1117" spans="1:5">
      <c r="A1117" t="s">
        <v>2065</v>
      </c>
      <c r="B1117" t="s">
        <v>896</v>
      </c>
      <c r="C1117" t="s">
        <v>1211</v>
      </c>
      <c r="D1117">
        <v>772113</v>
      </c>
      <c r="E1117" t="s">
        <v>202</v>
      </c>
    </row>
    <row r="1118" spans="1:5">
      <c r="A1118" t="s">
        <v>2065</v>
      </c>
      <c r="B1118" t="s">
        <v>896</v>
      </c>
      <c r="C1118" t="s">
        <v>2023</v>
      </c>
      <c r="D1118">
        <v>477377</v>
      </c>
      <c r="E1118" t="s">
        <v>40</v>
      </c>
    </row>
    <row r="1119" spans="1:5">
      <c r="A1119" t="s">
        <v>2065</v>
      </c>
      <c r="B1119" t="s">
        <v>896</v>
      </c>
      <c r="C1119" t="s">
        <v>1917</v>
      </c>
      <c r="D1119">
        <v>809076</v>
      </c>
      <c r="E1119" t="s">
        <v>813</v>
      </c>
    </row>
    <row r="1120" spans="1:5">
      <c r="A1120" t="s">
        <v>2065</v>
      </c>
      <c r="B1120" t="s">
        <v>896</v>
      </c>
      <c r="C1120" t="s">
        <v>1212</v>
      </c>
      <c r="D1120">
        <v>585909</v>
      </c>
      <c r="E1120" t="s">
        <v>673</v>
      </c>
    </row>
    <row r="1121" spans="1:5">
      <c r="A1121" t="s">
        <v>2065</v>
      </c>
      <c r="B1121" t="s">
        <v>896</v>
      </c>
      <c r="C1121" t="s">
        <v>2073</v>
      </c>
      <c r="D1121">
        <v>772113</v>
      </c>
      <c r="E1121" t="s">
        <v>202</v>
      </c>
    </row>
    <row r="1122" spans="1:5">
      <c r="A1122" t="s">
        <v>2074</v>
      </c>
      <c r="B1122" t="s">
        <v>896</v>
      </c>
      <c r="C1122" t="s">
        <v>2075</v>
      </c>
      <c r="D1122">
        <v>804908</v>
      </c>
      <c r="E1122" t="s">
        <v>601</v>
      </c>
    </row>
    <row r="1123" spans="1:5">
      <c r="A1123" t="s">
        <v>2074</v>
      </c>
      <c r="B1123" t="s">
        <v>896</v>
      </c>
      <c r="C1123" t="s">
        <v>2075</v>
      </c>
      <c r="D1123">
        <v>960559</v>
      </c>
      <c r="E1123" t="s">
        <v>403</v>
      </c>
    </row>
    <row r="1124" spans="1:5">
      <c r="A1124" t="s">
        <v>2074</v>
      </c>
      <c r="B1124" t="s">
        <v>896</v>
      </c>
      <c r="C1124" t="s">
        <v>2076</v>
      </c>
      <c r="D1124">
        <v>773189</v>
      </c>
      <c r="E1124" t="s">
        <v>618</v>
      </c>
    </row>
    <row r="1125" spans="1:5">
      <c r="A1125" t="s">
        <v>2074</v>
      </c>
      <c r="B1125" t="s">
        <v>896</v>
      </c>
      <c r="C1125" t="s">
        <v>2077</v>
      </c>
      <c r="D1125">
        <v>941068</v>
      </c>
      <c r="E1125" t="s">
        <v>2078</v>
      </c>
    </row>
    <row r="1126" spans="1:5">
      <c r="A1126" t="s">
        <v>2074</v>
      </c>
      <c r="B1126" t="s">
        <v>896</v>
      </c>
      <c r="C1126" t="s">
        <v>2077</v>
      </c>
      <c r="D1126">
        <v>571947</v>
      </c>
      <c r="E1126" t="s">
        <v>228</v>
      </c>
    </row>
    <row r="1127" spans="1:5">
      <c r="A1127" t="s">
        <v>2074</v>
      </c>
      <c r="B1127" t="s">
        <v>896</v>
      </c>
      <c r="C1127" t="s">
        <v>2079</v>
      </c>
      <c r="D1127">
        <v>366232</v>
      </c>
      <c r="E1127" t="s">
        <v>152</v>
      </c>
    </row>
    <row r="1128" spans="1:5">
      <c r="A1128" t="s">
        <v>2074</v>
      </c>
      <c r="B1128" t="s">
        <v>896</v>
      </c>
      <c r="C1128" t="s">
        <v>2080</v>
      </c>
      <c r="D1128">
        <v>821988</v>
      </c>
      <c r="E1128" t="s">
        <v>111</v>
      </c>
    </row>
    <row r="1129" spans="1:5">
      <c r="A1129" t="s">
        <v>2074</v>
      </c>
      <c r="B1129" t="s">
        <v>896</v>
      </c>
      <c r="C1129" t="s">
        <v>2080</v>
      </c>
      <c r="D1129">
        <v>326161</v>
      </c>
      <c r="E1129" t="s">
        <v>104</v>
      </c>
    </row>
    <row r="1130" spans="1:5">
      <c r="A1130" t="s">
        <v>2074</v>
      </c>
      <c r="B1130" t="s">
        <v>896</v>
      </c>
      <c r="C1130" t="s">
        <v>2081</v>
      </c>
      <c r="D1130">
        <v>974730</v>
      </c>
      <c r="E1130" t="s">
        <v>93</v>
      </c>
    </row>
    <row r="1131" spans="1:5">
      <c r="A1131" t="s">
        <v>2074</v>
      </c>
      <c r="B1131" t="s">
        <v>896</v>
      </c>
      <c r="C1131" t="s">
        <v>2082</v>
      </c>
      <c r="D1131">
        <v>967569</v>
      </c>
      <c r="E1131" t="s">
        <v>617</v>
      </c>
    </row>
    <row r="1132" spans="1:5">
      <c r="A1132" t="s">
        <v>2074</v>
      </c>
      <c r="B1132" t="s">
        <v>896</v>
      </c>
      <c r="C1132" t="s">
        <v>2082</v>
      </c>
      <c r="D1132">
        <v>967743</v>
      </c>
      <c r="E1132" t="s">
        <v>87</v>
      </c>
    </row>
    <row r="1133" spans="1:5">
      <c r="A1133" t="s">
        <v>2074</v>
      </c>
      <c r="B1133" t="s">
        <v>896</v>
      </c>
      <c r="C1133" t="s">
        <v>2083</v>
      </c>
      <c r="D1133">
        <v>621916</v>
      </c>
      <c r="E1133" t="s">
        <v>181</v>
      </c>
    </row>
    <row r="1134" spans="1:5">
      <c r="A1134" t="s">
        <v>2074</v>
      </c>
      <c r="B1134" t="s">
        <v>896</v>
      </c>
      <c r="C1134" t="s">
        <v>2084</v>
      </c>
      <c r="D1134">
        <v>164702</v>
      </c>
      <c r="E1134" t="s">
        <v>2085</v>
      </c>
    </row>
    <row r="1135" spans="1:5">
      <c r="A1135" t="s">
        <v>2074</v>
      </c>
      <c r="B1135" t="s">
        <v>896</v>
      </c>
      <c r="C1135" t="s">
        <v>2084</v>
      </c>
      <c r="D1135">
        <v>135988</v>
      </c>
      <c r="E1135" t="s">
        <v>731</v>
      </c>
    </row>
    <row r="1136" spans="1:5">
      <c r="A1136" t="s">
        <v>2074</v>
      </c>
      <c r="B1136" t="s">
        <v>896</v>
      </c>
      <c r="C1136" t="s">
        <v>2086</v>
      </c>
      <c r="D1136">
        <v>967920</v>
      </c>
      <c r="E1136" t="s">
        <v>499</v>
      </c>
    </row>
    <row r="1137" spans="1:5">
      <c r="A1137" t="s">
        <v>2074</v>
      </c>
      <c r="B1137" t="s">
        <v>896</v>
      </c>
      <c r="C1137" t="s">
        <v>2087</v>
      </c>
      <c r="D1137">
        <v>366232</v>
      </c>
      <c r="E1137" t="s">
        <v>152</v>
      </c>
    </row>
    <row r="1138" spans="1:5">
      <c r="A1138" t="s">
        <v>2074</v>
      </c>
      <c r="B1138" t="s">
        <v>896</v>
      </c>
      <c r="C1138" t="s">
        <v>2088</v>
      </c>
      <c r="D1138">
        <v>494188</v>
      </c>
      <c r="E1138" t="s">
        <v>593</v>
      </c>
    </row>
    <row r="1139" spans="1:5">
      <c r="A1139" t="s">
        <v>2074</v>
      </c>
      <c r="B1139" t="s">
        <v>896</v>
      </c>
      <c r="C1139" t="s">
        <v>2088</v>
      </c>
      <c r="D1139">
        <v>586919</v>
      </c>
      <c r="E1139" t="s">
        <v>715</v>
      </c>
    </row>
    <row r="1140" spans="1:5">
      <c r="A1140" t="s">
        <v>2074</v>
      </c>
      <c r="B1140" t="s">
        <v>896</v>
      </c>
      <c r="C1140" t="s">
        <v>2089</v>
      </c>
      <c r="D1140">
        <v>898849</v>
      </c>
      <c r="E1140" t="s">
        <v>301</v>
      </c>
    </row>
    <row r="1141" spans="1:5">
      <c r="A1141" t="s">
        <v>2074</v>
      </c>
      <c r="B1141" t="s">
        <v>896</v>
      </c>
      <c r="C1141" t="s">
        <v>2090</v>
      </c>
      <c r="D1141">
        <v>621916</v>
      </c>
      <c r="E1141" t="s">
        <v>181</v>
      </c>
    </row>
    <row r="1142" spans="1:5">
      <c r="A1142" t="s">
        <v>2074</v>
      </c>
      <c r="B1142" t="s">
        <v>896</v>
      </c>
      <c r="C1142" t="s">
        <v>2091</v>
      </c>
      <c r="D1142">
        <v>858450</v>
      </c>
      <c r="E1142" t="s">
        <v>764</v>
      </c>
    </row>
    <row r="1143" spans="1:5">
      <c r="A1143" t="s">
        <v>2074</v>
      </c>
      <c r="B1143" t="s">
        <v>896</v>
      </c>
      <c r="C1143" t="s">
        <v>2092</v>
      </c>
      <c r="D1143">
        <v>872540</v>
      </c>
      <c r="E1143" t="s">
        <v>733</v>
      </c>
    </row>
    <row r="1144" spans="1:5">
      <c r="A1144" t="s">
        <v>2074</v>
      </c>
      <c r="B1144" t="s">
        <v>896</v>
      </c>
      <c r="C1144" t="s">
        <v>2092</v>
      </c>
      <c r="D1144">
        <v>773189</v>
      </c>
      <c r="E1144" t="s">
        <v>618</v>
      </c>
    </row>
    <row r="1145" spans="1:5">
      <c r="A1145" t="s">
        <v>2074</v>
      </c>
      <c r="B1145" t="s">
        <v>896</v>
      </c>
      <c r="C1145" t="s">
        <v>2093</v>
      </c>
      <c r="D1145">
        <v>635305</v>
      </c>
      <c r="E1145" t="s">
        <v>504</v>
      </c>
    </row>
    <row r="1146" spans="1:5">
      <c r="A1146" t="s">
        <v>2074</v>
      </c>
      <c r="B1146" t="s">
        <v>896</v>
      </c>
      <c r="C1146" t="s">
        <v>2094</v>
      </c>
      <c r="D1146">
        <v>586919</v>
      </c>
      <c r="E1146" t="s">
        <v>715</v>
      </c>
    </row>
    <row r="1147" spans="1:5">
      <c r="A1147" t="s">
        <v>2074</v>
      </c>
      <c r="B1147" t="s">
        <v>896</v>
      </c>
      <c r="C1147" t="s">
        <v>2095</v>
      </c>
      <c r="D1147">
        <v>898849</v>
      </c>
      <c r="E1147" t="s">
        <v>301</v>
      </c>
    </row>
    <row r="1148" spans="1:5">
      <c r="A1148" t="s">
        <v>2074</v>
      </c>
      <c r="B1148" t="s">
        <v>896</v>
      </c>
      <c r="C1148" t="s">
        <v>2096</v>
      </c>
      <c r="D1148">
        <v>967569</v>
      </c>
      <c r="E1148" t="s">
        <v>617</v>
      </c>
    </row>
    <row r="1149" spans="1:5">
      <c r="A1149" t="s">
        <v>2074</v>
      </c>
      <c r="B1149" t="s">
        <v>896</v>
      </c>
      <c r="C1149" t="s">
        <v>2096</v>
      </c>
      <c r="D1149">
        <v>967743</v>
      </c>
      <c r="E1149" t="s">
        <v>87</v>
      </c>
    </row>
    <row r="1150" spans="1:5">
      <c r="A1150" t="s">
        <v>2074</v>
      </c>
      <c r="B1150" t="s">
        <v>896</v>
      </c>
      <c r="C1150" t="s">
        <v>2097</v>
      </c>
      <c r="D1150">
        <v>448875</v>
      </c>
      <c r="E1150" t="s">
        <v>387</v>
      </c>
    </row>
    <row r="1151" spans="1:5">
      <c r="A1151" t="s">
        <v>2074</v>
      </c>
      <c r="B1151" t="s">
        <v>896</v>
      </c>
      <c r="C1151" t="s">
        <v>2098</v>
      </c>
      <c r="D1151">
        <v>597830</v>
      </c>
      <c r="E1151" t="s">
        <v>134</v>
      </c>
    </row>
    <row r="1152" spans="1:5">
      <c r="A1152" t="s">
        <v>2074</v>
      </c>
      <c r="B1152" t="s">
        <v>896</v>
      </c>
      <c r="C1152" t="s">
        <v>2099</v>
      </c>
      <c r="D1152">
        <v>872540</v>
      </c>
      <c r="E1152" t="s">
        <v>733</v>
      </c>
    </row>
    <row r="1153" spans="1:5">
      <c r="A1153" t="s">
        <v>2074</v>
      </c>
      <c r="B1153" t="s">
        <v>896</v>
      </c>
      <c r="C1153" t="s">
        <v>2100</v>
      </c>
      <c r="D1153">
        <v>266487</v>
      </c>
      <c r="E1153" t="s">
        <v>255</v>
      </c>
    </row>
    <row r="1154" spans="1:5">
      <c r="A1154" t="s">
        <v>2074</v>
      </c>
      <c r="B1154" t="s">
        <v>896</v>
      </c>
      <c r="C1154" t="s">
        <v>2101</v>
      </c>
      <c r="D1154">
        <v>586919</v>
      </c>
      <c r="E1154" t="s">
        <v>715</v>
      </c>
    </row>
    <row r="1155" spans="1:5">
      <c r="A1155" t="s">
        <v>2074</v>
      </c>
      <c r="B1155" t="s">
        <v>896</v>
      </c>
      <c r="C1155" t="s">
        <v>2102</v>
      </c>
      <c r="D1155">
        <v>620545</v>
      </c>
      <c r="E1155" t="s">
        <v>126</v>
      </c>
    </row>
    <row r="1156" spans="1:5">
      <c r="A1156" t="s">
        <v>2074</v>
      </c>
      <c r="B1156" t="s">
        <v>896</v>
      </c>
      <c r="C1156" t="s">
        <v>2102</v>
      </c>
      <c r="D1156">
        <v>873907</v>
      </c>
      <c r="E1156" t="s">
        <v>2103</v>
      </c>
    </row>
    <row r="1157" spans="1:5">
      <c r="A1157" t="s">
        <v>2074</v>
      </c>
      <c r="B1157" t="s">
        <v>896</v>
      </c>
      <c r="C1157" t="s">
        <v>2104</v>
      </c>
      <c r="D1157">
        <v>624638</v>
      </c>
      <c r="E1157" t="s">
        <v>421</v>
      </c>
    </row>
    <row r="1158" spans="1:5">
      <c r="A1158" t="s">
        <v>2074</v>
      </c>
      <c r="B1158" t="s">
        <v>896</v>
      </c>
      <c r="C1158" t="s">
        <v>2104</v>
      </c>
      <c r="D1158">
        <v>845124</v>
      </c>
      <c r="E1158" t="s">
        <v>474</v>
      </c>
    </row>
    <row r="1159" spans="1:5">
      <c r="A1159" t="s">
        <v>2074</v>
      </c>
      <c r="B1159" t="s">
        <v>896</v>
      </c>
      <c r="C1159" t="s">
        <v>2105</v>
      </c>
      <c r="D1159">
        <v>804908</v>
      </c>
      <c r="E1159" t="s">
        <v>601</v>
      </c>
    </row>
    <row r="1160" spans="1:5">
      <c r="A1160" t="s">
        <v>2074</v>
      </c>
      <c r="B1160" t="s">
        <v>896</v>
      </c>
      <c r="C1160" t="s">
        <v>2105</v>
      </c>
      <c r="D1160">
        <v>960559</v>
      </c>
      <c r="E1160" t="s">
        <v>403</v>
      </c>
    </row>
    <row r="1161" spans="1:5">
      <c r="A1161" t="s">
        <v>2106</v>
      </c>
      <c r="B1161" t="s">
        <v>896</v>
      </c>
      <c r="C1161" t="s">
        <v>2107</v>
      </c>
      <c r="D1161">
        <v>970202</v>
      </c>
      <c r="E1161" t="s">
        <v>836</v>
      </c>
    </row>
    <row r="1162" spans="1:5">
      <c r="A1162" t="s">
        <v>2106</v>
      </c>
      <c r="B1162" t="s">
        <v>896</v>
      </c>
      <c r="C1162" t="s">
        <v>1893</v>
      </c>
      <c r="D1162">
        <v>623934</v>
      </c>
      <c r="E1162" t="s">
        <v>364</v>
      </c>
    </row>
    <row r="1163" spans="1:5">
      <c r="A1163" t="s">
        <v>2106</v>
      </c>
      <c r="B1163" t="s">
        <v>896</v>
      </c>
      <c r="C1163" t="s">
        <v>2108</v>
      </c>
      <c r="D1163">
        <v>394805</v>
      </c>
      <c r="E1163" t="s">
        <v>323</v>
      </c>
    </row>
    <row r="1164" spans="1:5">
      <c r="A1164" t="s">
        <v>2106</v>
      </c>
      <c r="B1164" t="s">
        <v>896</v>
      </c>
      <c r="C1164" t="s">
        <v>2109</v>
      </c>
      <c r="D1164">
        <v>830884</v>
      </c>
      <c r="E1164" t="s">
        <v>587</v>
      </c>
    </row>
    <row r="1165" spans="1:5">
      <c r="A1165" t="s">
        <v>2106</v>
      </c>
      <c r="B1165" t="s">
        <v>896</v>
      </c>
      <c r="C1165" t="s">
        <v>2110</v>
      </c>
      <c r="D1165">
        <v>830884</v>
      </c>
      <c r="E1165" t="s">
        <v>587</v>
      </c>
    </row>
    <row r="1166" spans="1:5">
      <c r="A1166" t="s">
        <v>2106</v>
      </c>
      <c r="B1166" t="s">
        <v>896</v>
      </c>
      <c r="C1166" t="s">
        <v>2111</v>
      </c>
      <c r="D1166">
        <v>970202</v>
      </c>
      <c r="E1166" t="s">
        <v>836</v>
      </c>
    </row>
    <row r="1167" spans="1:5">
      <c r="A1167" t="s">
        <v>2106</v>
      </c>
      <c r="B1167" t="s">
        <v>896</v>
      </c>
      <c r="C1167" t="s">
        <v>1895</v>
      </c>
      <c r="D1167">
        <v>623934</v>
      </c>
      <c r="E1167" t="s">
        <v>364</v>
      </c>
    </row>
    <row r="1168" spans="1:5">
      <c r="A1168" t="s">
        <v>2106</v>
      </c>
      <c r="B1168" t="s">
        <v>896</v>
      </c>
      <c r="C1168" t="s">
        <v>2112</v>
      </c>
      <c r="D1168">
        <v>577220</v>
      </c>
      <c r="E1168" t="s">
        <v>665</v>
      </c>
    </row>
    <row r="1169" spans="1:5">
      <c r="A1169" t="s">
        <v>2106</v>
      </c>
      <c r="B1169" t="s">
        <v>896</v>
      </c>
      <c r="C1169" t="s">
        <v>2113</v>
      </c>
      <c r="D1169">
        <v>847686</v>
      </c>
      <c r="E1169" t="s">
        <v>343</v>
      </c>
    </row>
    <row r="1170" spans="1:5">
      <c r="A1170" t="s">
        <v>2106</v>
      </c>
      <c r="B1170" t="s">
        <v>896</v>
      </c>
      <c r="C1170" t="s">
        <v>2114</v>
      </c>
      <c r="D1170">
        <v>709830</v>
      </c>
      <c r="E1170" t="s">
        <v>679</v>
      </c>
    </row>
    <row r="1171" spans="1:5">
      <c r="A1171" t="s">
        <v>2106</v>
      </c>
      <c r="B1171" t="s">
        <v>896</v>
      </c>
      <c r="C1171" t="s">
        <v>2115</v>
      </c>
      <c r="D1171">
        <v>927352</v>
      </c>
      <c r="E1171" t="s">
        <v>110</v>
      </c>
    </row>
    <row r="1172" spans="1:5">
      <c r="A1172" t="s">
        <v>2106</v>
      </c>
      <c r="B1172" t="s">
        <v>896</v>
      </c>
      <c r="C1172" t="s">
        <v>1897</v>
      </c>
      <c r="D1172">
        <v>830884</v>
      </c>
      <c r="E1172" t="s">
        <v>587</v>
      </c>
    </row>
    <row r="1173" spans="1:5">
      <c r="A1173" t="s">
        <v>2106</v>
      </c>
      <c r="B1173" t="s">
        <v>896</v>
      </c>
      <c r="C1173" t="s">
        <v>2116</v>
      </c>
      <c r="D1173">
        <v>394805</v>
      </c>
      <c r="E1173" t="s">
        <v>323</v>
      </c>
    </row>
    <row r="1174" spans="1:5">
      <c r="A1174" t="s">
        <v>2106</v>
      </c>
      <c r="B1174" t="s">
        <v>896</v>
      </c>
      <c r="C1174" t="s">
        <v>2117</v>
      </c>
      <c r="D1174">
        <v>830884</v>
      </c>
      <c r="E1174" t="s">
        <v>587</v>
      </c>
    </row>
    <row r="1175" spans="1:5">
      <c r="A1175" t="s">
        <v>2106</v>
      </c>
      <c r="B1175" t="s">
        <v>896</v>
      </c>
      <c r="C1175" t="s">
        <v>2118</v>
      </c>
      <c r="D1175">
        <v>709830</v>
      </c>
      <c r="E1175" t="s">
        <v>679</v>
      </c>
    </row>
    <row r="1176" spans="1:5">
      <c r="A1176" t="s">
        <v>2106</v>
      </c>
      <c r="B1176" t="s">
        <v>896</v>
      </c>
      <c r="C1176" t="s">
        <v>2119</v>
      </c>
      <c r="D1176">
        <v>216772</v>
      </c>
      <c r="E1176" t="s">
        <v>576</v>
      </c>
    </row>
    <row r="1177" spans="1:5">
      <c r="A1177" t="s">
        <v>2106</v>
      </c>
      <c r="B1177" t="s">
        <v>896</v>
      </c>
      <c r="C1177" t="s">
        <v>1899</v>
      </c>
      <c r="D1177">
        <v>921659</v>
      </c>
      <c r="E1177" t="s">
        <v>356</v>
      </c>
    </row>
    <row r="1178" spans="1:5">
      <c r="A1178" t="s">
        <v>2106</v>
      </c>
      <c r="B1178" t="s">
        <v>896</v>
      </c>
      <c r="C1178" t="s">
        <v>2120</v>
      </c>
      <c r="D1178">
        <v>262000</v>
      </c>
      <c r="E1178" t="s">
        <v>275</v>
      </c>
    </row>
    <row r="1179" spans="1:5">
      <c r="A1179" t="s">
        <v>2106</v>
      </c>
      <c r="B1179" t="s">
        <v>896</v>
      </c>
      <c r="C1179" t="s">
        <v>2121</v>
      </c>
      <c r="D1179">
        <v>709830</v>
      </c>
      <c r="E1179" t="s">
        <v>679</v>
      </c>
    </row>
    <row r="1180" spans="1:5">
      <c r="A1180" t="s">
        <v>2106</v>
      </c>
      <c r="B1180" t="s">
        <v>896</v>
      </c>
      <c r="C1180" t="s">
        <v>2122</v>
      </c>
      <c r="D1180">
        <v>859332</v>
      </c>
      <c r="E1180" t="s">
        <v>271</v>
      </c>
    </row>
    <row r="1181" spans="1:5">
      <c r="A1181" t="s">
        <v>2123</v>
      </c>
      <c r="B1181" t="s">
        <v>896</v>
      </c>
      <c r="C1181" t="s">
        <v>2076</v>
      </c>
      <c r="D1181">
        <v>613604</v>
      </c>
      <c r="E1181" t="s">
        <v>219</v>
      </c>
    </row>
    <row r="1182" spans="1:5">
      <c r="A1182" t="s">
        <v>2123</v>
      </c>
      <c r="B1182" t="s">
        <v>896</v>
      </c>
      <c r="C1182" t="s">
        <v>1973</v>
      </c>
      <c r="D1182">
        <v>959536</v>
      </c>
      <c r="E1182" t="s">
        <v>796</v>
      </c>
    </row>
    <row r="1183" spans="1:5">
      <c r="A1183" t="s">
        <v>2123</v>
      </c>
      <c r="B1183" t="s">
        <v>896</v>
      </c>
      <c r="C1183" t="s">
        <v>2077</v>
      </c>
      <c r="D1183">
        <v>707444</v>
      </c>
      <c r="E1183" t="s">
        <v>623</v>
      </c>
    </row>
    <row r="1184" spans="1:5">
      <c r="A1184" t="s">
        <v>2123</v>
      </c>
      <c r="B1184" t="s">
        <v>896</v>
      </c>
      <c r="C1184" t="s">
        <v>1974</v>
      </c>
      <c r="D1184">
        <v>847592</v>
      </c>
      <c r="E1184" t="s">
        <v>989</v>
      </c>
    </row>
    <row r="1185" spans="1:5">
      <c r="A1185" t="s">
        <v>2123</v>
      </c>
      <c r="B1185" t="s">
        <v>896</v>
      </c>
      <c r="C1185" t="s">
        <v>2079</v>
      </c>
      <c r="D1185">
        <v>480346</v>
      </c>
      <c r="E1185" t="s">
        <v>741</v>
      </c>
    </row>
    <row r="1186" spans="1:5">
      <c r="A1186" t="s">
        <v>2123</v>
      </c>
      <c r="B1186" t="s">
        <v>896</v>
      </c>
      <c r="C1186" t="s">
        <v>2080</v>
      </c>
      <c r="D1186">
        <v>959536</v>
      </c>
      <c r="E1186" t="s">
        <v>796</v>
      </c>
    </row>
    <row r="1187" spans="1:5">
      <c r="A1187" t="s">
        <v>2123</v>
      </c>
      <c r="B1187" t="s">
        <v>896</v>
      </c>
      <c r="C1187" t="s">
        <v>2081</v>
      </c>
      <c r="D1187">
        <v>269049</v>
      </c>
      <c r="E1187" t="s">
        <v>632</v>
      </c>
    </row>
    <row r="1188" spans="1:5">
      <c r="A1188" t="s">
        <v>2123</v>
      </c>
      <c r="B1188" t="s">
        <v>896</v>
      </c>
      <c r="C1188" t="s">
        <v>1977</v>
      </c>
      <c r="D1188">
        <v>955121</v>
      </c>
      <c r="E1188" t="s">
        <v>611</v>
      </c>
    </row>
    <row r="1189" spans="1:5">
      <c r="A1189" t="s">
        <v>2123</v>
      </c>
      <c r="B1189" t="s">
        <v>896</v>
      </c>
      <c r="C1189" t="s">
        <v>2082</v>
      </c>
      <c r="D1189">
        <v>959536</v>
      </c>
      <c r="E1189" t="s">
        <v>796</v>
      </c>
    </row>
    <row r="1190" spans="1:5">
      <c r="A1190" t="s">
        <v>2123</v>
      </c>
      <c r="B1190" t="s">
        <v>896</v>
      </c>
      <c r="C1190" t="s">
        <v>1979</v>
      </c>
      <c r="D1190">
        <v>177147</v>
      </c>
      <c r="E1190" t="s">
        <v>263</v>
      </c>
    </row>
    <row r="1191" spans="1:5">
      <c r="A1191" t="s">
        <v>2123</v>
      </c>
      <c r="B1191" t="s">
        <v>896</v>
      </c>
      <c r="C1191" t="s">
        <v>2084</v>
      </c>
      <c r="D1191">
        <v>613604</v>
      </c>
      <c r="E1191" t="s">
        <v>219</v>
      </c>
    </row>
    <row r="1192" spans="1:5">
      <c r="A1192" t="s">
        <v>2123</v>
      </c>
      <c r="B1192" t="s">
        <v>896</v>
      </c>
      <c r="C1192" t="s">
        <v>1980</v>
      </c>
      <c r="D1192">
        <v>269049</v>
      </c>
      <c r="E1192" t="s">
        <v>632</v>
      </c>
    </row>
    <row r="1193" spans="1:5">
      <c r="A1193" t="s">
        <v>2123</v>
      </c>
      <c r="B1193" t="s">
        <v>896</v>
      </c>
      <c r="C1193" t="s">
        <v>2086</v>
      </c>
      <c r="D1193">
        <v>554842</v>
      </c>
      <c r="E1193" t="s">
        <v>588</v>
      </c>
    </row>
    <row r="1194" spans="1:5">
      <c r="A1194" t="s">
        <v>2123</v>
      </c>
      <c r="B1194" t="s">
        <v>896</v>
      </c>
      <c r="C1194" t="s">
        <v>1981</v>
      </c>
      <c r="D1194">
        <v>959536</v>
      </c>
      <c r="E1194" t="s">
        <v>796</v>
      </c>
    </row>
    <row r="1195" spans="1:5">
      <c r="A1195" t="s">
        <v>2123</v>
      </c>
      <c r="B1195" t="s">
        <v>896</v>
      </c>
      <c r="C1195" t="s">
        <v>2087</v>
      </c>
      <c r="D1195">
        <v>480346</v>
      </c>
      <c r="E1195" t="s">
        <v>741</v>
      </c>
    </row>
    <row r="1196" spans="1:5">
      <c r="A1196" t="s">
        <v>2123</v>
      </c>
      <c r="B1196" t="s">
        <v>896</v>
      </c>
      <c r="C1196" t="s">
        <v>1982</v>
      </c>
      <c r="D1196">
        <v>606598</v>
      </c>
      <c r="E1196" t="s">
        <v>331</v>
      </c>
    </row>
    <row r="1197" spans="1:5">
      <c r="A1197" t="s">
        <v>2123</v>
      </c>
      <c r="B1197" t="s">
        <v>896</v>
      </c>
      <c r="C1197" t="s">
        <v>2088</v>
      </c>
      <c r="D1197">
        <v>959536</v>
      </c>
      <c r="E1197" t="s">
        <v>796</v>
      </c>
    </row>
    <row r="1198" spans="1:5">
      <c r="A1198" t="s">
        <v>2123</v>
      </c>
      <c r="B1198" t="s">
        <v>896</v>
      </c>
      <c r="C1198" t="s">
        <v>2089</v>
      </c>
      <c r="D1198">
        <v>331144</v>
      </c>
      <c r="E1198" t="s">
        <v>273</v>
      </c>
    </row>
    <row r="1199" spans="1:5">
      <c r="A1199" t="s">
        <v>2123</v>
      </c>
      <c r="B1199" t="s">
        <v>896</v>
      </c>
      <c r="C1199" t="s">
        <v>1984</v>
      </c>
      <c r="D1199">
        <v>267168</v>
      </c>
      <c r="E1199" t="s">
        <v>206</v>
      </c>
    </row>
    <row r="1200" spans="1:5">
      <c r="A1200" t="s">
        <v>2123</v>
      </c>
      <c r="B1200" t="s">
        <v>896</v>
      </c>
      <c r="C1200" t="s">
        <v>2090</v>
      </c>
      <c r="D1200">
        <v>924438</v>
      </c>
      <c r="E1200" t="s">
        <v>745</v>
      </c>
    </row>
    <row r="1201" spans="1:5">
      <c r="A1201" t="s">
        <v>2123</v>
      </c>
      <c r="B1201" t="s">
        <v>896</v>
      </c>
      <c r="C1201" t="s">
        <v>2124</v>
      </c>
      <c r="D1201">
        <v>269049</v>
      </c>
      <c r="E1201" t="s">
        <v>632</v>
      </c>
    </row>
    <row r="1202" spans="1:5">
      <c r="A1202" t="s">
        <v>2123</v>
      </c>
      <c r="B1202" t="s">
        <v>896</v>
      </c>
      <c r="C1202" t="s">
        <v>2092</v>
      </c>
      <c r="D1202">
        <v>604621</v>
      </c>
      <c r="E1202" t="s">
        <v>91</v>
      </c>
    </row>
    <row r="1203" spans="1:5">
      <c r="A1203" t="s">
        <v>2123</v>
      </c>
      <c r="B1203" t="s">
        <v>896</v>
      </c>
      <c r="C1203" t="s">
        <v>1985</v>
      </c>
      <c r="D1203">
        <v>606598</v>
      </c>
      <c r="E1203" t="s">
        <v>331</v>
      </c>
    </row>
    <row r="1204" spans="1:5">
      <c r="A1204" t="s">
        <v>2123</v>
      </c>
      <c r="B1204" t="s">
        <v>896</v>
      </c>
      <c r="C1204" t="s">
        <v>2093</v>
      </c>
      <c r="D1204">
        <v>693099</v>
      </c>
      <c r="E1204" t="s">
        <v>461</v>
      </c>
    </row>
    <row r="1205" spans="1:5">
      <c r="A1205" t="s">
        <v>2123</v>
      </c>
      <c r="B1205" t="s">
        <v>896</v>
      </c>
      <c r="C1205" t="s">
        <v>1986</v>
      </c>
      <c r="D1205">
        <v>355365</v>
      </c>
      <c r="E1205" t="s">
        <v>316</v>
      </c>
    </row>
    <row r="1206" spans="1:5">
      <c r="A1206" t="s">
        <v>2123</v>
      </c>
      <c r="B1206" t="s">
        <v>896</v>
      </c>
      <c r="C1206" t="s">
        <v>2094</v>
      </c>
      <c r="D1206">
        <v>480346</v>
      </c>
      <c r="E1206" t="s">
        <v>741</v>
      </c>
    </row>
    <row r="1207" spans="1:5">
      <c r="A1207" t="s">
        <v>2123</v>
      </c>
      <c r="B1207" t="s">
        <v>896</v>
      </c>
      <c r="C1207" t="s">
        <v>2096</v>
      </c>
      <c r="D1207">
        <v>959536</v>
      </c>
      <c r="E1207" t="s">
        <v>796</v>
      </c>
    </row>
    <row r="1208" spans="1:5">
      <c r="A1208" t="s">
        <v>2123</v>
      </c>
      <c r="B1208" t="s">
        <v>896</v>
      </c>
      <c r="C1208" t="s">
        <v>2125</v>
      </c>
      <c r="D1208">
        <v>859332</v>
      </c>
      <c r="E1208" t="s">
        <v>271</v>
      </c>
    </row>
    <row r="1209" spans="1:5">
      <c r="A1209" t="s">
        <v>2123</v>
      </c>
      <c r="B1209" t="s">
        <v>896</v>
      </c>
      <c r="C1209" t="s">
        <v>2097</v>
      </c>
      <c r="D1209">
        <v>829985</v>
      </c>
      <c r="E1209" t="s">
        <v>806</v>
      </c>
    </row>
    <row r="1210" spans="1:5">
      <c r="A1210" t="s">
        <v>2123</v>
      </c>
      <c r="B1210" t="s">
        <v>896</v>
      </c>
      <c r="C1210" t="s">
        <v>1989</v>
      </c>
      <c r="D1210">
        <v>269049</v>
      </c>
      <c r="E1210" t="s">
        <v>632</v>
      </c>
    </row>
    <row r="1211" spans="1:5">
      <c r="A1211" t="s">
        <v>2123</v>
      </c>
      <c r="B1211" t="s">
        <v>896</v>
      </c>
      <c r="C1211" t="s">
        <v>2099</v>
      </c>
      <c r="D1211">
        <v>707444</v>
      </c>
      <c r="E1211" t="s">
        <v>623</v>
      </c>
    </row>
    <row r="1212" spans="1:5">
      <c r="A1212" t="s">
        <v>2123</v>
      </c>
      <c r="B1212" t="s">
        <v>896</v>
      </c>
      <c r="C1212" t="s">
        <v>1990</v>
      </c>
      <c r="D1212">
        <v>847592</v>
      </c>
      <c r="E1212" t="s">
        <v>989</v>
      </c>
    </row>
    <row r="1213" spans="1:5">
      <c r="A1213" t="s">
        <v>2123</v>
      </c>
      <c r="B1213" t="s">
        <v>896</v>
      </c>
      <c r="C1213" t="s">
        <v>2100</v>
      </c>
      <c r="D1213">
        <v>959536</v>
      </c>
      <c r="E1213" t="s">
        <v>796</v>
      </c>
    </row>
    <row r="1214" spans="1:5">
      <c r="A1214" t="s">
        <v>2123</v>
      </c>
      <c r="B1214" t="s">
        <v>896</v>
      </c>
      <c r="C1214" t="s">
        <v>2101</v>
      </c>
      <c r="D1214">
        <v>480346</v>
      </c>
      <c r="E1214" t="s">
        <v>741</v>
      </c>
    </row>
    <row r="1215" spans="1:5">
      <c r="A1215" t="s">
        <v>2123</v>
      </c>
      <c r="B1215" t="s">
        <v>896</v>
      </c>
      <c r="C1215" t="s">
        <v>1993</v>
      </c>
      <c r="D1215">
        <v>959536</v>
      </c>
      <c r="E1215" t="s">
        <v>796</v>
      </c>
    </row>
    <row r="1216" spans="1:5">
      <c r="A1216" t="s">
        <v>2123</v>
      </c>
      <c r="B1216" t="s">
        <v>896</v>
      </c>
      <c r="C1216" t="s">
        <v>2104</v>
      </c>
      <c r="D1216">
        <v>269049</v>
      </c>
      <c r="E1216" t="s">
        <v>632</v>
      </c>
    </row>
    <row r="1217" spans="1:5">
      <c r="A1217" t="s">
        <v>2123</v>
      </c>
      <c r="B1217" t="s">
        <v>896</v>
      </c>
      <c r="C1217" t="s">
        <v>2105</v>
      </c>
      <c r="D1217">
        <v>959536</v>
      </c>
      <c r="E1217" t="s">
        <v>796</v>
      </c>
    </row>
    <row r="1218" spans="1:5">
      <c r="A1218" t="s">
        <v>2126</v>
      </c>
      <c r="B1218" t="s">
        <v>896</v>
      </c>
      <c r="C1218" t="s">
        <v>2127</v>
      </c>
      <c r="D1218">
        <v>847592</v>
      </c>
      <c r="E1218" t="s">
        <v>989</v>
      </c>
    </row>
    <row r="1219" spans="1:5">
      <c r="A1219" t="s">
        <v>2126</v>
      </c>
      <c r="B1219" t="s">
        <v>896</v>
      </c>
      <c r="C1219" t="s">
        <v>1911</v>
      </c>
      <c r="D1219">
        <v>480346</v>
      </c>
      <c r="E1219" t="s">
        <v>741</v>
      </c>
    </row>
    <row r="1220" spans="1:5">
      <c r="A1220" t="s">
        <v>2126</v>
      </c>
      <c r="B1220" t="s">
        <v>896</v>
      </c>
      <c r="C1220" t="s">
        <v>1204</v>
      </c>
      <c r="D1220">
        <v>480346</v>
      </c>
      <c r="E1220" t="s">
        <v>741</v>
      </c>
    </row>
    <row r="1221" spans="1:5">
      <c r="A1221" t="s">
        <v>2126</v>
      </c>
      <c r="B1221" t="s">
        <v>896</v>
      </c>
      <c r="C1221" t="s">
        <v>2016</v>
      </c>
      <c r="D1221">
        <v>373149</v>
      </c>
      <c r="E1221" t="s">
        <v>653</v>
      </c>
    </row>
    <row r="1222" spans="1:5">
      <c r="A1222" t="s">
        <v>2126</v>
      </c>
      <c r="B1222" t="s">
        <v>896</v>
      </c>
      <c r="C1222" t="s">
        <v>1912</v>
      </c>
      <c r="D1222">
        <v>821988</v>
      </c>
      <c r="E1222" t="s">
        <v>111</v>
      </c>
    </row>
    <row r="1223" spans="1:5">
      <c r="A1223" t="s">
        <v>2126</v>
      </c>
      <c r="B1223" t="s">
        <v>896</v>
      </c>
      <c r="C1223" t="s">
        <v>1205</v>
      </c>
      <c r="D1223">
        <v>373149</v>
      </c>
      <c r="E1223" t="s">
        <v>653</v>
      </c>
    </row>
    <row r="1224" spans="1:5">
      <c r="A1224" t="s">
        <v>2126</v>
      </c>
      <c r="B1224" t="s">
        <v>896</v>
      </c>
      <c r="C1224" t="s">
        <v>1190</v>
      </c>
      <c r="D1224">
        <v>229379</v>
      </c>
      <c r="E1224" t="s">
        <v>124</v>
      </c>
    </row>
    <row r="1225" spans="1:5">
      <c r="A1225" t="s">
        <v>2126</v>
      </c>
      <c r="B1225" t="s">
        <v>896</v>
      </c>
      <c r="C1225" t="s">
        <v>1095</v>
      </c>
      <c r="D1225">
        <v>816531</v>
      </c>
      <c r="E1225" t="s">
        <v>102</v>
      </c>
    </row>
    <row r="1226" spans="1:5">
      <c r="A1226" t="s">
        <v>2126</v>
      </c>
      <c r="B1226" t="s">
        <v>896</v>
      </c>
      <c r="C1226" t="s">
        <v>1913</v>
      </c>
      <c r="D1226">
        <v>621916</v>
      </c>
      <c r="E1226" t="s">
        <v>181</v>
      </c>
    </row>
    <row r="1227" spans="1:5">
      <c r="A1227" t="s">
        <v>2126</v>
      </c>
      <c r="B1227" t="s">
        <v>896</v>
      </c>
      <c r="C1227" t="s">
        <v>1206</v>
      </c>
      <c r="D1227">
        <v>480346</v>
      </c>
      <c r="E1227" t="s">
        <v>741</v>
      </c>
    </row>
    <row r="1228" spans="1:5">
      <c r="A1228" t="s">
        <v>2126</v>
      </c>
      <c r="B1228" t="s">
        <v>896</v>
      </c>
      <c r="C1228" t="s">
        <v>2018</v>
      </c>
      <c r="D1228">
        <v>22091</v>
      </c>
      <c r="E1228" t="s">
        <v>2028</v>
      </c>
    </row>
    <row r="1229" spans="1:5">
      <c r="A1229" t="s">
        <v>2126</v>
      </c>
      <c r="B1229" t="s">
        <v>896</v>
      </c>
      <c r="C1229" t="s">
        <v>1914</v>
      </c>
      <c r="D1229">
        <v>480346</v>
      </c>
      <c r="E1229" t="s">
        <v>741</v>
      </c>
    </row>
    <row r="1230" spans="1:5">
      <c r="A1230" t="s">
        <v>2126</v>
      </c>
      <c r="B1230" t="s">
        <v>896</v>
      </c>
      <c r="C1230" t="s">
        <v>1207</v>
      </c>
      <c r="D1230">
        <v>373149</v>
      </c>
      <c r="E1230" t="s">
        <v>653</v>
      </c>
    </row>
    <row r="1231" spans="1:5">
      <c r="A1231" t="s">
        <v>2126</v>
      </c>
      <c r="B1231" t="s">
        <v>896</v>
      </c>
      <c r="C1231" t="s">
        <v>1194</v>
      </c>
      <c r="D1231">
        <v>816531</v>
      </c>
      <c r="E1231" t="s">
        <v>102</v>
      </c>
    </row>
    <row r="1232" spans="1:5">
      <c r="A1232" t="s">
        <v>2126</v>
      </c>
      <c r="B1232" t="s">
        <v>896</v>
      </c>
      <c r="C1232" t="s">
        <v>2128</v>
      </c>
      <c r="D1232">
        <v>816531</v>
      </c>
      <c r="E1232" t="s">
        <v>102</v>
      </c>
    </row>
    <row r="1233" spans="1:5">
      <c r="A1233" t="s">
        <v>2126</v>
      </c>
      <c r="B1233" t="s">
        <v>896</v>
      </c>
      <c r="C1233" t="s">
        <v>2020</v>
      </c>
      <c r="D1233">
        <v>120046</v>
      </c>
      <c r="E1233" t="s">
        <v>553</v>
      </c>
    </row>
    <row r="1234" spans="1:5">
      <c r="A1234" t="s">
        <v>2129</v>
      </c>
      <c r="B1234" t="s">
        <v>896</v>
      </c>
      <c r="C1234" t="s">
        <v>1093</v>
      </c>
      <c r="D1234">
        <v>210824</v>
      </c>
      <c r="E1234" t="s">
        <v>600</v>
      </c>
    </row>
    <row r="1235" spans="1:5">
      <c r="A1235" t="s">
        <v>2129</v>
      </c>
      <c r="B1235" t="s">
        <v>896</v>
      </c>
      <c r="C1235" t="s">
        <v>1100</v>
      </c>
      <c r="D1235">
        <v>476617</v>
      </c>
      <c r="E1235" t="s">
        <v>493</v>
      </c>
    </row>
    <row r="1236" spans="1:5">
      <c r="A1236" t="s">
        <v>2129</v>
      </c>
      <c r="B1236" t="s">
        <v>896</v>
      </c>
      <c r="C1236" t="s">
        <v>1106</v>
      </c>
      <c r="D1236">
        <v>696603</v>
      </c>
      <c r="E1236" t="s">
        <v>458</v>
      </c>
    </row>
    <row r="1237" spans="1:5">
      <c r="A1237" t="s">
        <v>2129</v>
      </c>
      <c r="B1237" t="s">
        <v>896</v>
      </c>
      <c r="C1237" t="s">
        <v>1113</v>
      </c>
      <c r="D1237">
        <v>210824</v>
      </c>
      <c r="E1237" t="s">
        <v>600</v>
      </c>
    </row>
    <row r="1238" spans="1:5">
      <c r="A1238" t="s">
        <v>2130</v>
      </c>
      <c r="B1238" t="s">
        <v>896</v>
      </c>
      <c r="C1238" t="s">
        <v>1187</v>
      </c>
      <c r="D1238">
        <v>899316</v>
      </c>
      <c r="E1238" t="s">
        <v>589</v>
      </c>
    </row>
    <row r="1239" spans="1:5">
      <c r="A1239" t="s">
        <v>2130</v>
      </c>
      <c r="B1239" t="s">
        <v>896</v>
      </c>
      <c r="C1239" t="s">
        <v>1187</v>
      </c>
      <c r="D1239">
        <v>944892</v>
      </c>
      <c r="E1239" t="s">
        <v>948</v>
      </c>
    </row>
    <row r="1240" spans="1:5">
      <c r="A1240" t="s">
        <v>2130</v>
      </c>
      <c r="B1240" t="s">
        <v>896</v>
      </c>
      <c r="C1240" t="s">
        <v>1188</v>
      </c>
      <c r="D1240">
        <v>960559</v>
      </c>
      <c r="E1240" t="s">
        <v>403</v>
      </c>
    </row>
    <row r="1241" spans="1:5">
      <c r="A1241" t="s">
        <v>2130</v>
      </c>
      <c r="B1241" t="s">
        <v>896</v>
      </c>
      <c r="C1241" t="s">
        <v>1188</v>
      </c>
      <c r="D1241">
        <v>804908</v>
      </c>
      <c r="E1241" t="s">
        <v>601</v>
      </c>
    </row>
    <row r="1242" spans="1:5">
      <c r="A1242" t="s">
        <v>2130</v>
      </c>
      <c r="B1242" t="s">
        <v>896</v>
      </c>
      <c r="C1242" t="s">
        <v>2131</v>
      </c>
      <c r="D1242">
        <v>331144</v>
      </c>
      <c r="E1242" t="s">
        <v>273</v>
      </c>
    </row>
    <row r="1243" spans="1:5">
      <c r="A1243" t="s">
        <v>2130</v>
      </c>
      <c r="B1243" t="s">
        <v>896</v>
      </c>
      <c r="C1243" t="s">
        <v>2131</v>
      </c>
      <c r="D1243">
        <v>967920</v>
      </c>
      <c r="E1243" t="s">
        <v>499</v>
      </c>
    </row>
    <row r="1244" spans="1:5">
      <c r="A1244" t="s">
        <v>2130</v>
      </c>
      <c r="B1244" t="s">
        <v>896</v>
      </c>
      <c r="C1244" t="s">
        <v>1191</v>
      </c>
      <c r="D1244">
        <v>914365</v>
      </c>
      <c r="E1244" t="s">
        <v>513</v>
      </c>
    </row>
    <row r="1245" spans="1:5">
      <c r="A1245" t="s">
        <v>2130</v>
      </c>
      <c r="B1245" t="s">
        <v>896</v>
      </c>
      <c r="C1245" t="s">
        <v>1191</v>
      </c>
      <c r="D1245">
        <v>906758</v>
      </c>
      <c r="E1245" t="s">
        <v>786</v>
      </c>
    </row>
    <row r="1246" spans="1:5">
      <c r="A1246" t="s">
        <v>2130</v>
      </c>
      <c r="B1246" t="s">
        <v>896</v>
      </c>
      <c r="C1246" t="s">
        <v>1192</v>
      </c>
      <c r="D1246">
        <v>960559</v>
      </c>
      <c r="E1246" t="s">
        <v>403</v>
      </c>
    </row>
    <row r="1247" spans="1:5">
      <c r="A1247" t="s">
        <v>2130</v>
      </c>
      <c r="B1247" t="s">
        <v>896</v>
      </c>
      <c r="C1247" t="s">
        <v>1192</v>
      </c>
      <c r="D1247">
        <v>804908</v>
      </c>
      <c r="E1247" t="s">
        <v>601</v>
      </c>
    </row>
    <row r="1248" spans="1:5">
      <c r="A1248" t="s">
        <v>2130</v>
      </c>
      <c r="B1248" t="s">
        <v>896</v>
      </c>
      <c r="C1248" t="s">
        <v>2132</v>
      </c>
      <c r="D1248">
        <v>936159</v>
      </c>
      <c r="E1248" t="s">
        <v>834</v>
      </c>
    </row>
    <row r="1249" spans="1:5">
      <c r="A1249" t="s">
        <v>2130</v>
      </c>
      <c r="B1249" t="s">
        <v>896</v>
      </c>
      <c r="C1249" t="s">
        <v>2132</v>
      </c>
      <c r="D1249">
        <v>729487</v>
      </c>
      <c r="E1249" t="s">
        <v>96</v>
      </c>
    </row>
    <row r="1250" spans="1:5">
      <c r="A1250" t="s">
        <v>2130</v>
      </c>
      <c r="B1250" t="s">
        <v>896</v>
      </c>
      <c r="C1250" t="s">
        <v>1195</v>
      </c>
      <c r="D1250">
        <v>899316</v>
      </c>
      <c r="E1250" t="s">
        <v>589</v>
      </c>
    </row>
    <row r="1251" spans="1:5">
      <c r="A1251" t="s">
        <v>2130</v>
      </c>
      <c r="B1251" t="s">
        <v>896</v>
      </c>
      <c r="C1251" t="s">
        <v>1195</v>
      </c>
      <c r="D1251">
        <v>470624</v>
      </c>
      <c r="E1251" t="s">
        <v>525</v>
      </c>
    </row>
    <row r="1252" spans="1:5">
      <c r="A1252" t="s">
        <v>2130</v>
      </c>
      <c r="B1252" t="s">
        <v>896</v>
      </c>
      <c r="C1252" t="s">
        <v>1196</v>
      </c>
      <c r="D1252">
        <v>707444</v>
      </c>
      <c r="E1252" t="s">
        <v>623</v>
      </c>
    </row>
    <row r="1253" spans="1:5">
      <c r="A1253" t="s">
        <v>2130</v>
      </c>
      <c r="B1253" t="s">
        <v>896</v>
      </c>
      <c r="C1253" t="s">
        <v>1196</v>
      </c>
      <c r="D1253">
        <v>707649</v>
      </c>
      <c r="E1253" t="s">
        <v>746</v>
      </c>
    </row>
    <row r="1254" spans="1:5">
      <c r="A1254" t="s">
        <v>2130</v>
      </c>
      <c r="B1254" t="s">
        <v>896</v>
      </c>
      <c r="C1254" t="s">
        <v>2133</v>
      </c>
      <c r="D1254">
        <v>970070</v>
      </c>
      <c r="E1254" t="s">
        <v>697</v>
      </c>
    </row>
    <row r="1255" spans="1:5">
      <c r="A1255" t="s">
        <v>2130</v>
      </c>
      <c r="B1255" t="s">
        <v>896</v>
      </c>
      <c r="C1255" t="s">
        <v>2133</v>
      </c>
      <c r="D1255">
        <v>411764</v>
      </c>
      <c r="E1255" t="s">
        <v>682</v>
      </c>
    </row>
    <row r="1256" spans="1:5">
      <c r="A1256" t="s">
        <v>2130</v>
      </c>
      <c r="B1256" t="s">
        <v>896</v>
      </c>
      <c r="C1256" t="s">
        <v>1199</v>
      </c>
      <c r="D1256">
        <v>620545</v>
      </c>
      <c r="E1256" t="s">
        <v>126</v>
      </c>
    </row>
    <row r="1257" spans="1:5">
      <c r="A1257" t="s">
        <v>2130</v>
      </c>
      <c r="B1257" t="s">
        <v>896</v>
      </c>
      <c r="C1257" t="s">
        <v>1199</v>
      </c>
      <c r="D1257">
        <v>873907</v>
      </c>
      <c r="E1257" t="s">
        <v>2103</v>
      </c>
    </row>
    <row r="1258" spans="1:5">
      <c r="A1258" t="s">
        <v>2130</v>
      </c>
      <c r="B1258" t="s">
        <v>896</v>
      </c>
      <c r="C1258" t="s">
        <v>1200</v>
      </c>
      <c r="D1258">
        <v>899316</v>
      </c>
      <c r="E1258" t="s">
        <v>589</v>
      </c>
    </row>
    <row r="1259" spans="1:5">
      <c r="A1259" t="s">
        <v>2130</v>
      </c>
      <c r="B1259" t="s">
        <v>896</v>
      </c>
      <c r="C1259" t="s">
        <v>1200</v>
      </c>
      <c r="D1259">
        <v>967920</v>
      </c>
      <c r="E1259" t="s">
        <v>499</v>
      </c>
    </row>
    <row r="1260" spans="1:5">
      <c r="A1260" t="s">
        <v>2130</v>
      </c>
      <c r="B1260" t="s">
        <v>896</v>
      </c>
      <c r="C1260" t="s">
        <v>2035</v>
      </c>
      <c r="D1260">
        <v>623934</v>
      </c>
      <c r="E1260" t="s">
        <v>364</v>
      </c>
    </row>
    <row r="1261" spans="1:5">
      <c r="A1261" t="s">
        <v>2130</v>
      </c>
      <c r="B1261" t="s">
        <v>896</v>
      </c>
      <c r="C1261" t="s">
        <v>2035</v>
      </c>
      <c r="D1261">
        <v>588433</v>
      </c>
      <c r="E1261" t="s">
        <v>581</v>
      </c>
    </row>
    <row r="1262" spans="1:5">
      <c r="A1262" t="s">
        <v>2134</v>
      </c>
      <c r="B1262" t="s">
        <v>896</v>
      </c>
      <c r="C1262" t="s">
        <v>1090</v>
      </c>
      <c r="D1262">
        <v>775465</v>
      </c>
      <c r="E1262" t="s">
        <v>571</v>
      </c>
    </row>
    <row r="1263" spans="1:5">
      <c r="A1263" t="s">
        <v>2134</v>
      </c>
      <c r="B1263" t="s">
        <v>896</v>
      </c>
      <c r="C1263" t="s">
        <v>1090</v>
      </c>
      <c r="D1263">
        <v>635374</v>
      </c>
      <c r="E1263" t="s">
        <v>450</v>
      </c>
    </row>
    <row r="1264" spans="1:5">
      <c r="A1264" t="s">
        <v>2134</v>
      </c>
      <c r="B1264" t="s">
        <v>896</v>
      </c>
      <c r="C1264" t="s">
        <v>1091</v>
      </c>
      <c r="D1264">
        <v>466400</v>
      </c>
      <c r="E1264" t="s">
        <v>304</v>
      </c>
    </row>
    <row r="1265" spans="1:5">
      <c r="A1265" t="s">
        <v>2134</v>
      </c>
      <c r="B1265" t="s">
        <v>896</v>
      </c>
      <c r="C1265" t="s">
        <v>1091</v>
      </c>
      <c r="D1265">
        <v>574333</v>
      </c>
      <c r="E1265" t="s">
        <v>630</v>
      </c>
    </row>
    <row r="1266" spans="1:5">
      <c r="A1266" t="s">
        <v>2134</v>
      </c>
      <c r="B1266" t="s">
        <v>896</v>
      </c>
      <c r="C1266" t="s">
        <v>1092</v>
      </c>
      <c r="D1266">
        <v>872540</v>
      </c>
      <c r="E1266" t="s">
        <v>733</v>
      </c>
    </row>
    <row r="1267" spans="1:5">
      <c r="A1267" t="s">
        <v>2134</v>
      </c>
      <c r="B1267" t="s">
        <v>896</v>
      </c>
      <c r="C1267" t="s">
        <v>2135</v>
      </c>
      <c r="D1267">
        <v>821988</v>
      </c>
      <c r="E1267" t="s">
        <v>111</v>
      </c>
    </row>
    <row r="1268" spans="1:5">
      <c r="A1268" t="s">
        <v>2134</v>
      </c>
      <c r="B1268" t="s">
        <v>896</v>
      </c>
      <c r="C1268" t="s">
        <v>1093</v>
      </c>
      <c r="D1268">
        <v>191302</v>
      </c>
      <c r="E1268" t="s">
        <v>314</v>
      </c>
    </row>
    <row r="1269" spans="1:5">
      <c r="A1269" t="s">
        <v>2134</v>
      </c>
      <c r="B1269" t="s">
        <v>896</v>
      </c>
      <c r="C1269" t="s">
        <v>2136</v>
      </c>
      <c r="D1269">
        <v>542923</v>
      </c>
      <c r="E1269" t="s">
        <v>32</v>
      </c>
    </row>
    <row r="1270" spans="1:5">
      <c r="A1270" t="s">
        <v>2134</v>
      </c>
      <c r="B1270" t="s">
        <v>896</v>
      </c>
      <c r="C1270" t="s">
        <v>2136</v>
      </c>
      <c r="D1270">
        <v>710236</v>
      </c>
      <c r="E1270" t="s">
        <v>103</v>
      </c>
    </row>
    <row r="1271" spans="1:5">
      <c r="A1271" t="s">
        <v>2134</v>
      </c>
      <c r="B1271" t="s">
        <v>896</v>
      </c>
      <c r="C1271" t="s">
        <v>1096</v>
      </c>
      <c r="D1271">
        <v>687118</v>
      </c>
      <c r="E1271" t="s">
        <v>422</v>
      </c>
    </row>
    <row r="1272" spans="1:5">
      <c r="A1272" t="s">
        <v>2134</v>
      </c>
      <c r="B1272" t="s">
        <v>896</v>
      </c>
      <c r="C1272" t="s">
        <v>1097</v>
      </c>
      <c r="D1272">
        <v>401614</v>
      </c>
      <c r="E1272" t="s">
        <v>49</v>
      </c>
    </row>
    <row r="1273" spans="1:5">
      <c r="A1273" t="s">
        <v>2134</v>
      </c>
      <c r="B1273" t="s">
        <v>896</v>
      </c>
      <c r="C1273" t="s">
        <v>1098</v>
      </c>
      <c r="D1273">
        <v>366558</v>
      </c>
      <c r="E1273" t="s">
        <v>502</v>
      </c>
    </row>
    <row r="1274" spans="1:5">
      <c r="A1274" t="s">
        <v>2134</v>
      </c>
      <c r="B1274" t="s">
        <v>896</v>
      </c>
      <c r="C1274" t="s">
        <v>1099</v>
      </c>
      <c r="D1274">
        <v>872540</v>
      </c>
      <c r="E1274" t="s">
        <v>733</v>
      </c>
    </row>
    <row r="1275" spans="1:5">
      <c r="A1275" t="s">
        <v>2134</v>
      </c>
      <c r="B1275" t="s">
        <v>896</v>
      </c>
      <c r="C1275" t="s">
        <v>1099</v>
      </c>
      <c r="D1275">
        <v>574333</v>
      </c>
      <c r="E1275" t="s">
        <v>630</v>
      </c>
    </row>
    <row r="1276" spans="1:5">
      <c r="A1276" t="s">
        <v>2134</v>
      </c>
      <c r="B1276" t="s">
        <v>896</v>
      </c>
      <c r="C1276" t="s">
        <v>1100</v>
      </c>
      <c r="D1276">
        <v>869668</v>
      </c>
      <c r="E1276" t="s">
        <v>1388</v>
      </c>
    </row>
    <row r="1277" spans="1:5">
      <c r="A1277" t="s">
        <v>2134</v>
      </c>
      <c r="B1277" t="s">
        <v>896</v>
      </c>
      <c r="C1277" t="s">
        <v>1100</v>
      </c>
      <c r="D1277">
        <v>706887</v>
      </c>
      <c r="E1277" t="s">
        <v>122</v>
      </c>
    </row>
    <row r="1278" spans="1:5">
      <c r="A1278" t="s">
        <v>2134</v>
      </c>
      <c r="B1278" t="s">
        <v>896</v>
      </c>
      <c r="C1278" t="s">
        <v>2137</v>
      </c>
      <c r="D1278">
        <v>542923</v>
      </c>
      <c r="E1278" t="s">
        <v>32</v>
      </c>
    </row>
    <row r="1279" spans="1:5">
      <c r="A1279" t="s">
        <v>2134</v>
      </c>
      <c r="B1279" t="s">
        <v>896</v>
      </c>
      <c r="C1279" t="s">
        <v>2137</v>
      </c>
      <c r="D1279">
        <v>900975</v>
      </c>
      <c r="E1279" t="s">
        <v>412</v>
      </c>
    </row>
    <row r="1280" spans="1:5">
      <c r="A1280" t="s">
        <v>2134</v>
      </c>
      <c r="B1280" t="s">
        <v>896</v>
      </c>
      <c r="C1280" t="s">
        <v>1102</v>
      </c>
      <c r="D1280">
        <v>710236</v>
      </c>
      <c r="E1280" t="s">
        <v>103</v>
      </c>
    </row>
    <row r="1281" spans="1:5">
      <c r="A1281" t="s">
        <v>2134</v>
      </c>
      <c r="B1281" t="s">
        <v>896</v>
      </c>
      <c r="C1281" t="s">
        <v>1102</v>
      </c>
      <c r="D1281">
        <v>872540</v>
      </c>
      <c r="E1281" t="s">
        <v>733</v>
      </c>
    </row>
    <row r="1282" spans="1:5">
      <c r="A1282" t="s">
        <v>2134</v>
      </c>
      <c r="B1282" t="s">
        <v>896</v>
      </c>
      <c r="C1282" t="s">
        <v>1103</v>
      </c>
      <c r="D1282">
        <v>900975</v>
      </c>
      <c r="E1282" t="s">
        <v>412</v>
      </c>
    </row>
    <row r="1283" spans="1:5">
      <c r="A1283" t="s">
        <v>2134</v>
      </c>
      <c r="B1283" t="s">
        <v>896</v>
      </c>
      <c r="C1283" t="s">
        <v>1103</v>
      </c>
      <c r="D1283">
        <v>542923</v>
      </c>
      <c r="E1283" t="s">
        <v>32</v>
      </c>
    </row>
    <row r="1284" spans="1:5">
      <c r="A1284" t="s">
        <v>2134</v>
      </c>
      <c r="B1284" t="s">
        <v>896</v>
      </c>
      <c r="C1284" t="s">
        <v>1104</v>
      </c>
      <c r="D1284">
        <v>246792</v>
      </c>
      <c r="E1284" t="s">
        <v>116</v>
      </c>
    </row>
    <row r="1285" spans="1:5">
      <c r="A1285" t="s">
        <v>2134</v>
      </c>
      <c r="B1285" t="s">
        <v>896</v>
      </c>
      <c r="C1285" t="s">
        <v>1104</v>
      </c>
      <c r="D1285">
        <v>872540</v>
      </c>
      <c r="E1285" t="s">
        <v>733</v>
      </c>
    </row>
    <row r="1286" spans="1:5">
      <c r="A1286" t="s">
        <v>2134</v>
      </c>
      <c r="B1286" t="s">
        <v>896</v>
      </c>
      <c r="C1286" t="s">
        <v>1105</v>
      </c>
      <c r="D1286">
        <v>191302</v>
      </c>
      <c r="E1286" t="s">
        <v>314</v>
      </c>
    </row>
    <row r="1287" spans="1:5">
      <c r="A1287" t="s">
        <v>2134</v>
      </c>
      <c r="B1287" t="s">
        <v>896</v>
      </c>
      <c r="C1287" t="s">
        <v>1106</v>
      </c>
      <c r="D1287">
        <v>869668</v>
      </c>
      <c r="E1287" t="s">
        <v>1388</v>
      </c>
    </row>
    <row r="1288" spans="1:5">
      <c r="A1288" t="s">
        <v>2134</v>
      </c>
      <c r="B1288" t="s">
        <v>896</v>
      </c>
      <c r="C1288" t="s">
        <v>1106</v>
      </c>
      <c r="D1288">
        <v>479121</v>
      </c>
      <c r="E1288" t="s">
        <v>38</v>
      </c>
    </row>
    <row r="1289" spans="1:5">
      <c r="A1289" t="s">
        <v>2134</v>
      </c>
      <c r="B1289" t="s">
        <v>896</v>
      </c>
      <c r="C1289" t="s">
        <v>2138</v>
      </c>
      <c r="D1289">
        <v>542923</v>
      </c>
      <c r="E1289" t="s">
        <v>32</v>
      </c>
    </row>
    <row r="1290" spans="1:5">
      <c r="A1290" t="s">
        <v>2134</v>
      </c>
      <c r="B1290" t="s">
        <v>896</v>
      </c>
      <c r="C1290" t="s">
        <v>2138</v>
      </c>
      <c r="D1290">
        <v>635374</v>
      </c>
      <c r="E1290" t="s">
        <v>450</v>
      </c>
    </row>
    <row r="1291" spans="1:5">
      <c r="A1291" t="s">
        <v>2134</v>
      </c>
      <c r="B1291" t="s">
        <v>896</v>
      </c>
      <c r="C1291" t="s">
        <v>1109</v>
      </c>
      <c r="D1291">
        <v>574333</v>
      </c>
      <c r="E1291" t="s">
        <v>630</v>
      </c>
    </row>
    <row r="1292" spans="1:5">
      <c r="A1292" t="s">
        <v>2134</v>
      </c>
      <c r="B1292" t="s">
        <v>896</v>
      </c>
      <c r="C1292" t="s">
        <v>1109</v>
      </c>
      <c r="D1292">
        <v>935091</v>
      </c>
      <c r="E1292" t="s">
        <v>771</v>
      </c>
    </row>
    <row r="1293" spans="1:5">
      <c r="A1293" t="s">
        <v>2134</v>
      </c>
      <c r="B1293" t="s">
        <v>896</v>
      </c>
      <c r="C1293" t="s">
        <v>1110</v>
      </c>
      <c r="D1293">
        <v>191302</v>
      </c>
      <c r="E1293" t="s">
        <v>314</v>
      </c>
    </row>
    <row r="1294" spans="1:5">
      <c r="A1294" t="s">
        <v>2134</v>
      </c>
      <c r="B1294" t="s">
        <v>896</v>
      </c>
      <c r="C1294" t="s">
        <v>1111</v>
      </c>
      <c r="D1294">
        <v>246792</v>
      </c>
      <c r="E1294" t="s">
        <v>116</v>
      </c>
    </row>
    <row r="1295" spans="1:5">
      <c r="A1295" t="s">
        <v>2134</v>
      </c>
      <c r="B1295" t="s">
        <v>896</v>
      </c>
      <c r="C1295" t="s">
        <v>1112</v>
      </c>
      <c r="D1295">
        <v>869668</v>
      </c>
      <c r="E1295" t="s">
        <v>1388</v>
      </c>
    </row>
    <row r="1296" spans="1:5">
      <c r="A1296" t="s">
        <v>2134</v>
      </c>
      <c r="B1296" t="s">
        <v>896</v>
      </c>
      <c r="C1296" t="s">
        <v>1112</v>
      </c>
      <c r="D1296">
        <v>574333</v>
      </c>
      <c r="E1296" t="s">
        <v>630</v>
      </c>
    </row>
    <row r="1297" spans="1:5">
      <c r="A1297" t="s">
        <v>2134</v>
      </c>
      <c r="B1297" t="s">
        <v>896</v>
      </c>
      <c r="C1297" t="s">
        <v>1113</v>
      </c>
      <c r="D1297">
        <v>900975</v>
      </c>
      <c r="E1297" t="s">
        <v>412</v>
      </c>
    </row>
    <row r="1298" spans="1:5">
      <c r="A1298" t="s">
        <v>2134</v>
      </c>
      <c r="B1298" t="s">
        <v>896</v>
      </c>
      <c r="C1298" t="s">
        <v>1113</v>
      </c>
      <c r="D1298">
        <v>542923</v>
      </c>
      <c r="E1298" t="s">
        <v>32</v>
      </c>
    </row>
    <row r="1299" spans="1:5">
      <c r="A1299" t="s">
        <v>2134</v>
      </c>
      <c r="B1299" t="s">
        <v>896</v>
      </c>
      <c r="C1299" t="s">
        <v>2139</v>
      </c>
      <c r="D1299">
        <v>710236</v>
      </c>
      <c r="E1299" t="s">
        <v>103</v>
      </c>
    </row>
    <row r="1300" spans="1:5">
      <c r="A1300" t="s">
        <v>2134</v>
      </c>
      <c r="B1300" t="s">
        <v>896</v>
      </c>
      <c r="C1300" t="s">
        <v>2139</v>
      </c>
      <c r="D1300">
        <v>542923</v>
      </c>
      <c r="E1300" t="s">
        <v>32</v>
      </c>
    </row>
    <row r="1301" spans="1:5">
      <c r="A1301" t="s">
        <v>2140</v>
      </c>
      <c r="B1301" t="s">
        <v>896</v>
      </c>
      <c r="C1301" t="s">
        <v>2141</v>
      </c>
      <c r="D1301">
        <v>706887</v>
      </c>
      <c r="E1301" t="s">
        <v>122</v>
      </c>
    </row>
    <row r="1302" spans="1:5">
      <c r="A1302" t="s">
        <v>2140</v>
      </c>
      <c r="B1302" t="s">
        <v>896</v>
      </c>
      <c r="C1302" t="s">
        <v>2141</v>
      </c>
      <c r="D1302">
        <v>175002</v>
      </c>
      <c r="E1302" t="s">
        <v>197</v>
      </c>
    </row>
    <row r="1303" spans="1:5">
      <c r="A1303" t="s">
        <v>2140</v>
      </c>
      <c r="B1303" t="s">
        <v>896</v>
      </c>
      <c r="C1303" t="s">
        <v>2142</v>
      </c>
      <c r="D1303">
        <v>429425</v>
      </c>
      <c r="E1303" t="s">
        <v>694</v>
      </c>
    </row>
    <row r="1304" spans="1:5">
      <c r="A1304" t="s">
        <v>2140</v>
      </c>
      <c r="B1304" t="s">
        <v>896</v>
      </c>
      <c r="C1304" t="s">
        <v>2143</v>
      </c>
      <c r="D1304">
        <v>802419</v>
      </c>
      <c r="E1304" t="s">
        <v>647</v>
      </c>
    </row>
    <row r="1305" spans="1:5">
      <c r="A1305" t="s">
        <v>2140</v>
      </c>
      <c r="B1305" t="s">
        <v>896</v>
      </c>
      <c r="C1305" t="s">
        <v>2144</v>
      </c>
      <c r="D1305">
        <v>729487</v>
      </c>
      <c r="E1305" t="s">
        <v>96</v>
      </c>
    </row>
    <row r="1306" spans="1:5">
      <c r="A1306" t="s">
        <v>2140</v>
      </c>
      <c r="B1306" t="s">
        <v>896</v>
      </c>
      <c r="C1306" t="s">
        <v>2145</v>
      </c>
      <c r="D1306">
        <v>802419</v>
      </c>
      <c r="E1306" t="s">
        <v>647</v>
      </c>
    </row>
    <row r="1307" spans="1:5">
      <c r="A1307" t="s">
        <v>2140</v>
      </c>
      <c r="B1307" t="s">
        <v>896</v>
      </c>
      <c r="C1307" t="s">
        <v>2146</v>
      </c>
      <c r="D1307">
        <v>175002</v>
      </c>
      <c r="E1307" t="s">
        <v>197</v>
      </c>
    </row>
    <row r="1308" spans="1:5">
      <c r="A1308" t="s">
        <v>2140</v>
      </c>
      <c r="B1308" t="s">
        <v>896</v>
      </c>
      <c r="C1308" t="s">
        <v>2147</v>
      </c>
      <c r="D1308">
        <v>741443</v>
      </c>
      <c r="E1308" t="s">
        <v>267</v>
      </c>
    </row>
    <row r="1309" spans="1:5">
      <c r="A1309" t="s">
        <v>2148</v>
      </c>
      <c r="B1309" t="s">
        <v>896</v>
      </c>
      <c r="C1309" t="s">
        <v>2149</v>
      </c>
      <c r="D1309">
        <v>686972</v>
      </c>
      <c r="E1309" t="s">
        <v>417</v>
      </c>
    </row>
    <row r="1310" spans="1:5">
      <c r="A1310" t="s">
        <v>2148</v>
      </c>
      <c r="B1310" t="s">
        <v>896</v>
      </c>
      <c r="C1310" t="s">
        <v>2150</v>
      </c>
      <c r="D1310">
        <v>686974</v>
      </c>
      <c r="E1310" t="s">
        <v>712</v>
      </c>
    </row>
    <row r="1311" spans="1:5">
      <c r="A1311" t="s">
        <v>2148</v>
      </c>
      <c r="B1311" t="s">
        <v>896</v>
      </c>
      <c r="C1311" t="s">
        <v>2151</v>
      </c>
      <c r="D1311">
        <v>735827</v>
      </c>
      <c r="E1311" t="s">
        <v>128</v>
      </c>
    </row>
    <row r="1312" spans="1:5">
      <c r="A1312" t="s">
        <v>2148</v>
      </c>
      <c r="B1312" t="s">
        <v>896</v>
      </c>
      <c r="C1312" t="s">
        <v>2152</v>
      </c>
      <c r="D1312">
        <v>277668</v>
      </c>
      <c r="E1312" t="s">
        <v>656</v>
      </c>
    </row>
    <row r="1313" spans="1:5">
      <c r="A1313" t="s">
        <v>2148</v>
      </c>
      <c r="B1313" t="s">
        <v>896</v>
      </c>
      <c r="C1313" t="s">
        <v>2153</v>
      </c>
      <c r="D1313">
        <v>277668</v>
      </c>
      <c r="E1313" t="s">
        <v>656</v>
      </c>
    </row>
    <row r="1314" spans="1:5">
      <c r="A1314" t="s">
        <v>2148</v>
      </c>
      <c r="B1314" t="s">
        <v>896</v>
      </c>
      <c r="C1314" t="s">
        <v>2154</v>
      </c>
      <c r="D1314">
        <v>871845</v>
      </c>
      <c r="E1314" t="s">
        <v>19</v>
      </c>
    </row>
    <row r="1315" spans="1:5">
      <c r="A1315" t="s">
        <v>2148</v>
      </c>
      <c r="B1315" t="s">
        <v>896</v>
      </c>
      <c r="C1315" t="s">
        <v>2155</v>
      </c>
      <c r="D1315">
        <v>871845</v>
      </c>
      <c r="E1315" t="s">
        <v>19</v>
      </c>
    </row>
    <row r="1316" spans="1:5">
      <c r="A1316" t="s">
        <v>2148</v>
      </c>
      <c r="B1316" t="s">
        <v>896</v>
      </c>
      <c r="C1316" t="s">
        <v>2156</v>
      </c>
      <c r="D1316">
        <v>735827</v>
      </c>
      <c r="E1316" t="s">
        <v>128</v>
      </c>
    </row>
    <row r="1317" spans="1:5">
      <c r="A1317" t="s">
        <v>2148</v>
      </c>
      <c r="B1317" t="s">
        <v>896</v>
      </c>
      <c r="C1317" t="s">
        <v>2157</v>
      </c>
      <c r="D1317">
        <v>716693</v>
      </c>
      <c r="E1317" t="s">
        <v>551</v>
      </c>
    </row>
    <row r="1318" spans="1:5">
      <c r="A1318" t="s">
        <v>2148</v>
      </c>
      <c r="B1318" t="s">
        <v>896</v>
      </c>
      <c r="C1318" t="s">
        <v>2158</v>
      </c>
      <c r="D1318">
        <v>735827</v>
      </c>
      <c r="E1318" t="s">
        <v>128</v>
      </c>
    </row>
    <row r="1319" spans="1:5">
      <c r="A1319" t="s">
        <v>2148</v>
      </c>
      <c r="B1319" t="s">
        <v>896</v>
      </c>
      <c r="C1319" t="s">
        <v>2159</v>
      </c>
      <c r="D1319">
        <v>686972</v>
      </c>
      <c r="E1319" t="s">
        <v>417</v>
      </c>
    </row>
    <row r="1320" spans="1:5">
      <c r="A1320" t="s">
        <v>2148</v>
      </c>
      <c r="B1320" t="s">
        <v>896</v>
      </c>
      <c r="C1320" t="s">
        <v>2160</v>
      </c>
      <c r="D1320">
        <v>686974</v>
      </c>
      <c r="E1320" t="s">
        <v>712</v>
      </c>
    </row>
    <row r="1321" spans="1:5">
      <c r="A1321" t="s">
        <v>2161</v>
      </c>
      <c r="B1321" t="s">
        <v>896</v>
      </c>
      <c r="C1321" t="s">
        <v>2162</v>
      </c>
      <c r="D1321">
        <v>789902</v>
      </c>
      <c r="E1321" t="s">
        <v>485</v>
      </c>
    </row>
    <row r="1322" spans="1:5">
      <c r="A1322" t="s">
        <v>2161</v>
      </c>
      <c r="B1322" t="s">
        <v>896</v>
      </c>
      <c r="C1322" t="s">
        <v>2163</v>
      </c>
      <c r="D1322">
        <v>803118</v>
      </c>
      <c r="E1322" t="s">
        <v>590</v>
      </c>
    </row>
    <row r="1323" spans="1:5">
      <c r="A1323" t="s">
        <v>2161</v>
      </c>
      <c r="B1323" t="s">
        <v>896</v>
      </c>
      <c r="C1323" t="s">
        <v>2164</v>
      </c>
      <c r="D1323">
        <v>11467</v>
      </c>
      <c r="E1323" t="s">
        <v>756</v>
      </c>
    </row>
    <row r="1324" spans="1:5">
      <c r="A1324" t="s">
        <v>2161</v>
      </c>
      <c r="B1324" t="s">
        <v>896</v>
      </c>
      <c r="C1324" t="s">
        <v>2165</v>
      </c>
      <c r="D1324">
        <v>803535</v>
      </c>
      <c r="E1324" t="s">
        <v>729</v>
      </c>
    </row>
    <row r="1325" spans="1:5">
      <c r="A1325" t="s">
        <v>2161</v>
      </c>
      <c r="B1325" t="s">
        <v>896</v>
      </c>
      <c r="C1325" t="s">
        <v>2166</v>
      </c>
      <c r="D1325">
        <v>751054</v>
      </c>
      <c r="E1325" t="s">
        <v>115</v>
      </c>
    </row>
    <row r="1326" spans="1:5">
      <c r="A1326" t="s">
        <v>2161</v>
      </c>
      <c r="B1326" t="s">
        <v>896</v>
      </c>
      <c r="C1326" t="s">
        <v>2167</v>
      </c>
      <c r="D1326">
        <v>774526</v>
      </c>
      <c r="E1326" t="s">
        <v>772</v>
      </c>
    </row>
    <row r="1327" spans="1:5">
      <c r="A1327" t="s">
        <v>2161</v>
      </c>
      <c r="B1327" t="s">
        <v>896</v>
      </c>
      <c r="C1327" t="s">
        <v>2168</v>
      </c>
      <c r="D1327">
        <v>868469</v>
      </c>
      <c r="E1327" t="s">
        <v>1562</v>
      </c>
    </row>
    <row r="1328" spans="1:5">
      <c r="A1328" t="s">
        <v>2161</v>
      </c>
      <c r="B1328" t="s">
        <v>896</v>
      </c>
      <c r="C1328" t="s">
        <v>2169</v>
      </c>
      <c r="D1328">
        <v>476617</v>
      </c>
      <c r="E1328" t="s">
        <v>493</v>
      </c>
    </row>
    <row r="1329" spans="1:5">
      <c r="A1329" t="s">
        <v>2161</v>
      </c>
      <c r="B1329" t="s">
        <v>896</v>
      </c>
      <c r="C1329" t="s">
        <v>2170</v>
      </c>
      <c r="D1329">
        <v>583731</v>
      </c>
      <c r="E1329" t="s">
        <v>740</v>
      </c>
    </row>
    <row r="1330" spans="1:5">
      <c r="A1330" t="s">
        <v>2161</v>
      </c>
      <c r="B1330" t="s">
        <v>896</v>
      </c>
      <c r="C1330" t="s">
        <v>2171</v>
      </c>
      <c r="D1330">
        <v>803118</v>
      </c>
      <c r="E1330" t="s">
        <v>590</v>
      </c>
    </row>
    <row r="1331" spans="1:5">
      <c r="A1331" t="s">
        <v>2161</v>
      </c>
      <c r="B1331" t="s">
        <v>896</v>
      </c>
      <c r="C1331" t="s">
        <v>2172</v>
      </c>
      <c r="D1331">
        <v>583731</v>
      </c>
      <c r="E1331" t="s">
        <v>740</v>
      </c>
    </row>
    <row r="1332" spans="1:5">
      <c r="A1332" t="s">
        <v>2161</v>
      </c>
      <c r="B1332" t="s">
        <v>896</v>
      </c>
      <c r="C1332" t="s">
        <v>2173</v>
      </c>
      <c r="D1332">
        <v>803118</v>
      </c>
      <c r="E1332" t="s">
        <v>590</v>
      </c>
    </row>
    <row r="1333" spans="1:5">
      <c r="A1333" t="s">
        <v>2161</v>
      </c>
      <c r="B1333" t="s">
        <v>896</v>
      </c>
      <c r="C1333" t="s">
        <v>2174</v>
      </c>
      <c r="D1333">
        <v>761889</v>
      </c>
      <c r="E1333" t="s">
        <v>381</v>
      </c>
    </row>
    <row r="1334" spans="1:5">
      <c r="A1334" t="s">
        <v>2161</v>
      </c>
      <c r="B1334" t="s">
        <v>896</v>
      </c>
      <c r="C1334" t="s">
        <v>2175</v>
      </c>
      <c r="D1334">
        <v>660626</v>
      </c>
      <c r="E1334" t="s">
        <v>495</v>
      </c>
    </row>
    <row r="1335" spans="1:5">
      <c r="A1335" t="s">
        <v>2161</v>
      </c>
      <c r="B1335" t="s">
        <v>896</v>
      </c>
      <c r="C1335" t="s">
        <v>2176</v>
      </c>
      <c r="D1335">
        <v>774526</v>
      </c>
      <c r="E1335" t="s">
        <v>772</v>
      </c>
    </row>
    <row r="1336" spans="1:5">
      <c r="A1336" t="s">
        <v>2161</v>
      </c>
      <c r="B1336" t="s">
        <v>896</v>
      </c>
      <c r="C1336" t="s">
        <v>2177</v>
      </c>
      <c r="D1336">
        <v>803118</v>
      </c>
      <c r="E1336" t="s">
        <v>590</v>
      </c>
    </row>
    <row r="1337" spans="1:5">
      <c r="A1337" t="s">
        <v>2161</v>
      </c>
      <c r="B1337" t="s">
        <v>896</v>
      </c>
      <c r="C1337" t="s">
        <v>2178</v>
      </c>
      <c r="D1337">
        <v>829723</v>
      </c>
      <c r="E1337" t="s">
        <v>735</v>
      </c>
    </row>
    <row r="1338" spans="1:5">
      <c r="A1338" t="s">
        <v>2161</v>
      </c>
      <c r="B1338" t="s">
        <v>896</v>
      </c>
      <c r="C1338" t="s">
        <v>2179</v>
      </c>
      <c r="D1338">
        <v>761889</v>
      </c>
      <c r="E1338" t="s">
        <v>381</v>
      </c>
    </row>
    <row r="1339" spans="1:5">
      <c r="A1339" t="s">
        <v>2161</v>
      </c>
      <c r="B1339" t="s">
        <v>896</v>
      </c>
      <c r="C1339" t="s">
        <v>2180</v>
      </c>
      <c r="D1339">
        <v>831512</v>
      </c>
      <c r="E1339" t="s">
        <v>81</v>
      </c>
    </row>
    <row r="1340" spans="1:5">
      <c r="A1340" t="s">
        <v>2181</v>
      </c>
      <c r="B1340" t="s">
        <v>896</v>
      </c>
      <c r="C1340" t="s">
        <v>2182</v>
      </c>
      <c r="D1340">
        <v>597434</v>
      </c>
      <c r="E1340" t="s">
        <v>47</v>
      </c>
    </row>
    <row r="1341" spans="1:5">
      <c r="A1341" t="s">
        <v>2181</v>
      </c>
      <c r="B1341" t="s">
        <v>896</v>
      </c>
      <c r="C1341" t="s">
        <v>2183</v>
      </c>
      <c r="D1341">
        <v>593512</v>
      </c>
      <c r="E1341" t="s">
        <v>120</v>
      </c>
    </row>
    <row r="1342" spans="1:5">
      <c r="A1342" t="s">
        <v>2181</v>
      </c>
      <c r="B1342" t="s">
        <v>896</v>
      </c>
      <c r="C1342" t="s">
        <v>2184</v>
      </c>
      <c r="D1342">
        <v>948789</v>
      </c>
      <c r="E1342" t="s">
        <v>212</v>
      </c>
    </row>
    <row r="1343" spans="1:5">
      <c r="A1343" t="s">
        <v>2181</v>
      </c>
      <c r="B1343" t="s">
        <v>896</v>
      </c>
      <c r="C1343" t="s">
        <v>2185</v>
      </c>
      <c r="D1343">
        <v>854317</v>
      </c>
      <c r="E1343" t="s">
        <v>734</v>
      </c>
    </row>
    <row r="1344" spans="1:5">
      <c r="A1344" t="s">
        <v>2181</v>
      </c>
      <c r="B1344" t="s">
        <v>896</v>
      </c>
      <c r="C1344" t="s">
        <v>2186</v>
      </c>
      <c r="D1344">
        <v>486886</v>
      </c>
      <c r="E1344" t="s">
        <v>29</v>
      </c>
    </row>
    <row r="1345" spans="1:5">
      <c r="A1345" t="s">
        <v>2181</v>
      </c>
      <c r="B1345" t="s">
        <v>896</v>
      </c>
      <c r="C1345" t="s">
        <v>2187</v>
      </c>
      <c r="D1345">
        <v>486886</v>
      </c>
      <c r="E1345" t="s">
        <v>29</v>
      </c>
    </row>
    <row r="1346" spans="1:5">
      <c r="A1346" t="s">
        <v>2181</v>
      </c>
      <c r="B1346" t="s">
        <v>896</v>
      </c>
      <c r="C1346" t="s">
        <v>2188</v>
      </c>
      <c r="D1346">
        <v>597434</v>
      </c>
      <c r="E1346" t="s">
        <v>47</v>
      </c>
    </row>
    <row r="1347" spans="1:5">
      <c r="A1347" t="s">
        <v>2181</v>
      </c>
      <c r="B1347" t="s">
        <v>896</v>
      </c>
      <c r="C1347" t="s">
        <v>2189</v>
      </c>
      <c r="D1347">
        <v>809076</v>
      </c>
      <c r="E1347" t="s">
        <v>813</v>
      </c>
    </row>
    <row r="1348" spans="1:5">
      <c r="A1348" t="s">
        <v>2181</v>
      </c>
      <c r="B1348" t="s">
        <v>896</v>
      </c>
      <c r="C1348" t="s">
        <v>2190</v>
      </c>
      <c r="D1348">
        <v>366558</v>
      </c>
      <c r="E1348" t="s">
        <v>502</v>
      </c>
    </row>
    <row r="1349" spans="1:5">
      <c r="A1349" t="s">
        <v>2181</v>
      </c>
      <c r="B1349" t="s">
        <v>896</v>
      </c>
      <c r="C1349" t="s">
        <v>2191</v>
      </c>
      <c r="D1349">
        <v>841219</v>
      </c>
      <c r="E1349" t="s">
        <v>877</v>
      </c>
    </row>
    <row r="1350" spans="1:5">
      <c r="A1350" t="s">
        <v>2181</v>
      </c>
      <c r="B1350" t="s">
        <v>896</v>
      </c>
      <c r="C1350" t="s">
        <v>2192</v>
      </c>
      <c r="D1350">
        <v>854317</v>
      </c>
      <c r="E1350" t="s">
        <v>734</v>
      </c>
    </row>
    <row r="1351" spans="1:5">
      <c r="A1351" t="s">
        <v>2181</v>
      </c>
      <c r="B1351" t="s">
        <v>896</v>
      </c>
      <c r="C1351" t="s">
        <v>2193</v>
      </c>
      <c r="D1351">
        <v>891376</v>
      </c>
      <c r="E1351" t="s">
        <v>770</v>
      </c>
    </row>
    <row r="1352" spans="1:5">
      <c r="A1352" t="s">
        <v>2181</v>
      </c>
      <c r="B1352" t="s">
        <v>896</v>
      </c>
      <c r="C1352" t="s">
        <v>2194</v>
      </c>
      <c r="D1352">
        <v>597434</v>
      </c>
      <c r="E1352" t="s">
        <v>47</v>
      </c>
    </row>
    <row r="1353" spans="1:5">
      <c r="A1353" t="s">
        <v>2181</v>
      </c>
      <c r="B1353" t="s">
        <v>896</v>
      </c>
      <c r="C1353" t="s">
        <v>2195</v>
      </c>
      <c r="D1353">
        <v>809076</v>
      </c>
      <c r="E1353" t="s">
        <v>813</v>
      </c>
    </row>
    <row r="1354" spans="1:5">
      <c r="A1354" t="s">
        <v>2181</v>
      </c>
      <c r="B1354" t="s">
        <v>896</v>
      </c>
      <c r="C1354" t="s">
        <v>2196</v>
      </c>
      <c r="D1354">
        <v>948789</v>
      </c>
      <c r="E1354" t="s">
        <v>212</v>
      </c>
    </row>
    <row r="1355" spans="1:5">
      <c r="A1355" t="s">
        <v>2181</v>
      </c>
      <c r="B1355" t="s">
        <v>896</v>
      </c>
      <c r="C1355" t="s">
        <v>2197</v>
      </c>
      <c r="D1355">
        <v>841219</v>
      </c>
      <c r="E1355" t="s">
        <v>877</v>
      </c>
    </row>
    <row r="1356" spans="1:5">
      <c r="A1356" t="s">
        <v>2181</v>
      </c>
      <c r="B1356" t="s">
        <v>896</v>
      </c>
      <c r="C1356" t="s">
        <v>2198</v>
      </c>
      <c r="D1356">
        <v>943909</v>
      </c>
      <c r="E1356" t="s">
        <v>674</v>
      </c>
    </row>
    <row r="1357" spans="1:5">
      <c r="A1357" t="s">
        <v>2181</v>
      </c>
      <c r="B1357" t="s">
        <v>896</v>
      </c>
      <c r="C1357" t="s">
        <v>2199</v>
      </c>
      <c r="D1357">
        <v>859332</v>
      </c>
      <c r="E1357" t="s">
        <v>271</v>
      </c>
    </row>
    <row r="1358" spans="1:5">
      <c r="A1358" t="s">
        <v>2181</v>
      </c>
      <c r="B1358" t="s">
        <v>896</v>
      </c>
      <c r="C1358" t="s">
        <v>2200</v>
      </c>
      <c r="D1358">
        <v>755301</v>
      </c>
      <c r="E1358" t="s">
        <v>192</v>
      </c>
    </row>
    <row r="1359" spans="1:5">
      <c r="A1359" t="s">
        <v>2181</v>
      </c>
      <c r="B1359" t="s">
        <v>896</v>
      </c>
      <c r="C1359" t="s">
        <v>2201</v>
      </c>
      <c r="D1359">
        <v>593512</v>
      </c>
      <c r="E1359" t="s">
        <v>120</v>
      </c>
    </row>
    <row r="1360" spans="1:5">
      <c r="A1360" t="s">
        <v>2181</v>
      </c>
      <c r="B1360" t="s">
        <v>896</v>
      </c>
      <c r="C1360" t="s">
        <v>2202</v>
      </c>
      <c r="D1360">
        <v>441735</v>
      </c>
      <c r="E1360" t="s">
        <v>496</v>
      </c>
    </row>
    <row r="1361" spans="1:5">
      <c r="A1361" t="s">
        <v>2181</v>
      </c>
      <c r="B1361" t="s">
        <v>896</v>
      </c>
      <c r="C1361" t="s">
        <v>2203</v>
      </c>
      <c r="D1361">
        <v>348165</v>
      </c>
      <c r="E1361" t="s">
        <v>35</v>
      </c>
    </row>
    <row r="1362" spans="1:5">
      <c r="A1362" t="s">
        <v>2181</v>
      </c>
      <c r="B1362" t="s">
        <v>896</v>
      </c>
      <c r="C1362" t="s">
        <v>2204</v>
      </c>
      <c r="D1362">
        <v>943909</v>
      </c>
      <c r="E1362" t="s">
        <v>674</v>
      </c>
    </row>
    <row r="1363" spans="1:5">
      <c r="A1363" t="s">
        <v>2181</v>
      </c>
      <c r="B1363" t="s">
        <v>896</v>
      </c>
      <c r="C1363" t="s">
        <v>2205</v>
      </c>
      <c r="D1363">
        <v>854317</v>
      </c>
      <c r="E1363" t="s">
        <v>734</v>
      </c>
    </row>
    <row r="1364" spans="1:5">
      <c r="A1364" t="s">
        <v>2206</v>
      </c>
      <c r="B1364" t="s">
        <v>896</v>
      </c>
      <c r="C1364" t="s">
        <v>2207</v>
      </c>
      <c r="D1364">
        <v>657156</v>
      </c>
      <c r="E1364" t="s">
        <v>305</v>
      </c>
    </row>
    <row r="1365" spans="1:5">
      <c r="A1365" t="s">
        <v>2206</v>
      </c>
      <c r="B1365" t="s">
        <v>896</v>
      </c>
      <c r="C1365" t="s">
        <v>2208</v>
      </c>
      <c r="D1365">
        <v>948789</v>
      </c>
      <c r="E1365" t="s">
        <v>212</v>
      </c>
    </row>
    <row r="1366" spans="1:5">
      <c r="A1366" t="s">
        <v>2206</v>
      </c>
      <c r="B1366" t="s">
        <v>896</v>
      </c>
      <c r="C1366" t="s">
        <v>2209</v>
      </c>
      <c r="D1366">
        <v>618122</v>
      </c>
      <c r="E1366" t="s">
        <v>783</v>
      </c>
    </row>
    <row r="1367" spans="1:5">
      <c r="A1367" t="s">
        <v>2206</v>
      </c>
      <c r="B1367" t="s">
        <v>896</v>
      </c>
      <c r="C1367" t="s">
        <v>2210</v>
      </c>
      <c r="D1367">
        <v>111631</v>
      </c>
      <c r="E1367" t="s">
        <v>83</v>
      </c>
    </row>
    <row r="1368" spans="1:5">
      <c r="A1368" t="s">
        <v>2206</v>
      </c>
      <c r="B1368" t="s">
        <v>896</v>
      </c>
      <c r="C1368" t="s">
        <v>2211</v>
      </c>
      <c r="D1368">
        <v>572589</v>
      </c>
      <c r="E1368" t="s">
        <v>302</v>
      </c>
    </row>
    <row r="1369" spans="1:5">
      <c r="A1369" t="s">
        <v>2206</v>
      </c>
      <c r="B1369" t="s">
        <v>896</v>
      </c>
      <c r="C1369" t="s">
        <v>2110</v>
      </c>
      <c r="D1369">
        <v>328548</v>
      </c>
      <c r="E1369" t="s">
        <v>414</v>
      </c>
    </row>
    <row r="1370" spans="1:5">
      <c r="A1370" t="s">
        <v>2206</v>
      </c>
      <c r="B1370" t="s">
        <v>896</v>
      </c>
      <c r="C1370" t="s">
        <v>2212</v>
      </c>
      <c r="D1370">
        <v>987543</v>
      </c>
      <c r="E1370" t="s">
        <v>223</v>
      </c>
    </row>
    <row r="1371" spans="1:5">
      <c r="A1371" t="s">
        <v>2206</v>
      </c>
      <c r="B1371" t="s">
        <v>896</v>
      </c>
      <c r="C1371" t="s">
        <v>2213</v>
      </c>
      <c r="D1371">
        <v>948789</v>
      </c>
      <c r="E1371" t="s">
        <v>212</v>
      </c>
    </row>
    <row r="1372" spans="1:5">
      <c r="A1372" t="s">
        <v>2206</v>
      </c>
      <c r="B1372" t="s">
        <v>896</v>
      </c>
      <c r="C1372" t="s">
        <v>2214</v>
      </c>
      <c r="D1372">
        <v>571329</v>
      </c>
      <c r="E1372" t="s">
        <v>319</v>
      </c>
    </row>
    <row r="1373" spans="1:5">
      <c r="A1373" t="s">
        <v>2206</v>
      </c>
      <c r="B1373" t="s">
        <v>896</v>
      </c>
      <c r="C1373" t="s">
        <v>2215</v>
      </c>
      <c r="D1373">
        <v>635374</v>
      </c>
      <c r="E1373" t="s">
        <v>450</v>
      </c>
    </row>
    <row r="1374" spans="1:5">
      <c r="A1374" t="s">
        <v>2206</v>
      </c>
      <c r="B1374" t="s">
        <v>896</v>
      </c>
      <c r="C1374" t="s">
        <v>2216</v>
      </c>
      <c r="D1374">
        <v>328548</v>
      </c>
      <c r="E1374" t="s">
        <v>414</v>
      </c>
    </row>
    <row r="1375" spans="1:5">
      <c r="A1375" t="s">
        <v>2206</v>
      </c>
      <c r="B1375" t="s">
        <v>896</v>
      </c>
      <c r="C1375" t="s">
        <v>2114</v>
      </c>
      <c r="D1375">
        <v>261486</v>
      </c>
      <c r="E1375" t="s">
        <v>357</v>
      </c>
    </row>
    <row r="1376" spans="1:5">
      <c r="A1376" t="s">
        <v>2206</v>
      </c>
      <c r="B1376" t="s">
        <v>896</v>
      </c>
      <c r="C1376" t="s">
        <v>2217</v>
      </c>
      <c r="D1376">
        <v>635374</v>
      </c>
      <c r="E1376" t="s">
        <v>450</v>
      </c>
    </row>
    <row r="1377" spans="1:5">
      <c r="A1377" t="s">
        <v>2206</v>
      </c>
      <c r="B1377" t="s">
        <v>896</v>
      </c>
      <c r="C1377" t="s">
        <v>2218</v>
      </c>
      <c r="D1377">
        <v>948789</v>
      </c>
      <c r="E1377" t="s">
        <v>212</v>
      </c>
    </row>
    <row r="1378" spans="1:5">
      <c r="A1378" t="s">
        <v>2206</v>
      </c>
      <c r="B1378" t="s">
        <v>896</v>
      </c>
      <c r="C1378" t="s">
        <v>2219</v>
      </c>
      <c r="D1378">
        <v>635374</v>
      </c>
      <c r="E1378" t="s">
        <v>450</v>
      </c>
    </row>
    <row r="1379" spans="1:5">
      <c r="A1379" t="s">
        <v>2206</v>
      </c>
      <c r="B1379" t="s">
        <v>896</v>
      </c>
      <c r="C1379" t="s">
        <v>2220</v>
      </c>
      <c r="D1379">
        <v>584071</v>
      </c>
      <c r="E1379" t="s">
        <v>138</v>
      </c>
    </row>
    <row r="1380" spans="1:5">
      <c r="A1380" t="s">
        <v>2206</v>
      </c>
      <c r="B1380" t="s">
        <v>896</v>
      </c>
      <c r="C1380" t="s">
        <v>2221</v>
      </c>
      <c r="D1380">
        <v>495533</v>
      </c>
      <c r="E1380" t="s">
        <v>147</v>
      </c>
    </row>
    <row r="1381" spans="1:5">
      <c r="A1381" t="s">
        <v>2206</v>
      </c>
      <c r="B1381" t="s">
        <v>896</v>
      </c>
      <c r="C1381" t="s">
        <v>2118</v>
      </c>
      <c r="D1381">
        <v>948789</v>
      </c>
      <c r="E1381" t="s">
        <v>212</v>
      </c>
    </row>
    <row r="1382" spans="1:5">
      <c r="A1382" t="s">
        <v>2206</v>
      </c>
      <c r="B1382" t="s">
        <v>896</v>
      </c>
      <c r="C1382" t="s">
        <v>2222</v>
      </c>
      <c r="D1382">
        <v>987543</v>
      </c>
      <c r="E1382" t="s">
        <v>223</v>
      </c>
    </row>
    <row r="1383" spans="1:5">
      <c r="A1383" t="s">
        <v>2206</v>
      </c>
      <c r="B1383" t="s">
        <v>896</v>
      </c>
      <c r="C1383" t="s">
        <v>2223</v>
      </c>
      <c r="D1383">
        <v>681494</v>
      </c>
      <c r="E1383" t="s">
        <v>535</v>
      </c>
    </row>
    <row r="1384" spans="1:5">
      <c r="A1384" t="s">
        <v>2206</v>
      </c>
      <c r="B1384" t="s">
        <v>896</v>
      </c>
      <c r="C1384" t="s">
        <v>2224</v>
      </c>
      <c r="D1384">
        <v>832249</v>
      </c>
      <c r="E1384" t="s">
        <v>85</v>
      </c>
    </row>
    <row r="1385" spans="1:5">
      <c r="A1385" t="s">
        <v>2206</v>
      </c>
      <c r="B1385" t="s">
        <v>896</v>
      </c>
      <c r="C1385" t="s">
        <v>2225</v>
      </c>
      <c r="D1385">
        <v>584071</v>
      </c>
      <c r="E1385" t="s">
        <v>138</v>
      </c>
    </row>
    <row r="1386" spans="1:5">
      <c r="A1386" t="s">
        <v>2206</v>
      </c>
      <c r="B1386" t="s">
        <v>896</v>
      </c>
      <c r="C1386" t="s">
        <v>2226</v>
      </c>
      <c r="D1386">
        <v>495533</v>
      </c>
      <c r="E1386" t="s">
        <v>147</v>
      </c>
    </row>
    <row r="1387" spans="1:5">
      <c r="A1387" t="s">
        <v>2206</v>
      </c>
      <c r="B1387" t="s">
        <v>896</v>
      </c>
      <c r="C1387" t="s">
        <v>2122</v>
      </c>
      <c r="D1387">
        <v>948789</v>
      </c>
      <c r="E1387" t="s">
        <v>212</v>
      </c>
    </row>
    <row r="1388" spans="1:5">
      <c r="A1388" t="s">
        <v>2227</v>
      </c>
      <c r="B1388" t="s">
        <v>896</v>
      </c>
      <c r="C1388" t="s">
        <v>1117</v>
      </c>
      <c r="D1388">
        <v>967743</v>
      </c>
      <c r="E1388" t="s">
        <v>87</v>
      </c>
    </row>
    <row r="1389" spans="1:5">
      <c r="A1389" t="s">
        <v>2227</v>
      </c>
      <c r="B1389" t="s">
        <v>896</v>
      </c>
      <c r="C1389" t="s">
        <v>1117</v>
      </c>
      <c r="D1389">
        <v>967569</v>
      </c>
      <c r="E1389" t="s">
        <v>617</v>
      </c>
    </row>
    <row r="1390" spans="1:5">
      <c r="A1390" t="s">
        <v>2227</v>
      </c>
      <c r="B1390" t="s">
        <v>896</v>
      </c>
      <c r="C1390" t="s">
        <v>1118</v>
      </c>
      <c r="D1390">
        <v>314692</v>
      </c>
      <c r="E1390" t="s">
        <v>516</v>
      </c>
    </row>
    <row r="1391" spans="1:5">
      <c r="A1391" t="s">
        <v>2227</v>
      </c>
      <c r="B1391" t="s">
        <v>896</v>
      </c>
      <c r="C1391" t="s">
        <v>1119</v>
      </c>
      <c r="D1391">
        <v>970202</v>
      </c>
      <c r="E1391" t="s">
        <v>836</v>
      </c>
    </row>
    <row r="1392" spans="1:5">
      <c r="A1392" t="s">
        <v>2227</v>
      </c>
      <c r="B1392" t="s">
        <v>896</v>
      </c>
      <c r="C1392" t="s">
        <v>1120</v>
      </c>
      <c r="D1392">
        <v>821988</v>
      </c>
      <c r="E1392" t="s">
        <v>111</v>
      </c>
    </row>
    <row r="1393" spans="1:5">
      <c r="A1393" t="s">
        <v>2227</v>
      </c>
      <c r="B1393" t="s">
        <v>896</v>
      </c>
      <c r="C1393" t="s">
        <v>1121</v>
      </c>
      <c r="D1393">
        <v>314692</v>
      </c>
      <c r="E1393" t="s">
        <v>516</v>
      </c>
    </row>
    <row r="1394" spans="1:5">
      <c r="A1394" t="s">
        <v>2227</v>
      </c>
      <c r="B1394" t="s">
        <v>896</v>
      </c>
      <c r="C1394" t="s">
        <v>1122</v>
      </c>
      <c r="D1394">
        <v>910139</v>
      </c>
      <c r="E1394" t="s">
        <v>215</v>
      </c>
    </row>
    <row r="1395" spans="1:5">
      <c r="A1395" t="s">
        <v>2227</v>
      </c>
      <c r="B1395" t="s">
        <v>896</v>
      </c>
      <c r="C1395" t="s">
        <v>1124</v>
      </c>
      <c r="D1395">
        <v>968584</v>
      </c>
      <c r="E1395" t="s">
        <v>143</v>
      </c>
    </row>
    <row r="1396" spans="1:5">
      <c r="A1396" t="s">
        <v>2227</v>
      </c>
      <c r="B1396" t="s">
        <v>896</v>
      </c>
      <c r="C1396" t="s">
        <v>1125</v>
      </c>
      <c r="D1396">
        <v>343330</v>
      </c>
      <c r="E1396" t="s">
        <v>117</v>
      </c>
    </row>
    <row r="1397" spans="1:5">
      <c r="A1397" t="s">
        <v>2227</v>
      </c>
      <c r="B1397" t="s">
        <v>896</v>
      </c>
      <c r="C1397" t="s">
        <v>1126</v>
      </c>
      <c r="D1397">
        <v>366558</v>
      </c>
      <c r="E1397" t="s">
        <v>502</v>
      </c>
    </row>
    <row r="1398" spans="1:5">
      <c r="A1398" t="s">
        <v>2227</v>
      </c>
      <c r="B1398" t="s">
        <v>896</v>
      </c>
      <c r="C1398" t="s">
        <v>1127</v>
      </c>
      <c r="D1398">
        <v>139259</v>
      </c>
      <c r="E1398" t="s">
        <v>488</v>
      </c>
    </row>
    <row r="1399" spans="1:5">
      <c r="A1399" t="s">
        <v>2227</v>
      </c>
      <c r="B1399" t="s">
        <v>896</v>
      </c>
      <c r="C1399" t="s">
        <v>1128</v>
      </c>
      <c r="D1399">
        <v>314692</v>
      </c>
      <c r="E1399" t="s">
        <v>516</v>
      </c>
    </row>
    <row r="1400" spans="1:5">
      <c r="A1400" t="s">
        <v>2227</v>
      </c>
      <c r="B1400" t="s">
        <v>896</v>
      </c>
      <c r="C1400" t="s">
        <v>1129</v>
      </c>
      <c r="D1400">
        <v>959536</v>
      </c>
      <c r="E1400" t="s">
        <v>796</v>
      </c>
    </row>
    <row r="1401" spans="1:5">
      <c r="A1401" t="s">
        <v>2227</v>
      </c>
      <c r="B1401" t="s">
        <v>896</v>
      </c>
      <c r="C1401" t="s">
        <v>1131</v>
      </c>
      <c r="D1401">
        <v>177147</v>
      </c>
      <c r="E1401" t="s">
        <v>263</v>
      </c>
    </row>
    <row r="1402" spans="1:5">
      <c r="A1402" t="s">
        <v>2227</v>
      </c>
      <c r="B1402" t="s">
        <v>896</v>
      </c>
      <c r="C1402" t="s">
        <v>1132</v>
      </c>
      <c r="D1402">
        <v>661416</v>
      </c>
      <c r="E1402" t="s">
        <v>211</v>
      </c>
    </row>
    <row r="1403" spans="1:5">
      <c r="A1403" t="s">
        <v>2227</v>
      </c>
      <c r="B1403" t="s">
        <v>896</v>
      </c>
      <c r="C1403" t="s">
        <v>1133</v>
      </c>
      <c r="D1403">
        <v>452434</v>
      </c>
      <c r="E1403" t="s">
        <v>554</v>
      </c>
    </row>
    <row r="1404" spans="1:5">
      <c r="A1404" t="s">
        <v>2227</v>
      </c>
      <c r="B1404" t="s">
        <v>896</v>
      </c>
      <c r="C1404" t="s">
        <v>1134</v>
      </c>
      <c r="D1404">
        <v>955121</v>
      </c>
      <c r="E1404" t="s">
        <v>611</v>
      </c>
    </row>
    <row r="1405" spans="1:5">
      <c r="A1405" t="s">
        <v>2227</v>
      </c>
      <c r="B1405" t="s">
        <v>896</v>
      </c>
      <c r="C1405" t="s">
        <v>1135</v>
      </c>
      <c r="D1405">
        <v>314692</v>
      </c>
      <c r="E1405" t="s">
        <v>516</v>
      </c>
    </row>
    <row r="1406" spans="1:5">
      <c r="A1406" t="s">
        <v>2227</v>
      </c>
      <c r="B1406" t="s">
        <v>896</v>
      </c>
      <c r="C1406" t="s">
        <v>1136</v>
      </c>
      <c r="D1406">
        <v>959536</v>
      </c>
      <c r="E1406" t="s">
        <v>796</v>
      </c>
    </row>
    <row r="1407" spans="1:5">
      <c r="A1407" t="s">
        <v>2227</v>
      </c>
      <c r="B1407" t="s">
        <v>896</v>
      </c>
      <c r="C1407" t="s">
        <v>1138</v>
      </c>
      <c r="D1407">
        <v>967743</v>
      </c>
      <c r="E1407" t="s">
        <v>87</v>
      </c>
    </row>
    <row r="1408" spans="1:5">
      <c r="A1408" t="s">
        <v>2227</v>
      </c>
      <c r="B1408" t="s">
        <v>896</v>
      </c>
      <c r="C1408" t="s">
        <v>1138</v>
      </c>
      <c r="D1408">
        <v>967569</v>
      </c>
      <c r="E1408" t="s">
        <v>617</v>
      </c>
    </row>
    <row r="1409" spans="1:5">
      <c r="A1409" t="s">
        <v>2227</v>
      </c>
      <c r="B1409" t="s">
        <v>896</v>
      </c>
      <c r="C1409" t="s">
        <v>1139</v>
      </c>
      <c r="D1409">
        <v>970202</v>
      </c>
      <c r="E1409" t="s">
        <v>836</v>
      </c>
    </row>
    <row r="1410" spans="1:5">
      <c r="A1410" t="s">
        <v>2227</v>
      </c>
      <c r="B1410" t="s">
        <v>896</v>
      </c>
      <c r="C1410" t="s">
        <v>1140</v>
      </c>
      <c r="D1410">
        <v>955121</v>
      </c>
      <c r="E1410" t="s">
        <v>611</v>
      </c>
    </row>
    <row r="1411" spans="1:5">
      <c r="A1411" t="s">
        <v>2227</v>
      </c>
      <c r="B1411" t="s">
        <v>896</v>
      </c>
      <c r="C1411" t="s">
        <v>1141</v>
      </c>
      <c r="D1411">
        <v>720432</v>
      </c>
      <c r="E1411" t="s">
        <v>17</v>
      </c>
    </row>
    <row r="1412" spans="1:5">
      <c r="A1412" t="s">
        <v>2227</v>
      </c>
      <c r="B1412" t="s">
        <v>896</v>
      </c>
      <c r="C1412" t="s">
        <v>1142</v>
      </c>
      <c r="D1412">
        <v>314692</v>
      </c>
      <c r="E1412" t="s">
        <v>516</v>
      </c>
    </row>
    <row r="1413" spans="1:5">
      <c r="A1413" t="s">
        <v>2227</v>
      </c>
      <c r="B1413" t="s">
        <v>896</v>
      </c>
      <c r="C1413" t="s">
        <v>1143</v>
      </c>
      <c r="D1413">
        <v>955121</v>
      </c>
      <c r="E1413" t="s">
        <v>611</v>
      </c>
    </row>
    <row r="1414" spans="1:5">
      <c r="A1414" t="s">
        <v>2228</v>
      </c>
      <c r="B1414" t="s">
        <v>896</v>
      </c>
      <c r="C1414" t="s">
        <v>2168</v>
      </c>
      <c r="D1414">
        <v>638067</v>
      </c>
      <c r="E1414" t="s">
        <v>182</v>
      </c>
    </row>
    <row r="1415" spans="1:5">
      <c r="A1415" t="s">
        <v>2228</v>
      </c>
      <c r="B1415" t="s">
        <v>896</v>
      </c>
      <c r="C1415" t="s">
        <v>2168</v>
      </c>
      <c r="D1415">
        <v>944892</v>
      </c>
      <c r="E1415" t="s">
        <v>948</v>
      </c>
    </row>
    <row r="1416" spans="1:5">
      <c r="A1416" t="s">
        <v>2228</v>
      </c>
      <c r="B1416" t="s">
        <v>896</v>
      </c>
      <c r="C1416" t="s">
        <v>2169</v>
      </c>
      <c r="D1416">
        <v>821407</v>
      </c>
      <c r="E1416" t="s">
        <v>169</v>
      </c>
    </row>
    <row r="1417" spans="1:5">
      <c r="A1417" t="s">
        <v>2228</v>
      </c>
      <c r="B1417" t="s">
        <v>896</v>
      </c>
      <c r="C1417" t="s">
        <v>2170</v>
      </c>
      <c r="D1417">
        <v>845124</v>
      </c>
      <c r="E1417" t="s">
        <v>474</v>
      </c>
    </row>
    <row r="1418" spans="1:5">
      <c r="A1418" t="s">
        <v>2228</v>
      </c>
      <c r="B1418" t="s">
        <v>896</v>
      </c>
      <c r="C1418" t="s">
        <v>2170</v>
      </c>
      <c r="D1418">
        <v>703098</v>
      </c>
      <c r="E1418" t="s">
        <v>16</v>
      </c>
    </row>
    <row r="1419" spans="1:5">
      <c r="A1419" t="s">
        <v>2229</v>
      </c>
      <c r="B1419" t="s">
        <v>896</v>
      </c>
      <c r="C1419" t="s">
        <v>2230</v>
      </c>
      <c r="D1419">
        <v>127590</v>
      </c>
      <c r="E1419" t="s">
        <v>162</v>
      </c>
    </row>
    <row r="1420" spans="1:5">
      <c r="A1420" t="s">
        <v>2229</v>
      </c>
      <c r="B1420" t="s">
        <v>896</v>
      </c>
      <c r="C1420" t="s">
        <v>2231</v>
      </c>
      <c r="D1420">
        <v>821988</v>
      </c>
      <c r="E1420" t="s">
        <v>111</v>
      </c>
    </row>
    <row r="1421" spans="1:5">
      <c r="A1421" t="s">
        <v>2229</v>
      </c>
      <c r="B1421" t="s">
        <v>896</v>
      </c>
      <c r="C1421" t="s">
        <v>2232</v>
      </c>
      <c r="D1421">
        <v>821988</v>
      </c>
      <c r="E1421" t="s">
        <v>111</v>
      </c>
    </row>
    <row r="1422" spans="1:5">
      <c r="A1422" t="s">
        <v>2229</v>
      </c>
      <c r="B1422" t="s">
        <v>896</v>
      </c>
      <c r="C1422" t="s">
        <v>2233</v>
      </c>
      <c r="D1422">
        <v>127590</v>
      </c>
      <c r="E1422" t="s">
        <v>162</v>
      </c>
    </row>
    <row r="1423" spans="1:5">
      <c r="A1423" t="s">
        <v>2229</v>
      </c>
      <c r="B1423" t="s">
        <v>896</v>
      </c>
      <c r="C1423" t="s">
        <v>2234</v>
      </c>
      <c r="D1423">
        <v>816531</v>
      </c>
      <c r="E1423" t="s">
        <v>102</v>
      </c>
    </row>
    <row r="1424" spans="1:5">
      <c r="A1424" t="s">
        <v>2235</v>
      </c>
      <c r="B1424" t="s">
        <v>896</v>
      </c>
      <c r="C1424" t="s">
        <v>2236</v>
      </c>
      <c r="D1424">
        <v>816531</v>
      </c>
      <c r="E1424" t="s">
        <v>102</v>
      </c>
    </row>
    <row r="1425" spans="1:5">
      <c r="A1425" t="s">
        <v>2235</v>
      </c>
      <c r="B1425" t="s">
        <v>896</v>
      </c>
      <c r="C1425" t="s">
        <v>2009</v>
      </c>
      <c r="D1425">
        <v>267168</v>
      </c>
      <c r="E1425" t="s">
        <v>206</v>
      </c>
    </row>
    <row r="1426" spans="1:5">
      <c r="A1426" t="s">
        <v>2235</v>
      </c>
      <c r="B1426" t="s">
        <v>896</v>
      </c>
      <c r="C1426" t="s">
        <v>2009</v>
      </c>
      <c r="D1426">
        <v>620545</v>
      </c>
      <c r="E1426" t="s">
        <v>126</v>
      </c>
    </row>
    <row r="1427" spans="1:5">
      <c r="A1427" t="s">
        <v>2235</v>
      </c>
      <c r="B1427" t="s">
        <v>896</v>
      </c>
      <c r="C1427" t="s">
        <v>2009</v>
      </c>
      <c r="D1427">
        <v>707649</v>
      </c>
      <c r="E1427" t="s">
        <v>746</v>
      </c>
    </row>
    <row r="1428" spans="1:5">
      <c r="A1428" t="s">
        <v>2237</v>
      </c>
      <c r="B1428" t="s">
        <v>896</v>
      </c>
      <c r="C1428" t="s">
        <v>1158</v>
      </c>
      <c r="D1428">
        <v>806909</v>
      </c>
      <c r="E1428" t="s">
        <v>769</v>
      </c>
    </row>
    <row r="1429" spans="1:5">
      <c r="A1429" t="s">
        <v>2237</v>
      </c>
      <c r="B1429" t="s">
        <v>896</v>
      </c>
      <c r="C1429" t="s">
        <v>1117</v>
      </c>
      <c r="D1429">
        <v>648771</v>
      </c>
      <c r="E1429" t="s">
        <v>619</v>
      </c>
    </row>
    <row r="1430" spans="1:5">
      <c r="A1430" t="s">
        <v>2237</v>
      </c>
      <c r="B1430" t="s">
        <v>896</v>
      </c>
      <c r="C1430" t="s">
        <v>1118</v>
      </c>
      <c r="D1430">
        <v>887315</v>
      </c>
      <c r="E1430" t="s">
        <v>725</v>
      </c>
    </row>
    <row r="1431" spans="1:5">
      <c r="A1431" t="s">
        <v>2237</v>
      </c>
      <c r="B1431" t="s">
        <v>896</v>
      </c>
      <c r="C1431" t="s">
        <v>1119</v>
      </c>
      <c r="D1431">
        <v>340877</v>
      </c>
      <c r="E1431" t="s">
        <v>299</v>
      </c>
    </row>
    <row r="1432" spans="1:5">
      <c r="A1432" t="s">
        <v>2237</v>
      </c>
      <c r="B1432" t="s">
        <v>896</v>
      </c>
      <c r="C1432" t="s">
        <v>1120</v>
      </c>
      <c r="D1432">
        <v>803704</v>
      </c>
      <c r="E1432" t="s">
        <v>727</v>
      </c>
    </row>
    <row r="1433" spans="1:5">
      <c r="A1433" t="s">
        <v>2237</v>
      </c>
      <c r="B1433" t="s">
        <v>896</v>
      </c>
      <c r="C1433" t="s">
        <v>1121</v>
      </c>
      <c r="D1433">
        <v>378310</v>
      </c>
      <c r="E1433" t="s">
        <v>506</v>
      </c>
    </row>
    <row r="1434" spans="1:5">
      <c r="A1434" t="s">
        <v>2237</v>
      </c>
      <c r="B1434" t="s">
        <v>896</v>
      </c>
      <c r="C1434" t="s">
        <v>2238</v>
      </c>
      <c r="D1434">
        <v>751054</v>
      </c>
      <c r="E1434" t="s">
        <v>115</v>
      </c>
    </row>
    <row r="1435" spans="1:5">
      <c r="A1435" t="s">
        <v>2237</v>
      </c>
      <c r="B1435" t="s">
        <v>896</v>
      </c>
      <c r="C1435" t="s">
        <v>1165</v>
      </c>
      <c r="D1435">
        <v>648771</v>
      </c>
      <c r="E1435" t="s">
        <v>619</v>
      </c>
    </row>
    <row r="1436" spans="1:5">
      <c r="A1436" t="s">
        <v>2237</v>
      </c>
      <c r="B1436" t="s">
        <v>896</v>
      </c>
      <c r="C1436" t="s">
        <v>1125</v>
      </c>
      <c r="D1436">
        <v>597806</v>
      </c>
      <c r="E1436" t="s">
        <v>23</v>
      </c>
    </row>
    <row r="1437" spans="1:5">
      <c r="A1437" t="s">
        <v>2237</v>
      </c>
      <c r="B1437" t="s">
        <v>896</v>
      </c>
      <c r="C1437" t="s">
        <v>1126</v>
      </c>
      <c r="D1437">
        <v>262000</v>
      </c>
      <c r="E1437" t="s">
        <v>275</v>
      </c>
    </row>
    <row r="1438" spans="1:5">
      <c r="A1438" t="s">
        <v>2237</v>
      </c>
      <c r="B1438" t="s">
        <v>896</v>
      </c>
      <c r="C1438" t="s">
        <v>1127</v>
      </c>
      <c r="D1438">
        <v>949198</v>
      </c>
      <c r="E1438" t="s">
        <v>229</v>
      </c>
    </row>
    <row r="1439" spans="1:5">
      <c r="A1439" t="s">
        <v>2237</v>
      </c>
      <c r="B1439" t="s">
        <v>896</v>
      </c>
      <c r="C1439" t="s">
        <v>1128</v>
      </c>
      <c r="D1439">
        <v>711240</v>
      </c>
      <c r="E1439" t="s">
        <v>150</v>
      </c>
    </row>
    <row r="1440" spans="1:5">
      <c r="A1440" t="s">
        <v>2237</v>
      </c>
      <c r="B1440" t="s">
        <v>896</v>
      </c>
      <c r="C1440" t="s">
        <v>2239</v>
      </c>
      <c r="D1440">
        <v>641872</v>
      </c>
      <c r="E1440" t="s">
        <v>401</v>
      </c>
    </row>
    <row r="1441" spans="1:5">
      <c r="A1441" t="s">
        <v>2237</v>
      </c>
      <c r="B1441" t="s">
        <v>896</v>
      </c>
      <c r="C1441" t="s">
        <v>1172</v>
      </c>
      <c r="D1441">
        <v>792959</v>
      </c>
      <c r="E1441" t="s">
        <v>1454</v>
      </c>
    </row>
    <row r="1442" spans="1:5">
      <c r="A1442" t="s">
        <v>2237</v>
      </c>
      <c r="B1442" t="s">
        <v>896</v>
      </c>
      <c r="C1442" t="s">
        <v>1131</v>
      </c>
      <c r="D1442">
        <v>803704</v>
      </c>
      <c r="E1442" t="s">
        <v>727</v>
      </c>
    </row>
    <row r="1443" spans="1:5">
      <c r="A1443" t="s">
        <v>2237</v>
      </c>
      <c r="B1443" t="s">
        <v>896</v>
      </c>
      <c r="C1443" t="s">
        <v>1132</v>
      </c>
      <c r="D1443">
        <v>617808</v>
      </c>
      <c r="E1443" t="s">
        <v>34</v>
      </c>
    </row>
    <row r="1444" spans="1:5">
      <c r="A1444" t="s">
        <v>2237</v>
      </c>
      <c r="B1444" t="s">
        <v>896</v>
      </c>
      <c r="C1444" t="s">
        <v>1133</v>
      </c>
      <c r="D1444">
        <v>887315</v>
      </c>
      <c r="E1444" t="s">
        <v>725</v>
      </c>
    </row>
    <row r="1445" spans="1:5">
      <c r="A1445" t="s">
        <v>2237</v>
      </c>
      <c r="B1445" t="s">
        <v>896</v>
      </c>
      <c r="C1445" t="s">
        <v>1134</v>
      </c>
      <c r="D1445">
        <v>711240</v>
      </c>
      <c r="E1445" t="s">
        <v>150</v>
      </c>
    </row>
    <row r="1446" spans="1:5">
      <c r="A1446" t="s">
        <v>2237</v>
      </c>
      <c r="B1446" t="s">
        <v>896</v>
      </c>
      <c r="C1446" t="s">
        <v>1135</v>
      </c>
      <c r="D1446">
        <v>216555</v>
      </c>
      <c r="E1446" t="s">
        <v>8</v>
      </c>
    </row>
    <row r="1447" spans="1:5">
      <c r="A1447" t="s">
        <v>2237</v>
      </c>
      <c r="B1447" t="s">
        <v>896</v>
      </c>
      <c r="C1447" t="s">
        <v>1179</v>
      </c>
      <c r="D1447">
        <v>340877</v>
      </c>
      <c r="E1447" t="s">
        <v>299</v>
      </c>
    </row>
    <row r="1448" spans="1:5">
      <c r="A1448" t="s">
        <v>2237</v>
      </c>
      <c r="B1448" t="s">
        <v>896</v>
      </c>
      <c r="C1448" t="s">
        <v>1138</v>
      </c>
      <c r="D1448">
        <v>648771</v>
      </c>
      <c r="E1448" t="s">
        <v>619</v>
      </c>
    </row>
    <row r="1449" spans="1:5">
      <c r="A1449" t="s">
        <v>2237</v>
      </c>
      <c r="B1449" t="s">
        <v>896</v>
      </c>
      <c r="C1449" t="s">
        <v>1139</v>
      </c>
      <c r="D1449">
        <v>320172</v>
      </c>
      <c r="E1449" t="s">
        <v>279</v>
      </c>
    </row>
    <row r="1450" spans="1:5">
      <c r="A1450" t="s">
        <v>2237</v>
      </c>
      <c r="B1450" t="s">
        <v>896</v>
      </c>
      <c r="C1450" t="s">
        <v>1140</v>
      </c>
      <c r="D1450">
        <v>648771</v>
      </c>
      <c r="E1450" t="s">
        <v>619</v>
      </c>
    </row>
    <row r="1451" spans="1:5">
      <c r="A1451" t="s">
        <v>2237</v>
      </c>
      <c r="B1451" t="s">
        <v>896</v>
      </c>
      <c r="C1451" t="s">
        <v>1141</v>
      </c>
      <c r="D1451">
        <v>725703</v>
      </c>
      <c r="E1451" t="s">
        <v>427</v>
      </c>
    </row>
    <row r="1452" spans="1:5">
      <c r="A1452" t="s">
        <v>2237</v>
      </c>
      <c r="B1452" t="s">
        <v>896</v>
      </c>
      <c r="C1452" t="s">
        <v>2240</v>
      </c>
      <c r="D1452">
        <v>568663</v>
      </c>
      <c r="E1452" t="s">
        <v>379</v>
      </c>
    </row>
    <row r="1453" spans="1:5">
      <c r="A1453" t="s">
        <v>2241</v>
      </c>
      <c r="B1453" t="s">
        <v>896</v>
      </c>
      <c r="C1453" t="s">
        <v>1159</v>
      </c>
      <c r="D1453">
        <v>872540</v>
      </c>
      <c r="E1453" t="s">
        <v>733</v>
      </c>
    </row>
    <row r="1454" spans="1:5">
      <c r="A1454" t="s">
        <v>2241</v>
      </c>
      <c r="B1454" t="s">
        <v>896</v>
      </c>
      <c r="C1454" t="s">
        <v>1160</v>
      </c>
      <c r="D1454">
        <v>923674</v>
      </c>
      <c r="E1454" t="s">
        <v>663</v>
      </c>
    </row>
    <row r="1455" spans="1:5">
      <c r="A1455" t="s">
        <v>2241</v>
      </c>
      <c r="B1455" t="s">
        <v>896</v>
      </c>
      <c r="C1455" t="s">
        <v>1161</v>
      </c>
      <c r="D1455">
        <v>664967</v>
      </c>
      <c r="E1455" t="s">
        <v>812</v>
      </c>
    </row>
    <row r="1456" spans="1:5">
      <c r="A1456" t="s">
        <v>2241</v>
      </c>
      <c r="B1456" t="s">
        <v>896</v>
      </c>
      <c r="C1456" t="s">
        <v>1162</v>
      </c>
      <c r="D1456">
        <v>584071</v>
      </c>
      <c r="E1456" t="s">
        <v>138</v>
      </c>
    </row>
    <row r="1457" spans="1:5">
      <c r="A1457" t="s">
        <v>2241</v>
      </c>
      <c r="B1457" t="s">
        <v>896</v>
      </c>
      <c r="C1457" t="s">
        <v>1163</v>
      </c>
      <c r="D1457">
        <v>617808</v>
      </c>
      <c r="E1457" t="s">
        <v>34</v>
      </c>
    </row>
    <row r="1458" spans="1:5">
      <c r="A1458" t="s">
        <v>2241</v>
      </c>
      <c r="B1458" t="s">
        <v>896</v>
      </c>
      <c r="C1458" t="s">
        <v>1164</v>
      </c>
      <c r="D1458">
        <v>968584</v>
      </c>
      <c r="E1458" t="s">
        <v>143</v>
      </c>
    </row>
    <row r="1459" spans="1:5">
      <c r="A1459" t="s">
        <v>2241</v>
      </c>
      <c r="B1459" t="s">
        <v>896</v>
      </c>
      <c r="C1459" t="s">
        <v>1166</v>
      </c>
      <c r="D1459">
        <v>872540</v>
      </c>
      <c r="E1459" t="s">
        <v>733</v>
      </c>
    </row>
    <row r="1460" spans="1:5">
      <c r="A1460" t="s">
        <v>2241</v>
      </c>
      <c r="B1460" t="s">
        <v>896</v>
      </c>
      <c r="C1460" t="s">
        <v>1167</v>
      </c>
      <c r="D1460">
        <v>617808</v>
      </c>
      <c r="E1460" t="s">
        <v>34</v>
      </c>
    </row>
    <row r="1461" spans="1:5">
      <c r="A1461" t="s">
        <v>2241</v>
      </c>
      <c r="B1461" t="s">
        <v>896</v>
      </c>
      <c r="C1461" t="s">
        <v>1168</v>
      </c>
      <c r="D1461">
        <v>664967</v>
      </c>
      <c r="E1461" t="s">
        <v>812</v>
      </c>
    </row>
    <row r="1462" spans="1:5">
      <c r="A1462" t="s">
        <v>2241</v>
      </c>
      <c r="B1462" t="s">
        <v>896</v>
      </c>
      <c r="C1462" t="s">
        <v>1169</v>
      </c>
      <c r="D1462">
        <v>584071</v>
      </c>
      <c r="E1462" t="s">
        <v>138</v>
      </c>
    </row>
    <row r="1463" spans="1:5">
      <c r="A1463" t="s">
        <v>2241</v>
      </c>
      <c r="B1463" t="s">
        <v>896</v>
      </c>
      <c r="C1463" t="s">
        <v>1170</v>
      </c>
      <c r="D1463">
        <v>495533</v>
      </c>
      <c r="E1463" t="s">
        <v>147</v>
      </c>
    </row>
    <row r="1464" spans="1:5">
      <c r="A1464" t="s">
        <v>2241</v>
      </c>
      <c r="B1464" t="s">
        <v>896</v>
      </c>
      <c r="C1464" t="s">
        <v>1171</v>
      </c>
      <c r="D1464">
        <v>968584</v>
      </c>
      <c r="E1464" t="s">
        <v>143</v>
      </c>
    </row>
    <row r="1465" spans="1:5">
      <c r="A1465" t="s">
        <v>2241</v>
      </c>
      <c r="B1465" t="s">
        <v>896</v>
      </c>
      <c r="C1465" t="s">
        <v>1173</v>
      </c>
      <c r="D1465">
        <v>584071</v>
      </c>
      <c r="E1465" t="s">
        <v>138</v>
      </c>
    </row>
    <row r="1466" spans="1:5">
      <c r="A1466" t="s">
        <v>2241</v>
      </c>
      <c r="B1466" t="s">
        <v>896</v>
      </c>
      <c r="C1466" t="s">
        <v>1174</v>
      </c>
      <c r="D1466">
        <v>872540</v>
      </c>
      <c r="E1466" t="s">
        <v>733</v>
      </c>
    </row>
    <row r="1467" spans="1:5">
      <c r="A1467" t="s">
        <v>2241</v>
      </c>
      <c r="B1467" t="s">
        <v>896</v>
      </c>
      <c r="C1467" t="s">
        <v>1175</v>
      </c>
      <c r="D1467">
        <v>664967</v>
      </c>
      <c r="E1467" t="s">
        <v>812</v>
      </c>
    </row>
    <row r="1468" spans="1:5">
      <c r="A1468" t="s">
        <v>2241</v>
      </c>
      <c r="B1468" t="s">
        <v>896</v>
      </c>
      <c r="C1468" t="s">
        <v>1176</v>
      </c>
      <c r="D1468">
        <v>872540</v>
      </c>
      <c r="E1468" t="s">
        <v>733</v>
      </c>
    </row>
    <row r="1469" spans="1:5">
      <c r="A1469" t="s">
        <v>2241</v>
      </c>
      <c r="B1469" t="s">
        <v>896</v>
      </c>
      <c r="C1469" t="s">
        <v>1177</v>
      </c>
      <c r="D1469">
        <v>872540</v>
      </c>
      <c r="E1469" t="s">
        <v>733</v>
      </c>
    </row>
    <row r="1470" spans="1:5">
      <c r="A1470" t="s">
        <v>2241</v>
      </c>
      <c r="B1470" t="s">
        <v>896</v>
      </c>
      <c r="C1470" t="s">
        <v>1178</v>
      </c>
      <c r="D1470">
        <v>368256</v>
      </c>
      <c r="E1470" t="s">
        <v>661</v>
      </c>
    </row>
    <row r="1471" spans="1:5">
      <c r="A1471" t="s">
        <v>2241</v>
      </c>
      <c r="B1471" t="s">
        <v>896</v>
      </c>
      <c r="C1471" t="s">
        <v>1180</v>
      </c>
      <c r="D1471">
        <v>384287</v>
      </c>
      <c r="E1471" t="s">
        <v>236</v>
      </c>
    </row>
    <row r="1472" spans="1:5">
      <c r="A1472" t="s">
        <v>2241</v>
      </c>
      <c r="B1472" t="s">
        <v>896</v>
      </c>
      <c r="C1472" t="s">
        <v>1181</v>
      </c>
      <c r="D1472">
        <v>584071</v>
      </c>
      <c r="E1472" t="s">
        <v>138</v>
      </c>
    </row>
    <row r="1473" spans="1:5">
      <c r="A1473" t="s">
        <v>2241</v>
      </c>
      <c r="B1473" t="s">
        <v>896</v>
      </c>
      <c r="C1473" t="s">
        <v>1182</v>
      </c>
      <c r="D1473">
        <v>872540</v>
      </c>
      <c r="E1473" t="s">
        <v>733</v>
      </c>
    </row>
    <row r="1474" spans="1:5">
      <c r="A1474" t="s">
        <v>2241</v>
      </c>
      <c r="B1474" t="s">
        <v>896</v>
      </c>
      <c r="C1474" t="s">
        <v>1183</v>
      </c>
      <c r="D1474">
        <v>872540</v>
      </c>
      <c r="E1474" t="s">
        <v>733</v>
      </c>
    </row>
    <row r="1475" spans="1:5">
      <c r="A1475" t="s">
        <v>2241</v>
      </c>
      <c r="B1475" t="s">
        <v>896</v>
      </c>
      <c r="C1475" t="s">
        <v>1184</v>
      </c>
      <c r="D1475">
        <v>872540</v>
      </c>
      <c r="E1475" t="s">
        <v>733</v>
      </c>
    </row>
    <row r="1476" spans="1:5">
      <c r="A1476" t="s">
        <v>2241</v>
      </c>
      <c r="B1476" t="s">
        <v>896</v>
      </c>
      <c r="C1476" t="s">
        <v>1185</v>
      </c>
      <c r="D1476">
        <v>967569</v>
      </c>
      <c r="E1476" t="s">
        <v>617</v>
      </c>
    </row>
    <row r="1477" spans="1:5">
      <c r="A1477" t="s">
        <v>2242</v>
      </c>
      <c r="B1477" t="s">
        <v>896</v>
      </c>
      <c r="C1477" t="s">
        <v>2243</v>
      </c>
      <c r="D1477">
        <v>610024</v>
      </c>
      <c r="E1477" t="s">
        <v>757</v>
      </c>
    </row>
    <row r="1478" spans="1:5">
      <c r="A1478" t="s">
        <v>2242</v>
      </c>
      <c r="B1478" t="s">
        <v>896</v>
      </c>
      <c r="C1478" t="s">
        <v>2244</v>
      </c>
      <c r="D1478">
        <v>510212</v>
      </c>
      <c r="E1478" t="s">
        <v>293</v>
      </c>
    </row>
    <row r="1479" spans="1:5">
      <c r="A1479" t="s">
        <v>2242</v>
      </c>
      <c r="B1479" t="s">
        <v>896</v>
      </c>
      <c r="C1479" t="s">
        <v>2244</v>
      </c>
      <c r="D1479">
        <v>584071</v>
      </c>
      <c r="E1479" t="s">
        <v>138</v>
      </c>
    </row>
    <row r="1480" spans="1:5">
      <c r="A1480" t="s">
        <v>2242</v>
      </c>
      <c r="B1480" t="s">
        <v>896</v>
      </c>
      <c r="C1480" t="s">
        <v>2245</v>
      </c>
      <c r="D1480">
        <v>948789</v>
      </c>
      <c r="E1480" t="s">
        <v>212</v>
      </c>
    </row>
    <row r="1481" spans="1:5">
      <c r="A1481" t="s">
        <v>2242</v>
      </c>
      <c r="B1481" t="s">
        <v>896</v>
      </c>
      <c r="C1481" t="s">
        <v>2246</v>
      </c>
      <c r="D1481">
        <v>948789</v>
      </c>
      <c r="E1481" t="s">
        <v>212</v>
      </c>
    </row>
    <row r="1482" spans="1:5">
      <c r="A1482" t="s">
        <v>2247</v>
      </c>
      <c r="B1482" t="s">
        <v>896</v>
      </c>
      <c r="C1482" t="s">
        <v>1160</v>
      </c>
      <c r="D1482">
        <v>597434</v>
      </c>
      <c r="E1482" t="s">
        <v>47</v>
      </c>
    </row>
    <row r="1483" spans="1:5">
      <c r="A1483" t="s">
        <v>2247</v>
      </c>
      <c r="B1483" t="s">
        <v>896</v>
      </c>
      <c r="C1483" t="s">
        <v>1160</v>
      </c>
      <c r="D1483">
        <v>302414</v>
      </c>
      <c r="E1483" t="s">
        <v>577</v>
      </c>
    </row>
    <row r="1484" spans="1:5">
      <c r="A1484" t="s">
        <v>2247</v>
      </c>
      <c r="B1484" t="s">
        <v>896</v>
      </c>
      <c r="C1484" t="s">
        <v>1167</v>
      </c>
      <c r="D1484">
        <v>597434</v>
      </c>
      <c r="E1484" t="s">
        <v>47</v>
      </c>
    </row>
    <row r="1485" spans="1:5">
      <c r="A1485" t="s">
        <v>2247</v>
      </c>
      <c r="B1485" t="s">
        <v>896</v>
      </c>
      <c r="C1485" t="s">
        <v>1167</v>
      </c>
      <c r="D1485">
        <v>500961</v>
      </c>
      <c r="E1485" t="s">
        <v>572</v>
      </c>
    </row>
    <row r="1486" spans="1:5">
      <c r="A1486" t="s">
        <v>2247</v>
      </c>
      <c r="B1486" t="s">
        <v>896</v>
      </c>
      <c r="C1486" t="s">
        <v>1167</v>
      </c>
      <c r="D1486">
        <v>302414</v>
      </c>
      <c r="E1486" t="s">
        <v>577</v>
      </c>
    </row>
    <row r="1487" spans="1:5">
      <c r="A1487" t="s">
        <v>2247</v>
      </c>
      <c r="B1487" t="s">
        <v>896</v>
      </c>
      <c r="C1487" t="s">
        <v>1174</v>
      </c>
      <c r="D1487">
        <v>597434</v>
      </c>
      <c r="E1487" t="s">
        <v>47</v>
      </c>
    </row>
    <row r="1488" spans="1:5">
      <c r="A1488" t="s">
        <v>2247</v>
      </c>
      <c r="B1488" t="s">
        <v>896</v>
      </c>
      <c r="C1488" t="s">
        <v>1174</v>
      </c>
      <c r="D1488">
        <v>302414</v>
      </c>
      <c r="E1488" t="s">
        <v>577</v>
      </c>
    </row>
    <row r="1489" spans="1:5">
      <c r="A1489" t="s">
        <v>2247</v>
      </c>
      <c r="B1489" t="s">
        <v>896</v>
      </c>
      <c r="C1489" t="s">
        <v>1181</v>
      </c>
      <c r="D1489">
        <v>597434</v>
      </c>
      <c r="E1489" t="s">
        <v>47</v>
      </c>
    </row>
    <row r="1490" spans="1:5">
      <c r="A1490" t="s">
        <v>2247</v>
      </c>
      <c r="B1490" t="s">
        <v>896</v>
      </c>
      <c r="C1490" t="s">
        <v>1181</v>
      </c>
      <c r="D1490">
        <v>302414</v>
      </c>
      <c r="E1490" t="s">
        <v>577</v>
      </c>
    </row>
    <row r="1491" spans="1:5">
      <c r="A1491" t="s">
        <v>2247</v>
      </c>
      <c r="B1491" t="s">
        <v>896</v>
      </c>
      <c r="C1491" t="s">
        <v>1181</v>
      </c>
      <c r="D1491">
        <v>266487</v>
      </c>
      <c r="E1491" t="s">
        <v>255</v>
      </c>
    </row>
    <row r="1492" spans="1:5">
      <c r="A1492" t="s">
        <v>2248</v>
      </c>
      <c r="B1492" t="s">
        <v>896</v>
      </c>
      <c r="C1492" t="s">
        <v>2249</v>
      </c>
      <c r="D1492">
        <v>803118</v>
      </c>
      <c r="E1492" t="s">
        <v>590</v>
      </c>
    </row>
    <row r="1493" spans="1:5">
      <c r="A1493" t="s">
        <v>2248</v>
      </c>
      <c r="B1493" t="s">
        <v>896</v>
      </c>
      <c r="C1493" t="s">
        <v>2249</v>
      </c>
      <c r="D1493">
        <v>629424</v>
      </c>
      <c r="E1493" t="s">
        <v>51</v>
      </c>
    </row>
    <row r="1494" spans="1:5">
      <c r="A1494" t="s">
        <v>2248</v>
      </c>
      <c r="B1494" t="s">
        <v>896</v>
      </c>
      <c r="C1494" t="s">
        <v>2250</v>
      </c>
      <c r="D1494">
        <v>866328</v>
      </c>
      <c r="E1494" t="s">
        <v>583</v>
      </c>
    </row>
    <row r="1495" spans="1:5">
      <c r="A1495" t="s">
        <v>2248</v>
      </c>
      <c r="B1495" t="s">
        <v>896</v>
      </c>
      <c r="C1495" t="s">
        <v>2251</v>
      </c>
      <c r="D1495">
        <v>974730</v>
      </c>
      <c r="E1495" t="s">
        <v>93</v>
      </c>
    </row>
    <row r="1496" spans="1:5">
      <c r="A1496" t="s">
        <v>2248</v>
      </c>
      <c r="B1496" t="s">
        <v>896</v>
      </c>
      <c r="C1496" t="s">
        <v>2252</v>
      </c>
      <c r="D1496">
        <v>542923</v>
      </c>
      <c r="E1496" t="s">
        <v>32</v>
      </c>
    </row>
    <row r="1497" spans="1:5">
      <c r="A1497" t="s">
        <v>2248</v>
      </c>
      <c r="B1497" t="s">
        <v>896</v>
      </c>
      <c r="C1497" t="s">
        <v>2253</v>
      </c>
      <c r="D1497">
        <v>411764</v>
      </c>
      <c r="E1497" t="s">
        <v>682</v>
      </c>
    </row>
    <row r="1498" spans="1:5">
      <c r="A1498" t="s">
        <v>2248</v>
      </c>
      <c r="B1498" t="s">
        <v>896</v>
      </c>
      <c r="C1498" t="s">
        <v>2254</v>
      </c>
      <c r="D1498">
        <v>803118</v>
      </c>
      <c r="E1498" t="s">
        <v>590</v>
      </c>
    </row>
    <row r="1499" spans="1:5">
      <c r="A1499" t="s">
        <v>2248</v>
      </c>
      <c r="B1499" t="s">
        <v>896</v>
      </c>
      <c r="C1499" t="s">
        <v>2254</v>
      </c>
      <c r="D1499">
        <v>803535</v>
      </c>
      <c r="E1499" t="s">
        <v>729</v>
      </c>
    </row>
    <row r="1500" spans="1:5">
      <c r="A1500" t="s">
        <v>2248</v>
      </c>
      <c r="B1500" t="s">
        <v>896</v>
      </c>
      <c r="C1500" t="s">
        <v>2255</v>
      </c>
      <c r="D1500">
        <v>866328</v>
      </c>
      <c r="E1500" t="s">
        <v>583</v>
      </c>
    </row>
    <row r="1501" spans="1:5">
      <c r="A1501" t="s">
        <v>2248</v>
      </c>
      <c r="B1501" t="s">
        <v>896</v>
      </c>
      <c r="C1501" t="s">
        <v>2256</v>
      </c>
      <c r="D1501">
        <v>964211</v>
      </c>
      <c r="E1501" t="s">
        <v>1379</v>
      </c>
    </row>
    <row r="1502" spans="1:5">
      <c r="A1502" t="s">
        <v>2248</v>
      </c>
      <c r="B1502" t="s">
        <v>896</v>
      </c>
      <c r="C1502" t="s">
        <v>2256</v>
      </c>
      <c r="D1502">
        <v>392247</v>
      </c>
      <c r="E1502" t="s">
        <v>532</v>
      </c>
    </row>
    <row r="1503" spans="1:5">
      <c r="A1503" t="s">
        <v>2248</v>
      </c>
      <c r="B1503" t="s">
        <v>896</v>
      </c>
      <c r="C1503" t="s">
        <v>2257</v>
      </c>
      <c r="D1503">
        <v>542923</v>
      </c>
      <c r="E1503" t="s">
        <v>32</v>
      </c>
    </row>
    <row r="1504" spans="1:5">
      <c r="A1504" t="s">
        <v>2248</v>
      </c>
      <c r="B1504" t="s">
        <v>896</v>
      </c>
      <c r="C1504" t="s">
        <v>2258</v>
      </c>
      <c r="D1504">
        <v>974730</v>
      </c>
      <c r="E1504" t="s">
        <v>93</v>
      </c>
    </row>
    <row r="1505" spans="1:5">
      <c r="A1505" t="s">
        <v>2248</v>
      </c>
      <c r="B1505" t="s">
        <v>896</v>
      </c>
      <c r="C1505" t="s">
        <v>2258</v>
      </c>
      <c r="D1505">
        <v>571329</v>
      </c>
      <c r="E1505" t="s">
        <v>319</v>
      </c>
    </row>
    <row r="1506" spans="1:5">
      <c r="A1506" t="s">
        <v>2248</v>
      </c>
      <c r="B1506" t="s">
        <v>896</v>
      </c>
      <c r="C1506" t="s">
        <v>2259</v>
      </c>
      <c r="D1506">
        <v>970202</v>
      </c>
      <c r="E1506" t="s">
        <v>836</v>
      </c>
    </row>
    <row r="1507" spans="1:5">
      <c r="A1507" t="s">
        <v>2248</v>
      </c>
      <c r="B1507" t="s">
        <v>896</v>
      </c>
      <c r="C1507" t="s">
        <v>2259</v>
      </c>
      <c r="D1507">
        <v>803535</v>
      </c>
      <c r="E1507" t="s">
        <v>729</v>
      </c>
    </row>
    <row r="1508" spans="1:5">
      <c r="A1508" t="s">
        <v>2248</v>
      </c>
      <c r="B1508" t="s">
        <v>896</v>
      </c>
      <c r="C1508" t="s">
        <v>2260</v>
      </c>
      <c r="D1508">
        <v>898849</v>
      </c>
      <c r="E1508" t="s">
        <v>301</v>
      </c>
    </row>
    <row r="1509" spans="1:5">
      <c r="A1509" t="s">
        <v>2248</v>
      </c>
      <c r="B1509" t="s">
        <v>896</v>
      </c>
      <c r="C1509" t="s">
        <v>2260</v>
      </c>
      <c r="D1509">
        <v>803118</v>
      </c>
      <c r="E1509" t="s">
        <v>590</v>
      </c>
    </row>
    <row r="1510" spans="1:5">
      <c r="A1510" t="s">
        <v>2248</v>
      </c>
      <c r="B1510" t="s">
        <v>896</v>
      </c>
      <c r="C1510" t="s">
        <v>2261</v>
      </c>
      <c r="D1510">
        <v>866328</v>
      </c>
      <c r="E1510" t="s">
        <v>583</v>
      </c>
    </row>
    <row r="1511" spans="1:5">
      <c r="A1511" t="s">
        <v>2248</v>
      </c>
      <c r="B1511" t="s">
        <v>896</v>
      </c>
      <c r="C1511" t="s">
        <v>2262</v>
      </c>
      <c r="D1511">
        <v>542923</v>
      </c>
      <c r="E1511" t="s">
        <v>32</v>
      </c>
    </row>
    <row r="1512" spans="1:5">
      <c r="A1512" t="s">
        <v>2248</v>
      </c>
      <c r="B1512" t="s">
        <v>896</v>
      </c>
      <c r="C1512" t="s">
        <v>2263</v>
      </c>
      <c r="D1512">
        <v>803535</v>
      </c>
      <c r="E1512" t="s">
        <v>729</v>
      </c>
    </row>
    <row r="1513" spans="1:5">
      <c r="A1513" t="s">
        <v>2248</v>
      </c>
      <c r="B1513" t="s">
        <v>896</v>
      </c>
      <c r="C1513" t="s">
        <v>2263</v>
      </c>
      <c r="D1513">
        <v>803118</v>
      </c>
      <c r="E1513" t="s">
        <v>590</v>
      </c>
    </row>
    <row r="1514" spans="1:5">
      <c r="A1514" t="s">
        <v>2248</v>
      </c>
      <c r="B1514" t="s">
        <v>896</v>
      </c>
      <c r="C1514" t="s">
        <v>2264</v>
      </c>
      <c r="D1514">
        <v>803118</v>
      </c>
      <c r="E1514" t="s">
        <v>590</v>
      </c>
    </row>
    <row r="1515" spans="1:5">
      <c r="A1515" t="s">
        <v>2248</v>
      </c>
      <c r="B1515" t="s">
        <v>896</v>
      </c>
      <c r="C1515" t="s">
        <v>2264</v>
      </c>
      <c r="D1515">
        <v>571329</v>
      </c>
      <c r="E1515" t="s">
        <v>319</v>
      </c>
    </row>
    <row r="1516" spans="1:5">
      <c r="A1516" t="s">
        <v>2248</v>
      </c>
      <c r="B1516" t="s">
        <v>896</v>
      </c>
      <c r="C1516" t="s">
        <v>2265</v>
      </c>
      <c r="D1516">
        <v>964211</v>
      </c>
      <c r="E1516" t="s">
        <v>1379</v>
      </c>
    </row>
    <row r="1517" spans="1:5">
      <c r="A1517" t="s">
        <v>2248</v>
      </c>
      <c r="B1517" t="s">
        <v>896</v>
      </c>
      <c r="C1517" t="s">
        <v>2266</v>
      </c>
      <c r="D1517">
        <v>542923</v>
      </c>
      <c r="E1517" t="s">
        <v>32</v>
      </c>
    </row>
    <row r="1518" spans="1:5">
      <c r="A1518" t="s">
        <v>2248</v>
      </c>
      <c r="B1518" t="s">
        <v>896</v>
      </c>
      <c r="C1518" t="s">
        <v>2267</v>
      </c>
      <c r="D1518">
        <v>970202</v>
      </c>
      <c r="E1518" t="s">
        <v>836</v>
      </c>
    </row>
    <row r="1519" spans="1:5">
      <c r="A1519" t="s">
        <v>2268</v>
      </c>
      <c r="B1519" t="s">
        <v>896</v>
      </c>
      <c r="C1519" t="s">
        <v>2269</v>
      </c>
      <c r="D1519">
        <v>154044</v>
      </c>
      <c r="E1519" t="s">
        <v>266</v>
      </c>
    </row>
    <row r="1520" spans="1:5">
      <c r="A1520" t="s">
        <v>2268</v>
      </c>
      <c r="B1520" t="s">
        <v>896</v>
      </c>
      <c r="C1520" t="s">
        <v>1204</v>
      </c>
      <c r="D1520">
        <v>466400</v>
      </c>
      <c r="E1520" t="s">
        <v>304</v>
      </c>
    </row>
    <row r="1521" spans="1:5">
      <c r="A1521" t="s">
        <v>2268</v>
      </c>
      <c r="B1521" t="s">
        <v>896</v>
      </c>
      <c r="C1521" t="s">
        <v>2270</v>
      </c>
      <c r="D1521">
        <v>773189</v>
      </c>
      <c r="E1521" t="s">
        <v>618</v>
      </c>
    </row>
    <row r="1522" spans="1:5">
      <c r="A1522" t="s">
        <v>2268</v>
      </c>
      <c r="B1522" t="s">
        <v>896</v>
      </c>
      <c r="C1522" t="s">
        <v>1205</v>
      </c>
      <c r="D1522">
        <v>326161</v>
      </c>
      <c r="E1522" t="s">
        <v>104</v>
      </c>
    </row>
    <row r="1523" spans="1:5">
      <c r="A1523" t="s">
        <v>2268</v>
      </c>
      <c r="B1523" t="s">
        <v>896</v>
      </c>
      <c r="C1523" t="s">
        <v>1205</v>
      </c>
      <c r="D1523">
        <v>806909</v>
      </c>
      <c r="E1523" t="s">
        <v>769</v>
      </c>
    </row>
    <row r="1524" spans="1:5">
      <c r="A1524" t="s">
        <v>2268</v>
      </c>
      <c r="B1524" t="s">
        <v>896</v>
      </c>
      <c r="C1524" t="s">
        <v>1913</v>
      </c>
      <c r="D1524">
        <v>610944</v>
      </c>
      <c r="E1524" t="s">
        <v>1210</v>
      </c>
    </row>
    <row r="1525" spans="1:5">
      <c r="A1525" t="s">
        <v>2268</v>
      </c>
      <c r="B1525" t="s">
        <v>896</v>
      </c>
      <c r="C1525" t="s">
        <v>1913</v>
      </c>
      <c r="D1525">
        <v>687118</v>
      </c>
      <c r="E1525" t="s">
        <v>422</v>
      </c>
    </row>
    <row r="1526" spans="1:5">
      <c r="A1526" t="s">
        <v>2268</v>
      </c>
      <c r="B1526" t="s">
        <v>896</v>
      </c>
      <c r="C1526" t="s">
        <v>2271</v>
      </c>
      <c r="D1526">
        <v>960559</v>
      </c>
      <c r="E1526" t="s">
        <v>403</v>
      </c>
    </row>
    <row r="1527" spans="1:5">
      <c r="A1527" t="s">
        <v>2268</v>
      </c>
      <c r="B1527" t="s">
        <v>896</v>
      </c>
      <c r="C1527" t="s">
        <v>1206</v>
      </c>
      <c r="D1527">
        <v>872540</v>
      </c>
      <c r="E1527" t="s">
        <v>733</v>
      </c>
    </row>
    <row r="1528" spans="1:5">
      <c r="A1528" t="s">
        <v>2268</v>
      </c>
      <c r="B1528" t="s">
        <v>896</v>
      </c>
      <c r="C1528" t="s">
        <v>2272</v>
      </c>
      <c r="D1528">
        <v>154044</v>
      </c>
      <c r="E1528" t="s">
        <v>266</v>
      </c>
    </row>
    <row r="1529" spans="1:5">
      <c r="A1529" t="s">
        <v>2268</v>
      </c>
      <c r="B1529" t="s">
        <v>896</v>
      </c>
      <c r="C1529" t="s">
        <v>1211</v>
      </c>
      <c r="D1529">
        <v>610944</v>
      </c>
      <c r="E1529" t="s">
        <v>1210</v>
      </c>
    </row>
    <row r="1530" spans="1:5">
      <c r="A1530" t="s">
        <v>2268</v>
      </c>
      <c r="B1530" t="s">
        <v>896</v>
      </c>
      <c r="C1530" t="s">
        <v>1211</v>
      </c>
      <c r="D1530">
        <v>175002</v>
      </c>
      <c r="E1530" t="s">
        <v>197</v>
      </c>
    </row>
    <row r="1531" spans="1:5">
      <c r="A1531" t="s">
        <v>2268</v>
      </c>
      <c r="B1531" t="s">
        <v>896</v>
      </c>
      <c r="C1531" t="s">
        <v>2273</v>
      </c>
      <c r="D1531">
        <v>773189</v>
      </c>
      <c r="E1531" t="s">
        <v>618</v>
      </c>
    </row>
    <row r="1532" spans="1:5">
      <c r="A1532" t="s">
        <v>2268</v>
      </c>
      <c r="B1532" t="s">
        <v>896</v>
      </c>
      <c r="C1532" t="s">
        <v>2023</v>
      </c>
      <c r="D1532">
        <v>175002</v>
      </c>
      <c r="E1532" t="s">
        <v>197</v>
      </c>
    </row>
    <row r="1533" spans="1:5">
      <c r="A1533" t="s">
        <v>2268</v>
      </c>
      <c r="B1533" t="s">
        <v>896</v>
      </c>
      <c r="C1533" t="s">
        <v>2274</v>
      </c>
      <c r="D1533">
        <v>470624</v>
      </c>
      <c r="E1533" t="s">
        <v>525</v>
      </c>
    </row>
    <row r="1534" spans="1:5">
      <c r="A1534" t="s">
        <v>2268</v>
      </c>
      <c r="B1534" t="s">
        <v>896</v>
      </c>
      <c r="C1534" t="s">
        <v>1212</v>
      </c>
      <c r="D1534">
        <v>967743</v>
      </c>
      <c r="E1534" t="s">
        <v>87</v>
      </c>
    </row>
    <row r="1535" spans="1:5">
      <c r="A1535" t="s">
        <v>2268</v>
      </c>
      <c r="B1535" t="s">
        <v>896</v>
      </c>
      <c r="C1535" t="s">
        <v>1212</v>
      </c>
      <c r="D1535">
        <v>967569</v>
      </c>
      <c r="E1535" t="s">
        <v>617</v>
      </c>
    </row>
    <row r="1536" spans="1:5">
      <c r="A1536" t="s">
        <v>2275</v>
      </c>
      <c r="B1536" t="s">
        <v>896</v>
      </c>
    </row>
    <row r="1537" spans="1:5">
      <c r="A1537" t="s">
        <v>2276</v>
      </c>
      <c r="B1537" t="s">
        <v>896</v>
      </c>
      <c r="C1537" t="s">
        <v>2277</v>
      </c>
      <c r="D1537">
        <v>571329</v>
      </c>
      <c r="E1537" t="s">
        <v>319</v>
      </c>
    </row>
    <row r="1538" spans="1:5">
      <c r="A1538" t="s">
        <v>2276</v>
      </c>
      <c r="B1538" t="s">
        <v>896</v>
      </c>
      <c r="C1538" t="s">
        <v>2278</v>
      </c>
      <c r="D1538">
        <v>872540</v>
      </c>
      <c r="E1538" t="s">
        <v>733</v>
      </c>
    </row>
    <row r="1539" spans="1:5">
      <c r="A1539" t="s">
        <v>2276</v>
      </c>
      <c r="B1539" t="s">
        <v>896</v>
      </c>
      <c r="C1539" t="s">
        <v>2279</v>
      </c>
      <c r="D1539">
        <v>618122</v>
      </c>
      <c r="E1539" t="s">
        <v>783</v>
      </c>
    </row>
    <row r="1540" spans="1:5">
      <c r="A1540" t="s">
        <v>2276</v>
      </c>
      <c r="B1540" t="s">
        <v>896</v>
      </c>
      <c r="C1540" t="s">
        <v>2280</v>
      </c>
      <c r="D1540">
        <v>974730</v>
      </c>
      <c r="E1540" t="s">
        <v>93</v>
      </c>
    </row>
    <row r="1541" spans="1:5">
      <c r="A1541" t="s">
        <v>2276</v>
      </c>
      <c r="B1541" t="s">
        <v>896</v>
      </c>
      <c r="C1541" t="s">
        <v>2166</v>
      </c>
      <c r="D1541">
        <v>618122</v>
      </c>
      <c r="E1541" t="s">
        <v>783</v>
      </c>
    </row>
    <row r="1542" spans="1:5">
      <c r="A1542" t="s">
        <v>2276</v>
      </c>
      <c r="B1542" t="s">
        <v>896</v>
      </c>
      <c r="C1542" t="s">
        <v>2281</v>
      </c>
      <c r="D1542">
        <v>910059</v>
      </c>
      <c r="E1542" t="s">
        <v>440</v>
      </c>
    </row>
    <row r="1543" spans="1:5">
      <c r="A1543" t="s">
        <v>2276</v>
      </c>
      <c r="B1543" t="s">
        <v>896</v>
      </c>
      <c r="C1543" t="s">
        <v>2282</v>
      </c>
      <c r="D1543">
        <v>618122</v>
      </c>
      <c r="E1543" t="s">
        <v>783</v>
      </c>
    </row>
    <row r="1544" spans="1:5">
      <c r="A1544" t="s">
        <v>2276</v>
      </c>
      <c r="B1544" t="s">
        <v>896</v>
      </c>
      <c r="C1544" t="s">
        <v>2283</v>
      </c>
      <c r="D1544">
        <v>872540</v>
      </c>
      <c r="E1544" t="s">
        <v>733</v>
      </c>
    </row>
    <row r="1545" spans="1:5">
      <c r="A1545" t="s">
        <v>2276</v>
      </c>
      <c r="B1545" t="s">
        <v>896</v>
      </c>
      <c r="C1545" t="s">
        <v>2284</v>
      </c>
      <c r="D1545">
        <v>872540</v>
      </c>
      <c r="E1545" t="s">
        <v>733</v>
      </c>
    </row>
    <row r="1546" spans="1:5">
      <c r="A1546" t="s">
        <v>2276</v>
      </c>
      <c r="B1546" t="s">
        <v>896</v>
      </c>
      <c r="C1546" t="s">
        <v>2171</v>
      </c>
      <c r="D1546">
        <v>618122</v>
      </c>
      <c r="E1546" t="s">
        <v>783</v>
      </c>
    </row>
    <row r="1547" spans="1:5">
      <c r="A1547" t="s">
        <v>2276</v>
      </c>
      <c r="B1547" t="s">
        <v>896</v>
      </c>
      <c r="C1547" t="s">
        <v>2285</v>
      </c>
      <c r="D1547">
        <v>618122</v>
      </c>
      <c r="E1547" t="s">
        <v>783</v>
      </c>
    </row>
    <row r="1548" spans="1:5">
      <c r="A1548" t="s">
        <v>2276</v>
      </c>
      <c r="B1548" t="s">
        <v>896</v>
      </c>
      <c r="C1548" t="s">
        <v>2286</v>
      </c>
      <c r="D1548">
        <v>331144</v>
      </c>
      <c r="E1548" t="s">
        <v>273</v>
      </c>
    </row>
    <row r="1549" spans="1:5">
      <c r="A1549" t="s">
        <v>2276</v>
      </c>
      <c r="B1549" t="s">
        <v>896</v>
      </c>
      <c r="C1549" t="s">
        <v>2287</v>
      </c>
      <c r="D1549">
        <v>618122</v>
      </c>
      <c r="E1549" t="s">
        <v>783</v>
      </c>
    </row>
    <row r="1550" spans="1:5">
      <c r="A1550" t="s">
        <v>2276</v>
      </c>
      <c r="B1550" t="s">
        <v>896</v>
      </c>
      <c r="C1550" t="s">
        <v>2288</v>
      </c>
      <c r="D1550">
        <v>910059</v>
      </c>
      <c r="E1550" t="s">
        <v>440</v>
      </c>
    </row>
    <row r="1551" spans="1:5">
      <c r="A1551" t="s">
        <v>2276</v>
      </c>
      <c r="B1551" t="s">
        <v>896</v>
      </c>
      <c r="C1551" t="s">
        <v>2175</v>
      </c>
      <c r="D1551">
        <v>618122</v>
      </c>
      <c r="E1551" t="s">
        <v>783</v>
      </c>
    </row>
    <row r="1552" spans="1:5">
      <c r="A1552" t="s">
        <v>2276</v>
      </c>
      <c r="B1552" t="s">
        <v>896</v>
      </c>
      <c r="C1552" t="s">
        <v>2289</v>
      </c>
      <c r="D1552">
        <v>904795</v>
      </c>
      <c r="E1552" t="s">
        <v>971</v>
      </c>
    </row>
    <row r="1553" spans="1:5">
      <c r="A1553" t="s">
        <v>2276</v>
      </c>
      <c r="B1553" t="s">
        <v>896</v>
      </c>
      <c r="C1553" t="s">
        <v>2290</v>
      </c>
      <c r="D1553">
        <v>872540</v>
      </c>
      <c r="E1553" t="s">
        <v>733</v>
      </c>
    </row>
    <row r="1554" spans="1:5">
      <c r="A1554" t="s">
        <v>2276</v>
      </c>
      <c r="B1554" t="s">
        <v>896</v>
      </c>
      <c r="C1554" t="s">
        <v>2291</v>
      </c>
      <c r="D1554">
        <v>571329</v>
      </c>
      <c r="E1554" t="s">
        <v>319</v>
      </c>
    </row>
    <row r="1555" spans="1:5">
      <c r="A1555" t="s">
        <v>2276</v>
      </c>
      <c r="B1555" t="s">
        <v>896</v>
      </c>
      <c r="C1555" t="s">
        <v>2292</v>
      </c>
      <c r="D1555">
        <v>974730</v>
      </c>
      <c r="E1555" t="s">
        <v>93</v>
      </c>
    </row>
    <row r="1556" spans="1:5">
      <c r="A1556" t="s">
        <v>2276</v>
      </c>
      <c r="B1556" t="s">
        <v>896</v>
      </c>
      <c r="C1556" t="s">
        <v>2180</v>
      </c>
      <c r="D1556">
        <v>948789</v>
      </c>
      <c r="E1556" t="s">
        <v>212</v>
      </c>
    </row>
    <row r="1557" spans="1:5">
      <c r="A1557" t="s">
        <v>2293</v>
      </c>
      <c r="B1557" t="s">
        <v>896</v>
      </c>
      <c r="C1557" t="s">
        <v>2294</v>
      </c>
      <c r="D1557">
        <v>806909</v>
      </c>
      <c r="E1557" t="s">
        <v>769</v>
      </c>
    </row>
    <row r="1558" spans="1:5">
      <c r="A1558" t="s">
        <v>2293</v>
      </c>
      <c r="B1558" t="s">
        <v>896</v>
      </c>
      <c r="C1558" t="s">
        <v>2294</v>
      </c>
      <c r="D1558">
        <v>905187</v>
      </c>
      <c r="E1558" t="s">
        <v>767</v>
      </c>
    </row>
    <row r="1559" spans="1:5">
      <c r="A1559" t="s">
        <v>2295</v>
      </c>
      <c r="B1559" t="s">
        <v>896</v>
      </c>
    </row>
    <row r="1560" spans="1:5">
      <c r="A1560" t="s">
        <v>2296</v>
      </c>
      <c r="B1560" t="s">
        <v>896</v>
      </c>
      <c r="C1560" t="s">
        <v>1457</v>
      </c>
      <c r="D1560">
        <v>729156</v>
      </c>
      <c r="E1560" t="s">
        <v>1686</v>
      </c>
    </row>
    <row r="1561" spans="1:5">
      <c r="A1561" t="s">
        <v>2296</v>
      </c>
      <c r="B1561" t="s">
        <v>896</v>
      </c>
      <c r="C1561" t="s">
        <v>1460</v>
      </c>
      <c r="D1561">
        <v>476617</v>
      </c>
      <c r="E1561" t="s">
        <v>493</v>
      </c>
    </row>
    <row r="1562" spans="1:5">
      <c r="A1562" t="s">
        <v>2296</v>
      </c>
      <c r="B1562" t="s">
        <v>896</v>
      </c>
      <c r="C1562" t="s">
        <v>1462</v>
      </c>
      <c r="D1562">
        <v>210824</v>
      </c>
      <c r="E1562" t="s">
        <v>600</v>
      </c>
    </row>
    <row r="1563" spans="1:5">
      <c r="A1563" t="s">
        <v>2296</v>
      </c>
      <c r="B1563" t="s">
        <v>896</v>
      </c>
      <c r="C1563" t="s">
        <v>1465</v>
      </c>
      <c r="D1563">
        <v>703541</v>
      </c>
      <c r="E1563" t="s">
        <v>523</v>
      </c>
    </row>
    <row r="1564" spans="1:5">
      <c r="A1564" t="s">
        <v>2296</v>
      </c>
      <c r="B1564" t="s">
        <v>896</v>
      </c>
      <c r="C1564" t="s">
        <v>1093</v>
      </c>
      <c r="D1564">
        <v>210824</v>
      </c>
      <c r="E1564" t="s">
        <v>600</v>
      </c>
    </row>
    <row r="1565" spans="1:5">
      <c r="A1565" t="s">
        <v>2296</v>
      </c>
      <c r="B1565" t="s">
        <v>896</v>
      </c>
      <c r="C1565" t="s">
        <v>1100</v>
      </c>
      <c r="D1565">
        <v>476617</v>
      </c>
      <c r="E1565" t="s">
        <v>493</v>
      </c>
    </row>
    <row r="1566" spans="1:5">
      <c r="A1566" t="s">
        <v>2296</v>
      </c>
      <c r="B1566" t="s">
        <v>896</v>
      </c>
      <c r="C1566" t="s">
        <v>1106</v>
      </c>
      <c r="D1566">
        <v>696603</v>
      </c>
      <c r="E1566" t="s">
        <v>458</v>
      </c>
    </row>
    <row r="1567" spans="1:5">
      <c r="A1567" t="s">
        <v>2296</v>
      </c>
      <c r="B1567" t="s">
        <v>896</v>
      </c>
      <c r="C1567" t="s">
        <v>1113</v>
      </c>
      <c r="D1567">
        <v>210824</v>
      </c>
      <c r="E1567" t="s">
        <v>600</v>
      </c>
    </row>
    <row r="1568" spans="1:5">
      <c r="A1568" t="s">
        <v>2297</v>
      </c>
      <c r="B1568" t="s">
        <v>896</v>
      </c>
      <c r="C1568" t="s">
        <v>1116</v>
      </c>
      <c r="D1568">
        <v>277668</v>
      </c>
      <c r="E1568" t="s">
        <v>656</v>
      </c>
    </row>
    <row r="1569" spans="1:5">
      <c r="A1569" t="s">
        <v>2297</v>
      </c>
      <c r="B1569" t="s">
        <v>896</v>
      </c>
      <c r="C1569" t="s">
        <v>1116</v>
      </c>
      <c r="D1569">
        <v>693099</v>
      </c>
      <c r="E1569" t="s">
        <v>461</v>
      </c>
    </row>
    <row r="1570" spans="1:5">
      <c r="A1570" t="s">
        <v>2297</v>
      </c>
      <c r="B1570" t="s">
        <v>896</v>
      </c>
      <c r="C1570" t="s">
        <v>1116</v>
      </c>
      <c r="D1570">
        <v>886392</v>
      </c>
      <c r="E1570" t="s">
        <v>805</v>
      </c>
    </row>
    <row r="1571" spans="1:5">
      <c r="A1571" t="s">
        <v>2297</v>
      </c>
      <c r="B1571" t="s">
        <v>896</v>
      </c>
      <c r="C1571" t="s">
        <v>2298</v>
      </c>
      <c r="D1571">
        <v>828268</v>
      </c>
      <c r="E1571" t="s">
        <v>30</v>
      </c>
    </row>
    <row r="1572" spans="1:5">
      <c r="A1572" t="s">
        <v>2297</v>
      </c>
      <c r="B1572" t="s">
        <v>896</v>
      </c>
      <c r="C1572" t="s">
        <v>2253</v>
      </c>
      <c r="D1572">
        <v>970202</v>
      </c>
      <c r="E1572" t="s">
        <v>836</v>
      </c>
    </row>
    <row r="1573" spans="1:5">
      <c r="A1573" t="s">
        <v>2297</v>
      </c>
      <c r="B1573" t="s">
        <v>896</v>
      </c>
      <c r="C1573" t="s">
        <v>2131</v>
      </c>
      <c r="D1573">
        <v>968584</v>
      </c>
      <c r="E1573" t="s">
        <v>143</v>
      </c>
    </row>
    <row r="1574" spans="1:5">
      <c r="A1574" t="s">
        <v>2297</v>
      </c>
      <c r="B1574" t="s">
        <v>896</v>
      </c>
      <c r="C1574" t="s">
        <v>1205</v>
      </c>
      <c r="D1574">
        <v>154044</v>
      </c>
      <c r="E1574" t="s">
        <v>266</v>
      </c>
    </row>
    <row r="1575" spans="1:5">
      <c r="A1575" t="s">
        <v>2297</v>
      </c>
      <c r="B1575" t="s">
        <v>896</v>
      </c>
      <c r="C1575" t="s">
        <v>1121</v>
      </c>
      <c r="D1575">
        <v>964211</v>
      </c>
      <c r="E1575" t="s">
        <v>1379</v>
      </c>
    </row>
    <row r="1576" spans="1:5">
      <c r="A1576" t="s">
        <v>2297</v>
      </c>
      <c r="B1576" t="s">
        <v>896</v>
      </c>
      <c r="C1576" t="s">
        <v>2299</v>
      </c>
      <c r="D1576">
        <v>828268</v>
      </c>
      <c r="E1576" t="s">
        <v>30</v>
      </c>
    </row>
    <row r="1577" spans="1:5">
      <c r="A1577" t="s">
        <v>2297</v>
      </c>
      <c r="B1577" t="s">
        <v>896</v>
      </c>
      <c r="C1577" t="s">
        <v>2300</v>
      </c>
      <c r="D1577">
        <v>920008</v>
      </c>
      <c r="E1577" t="s">
        <v>660</v>
      </c>
    </row>
    <row r="1578" spans="1:5">
      <c r="A1578" t="s">
        <v>2297</v>
      </c>
      <c r="B1578" t="s">
        <v>896</v>
      </c>
      <c r="C1578" t="s">
        <v>2110</v>
      </c>
      <c r="D1578">
        <v>828268</v>
      </c>
      <c r="E1578" t="s">
        <v>30</v>
      </c>
    </row>
    <row r="1579" spans="1:5">
      <c r="A1579" t="s">
        <v>2297</v>
      </c>
      <c r="B1579" t="s">
        <v>896</v>
      </c>
      <c r="C1579" t="s">
        <v>2301</v>
      </c>
      <c r="D1579">
        <v>131287</v>
      </c>
      <c r="E1579" t="s">
        <v>610</v>
      </c>
    </row>
    <row r="1580" spans="1:5">
      <c r="A1580" t="s">
        <v>2297</v>
      </c>
      <c r="B1580" t="s">
        <v>896</v>
      </c>
      <c r="C1580" t="s">
        <v>1913</v>
      </c>
      <c r="D1580">
        <v>532833</v>
      </c>
      <c r="E1580" t="s">
        <v>325</v>
      </c>
    </row>
    <row r="1581" spans="1:5">
      <c r="A1581" t="s">
        <v>2297</v>
      </c>
      <c r="B1581" t="s">
        <v>896</v>
      </c>
      <c r="C1581" t="s">
        <v>1124</v>
      </c>
      <c r="D1581">
        <v>466400</v>
      </c>
      <c r="E1581" t="s">
        <v>304</v>
      </c>
    </row>
    <row r="1582" spans="1:5">
      <c r="A1582" t="s">
        <v>2297</v>
      </c>
      <c r="B1582" t="s">
        <v>896</v>
      </c>
      <c r="C1582" t="s">
        <v>2302</v>
      </c>
      <c r="D1582">
        <v>828268</v>
      </c>
      <c r="E1582" t="s">
        <v>30</v>
      </c>
    </row>
    <row r="1583" spans="1:5">
      <c r="A1583" t="s">
        <v>2297</v>
      </c>
      <c r="B1583" t="s">
        <v>896</v>
      </c>
      <c r="C1583" t="s">
        <v>2213</v>
      </c>
      <c r="D1583">
        <v>828268</v>
      </c>
      <c r="E1583" t="s">
        <v>30</v>
      </c>
    </row>
    <row r="1584" spans="1:5">
      <c r="A1584" t="s">
        <v>2297</v>
      </c>
      <c r="B1584" t="s">
        <v>896</v>
      </c>
      <c r="C1584" t="s">
        <v>1192</v>
      </c>
      <c r="D1584">
        <v>968584</v>
      </c>
      <c r="E1584" t="s">
        <v>143</v>
      </c>
    </row>
    <row r="1585" spans="1:5">
      <c r="A1585" t="s">
        <v>2297</v>
      </c>
      <c r="B1585" t="s">
        <v>896</v>
      </c>
      <c r="C1585" t="s">
        <v>2214</v>
      </c>
      <c r="D1585">
        <v>726889</v>
      </c>
      <c r="E1585" t="s">
        <v>505</v>
      </c>
    </row>
    <row r="1586" spans="1:5">
      <c r="A1586" t="s">
        <v>2297</v>
      </c>
      <c r="B1586" t="s">
        <v>896</v>
      </c>
      <c r="C1586" t="s">
        <v>2303</v>
      </c>
      <c r="D1586">
        <v>828268</v>
      </c>
      <c r="E1586" t="s">
        <v>30</v>
      </c>
    </row>
    <row r="1587" spans="1:5">
      <c r="A1587" t="s">
        <v>2297</v>
      </c>
      <c r="B1587" t="s">
        <v>896</v>
      </c>
      <c r="C1587" t="s">
        <v>2008</v>
      </c>
      <c r="D1587">
        <v>425464</v>
      </c>
      <c r="E1587" t="s">
        <v>235</v>
      </c>
    </row>
    <row r="1588" spans="1:5">
      <c r="A1588" t="s">
        <v>2297</v>
      </c>
      <c r="B1588" t="s">
        <v>896</v>
      </c>
      <c r="C1588" t="s">
        <v>2304</v>
      </c>
      <c r="D1588">
        <v>964211</v>
      </c>
      <c r="E1588" t="s">
        <v>1379</v>
      </c>
    </row>
    <row r="1589" spans="1:5">
      <c r="A1589" t="s">
        <v>2297</v>
      </c>
      <c r="B1589" t="s">
        <v>896</v>
      </c>
      <c r="C1589" t="s">
        <v>1170</v>
      </c>
      <c r="D1589">
        <v>620545</v>
      </c>
      <c r="E1589" t="s">
        <v>126</v>
      </c>
    </row>
    <row r="1590" spans="1:5">
      <c r="A1590" t="s">
        <v>2297</v>
      </c>
      <c r="B1590" t="s">
        <v>896</v>
      </c>
      <c r="C1590" t="s">
        <v>2305</v>
      </c>
      <c r="D1590">
        <v>401614</v>
      </c>
      <c r="E1590" t="s">
        <v>49</v>
      </c>
    </row>
    <row r="1591" spans="1:5">
      <c r="A1591" t="s">
        <v>2297</v>
      </c>
      <c r="B1591" t="s">
        <v>896</v>
      </c>
      <c r="C1591" t="s">
        <v>2114</v>
      </c>
      <c r="D1591">
        <v>828268</v>
      </c>
      <c r="E1591" t="s">
        <v>30</v>
      </c>
    </row>
    <row r="1592" spans="1:5">
      <c r="A1592" t="s">
        <v>2297</v>
      </c>
      <c r="B1592" t="s">
        <v>896</v>
      </c>
      <c r="C1592" t="s">
        <v>2114</v>
      </c>
      <c r="D1592">
        <v>720432</v>
      </c>
      <c r="E1592" t="s">
        <v>17</v>
      </c>
    </row>
    <row r="1593" spans="1:5">
      <c r="A1593" t="s">
        <v>2297</v>
      </c>
      <c r="B1593" t="s">
        <v>896</v>
      </c>
      <c r="C1593" t="s">
        <v>2009</v>
      </c>
      <c r="D1593">
        <v>617808</v>
      </c>
      <c r="E1593" t="s">
        <v>34</v>
      </c>
    </row>
    <row r="1594" spans="1:5">
      <c r="A1594" t="s">
        <v>2297</v>
      </c>
      <c r="B1594" t="s">
        <v>896</v>
      </c>
      <c r="C1594" t="s">
        <v>2306</v>
      </c>
      <c r="D1594">
        <v>959536</v>
      </c>
      <c r="E1594" t="s">
        <v>796</v>
      </c>
    </row>
    <row r="1595" spans="1:5">
      <c r="A1595" t="s">
        <v>2297</v>
      </c>
      <c r="B1595" t="s">
        <v>896</v>
      </c>
      <c r="C1595" t="s">
        <v>2306</v>
      </c>
      <c r="D1595">
        <v>314692</v>
      </c>
      <c r="E1595" t="s">
        <v>516</v>
      </c>
    </row>
    <row r="1596" spans="1:5">
      <c r="A1596" t="s">
        <v>2297</v>
      </c>
      <c r="B1596" t="s">
        <v>896</v>
      </c>
      <c r="C1596" t="s">
        <v>2307</v>
      </c>
      <c r="D1596">
        <v>277668</v>
      </c>
      <c r="E1596" t="s">
        <v>656</v>
      </c>
    </row>
    <row r="1597" spans="1:5">
      <c r="A1597" t="s">
        <v>2297</v>
      </c>
      <c r="B1597" t="s">
        <v>896</v>
      </c>
      <c r="C1597" t="s">
        <v>2308</v>
      </c>
      <c r="D1597">
        <v>970070</v>
      </c>
      <c r="E1597" t="s">
        <v>697</v>
      </c>
    </row>
    <row r="1598" spans="1:5">
      <c r="A1598" t="s">
        <v>2297</v>
      </c>
      <c r="B1598" t="s">
        <v>896</v>
      </c>
      <c r="C1598" t="s">
        <v>2309</v>
      </c>
      <c r="D1598">
        <v>920008</v>
      </c>
      <c r="E1598" t="s">
        <v>660</v>
      </c>
    </row>
    <row r="1599" spans="1:5">
      <c r="A1599" t="s">
        <v>2297</v>
      </c>
      <c r="B1599" t="s">
        <v>896</v>
      </c>
      <c r="C1599" t="s">
        <v>1195</v>
      </c>
      <c r="D1599">
        <v>120046</v>
      </c>
      <c r="E1599" t="s">
        <v>553</v>
      </c>
    </row>
    <row r="1600" spans="1:5">
      <c r="A1600" t="s">
        <v>2297</v>
      </c>
      <c r="B1600" t="s">
        <v>896</v>
      </c>
      <c r="C1600" t="s">
        <v>2217</v>
      </c>
      <c r="D1600">
        <v>720432</v>
      </c>
      <c r="E1600" t="s">
        <v>17</v>
      </c>
    </row>
    <row r="1601" spans="1:5">
      <c r="A1601" t="s">
        <v>2297</v>
      </c>
      <c r="B1601" t="s">
        <v>896</v>
      </c>
      <c r="C1601" t="s">
        <v>2310</v>
      </c>
      <c r="D1601">
        <v>801788</v>
      </c>
      <c r="E1601" t="s">
        <v>515</v>
      </c>
    </row>
    <row r="1602" spans="1:5">
      <c r="A1602" t="s">
        <v>2297</v>
      </c>
      <c r="B1602" t="s">
        <v>896</v>
      </c>
      <c r="C1602" t="s">
        <v>2311</v>
      </c>
      <c r="D1602">
        <v>828268</v>
      </c>
      <c r="E1602" t="s">
        <v>30</v>
      </c>
    </row>
    <row r="1603" spans="1:5">
      <c r="A1603" t="s">
        <v>2297</v>
      </c>
      <c r="B1603" t="s">
        <v>896</v>
      </c>
      <c r="C1603" t="s">
        <v>1174</v>
      </c>
      <c r="D1603">
        <v>923674</v>
      </c>
      <c r="E1603" t="s">
        <v>663</v>
      </c>
    </row>
    <row r="1604" spans="1:5">
      <c r="A1604" t="s">
        <v>2297</v>
      </c>
      <c r="B1604" t="s">
        <v>896</v>
      </c>
      <c r="C1604" t="s">
        <v>2133</v>
      </c>
      <c r="D1604">
        <v>803118</v>
      </c>
      <c r="E1604" t="s">
        <v>590</v>
      </c>
    </row>
    <row r="1605" spans="1:5">
      <c r="A1605" t="s">
        <v>2297</v>
      </c>
      <c r="B1605" t="s">
        <v>896</v>
      </c>
      <c r="C1605" t="s">
        <v>2118</v>
      </c>
      <c r="D1605">
        <v>828268</v>
      </c>
      <c r="E1605" t="s">
        <v>30</v>
      </c>
    </row>
    <row r="1606" spans="1:5">
      <c r="A1606" t="s">
        <v>2297</v>
      </c>
      <c r="B1606" t="s">
        <v>896</v>
      </c>
      <c r="C1606" t="s">
        <v>2312</v>
      </c>
      <c r="D1606">
        <v>871845</v>
      </c>
      <c r="E1606" t="s">
        <v>19</v>
      </c>
    </row>
    <row r="1607" spans="1:5">
      <c r="A1607" t="s">
        <v>2297</v>
      </c>
      <c r="B1607" t="s">
        <v>896</v>
      </c>
      <c r="C1607" t="s">
        <v>2313</v>
      </c>
      <c r="D1607">
        <v>711240</v>
      </c>
      <c r="E1607" t="s">
        <v>150</v>
      </c>
    </row>
    <row r="1608" spans="1:5">
      <c r="A1608" t="s">
        <v>2297</v>
      </c>
      <c r="B1608" t="s">
        <v>896</v>
      </c>
      <c r="C1608" t="s">
        <v>2314</v>
      </c>
      <c r="D1608">
        <v>959536</v>
      </c>
      <c r="E1608" t="s">
        <v>796</v>
      </c>
    </row>
    <row r="1609" spans="1:5">
      <c r="A1609" t="s">
        <v>2297</v>
      </c>
      <c r="B1609" t="s">
        <v>896</v>
      </c>
      <c r="C1609" t="s">
        <v>2224</v>
      </c>
      <c r="D1609">
        <v>970202</v>
      </c>
      <c r="E1609" t="s">
        <v>836</v>
      </c>
    </row>
    <row r="1610" spans="1:5">
      <c r="A1610" t="s">
        <v>2297</v>
      </c>
      <c r="B1610" t="s">
        <v>896</v>
      </c>
      <c r="C1610" t="s">
        <v>2315</v>
      </c>
      <c r="D1610">
        <v>906758</v>
      </c>
      <c r="E1610" t="s">
        <v>786</v>
      </c>
    </row>
    <row r="1611" spans="1:5">
      <c r="A1611" t="s">
        <v>2297</v>
      </c>
      <c r="B1611" t="s">
        <v>896</v>
      </c>
      <c r="C1611" t="s">
        <v>2316</v>
      </c>
      <c r="D1611">
        <v>585909</v>
      </c>
      <c r="E1611" t="s">
        <v>673</v>
      </c>
    </row>
    <row r="1612" spans="1:5">
      <c r="A1612" t="s">
        <v>2297</v>
      </c>
      <c r="B1612" t="s">
        <v>896</v>
      </c>
      <c r="C1612" t="s">
        <v>2122</v>
      </c>
      <c r="D1612">
        <v>828268</v>
      </c>
      <c r="E1612" t="s">
        <v>30</v>
      </c>
    </row>
    <row r="1613" spans="1:5">
      <c r="A1613" t="s">
        <v>2297</v>
      </c>
      <c r="B1613" t="s">
        <v>896</v>
      </c>
      <c r="C1613" t="s">
        <v>2317</v>
      </c>
      <c r="D1613">
        <v>96959</v>
      </c>
      <c r="E1613" t="s">
        <v>56</v>
      </c>
    </row>
    <row r="1614" spans="1:5">
      <c r="A1614" t="s">
        <v>2297</v>
      </c>
      <c r="B1614" t="s">
        <v>896</v>
      </c>
      <c r="C1614" t="s">
        <v>2318</v>
      </c>
      <c r="D1614">
        <v>959536</v>
      </c>
      <c r="E1614" t="s">
        <v>796</v>
      </c>
    </row>
    <row r="1615" spans="1:5">
      <c r="A1615" t="s">
        <v>2319</v>
      </c>
      <c r="B1615" t="s">
        <v>896</v>
      </c>
      <c r="C1615" t="s">
        <v>2243</v>
      </c>
      <c r="D1615">
        <v>610024</v>
      </c>
      <c r="E1615" t="s">
        <v>757</v>
      </c>
    </row>
    <row r="1616" spans="1:5">
      <c r="A1616" t="s">
        <v>2319</v>
      </c>
      <c r="B1616" t="s">
        <v>896</v>
      </c>
      <c r="C1616" t="s">
        <v>2244</v>
      </c>
      <c r="D1616">
        <v>510212</v>
      </c>
      <c r="E1616" t="s">
        <v>293</v>
      </c>
    </row>
    <row r="1617" spans="1:5">
      <c r="A1617" t="s">
        <v>2319</v>
      </c>
      <c r="B1617" t="s">
        <v>896</v>
      </c>
      <c r="C1617" t="s">
        <v>2244</v>
      </c>
      <c r="D1617">
        <v>584071</v>
      </c>
      <c r="E1617" t="s">
        <v>138</v>
      </c>
    </row>
    <row r="1618" spans="1:5">
      <c r="A1618" t="s">
        <v>2319</v>
      </c>
      <c r="B1618" t="s">
        <v>896</v>
      </c>
      <c r="C1618" t="s">
        <v>2245</v>
      </c>
      <c r="D1618">
        <v>948789</v>
      </c>
      <c r="E1618" t="s">
        <v>212</v>
      </c>
    </row>
    <row r="1619" spans="1:5">
      <c r="A1619" t="s">
        <v>2319</v>
      </c>
      <c r="B1619" t="s">
        <v>896</v>
      </c>
      <c r="C1619" t="s">
        <v>2246</v>
      </c>
      <c r="D1619">
        <v>948789</v>
      </c>
      <c r="E1619" t="s">
        <v>212</v>
      </c>
    </row>
    <row r="1620" spans="1:5">
      <c r="A1620" t="s">
        <v>2320</v>
      </c>
      <c r="B1620" t="s">
        <v>896</v>
      </c>
      <c r="C1620" t="s">
        <v>2236</v>
      </c>
      <c r="D1620">
        <v>816531</v>
      </c>
      <c r="E1620" t="s">
        <v>102</v>
      </c>
    </row>
    <row r="1621" spans="1:5">
      <c r="A1621" t="s">
        <v>2320</v>
      </c>
      <c r="B1621" t="s">
        <v>896</v>
      </c>
      <c r="C1621" t="s">
        <v>2009</v>
      </c>
      <c r="D1621">
        <v>267168</v>
      </c>
      <c r="E1621" t="s">
        <v>206</v>
      </c>
    </row>
    <row r="1622" spans="1:5">
      <c r="A1622" t="s">
        <v>2320</v>
      </c>
      <c r="B1622" t="s">
        <v>896</v>
      </c>
      <c r="C1622" t="s">
        <v>2009</v>
      </c>
      <c r="D1622">
        <v>620545</v>
      </c>
      <c r="E1622" t="s">
        <v>126</v>
      </c>
    </row>
    <row r="1623" spans="1:5">
      <c r="A1623" t="s">
        <v>2320</v>
      </c>
      <c r="B1623" t="s">
        <v>896</v>
      </c>
      <c r="C1623" t="s">
        <v>2009</v>
      </c>
      <c r="D1623">
        <v>707649</v>
      </c>
      <c r="E1623" t="s">
        <v>746</v>
      </c>
    </row>
    <row r="1624" spans="1:5">
      <c r="A1624" t="s">
        <v>2321</v>
      </c>
      <c r="B1624" t="s">
        <v>896</v>
      </c>
      <c r="C1624" t="s">
        <v>1187</v>
      </c>
      <c r="D1624">
        <v>628110</v>
      </c>
      <c r="E1624" t="s">
        <v>584</v>
      </c>
    </row>
    <row r="1625" spans="1:5">
      <c r="A1625" t="s">
        <v>2321</v>
      </c>
      <c r="B1625" t="s">
        <v>896</v>
      </c>
      <c r="C1625" t="s">
        <v>2322</v>
      </c>
      <c r="D1625">
        <v>964211</v>
      </c>
      <c r="E1625" t="s">
        <v>1379</v>
      </c>
    </row>
    <row r="1626" spans="1:5">
      <c r="A1626" t="s">
        <v>2321</v>
      </c>
      <c r="B1626" t="s">
        <v>896</v>
      </c>
      <c r="C1626" t="s">
        <v>1188</v>
      </c>
      <c r="D1626">
        <v>831512</v>
      </c>
      <c r="E1626" t="s">
        <v>81</v>
      </c>
    </row>
    <row r="1627" spans="1:5">
      <c r="A1627" t="s">
        <v>2321</v>
      </c>
      <c r="B1627" t="s">
        <v>896</v>
      </c>
      <c r="C1627" t="s">
        <v>2323</v>
      </c>
      <c r="D1627">
        <v>964211</v>
      </c>
      <c r="E1627" t="s">
        <v>1379</v>
      </c>
    </row>
    <row r="1628" spans="1:5">
      <c r="A1628" t="s">
        <v>2321</v>
      </c>
      <c r="B1628" t="s">
        <v>896</v>
      </c>
      <c r="C1628" t="s">
        <v>1189</v>
      </c>
      <c r="D1628">
        <v>496044</v>
      </c>
      <c r="E1628" t="s">
        <v>396</v>
      </c>
    </row>
    <row r="1629" spans="1:5">
      <c r="A1629" t="s">
        <v>2321</v>
      </c>
      <c r="B1629" t="s">
        <v>896</v>
      </c>
      <c r="C1629" t="s">
        <v>2324</v>
      </c>
      <c r="D1629">
        <v>944892</v>
      </c>
      <c r="E1629" t="s">
        <v>948</v>
      </c>
    </row>
    <row r="1630" spans="1:5">
      <c r="A1630" t="s">
        <v>2321</v>
      </c>
      <c r="B1630" t="s">
        <v>896</v>
      </c>
      <c r="C1630" t="s">
        <v>1191</v>
      </c>
      <c r="D1630">
        <v>831512</v>
      </c>
      <c r="E1630" t="s">
        <v>81</v>
      </c>
    </row>
    <row r="1631" spans="1:5">
      <c r="A1631" t="s">
        <v>2321</v>
      </c>
      <c r="B1631" t="s">
        <v>896</v>
      </c>
      <c r="C1631" t="s">
        <v>2325</v>
      </c>
      <c r="D1631">
        <v>964211</v>
      </c>
      <c r="E1631" t="s">
        <v>1379</v>
      </c>
    </row>
    <row r="1632" spans="1:5">
      <c r="A1632" t="s">
        <v>2321</v>
      </c>
      <c r="B1632" t="s">
        <v>896</v>
      </c>
      <c r="C1632" t="s">
        <v>1192</v>
      </c>
      <c r="D1632">
        <v>120046</v>
      </c>
      <c r="E1632" t="s">
        <v>553</v>
      </c>
    </row>
    <row r="1633" spans="1:5">
      <c r="A1633" t="s">
        <v>2321</v>
      </c>
      <c r="B1633" t="s">
        <v>896</v>
      </c>
      <c r="C1633" t="s">
        <v>1193</v>
      </c>
      <c r="D1633">
        <v>873830</v>
      </c>
      <c r="E1633" t="s">
        <v>174</v>
      </c>
    </row>
    <row r="1634" spans="1:5">
      <c r="A1634" t="s">
        <v>2321</v>
      </c>
      <c r="B1634" t="s">
        <v>896</v>
      </c>
      <c r="C1634" t="s">
        <v>2326</v>
      </c>
      <c r="D1634">
        <v>949052</v>
      </c>
      <c r="E1634" t="s">
        <v>552</v>
      </c>
    </row>
    <row r="1635" spans="1:5">
      <c r="A1635" t="s">
        <v>2321</v>
      </c>
      <c r="B1635" t="s">
        <v>896</v>
      </c>
      <c r="C1635" t="s">
        <v>2327</v>
      </c>
      <c r="D1635">
        <v>964211</v>
      </c>
      <c r="E1635" t="s">
        <v>1379</v>
      </c>
    </row>
    <row r="1636" spans="1:5">
      <c r="A1636" t="s">
        <v>2321</v>
      </c>
      <c r="B1636" t="s">
        <v>896</v>
      </c>
      <c r="C1636" t="s">
        <v>1196</v>
      </c>
      <c r="D1636">
        <v>944892</v>
      </c>
      <c r="E1636" t="s">
        <v>948</v>
      </c>
    </row>
    <row r="1637" spans="1:5">
      <c r="A1637" t="s">
        <v>2321</v>
      </c>
      <c r="B1637" t="s">
        <v>896</v>
      </c>
      <c r="C1637" t="s">
        <v>2328</v>
      </c>
      <c r="D1637">
        <v>944892</v>
      </c>
      <c r="E1637" t="s">
        <v>948</v>
      </c>
    </row>
    <row r="1638" spans="1:5">
      <c r="A1638" t="s">
        <v>2321</v>
      </c>
      <c r="B1638" t="s">
        <v>896</v>
      </c>
      <c r="C1638" t="s">
        <v>1197</v>
      </c>
      <c r="D1638">
        <v>590029</v>
      </c>
      <c r="E1638" t="s">
        <v>157</v>
      </c>
    </row>
    <row r="1639" spans="1:5">
      <c r="A1639" t="s">
        <v>2321</v>
      </c>
      <c r="B1639" t="s">
        <v>896</v>
      </c>
      <c r="C1639" t="s">
        <v>2329</v>
      </c>
      <c r="D1639">
        <v>831512</v>
      </c>
      <c r="E1639" t="s">
        <v>81</v>
      </c>
    </row>
    <row r="1640" spans="1:5">
      <c r="A1640" t="s">
        <v>2321</v>
      </c>
      <c r="B1640" t="s">
        <v>896</v>
      </c>
      <c r="C1640" t="s">
        <v>1199</v>
      </c>
      <c r="D1640">
        <v>403667</v>
      </c>
      <c r="E1640" t="s">
        <v>613</v>
      </c>
    </row>
    <row r="1641" spans="1:5">
      <c r="A1641" t="s">
        <v>2321</v>
      </c>
      <c r="B1641" t="s">
        <v>896</v>
      </c>
      <c r="C1641" t="s">
        <v>2330</v>
      </c>
      <c r="D1641">
        <v>964211</v>
      </c>
      <c r="E1641" t="s">
        <v>1379</v>
      </c>
    </row>
    <row r="1642" spans="1:5">
      <c r="A1642" t="s">
        <v>2321</v>
      </c>
      <c r="B1642" t="s">
        <v>896</v>
      </c>
      <c r="C1642" t="s">
        <v>1200</v>
      </c>
      <c r="D1642">
        <v>210824</v>
      </c>
      <c r="E1642" t="s">
        <v>600</v>
      </c>
    </row>
    <row r="1643" spans="1:5">
      <c r="A1643" t="s">
        <v>2321</v>
      </c>
      <c r="B1643" t="s">
        <v>896</v>
      </c>
      <c r="C1643" t="s">
        <v>2331</v>
      </c>
      <c r="D1643">
        <v>873830</v>
      </c>
      <c r="E1643" t="s">
        <v>174</v>
      </c>
    </row>
    <row r="1644" spans="1:5">
      <c r="A1644" t="s">
        <v>2321</v>
      </c>
      <c r="B1644" t="s">
        <v>896</v>
      </c>
      <c r="C1644" t="s">
        <v>1201</v>
      </c>
      <c r="D1644">
        <v>590029</v>
      </c>
      <c r="E1644" t="s">
        <v>157</v>
      </c>
    </row>
    <row r="1645" spans="1:5">
      <c r="A1645" t="s">
        <v>2332</v>
      </c>
      <c r="B1645" t="s">
        <v>896</v>
      </c>
      <c r="C1645" t="s">
        <v>1313</v>
      </c>
      <c r="D1645">
        <v>466400</v>
      </c>
      <c r="E1645" t="s">
        <v>304</v>
      </c>
    </row>
    <row r="1646" spans="1:5">
      <c r="A1646" t="s">
        <v>2332</v>
      </c>
      <c r="B1646" t="s">
        <v>896</v>
      </c>
      <c r="C1646" t="s">
        <v>1270</v>
      </c>
      <c r="D1646">
        <v>978989</v>
      </c>
      <c r="E1646" t="s">
        <v>859</v>
      </c>
    </row>
    <row r="1647" spans="1:5">
      <c r="A1647" t="s">
        <v>2332</v>
      </c>
      <c r="B1647" t="s">
        <v>896</v>
      </c>
      <c r="C1647" t="s">
        <v>2333</v>
      </c>
      <c r="D1647">
        <v>959536</v>
      </c>
      <c r="E1647" t="s">
        <v>796</v>
      </c>
    </row>
    <row r="1648" spans="1:5">
      <c r="A1648" t="s">
        <v>2332</v>
      </c>
      <c r="B1648" t="s">
        <v>896</v>
      </c>
      <c r="C1648" t="s">
        <v>2334</v>
      </c>
      <c r="D1648">
        <v>920008</v>
      </c>
      <c r="E1648" t="s">
        <v>660</v>
      </c>
    </row>
    <row r="1649" spans="1:5">
      <c r="A1649" t="s">
        <v>2332</v>
      </c>
      <c r="B1649" t="s">
        <v>896</v>
      </c>
      <c r="C1649" t="s">
        <v>1364</v>
      </c>
      <c r="D1649">
        <v>957687</v>
      </c>
      <c r="E1649" t="s">
        <v>867</v>
      </c>
    </row>
    <row r="1650" spans="1:5">
      <c r="A1650" t="s">
        <v>2332</v>
      </c>
      <c r="B1650" t="s">
        <v>896</v>
      </c>
      <c r="C1650" t="s">
        <v>2335</v>
      </c>
      <c r="D1650">
        <v>957687</v>
      </c>
      <c r="E1650" t="s">
        <v>867</v>
      </c>
    </row>
    <row r="1651" spans="1:5">
      <c r="A1651" t="s">
        <v>2332</v>
      </c>
      <c r="B1651" t="s">
        <v>896</v>
      </c>
      <c r="C1651" t="s">
        <v>2336</v>
      </c>
      <c r="D1651">
        <v>711240</v>
      </c>
      <c r="E1651" t="s">
        <v>150</v>
      </c>
    </row>
    <row r="1652" spans="1:5">
      <c r="A1652" t="s">
        <v>2332</v>
      </c>
      <c r="B1652" t="s">
        <v>896</v>
      </c>
      <c r="C1652" t="s">
        <v>2336</v>
      </c>
      <c r="D1652">
        <v>746046</v>
      </c>
      <c r="E1652" t="s">
        <v>818</v>
      </c>
    </row>
    <row r="1653" spans="1:5">
      <c r="A1653" t="s">
        <v>2332</v>
      </c>
      <c r="B1653" t="s">
        <v>896</v>
      </c>
      <c r="C1653" t="s">
        <v>2336</v>
      </c>
      <c r="D1653">
        <v>803118</v>
      </c>
      <c r="E1653" t="s">
        <v>590</v>
      </c>
    </row>
    <row r="1654" spans="1:5">
      <c r="A1654" t="s">
        <v>2332</v>
      </c>
      <c r="B1654" t="s">
        <v>896</v>
      </c>
      <c r="C1654" t="s">
        <v>2336</v>
      </c>
      <c r="D1654">
        <v>623731</v>
      </c>
      <c r="E1654" t="s">
        <v>309</v>
      </c>
    </row>
    <row r="1655" spans="1:5">
      <c r="A1655" t="s">
        <v>2332</v>
      </c>
      <c r="B1655" t="s">
        <v>896</v>
      </c>
      <c r="C1655" t="s">
        <v>2337</v>
      </c>
      <c r="D1655">
        <v>741443</v>
      </c>
      <c r="E1655" t="s">
        <v>267</v>
      </c>
    </row>
    <row r="1656" spans="1:5">
      <c r="A1656" t="s">
        <v>2332</v>
      </c>
      <c r="B1656" t="s">
        <v>896</v>
      </c>
      <c r="C1656" t="s">
        <v>2337</v>
      </c>
      <c r="D1656">
        <v>105687</v>
      </c>
      <c r="E1656" t="s">
        <v>790</v>
      </c>
    </row>
    <row r="1657" spans="1:5">
      <c r="A1657" t="s">
        <v>2332</v>
      </c>
      <c r="B1657" t="s">
        <v>896</v>
      </c>
      <c r="C1657" t="s">
        <v>2337</v>
      </c>
      <c r="D1657">
        <v>162003</v>
      </c>
      <c r="E1657" t="s">
        <v>797</v>
      </c>
    </row>
    <row r="1658" spans="1:5">
      <c r="A1658" t="s">
        <v>2332</v>
      </c>
      <c r="B1658" t="s">
        <v>896</v>
      </c>
      <c r="C1658" t="s">
        <v>2337</v>
      </c>
      <c r="D1658">
        <v>646465</v>
      </c>
      <c r="E1658" t="s">
        <v>224</v>
      </c>
    </row>
    <row r="1659" spans="1:5">
      <c r="A1659" t="s">
        <v>2332</v>
      </c>
      <c r="B1659" t="s">
        <v>896</v>
      </c>
      <c r="C1659" t="s">
        <v>2338</v>
      </c>
      <c r="D1659">
        <v>964211</v>
      </c>
      <c r="E1659" t="s">
        <v>1379</v>
      </c>
    </row>
    <row r="1660" spans="1:5">
      <c r="A1660" t="s">
        <v>2332</v>
      </c>
      <c r="B1660" t="s">
        <v>896</v>
      </c>
      <c r="C1660" t="s">
        <v>2339</v>
      </c>
      <c r="D1660">
        <v>898849</v>
      </c>
      <c r="E1660" t="s">
        <v>301</v>
      </c>
    </row>
    <row r="1661" spans="1:5">
      <c r="A1661" t="s">
        <v>2332</v>
      </c>
      <c r="B1661" t="s">
        <v>896</v>
      </c>
      <c r="C1661" t="s">
        <v>2340</v>
      </c>
      <c r="D1661">
        <v>340877</v>
      </c>
      <c r="E1661" t="s">
        <v>299</v>
      </c>
    </row>
    <row r="1662" spans="1:5">
      <c r="A1662" t="s">
        <v>2332</v>
      </c>
      <c r="B1662" t="s">
        <v>896</v>
      </c>
      <c r="C1662" t="s">
        <v>2341</v>
      </c>
      <c r="D1662">
        <v>920008</v>
      </c>
      <c r="E1662" t="s">
        <v>660</v>
      </c>
    </row>
    <row r="1663" spans="1:5">
      <c r="A1663" t="s">
        <v>2332</v>
      </c>
      <c r="B1663" t="s">
        <v>896</v>
      </c>
      <c r="C1663" t="s">
        <v>2341</v>
      </c>
      <c r="D1663">
        <v>927352</v>
      </c>
      <c r="E1663" t="s">
        <v>110</v>
      </c>
    </row>
    <row r="1664" spans="1:5">
      <c r="A1664" t="s">
        <v>2332</v>
      </c>
      <c r="B1664" t="s">
        <v>896</v>
      </c>
      <c r="C1664" t="s">
        <v>1283</v>
      </c>
      <c r="D1664">
        <v>147814</v>
      </c>
      <c r="E1664" t="s">
        <v>762</v>
      </c>
    </row>
    <row r="1665" spans="1:5">
      <c r="A1665" t="s">
        <v>2332</v>
      </c>
      <c r="B1665" t="s">
        <v>896</v>
      </c>
      <c r="C1665" t="s">
        <v>2342</v>
      </c>
      <c r="D1665">
        <v>949052</v>
      </c>
      <c r="E1665" t="s">
        <v>552</v>
      </c>
    </row>
    <row r="1666" spans="1:5">
      <c r="A1666" t="s">
        <v>2332</v>
      </c>
      <c r="B1666" t="s">
        <v>896</v>
      </c>
      <c r="C1666" t="s">
        <v>1333</v>
      </c>
      <c r="D1666">
        <v>828268</v>
      </c>
      <c r="E1666" t="s">
        <v>30</v>
      </c>
    </row>
    <row r="1667" spans="1:5">
      <c r="A1667" t="s">
        <v>2332</v>
      </c>
      <c r="B1667" t="s">
        <v>896</v>
      </c>
      <c r="C1667" t="s">
        <v>1288</v>
      </c>
      <c r="D1667">
        <v>858791</v>
      </c>
      <c r="E1667" t="s">
        <v>1083</v>
      </c>
    </row>
    <row r="1668" spans="1:5">
      <c r="A1668" t="s">
        <v>2332</v>
      </c>
      <c r="B1668" t="s">
        <v>896</v>
      </c>
      <c r="C1668" t="s">
        <v>2343</v>
      </c>
      <c r="D1668">
        <v>957687</v>
      </c>
      <c r="E1668" t="s">
        <v>867</v>
      </c>
    </row>
    <row r="1669" spans="1:5">
      <c r="A1669" t="s">
        <v>2332</v>
      </c>
      <c r="B1669" t="s">
        <v>896</v>
      </c>
      <c r="C1669" t="s">
        <v>2344</v>
      </c>
      <c r="D1669">
        <v>175002</v>
      </c>
      <c r="E1669" t="s">
        <v>197</v>
      </c>
    </row>
    <row r="1670" spans="1:5">
      <c r="A1670" t="s">
        <v>2332</v>
      </c>
      <c r="B1670" t="s">
        <v>896</v>
      </c>
      <c r="C1670" t="s">
        <v>2345</v>
      </c>
      <c r="D1670">
        <v>693099</v>
      </c>
      <c r="E1670" t="s">
        <v>461</v>
      </c>
    </row>
    <row r="1671" spans="1:5">
      <c r="A1671" t="s">
        <v>2332</v>
      </c>
      <c r="B1671" t="s">
        <v>896</v>
      </c>
      <c r="C1671" t="s">
        <v>2346</v>
      </c>
      <c r="D1671">
        <v>978989</v>
      </c>
      <c r="E1671" t="s">
        <v>859</v>
      </c>
    </row>
    <row r="1672" spans="1:5">
      <c r="A1672" t="s">
        <v>2332</v>
      </c>
      <c r="B1672" t="s">
        <v>896</v>
      </c>
      <c r="C1672" t="s">
        <v>1295</v>
      </c>
      <c r="D1672">
        <v>806365</v>
      </c>
      <c r="E1672" t="s">
        <v>73</v>
      </c>
    </row>
    <row r="1673" spans="1:5">
      <c r="A1673" t="s">
        <v>2332</v>
      </c>
      <c r="B1673" t="s">
        <v>896</v>
      </c>
      <c r="C1673" t="s">
        <v>1295</v>
      </c>
      <c r="D1673">
        <v>487210</v>
      </c>
      <c r="E1673" t="s">
        <v>373</v>
      </c>
    </row>
    <row r="1674" spans="1:5">
      <c r="A1674" t="s">
        <v>2332</v>
      </c>
      <c r="B1674" t="s">
        <v>896</v>
      </c>
      <c r="C1674" t="s">
        <v>2347</v>
      </c>
      <c r="D1674">
        <v>610944</v>
      </c>
      <c r="E1674" t="s">
        <v>1210</v>
      </c>
    </row>
    <row r="1675" spans="1:5">
      <c r="A1675" t="s">
        <v>2348</v>
      </c>
      <c r="B1675" t="s">
        <v>896</v>
      </c>
      <c r="C1675" t="s">
        <v>2349</v>
      </c>
      <c r="D1675">
        <v>344349</v>
      </c>
      <c r="E1675" t="s">
        <v>362</v>
      </c>
    </row>
    <row r="1676" spans="1:5">
      <c r="A1676" t="s">
        <v>2348</v>
      </c>
      <c r="B1676" t="s">
        <v>896</v>
      </c>
      <c r="C1676" t="s">
        <v>2350</v>
      </c>
      <c r="D1676">
        <v>541315</v>
      </c>
      <c r="E1676" t="s">
        <v>374</v>
      </c>
    </row>
    <row r="1677" spans="1:5">
      <c r="A1677" t="s">
        <v>2348</v>
      </c>
      <c r="B1677" t="s">
        <v>896</v>
      </c>
      <c r="C1677" t="s">
        <v>2351</v>
      </c>
      <c r="D1677">
        <v>368256</v>
      </c>
      <c r="E1677" t="s">
        <v>661</v>
      </c>
    </row>
    <row r="1678" spans="1:5">
      <c r="A1678" t="s">
        <v>2348</v>
      </c>
      <c r="B1678" t="s">
        <v>896</v>
      </c>
      <c r="C1678" t="s">
        <v>2352</v>
      </c>
      <c r="D1678">
        <v>887315</v>
      </c>
      <c r="E1678" t="s">
        <v>725</v>
      </c>
    </row>
    <row r="1679" spans="1:5">
      <c r="A1679" t="s">
        <v>2348</v>
      </c>
      <c r="B1679" t="s">
        <v>896</v>
      </c>
      <c r="C1679" t="s">
        <v>2353</v>
      </c>
      <c r="D1679">
        <v>420519</v>
      </c>
      <c r="E1679" t="s">
        <v>544</v>
      </c>
    </row>
    <row r="1680" spans="1:5">
      <c r="A1680" t="s">
        <v>2348</v>
      </c>
      <c r="B1680" t="s">
        <v>896</v>
      </c>
      <c r="C1680" t="s">
        <v>2354</v>
      </c>
      <c r="D1680">
        <v>421212</v>
      </c>
      <c r="E1680" t="s">
        <v>680</v>
      </c>
    </row>
    <row r="1681" spans="1:5">
      <c r="A1681" t="s">
        <v>2348</v>
      </c>
      <c r="B1681" t="s">
        <v>896</v>
      </c>
      <c r="C1681" t="s">
        <v>2355</v>
      </c>
      <c r="D1681">
        <v>818752</v>
      </c>
      <c r="E1681" t="s">
        <v>376</v>
      </c>
    </row>
    <row r="1682" spans="1:5">
      <c r="A1682" t="s">
        <v>2348</v>
      </c>
      <c r="B1682" t="s">
        <v>896</v>
      </c>
      <c r="C1682" t="s">
        <v>2356</v>
      </c>
      <c r="D1682">
        <v>123129</v>
      </c>
      <c r="E1682" t="s">
        <v>809</v>
      </c>
    </row>
    <row r="1683" spans="1:5">
      <c r="A1683" t="s">
        <v>2348</v>
      </c>
      <c r="B1683" t="s">
        <v>896</v>
      </c>
      <c r="C1683" t="s">
        <v>2357</v>
      </c>
      <c r="D1683">
        <v>368256</v>
      </c>
      <c r="E1683" t="s">
        <v>661</v>
      </c>
    </row>
    <row r="1684" spans="1:5">
      <c r="A1684" t="s">
        <v>2348</v>
      </c>
      <c r="B1684" t="s">
        <v>896</v>
      </c>
      <c r="C1684" t="s">
        <v>2358</v>
      </c>
      <c r="D1684">
        <v>772113</v>
      </c>
      <c r="E1684" t="s">
        <v>202</v>
      </c>
    </row>
    <row r="1685" spans="1:5">
      <c r="A1685" t="s">
        <v>2348</v>
      </c>
      <c r="B1685" t="s">
        <v>896</v>
      </c>
      <c r="C1685" t="s">
        <v>2359</v>
      </c>
      <c r="D1685">
        <v>568663</v>
      </c>
      <c r="E1685" t="s">
        <v>379</v>
      </c>
    </row>
    <row r="1686" spans="1:5">
      <c r="A1686" t="s">
        <v>2348</v>
      </c>
      <c r="B1686" t="s">
        <v>896</v>
      </c>
      <c r="C1686" t="s">
        <v>2360</v>
      </c>
      <c r="D1686">
        <v>367133</v>
      </c>
      <c r="E1686" t="s">
        <v>667</v>
      </c>
    </row>
    <row r="1687" spans="1:5">
      <c r="A1687" t="s">
        <v>2348</v>
      </c>
      <c r="B1687" t="s">
        <v>896</v>
      </c>
      <c r="C1687" t="s">
        <v>2361</v>
      </c>
      <c r="D1687">
        <v>708613</v>
      </c>
      <c r="E1687" t="s">
        <v>489</v>
      </c>
    </row>
    <row r="1688" spans="1:5">
      <c r="A1688" t="s">
        <v>2348</v>
      </c>
      <c r="B1688" t="s">
        <v>896</v>
      </c>
      <c r="C1688" t="s">
        <v>2362</v>
      </c>
      <c r="D1688">
        <v>818752</v>
      </c>
      <c r="E1688" t="s">
        <v>376</v>
      </c>
    </row>
    <row r="1689" spans="1:5">
      <c r="A1689" t="s">
        <v>2348</v>
      </c>
      <c r="B1689" t="s">
        <v>896</v>
      </c>
      <c r="C1689" t="s">
        <v>2363</v>
      </c>
      <c r="D1689">
        <v>875441</v>
      </c>
      <c r="E1689" t="s">
        <v>160</v>
      </c>
    </row>
    <row r="1690" spans="1:5">
      <c r="A1690" t="s">
        <v>2348</v>
      </c>
      <c r="B1690" t="s">
        <v>896</v>
      </c>
      <c r="C1690" t="s">
        <v>2364</v>
      </c>
      <c r="D1690">
        <v>968584</v>
      </c>
      <c r="E1690" t="s">
        <v>2365</v>
      </c>
    </row>
    <row r="1691" spans="1:5">
      <c r="A1691" t="s">
        <v>2348</v>
      </c>
      <c r="B1691" t="s">
        <v>896</v>
      </c>
      <c r="C1691" t="s">
        <v>2366</v>
      </c>
      <c r="D1691">
        <v>96959</v>
      </c>
      <c r="E1691" t="s">
        <v>56</v>
      </c>
    </row>
    <row r="1692" spans="1:5">
      <c r="A1692" t="s">
        <v>2348</v>
      </c>
      <c r="B1692" t="s">
        <v>896</v>
      </c>
      <c r="C1692" t="s">
        <v>2367</v>
      </c>
      <c r="D1692">
        <v>772113</v>
      </c>
      <c r="E1692" t="s">
        <v>202</v>
      </c>
    </row>
    <row r="1693" spans="1:5">
      <c r="A1693" t="s">
        <v>2348</v>
      </c>
      <c r="B1693" t="s">
        <v>896</v>
      </c>
      <c r="C1693" t="s">
        <v>2368</v>
      </c>
      <c r="D1693">
        <v>818752</v>
      </c>
      <c r="E1693" t="s">
        <v>376</v>
      </c>
    </row>
    <row r="1694" spans="1:5">
      <c r="A1694" t="s">
        <v>2348</v>
      </c>
      <c r="B1694" t="s">
        <v>896</v>
      </c>
      <c r="C1694" t="s">
        <v>2369</v>
      </c>
      <c r="D1694">
        <v>957687</v>
      </c>
      <c r="E1694" t="s">
        <v>867</v>
      </c>
    </row>
    <row r="1695" spans="1:5">
      <c r="A1695" t="s">
        <v>2348</v>
      </c>
      <c r="B1695" t="s">
        <v>896</v>
      </c>
      <c r="C1695" t="s">
        <v>2370</v>
      </c>
      <c r="D1695">
        <v>496999</v>
      </c>
      <c r="E1695" t="s">
        <v>781</v>
      </c>
    </row>
    <row r="1696" spans="1:5">
      <c r="A1696" t="s">
        <v>2348</v>
      </c>
      <c r="B1696" t="s">
        <v>896</v>
      </c>
      <c r="C1696" t="s">
        <v>2371</v>
      </c>
      <c r="D1696">
        <v>765474</v>
      </c>
      <c r="E1696" t="s">
        <v>48</v>
      </c>
    </row>
    <row r="1697" spans="1:5">
      <c r="A1697" t="s">
        <v>2348</v>
      </c>
      <c r="B1697" t="s">
        <v>896</v>
      </c>
      <c r="C1697" t="s">
        <v>2372</v>
      </c>
      <c r="D1697">
        <v>420519</v>
      </c>
      <c r="E1697" t="s">
        <v>544</v>
      </c>
    </row>
    <row r="1698" spans="1:5">
      <c r="A1698" t="s">
        <v>2348</v>
      </c>
      <c r="B1698" t="s">
        <v>896</v>
      </c>
      <c r="C1698" t="s">
        <v>2373</v>
      </c>
      <c r="D1698">
        <v>239594</v>
      </c>
      <c r="E1698" t="s">
        <v>119</v>
      </c>
    </row>
    <row r="1699" spans="1:5">
      <c r="A1699" t="s">
        <v>2348</v>
      </c>
      <c r="B1699" t="s">
        <v>896</v>
      </c>
      <c r="C1699" t="s">
        <v>2374</v>
      </c>
      <c r="D1699">
        <v>568663</v>
      </c>
      <c r="E1699" t="s">
        <v>379</v>
      </c>
    </row>
    <row r="1700" spans="1:5">
      <c r="A1700" t="s">
        <v>2348</v>
      </c>
      <c r="B1700" t="s">
        <v>896</v>
      </c>
      <c r="C1700" t="s">
        <v>2375</v>
      </c>
      <c r="D1700">
        <v>610944</v>
      </c>
      <c r="E1700" t="s">
        <v>1210</v>
      </c>
    </row>
    <row r="1701" spans="1:5">
      <c r="A1701" t="s">
        <v>2348</v>
      </c>
      <c r="B1701" t="s">
        <v>896</v>
      </c>
      <c r="C1701" t="s">
        <v>2376</v>
      </c>
      <c r="D1701">
        <v>818752</v>
      </c>
      <c r="E1701" t="s">
        <v>376</v>
      </c>
    </row>
    <row r="1702" spans="1:5">
      <c r="A1702" t="s">
        <v>2348</v>
      </c>
      <c r="B1702" t="s">
        <v>896</v>
      </c>
      <c r="C1702" t="s">
        <v>2377</v>
      </c>
      <c r="D1702">
        <v>367133</v>
      </c>
      <c r="E1702" t="s">
        <v>667</v>
      </c>
    </row>
    <row r="1703" spans="1:5">
      <c r="A1703" t="s">
        <v>2348</v>
      </c>
      <c r="B1703" t="s">
        <v>896</v>
      </c>
      <c r="C1703" t="s">
        <v>2378</v>
      </c>
      <c r="D1703">
        <v>541315</v>
      </c>
      <c r="E1703" t="s">
        <v>374</v>
      </c>
    </row>
    <row r="1704" spans="1:5">
      <c r="A1704" t="s">
        <v>2348</v>
      </c>
      <c r="B1704" t="s">
        <v>896</v>
      </c>
      <c r="C1704" t="s">
        <v>2379</v>
      </c>
      <c r="D1704">
        <v>239594</v>
      </c>
      <c r="E1704" t="s">
        <v>119</v>
      </c>
    </row>
    <row r="1705" spans="1:5">
      <c r="A1705" t="s">
        <v>2380</v>
      </c>
      <c r="B1705" t="s">
        <v>896</v>
      </c>
      <c r="C1705" t="s">
        <v>1266</v>
      </c>
      <c r="D1705">
        <v>584071</v>
      </c>
      <c r="E1705" t="s">
        <v>138</v>
      </c>
    </row>
    <row r="1706" spans="1:5">
      <c r="A1706" t="s">
        <v>2380</v>
      </c>
      <c r="B1706" t="s">
        <v>896</v>
      </c>
      <c r="C1706" t="s">
        <v>1268</v>
      </c>
      <c r="D1706">
        <v>584071</v>
      </c>
      <c r="E1706" t="s">
        <v>138</v>
      </c>
    </row>
    <row r="1707" spans="1:5">
      <c r="A1707" t="s">
        <v>2380</v>
      </c>
      <c r="B1707" t="s">
        <v>896</v>
      </c>
      <c r="C1707" t="s">
        <v>1270</v>
      </c>
      <c r="D1707">
        <v>686974</v>
      </c>
      <c r="E1707" t="s">
        <v>712</v>
      </c>
    </row>
    <row r="1708" spans="1:5">
      <c r="A1708" t="s">
        <v>2380</v>
      </c>
      <c r="B1708" t="s">
        <v>896</v>
      </c>
      <c r="C1708" t="s">
        <v>1272</v>
      </c>
      <c r="D1708">
        <v>858450</v>
      </c>
      <c r="E1708" t="s">
        <v>764</v>
      </c>
    </row>
    <row r="1709" spans="1:5">
      <c r="A1709" t="s">
        <v>2380</v>
      </c>
      <c r="B1709" t="s">
        <v>896</v>
      </c>
      <c r="C1709" t="s">
        <v>1273</v>
      </c>
      <c r="D1709">
        <v>495533</v>
      </c>
      <c r="E1709" t="s">
        <v>147</v>
      </c>
    </row>
    <row r="1710" spans="1:5">
      <c r="A1710" t="s">
        <v>2380</v>
      </c>
      <c r="B1710" t="s">
        <v>896</v>
      </c>
      <c r="C1710" t="s">
        <v>1275</v>
      </c>
      <c r="D1710">
        <v>681494</v>
      </c>
      <c r="E1710" t="s">
        <v>535</v>
      </c>
    </row>
    <row r="1711" spans="1:5">
      <c r="A1711" t="s">
        <v>2380</v>
      </c>
      <c r="B1711" t="s">
        <v>896</v>
      </c>
      <c r="C1711" t="s">
        <v>1277</v>
      </c>
      <c r="D1711">
        <v>716693</v>
      </c>
      <c r="E1711" t="s">
        <v>551</v>
      </c>
    </row>
    <row r="1712" spans="1:5">
      <c r="A1712" t="s">
        <v>2380</v>
      </c>
      <c r="B1712" t="s">
        <v>896</v>
      </c>
      <c r="C1712" t="s">
        <v>1280</v>
      </c>
      <c r="D1712">
        <v>872540</v>
      </c>
      <c r="E1712" t="s">
        <v>733</v>
      </c>
    </row>
    <row r="1713" spans="1:5">
      <c r="A1713" t="s">
        <v>2380</v>
      </c>
      <c r="B1713" t="s">
        <v>896</v>
      </c>
      <c r="C1713" t="s">
        <v>1281</v>
      </c>
      <c r="D1713">
        <v>686972</v>
      </c>
      <c r="E1713" t="s">
        <v>417</v>
      </c>
    </row>
    <row r="1714" spans="1:5">
      <c r="A1714" t="s">
        <v>2380</v>
      </c>
      <c r="B1714" t="s">
        <v>896</v>
      </c>
      <c r="C1714" t="s">
        <v>1283</v>
      </c>
      <c r="D1714">
        <v>584071</v>
      </c>
      <c r="E1714" t="s">
        <v>138</v>
      </c>
    </row>
    <row r="1715" spans="1:5">
      <c r="A1715" t="s">
        <v>2380</v>
      </c>
      <c r="B1715" t="s">
        <v>896</v>
      </c>
      <c r="C1715" t="s">
        <v>1285</v>
      </c>
      <c r="D1715">
        <v>686974</v>
      </c>
      <c r="E1715" t="s">
        <v>712</v>
      </c>
    </row>
    <row r="1716" spans="1:5">
      <c r="A1716" t="s">
        <v>2380</v>
      </c>
      <c r="B1716" t="s">
        <v>896</v>
      </c>
      <c r="C1716" t="s">
        <v>1287</v>
      </c>
      <c r="D1716">
        <v>833503</v>
      </c>
      <c r="E1716" t="s">
        <v>230</v>
      </c>
    </row>
    <row r="1717" spans="1:5">
      <c r="A1717" t="s">
        <v>2380</v>
      </c>
      <c r="B1717" t="s">
        <v>896</v>
      </c>
      <c r="C1717" t="s">
        <v>1288</v>
      </c>
      <c r="D1717">
        <v>872540</v>
      </c>
      <c r="E1717" t="s">
        <v>733</v>
      </c>
    </row>
    <row r="1718" spans="1:5">
      <c r="A1718" t="s">
        <v>2380</v>
      </c>
      <c r="B1718" t="s">
        <v>896</v>
      </c>
      <c r="C1718" t="s">
        <v>1290</v>
      </c>
      <c r="D1718">
        <v>872540</v>
      </c>
      <c r="E1718" t="s">
        <v>733</v>
      </c>
    </row>
    <row r="1719" spans="1:5">
      <c r="A1719" t="s">
        <v>2380</v>
      </c>
      <c r="B1719" t="s">
        <v>896</v>
      </c>
      <c r="C1719" t="s">
        <v>1292</v>
      </c>
      <c r="D1719">
        <v>716693</v>
      </c>
      <c r="E1719" t="s">
        <v>551</v>
      </c>
    </row>
    <row r="1720" spans="1:5">
      <c r="A1720" t="s">
        <v>2380</v>
      </c>
      <c r="B1720" t="s">
        <v>896</v>
      </c>
      <c r="C1720" t="s">
        <v>1294</v>
      </c>
      <c r="D1720">
        <v>681494</v>
      </c>
      <c r="E1720" t="s">
        <v>535</v>
      </c>
    </row>
    <row r="1721" spans="1:5">
      <c r="A1721" t="s">
        <v>2380</v>
      </c>
      <c r="B1721" t="s">
        <v>896</v>
      </c>
      <c r="C1721" t="s">
        <v>1295</v>
      </c>
      <c r="D1721">
        <v>686972</v>
      </c>
      <c r="E1721" t="s">
        <v>417</v>
      </c>
    </row>
    <row r="1722" spans="1:5">
      <c r="A1722" t="s">
        <v>2380</v>
      </c>
      <c r="B1722" t="s">
        <v>896</v>
      </c>
      <c r="C1722" t="s">
        <v>1297</v>
      </c>
      <c r="D1722">
        <v>584071</v>
      </c>
      <c r="E1722" t="s">
        <v>138</v>
      </c>
    </row>
    <row r="1723" spans="1:5">
      <c r="A1723" t="s">
        <v>2381</v>
      </c>
      <c r="B1723" t="s">
        <v>896</v>
      </c>
      <c r="C1723" t="s">
        <v>2382</v>
      </c>
      <c r="D1723">
        <v>830884</v>
      </c>
      <c r="E1723" t="s">
        <v>587</v>
      </c>
    </row>
    <row r="1724" spans="1:5">
      <c r="A1724" t="s">
        <v>2381</v>
      </c>
      <c r="B1724" t="s">
        <v>896</v>
      </c>
      <c r="C1724" t="s">
        <v>2382</v>
      </c>
      <c r="D1724">
        <v>237426</v>
      </c>
      <c r="E1724" t="s">
        <v>708</v>
      </c>
    </row>
    <row r="1725" spans="1:5">
      <c r="A1725" t="s">
        <v>2381</v>
      </c>
      <c r="B1725" t="s">
        <v>896</v>
      </c>
      <c r="C1725" t="s">
        <v>2382</v>
      </c>
      <c r="D1725">
        <v>970202</v>
      </c>
      <c r="E1725" t="s">
        <v>836</v>
      </c>
    </row>
    <row r="1726" spans="1:5">
      <c r="A1726" t="s">
        <v>2381</v>
      </c>
      <c r="B1726" t="s">
        <v>896</v>
      </c>
      <c r="C1726" t="s">
        <v>2382</v>
      </c>
      <c r="D1726">
        <v>174416</v>
      </c>
      <c r="E1726" t="s">
        <v>921</v>
      </c>
    </row>
    <row r="1727" spans="1:5">
      <c r="A1727" t="s">
        <v>2381</v>
      </c>
      <c r="B1727" t="s">
        <v>896</v>
      </c>
      <c r="C1727" t="s">
        <v>2383</v>
      </c>
      <c r="D1727">
        <v>623934</v>
      </c>
      <c r="E1727" t="s">
        <v>364</v>
      </c>
    </row>
    <row r="1728" spans="1:5">
      <c r="A1728" t="s">
        <v>2381</v>
      </c>
      <c r="B1728" t="s">
        <v>896</v>
      </c>
      <c r="C1728" t="s">
        <v>2383</v>
      </c>
      <c r="D1728">
        <v>902755</v>
      </c>
      <c r="E1728" t="s">
        <v>231</v>
      </c>
    </row>
    <row r="1729" spans="1:5">
      <c r="A1729" t="s">
        <v>2381</v>
      </c>
      <c r="B1729" t="s">
        <v>896</v>
      </c>
      <c r="C1729" t="s">
        <v>2383</v>
      </c>
      <c r="D1729">
        <v>828268</v>
      </c>
      <c r="E1729" t="s">
        <v>30</v>
      </c>
    </row>
    <row r="1730" spans="1:5">
      <c r="A1730" t="s">
        <v>2381</v>
      </c>
      <c r="B1730" t="s">
        <v>896</v>
      </c>
      <c r="C1730" t="s">
        <v>2384</v>
      </c>
      <c r="D1730">
        <v>174416</v>
      </c>
      <c r="E1730" t="s">
        <v>921</v>
      </c>
    </row>
    <row r="1731" spans="1:5">
      <c r="A1731" t="s">
        <v>2381</v>
      </c>
      <c r="B1731" t="s">
        <v>896</v>
      </c>
      <c r="C1731" t="s">
        <v>2385</v>
      </c>
      <c r="D1731">
        <v>775465</v>
      </c>
      <c r="E1731" t="s">
        <v>571</v>
      </c>
    </row>
    <row r="1732" spans="1:5">
      <c r="A1732" t="s">
        <v>2381</v>
      </c>
      <c r="B1732" t="s">
        <v>896</v>
      </c>
      <c r="C1732" t="s">
        <v>2385</v>
      </c>
      <c r="D1732">
        <v>215276</v>
      </c>
      <c r="E1732" t="s">
        <v>529</v>
      </c>
    </row>
    <row r="1733" spans="1:5">
      <c r="A1733" t="s">
        <v>2381</v>
      </c>
      <c r="B1733" t="s">
        <v>896</v>
      </c>
      <c r="C1733" t="s">
        <v>2385</v>
      </c>
      <c r="D1733">
        <v>859332</v>
      </c>
      <c r="E1733" t="s">
        <v>271</v>
      </c>
    </row>
    <row r="1734" spans="1:5">
      <c r="A1734" t="s">
        <v>2381</v>
      </c>
      <c r="B1734" t="s">
        <v>896</v>
      </c>
      <c r="C1734" t="s">
        <v>2385</v>
      </c>
      <c r="D1734">
        <v>486886</v>
      </c>
      <c r="E1734" t="s">
        <v>29</v>
      </c>
    </row>
    <row r="1735" spans="1:5">
      <c r="A1735" t="s">
        <v>2381</v>
      </c>
      <c r="B1735" t="s">
        <v>896</v>
      </c>
      <c r="C1735" t="s">
        <v>2386</v>
      </c>
      <c r="D1735">
        <v>237426</v>
      </c>
      <c r="E1735" t="s">
        <v>708</v>
      </c>
    </row>
    <row r="1736" spans="1:5">
      <c r="A1736" t="s">
        <v>2381</v>
      </c>
      <c r="B1736" t="s">
        <v>896</v>
      </c>
      <c r="C1736" t="s">
        <v>2386</v>
      </c>
      <c r="D1736">
        <v>926434</v>
      </c>
      <c r="E1736" t="s">
        <v>407</v>
      </c>
    </row>
    <row r="1737" spans="1:5">
      <c r="A1737" t="s">
        <v>2381</v>
      </c>
      <c r="B1737" t="s">
        <v>896</v>
      </c>
      <c r="C1737" t="s">
        <v>2387</v>
      </c>
      <c r="D1737">
        <v>898849</v>
      </c>
      <c r="E1737" t="s">
        <v>301</v>
      </c>
    </row>
    <row r="1738" spans="1:5">
      <c r="A1738" t="s">
        <v>2381</v>
      </c>
      <c r="B1738" t="s">
        <v>896</v>
      </c>
      <c r="C1738" t="s">
        <v>2387</v>
      </c>
      <c r="D1738">
        <v>770790</v>
      </c>
      <c r="E1738" t="s">
        <v>365</v>
      </c>
    </row>
    <row r="1739" spans="1:5">
      <c r="A1739" t="s">
        <v>2381</v>
      </c>
      <c r="B1739" t="s">
        <v>896</v>
      </c>
      <c r="C1739" t="s">
        <v>2388</v>
      </c>
      <c r="D1739">
        <v>921659</v>
      </c>
      <c r="E1739" t="s">
        <v>356</v>
      </c>
    </row>
    <row r="1740" spans="1:5">
      <c r="A1740" t="s">
        <v>2381</v>
      </c>
      <c r="B1740" t="s">
        <v>896</v>
      </c>
      <c r="C1740" t="s">
        <v>2388</v>
      </c>
      <c r="D1740">
        <v>174416</v>
      </c>
      <c r="E1740" t="s">
        <v>921</v>
      </c>
    </row>
    <row r="1741" spans="1:5">
      <c r="A1741" t="s">
        <v>2381</v>
      </c>
      <c r="B1741" t="s">
        <v>896</v>
      </c>
      <c r="C1741" t="s">
        <v>2388</v>
      </c>
      <c r="D1741">
        <v>847686</v>
      </c>
      <c r="E1741" t="s">
        <v>343</v>
      </c>
    </row>
    <row r="1742" spans="1:5">
      <c r="A1742" t="s">
        <v>2381</v>
      </c>
      <c r="B1742" t="s">
        <v>896</v>
      </c>
      <c r="C1742" t="s">
        <v>2389</v>
      </c>
      <c r="D1742">
        <v>597434</v>
      </c>
      <c r="E1742" t="s">
        <v>47</v>
      </c>
    </row>
    <row r="1743" spans="1:5">
      <c r="A1743" t="s">
        <v>2381</v>
      </c>
      <c r="B1743" t="s">
        <v>896</v>
      </c>
      <c r="C1743" t="s">
        <v>2389</v>
      </c>
      <c r="D1743">
        <v>990225</v>
      </c>
      <c r="E1743" t="s">
        <v>858</v>
      </c>
    </row>
    <row r="1744" spans="1:5">
      <c r="A1744" t="s">
        <v>2381</v>
      </c>
      <c r="B1744" t="s">
        <v>896</v>
      </c>
      <c r="C1744" t="s">
        <v>2389</v>
      </c>
      <c r="D1744">
        <v>215276</v>
      </c>
      <c r="E1744" t="s">
        <v>529</v>
      </c>
    </row>
    <row r="1745" spans="1:5">
      <c r="A1745" t="s">
        <v>2390</v>
      </c>
      <c r="B1745" t="s">
        <v>896</v>
      </c>
      <c r="C1745" t="s">
        <v>2391</v>
      </c>
      <c r="D1745">
        <v>314692</v>
      </c>
      <c r="E1745" t="s">
        <v>516</v>
      </c>
    </row>
    <row r="1746" spans="1:5">
      <c r="A1746" t="s">
        <v>2390</v>
      </c>
      <c r="B1746" t="s">
        <v>896</v>
      </c>
      <c r="C1746" t="s">
        <v>2391</v>
      </c>
      <c r="D1746">
        <v>369430</v>
      </c>
      <c r="E1746" t="s">
        <v>2392</v>
      </c>
    </row>
    <row r="1747" spans="1:5">
      <c r="A1747" t="s">
        <v>2390</v>
      </c>
      <c r="B1747" t="s">
        <v>896</v>
      </c>
      <c r="C1747" t="s">
        <v>2393</v>
      </c>
      <c r="D1747">
        <v>314692</v>
      </c>
      <c r="E1747" t="s">
        <v>516</v>
      </c>
    </row>
    <row r="1748" spans="1:5">
      <c r="A1748" t="s">
        <v>2390</v>
      </c>
      <c r="B1748" t="s">
        <v>896</v>
      </c>
      <c r="C1748" t="s">
        <v>2393</v>
      </c>
      <c r="D1748">
        <v>933107</v>
      </c>
      <c r="E1748" t="s">
        <v>1458</v>
      </c>
    </row>
    <row r="1749" spans="1:5">
      <c r="A1749" t="s">
        <v>2390</v>
      </c>
      <c r="B1749" t="s">
        <v>896</v>
      </c>
      <c r="C1749" t="s">
        <v>2393</v>
      </c>
      <c r="D1749">
        <v>696603</v>
      </c>
      <c r="E1749" t="s">
        <v>458</v>
      </c>
    </row>
    <row r="1750" spans="1:5">
      <c r="A1750" t="s">
        <v>2390</v>
      </c>
      <c r="B1750" t="s">
        <v>896</v>
      </c>
      <c r="C1750" t="s">
        <v>2394</v>
      </c>
      <c r="D1750">
        <v>244036</v>
      </c>
      <c r="E1750" t="s">
        <v>363</v>
      </c>
    </row>
    <row r="1751" spans="1:5">
      <c r="A1751" t="s">
        <v>2390</v>
      </c>
      <c r="B1751" t="s">
        <v>896</v>
      </c>
      <c r="C1751" t="s">
        <v>2394</v>
      </c>
      <c r="D1751">
        <v>970070</v>
      </c>
      <c r="E1751" t="s">
        <v>697</v>
      </c>
    </row>
    <row r="1752" spans="1:5">
      <c r="A1752" t="s">
        <v>2390</v>
      </c>
      <c r="B1752" t="s">
        <v>896</v>
      </c>
      <c r="C1752" t="s">
        <v>2395</v>
      </c>
      <c r="D1752">
        <v>728700</v>
      </c>
      <c r="E1752" t="s">
        <v>249</v>
      </c>
    </row>
    <row r="1753" spans="1:5">
      <c r="A1753" t="s">
        <v>2390</v>
      </c>
      <c r="B1753" t="s">
        <v>896</v>
      </c>
      <c r="C1753" t="s">
        <v>2395</v>
      </c>
      <c r="D1753">
        <v>968584</v>
      </c>
      <c r="E1753" t="s">
        <v>143</v>
      </c>
    </row>
    <row r="1754" spans="1:5">
      <c r="A1754" t="s">
        <v>2390</v>
      </c>
      <c r="B1754" t="s">
        <v>896</v>
      </c>
      <c r="C1754" t="s">
        <v>2395</v>
      </c>
      <c r="D1754">
        <v>314692</v>
      </c>
      <c r="E1754" t="s">
        <v>516</v>
      </c>
    </row>
    <row r="1755" spans="1:5">
      <c r="A1755" t="s">
        <v>2390</v>
      </c>
      <c r="B1755" t="s">
        <v>896</v>
      </c>
      <c r="C1755" t="s">
        <v>2396</v>
      </c>
      <c r="D1755">
        <v>314692</v>
      </c>
      <c r="E1755" t="s">
        <v>516</v>
      </c>
    </row>
    <row r="1756" spans="1:5">
      <c r="A1756" t="s">
        <v>2390</v>
      </c>
      <c r="B1756" t="s">
        <v>896</v>
      </c>
      <c r="C1756" t="s">
        <v>2396</v>
      </c>
      <c r="D1756">
        <v>369430</v>
      </c>
      <c r="E1756" t="s">
        <v>2392</v>
      </c>
    </row>
    <row r="1757" spans="1:5">
      <c r="A1757" t="s">
        <v>2390</v>
      </c>
      <c r="B1757" t="s">
        <v>896</v>
      </c>
      <c r="C1757" t="s">
        <v>2397</v>
      </c>
      <c r="D1757">
        <v>933107</v>
      </c>
      <c r="E1757" t="s">
        <v>1458</v>
      </c>
    </row>
    <row r="1758" spans="1:5">
      <c r="A1758" t="s">
        <v>2390</v>
      </c>
      <c r="B1758" t="s">
        <v>896</v>
      </c>
      <c r="C1758" t="s">
        <v>2397</v>
      </c>
      <c r="D1758">
        <v>314692</v>
      </c>
      <c r="E1758" t="s">
        <v>516</v>
      </c>
    </row>
    <row r="1759" spans="1:5">
      <c r="A1759" t="s">
        <v>2390</v>
      </c>
      <c r="B1759" t="s">
        <v>896</v>
      </c>
      <c r="C1759" t="s">
        <v>2397</v>
      </c>
      <c r="D1759">
        <v>988224</v>
      </c>
      <c r="E1759" t="s">
        <v>857</v>
      </c>
    </row>
    <row r="1760" spans="1:5">
      <c r="A1760" t="s">
        <v>2390</v>
      </c>
      <c r="B1760" t="s">
        <v>896</v>
      </c>
      <c r="C1760" t="s">
        <v>2398</v>
      </c>
      <c r="D1760">
        <v>871573</v>
      </c>
      <c r="E1760" t="s">
        <v>1463</v>
      </c>
    </row>
    <row r="1761" spans="1:5">
      <c r="A1761" t="s">
        <v>2390</v>
      </c>
      <c r="B1761" t="s">
        <v>896</v>
      </c>
      <c r="C1761" t="s">
        <v>2398</v>
      </c>
      <c r="D1761">
        <v>314692</v>
      </c>
      <c r="E1761" t="s">
        <v>516</v>
      </c>
    </row>
    <row r="1762" spans="1:5">
      <c r="A1762" t="s">
        <v>2390</v>
      </c>
      <c r="B1762" t="s">
        <v>896</v>
      </c>
      <c r="C1762" t="s">
        <v>2399</v>
      </c>
      <c r="D1762">
        <v>933107</v>
      </c>
      <c r="E1762" t="s">
        <v>1458</v>
      </c>
    </row>
    <row r="1763" spans="1:5">
      <c r="A1763" t="s">
        <v>2390</v>
      </c>
      <c r="B1763" t="s">
        <v>896</v>
      </c>
      <c r="C1763" t="s">
        <v>2399</v>
      </c>
      <c r="D1763">
        <v>314692</v>
      </c>
      <c r="E1763" t="s">
        <v>516</v>
      </c>
    </row>
    <row r="1764" spans="1:5">
      <c r="A1764" t="s">
        <v>2390</v>
      </c>
      <c r="B1764" t="s">
        <v>896</v>
      </c>
      <c r="C1764" t="s">
        <v>2399</v>
      </c>
      <c r="D1764">
        <v>202505</v>
      </c>
      <c r="E1764" t="s">
        <v>686</v>
      </c>
    </row>
    <row r="1765" spans="1:5">
      <c r="A1765" t="s">
        <v>2390</v>
      </c>
      <c r="B1765" t="s">
        <v>896</v>
      </c>
      <c r="C1765" t="s">
        <v>2400</v>
      </c>
      <c r="D1765">
        <v>314692</v>
      </c>
      <c r="E1765" t="s">
        <v>516</v>
      </c>
    </row>
    <row r="1766" spans="1:5">
      <c r="A1766" t="s">
        <v>2390</v>
      </c>
      <c r="B1766" t="s">
        <v>896</v>
      </c>
      <c r="C1766" t="s">
        <v>2400</v>
      </c>
      <c r="D1766">
        <v>887353</v>
      </c>
      <c r="E1766" t="s">
        <v>2401</v>
      </c>
    </row>
    <row r="1767" spans="1:5">
      <c r="A1767" t="s">
        <v>2402</v>
      </c>
      <c r="B1767" t="s">
        <v>896</v>
      </c>
      <c r="C1767" t="s">
        <v>2403</v>
      </c>
      <c r="D1767">
        <v>547872</v>
      </c>
      <c r="E1767" t="s">
        <v>527</v>
      </c>
    </row>
    <row r="1768" spans="1:5">
      <c r="A1768" t="s">
        <v>2402</v>
      </c>
      <c r="B1768" t="s">
        <v>896</v>
      </c>
      <c r="C1768" t="s">
        <v>1362</v>
      </c>
      <c r="D1768">
        <v>617808</v>
      </c>
      <c r="E1768" t="s">
        <v>34</v>
      </c>
    </row>
    <row r="1769" spans="1:5">
      <c r="A1769" t="s">
        <v>2402</v>
      </c>
      <c r="B1769" t="s">
        <v>896</v>
      </c>
      <c r="C1769" t="s">
        <v>1362</v>
      </c>
      <c r="D1769">
        <v>394635</v>
      </c>
      <c r="E1769" t="s">
        <v>659</v>
      </c>
    </row>
    <row r="1770" spans="1:5">
      <c r="A1770" t="s">
        <v>2402</v>
      </c>
      <c r="B1770" t="s">
        <v>896</v>
      </c>
      <c r="C1770" t="s">
        <v>2404</v>
      </c>
      <c r="D1770">
        <v>617808</v>
      </c>
      <c r="E1770" t="s">
        <v>34</v>
      </c>
    </row>
    <row r="1771" spans="1:5">
      <c r="A1771" t="s">
        <v>2402</v>
      </c>
      <c r="B1771" t="s">
        <v>896</v>
      </c>
      <c r="C1771" t="s">
        <v>2404</v>
      </c>
      <c r="D1771">
        <v>394635</v>
      </c>
      <c r="E1771" t="s">
        <v>659</v>
      </c>
    </row>
    <row r="1772" spans="1:5">
      <c r="A1772" t="s">
        <v>2402</v>
      </c>
      <c r="B1772" t="s">
        <v>896</v>
      </c>
      <c r="C1772" t="s">
        <v>2405</v>
      </c>
      <c r="D1772">
        <v>578977</v>
      </c>
      <c r="E1772" t="s">
        <v>875</v>
      </c>
    </row>
    <row r="1773" spans="1:5">
      <c r="A1773" t="s">
        <v>2402</v>
      </c>
      <c r="B1773" t="s">
        <v>896</v>
      </c>
      <c r="C1773" t="s">
        <v>1364</v>
      </c>
      <c r="D1773">
        <v>394635</v>
      </c>
      <c r="E1773" t="s">
        <v>659</v>
      </c>
    </row>
    <row r="1774" spans="1:5">
      <c r="A1774" t="s">
        <v>2402</v>
      </c>
      <c r="B1774" t="s">
        <v>896</v>
      </c>
      <c r="C1774" t="s">
        <v>2406</v>
      </c>
      <c r="D1774">
        <v>468423</v>
      </c>
      <c r="E1774" t="s">
        <v>393</v>
      </c>
    </row>
    <row r="1775" spans="1:5">
      <c r="A1775" t="s">
        <v>2402</v>
      </c>
      <c r="B1775" t="s">
        <v>896</v>
      </c>
      <c r="C1775" t="s">
        <v>2406</v>
      </c>
      <c r="D1775">
        <v>957687</v>
      </c>
      <c r="E1775" t="s">
        <v>867</v>
      </c>
    </row>
    <row r="1776" spans="1:5">
      <c r="A1776" t="s">
        <v>2402</v>
      </c>
      <c r="B1776" t="s">
        <v>896</v>
      </c>
      <c r="C1776" t="s">
        <v>2407</v>
      </c>
      <c r="D1776">
        <v>957687</v>
      </c>
      <c r="E1776" t="s">
        <v>867</v>
      </c>
    </row>
    <row r="1777" spans="1:5">
      <c r="A1777" t="s">
        <v>2402</v>
      </c>
      <c r="B1777" t="s">
        <v>896</v>
      </c>
      <c r="C1777" t="s">
        <v>2407</v>
      </c>
      <c r="D1777">
        <v>617808</v>
      </c>
      <c r="E1777" t="s">
        <v>34</v>
      </c>
    </row>
    <row r="1778" spans="1:5">
      <c r="A1778" t="s">
        <v>2402</v>
      </c>
      <c r="B1778" t="s">
        <v>896</v>
      </c>
      <c r="C1778" t="s">
        <v>2408</v>
      </c>
      <c r="D1778">
        <v>578977</v>
      </c>
      <c r="E1778" t="s">
        <v>875</v>
      </c>
    </row>
    <row r="1779" spans="1:5">
      <c r="A1779" t="s">
        <v>2402</v>
      </c>
      <c r="B1779" t="s">
        <v>896</v>
      </c>
      <c r="C1779" t="s">
        <v>1366</v>
      </c>
      <c r="D1779">
        <v>957687</v>
      </c>
      <c r="E1779" t="s">
        <v>867</v>
      </c>
    </row>
    <row r="1780" spans="1:5">
      <c r="A1780" t="s">
        <v>2402</v>
      </c>
      <c r="B1780" t="s">
        <v>896</v>
      </c>
      <c r="C1780" t="s">
        <v>2409</v>
      </c>
      <c r="D1780">
        <v>394635</v>
      </c>
      <c r="E1780" t="s">
        <v>659</v>
      </c>
    </row>
    <row r="1781" spans="1:5">
      <c r="A1781" t="s">
        <v>2402</v>
      </c>
      <c r="B1781" t="s">
        <v>896</v>
      </c>
      <c r="C1781" t="s">
        <v>2410</v>
      </c>
      <c r="D1781">
        <v>578977</v>
      </c>
      <c r="E1781" t="s">
        <v>875</v>
      </c>
    </row>
    <row r="1782" spans="1:5">
      <c r="A1782" t="s">
        <v>2402</v>
      </c>
      <c r="B1782" t="s">
        <v>896</v>
      </c>
      <c r="C1782" t="s">
        <v>2411</v>
      </c>
      <c r="D1782">
        <v>864086</v>
      </c>
      <c r="E1782" t="s">
        <v>866</v>
      </c>
    </row>
    <row r="1783" spans="1:5">
      <c r="A1783" t="s">
        <v>2402</v>
      </c>
      <c r="B1783" t="s">
        <v>896</v>
      </c>
      <c r="C1783" t="s">
        <v>2411</v>
      </c>
      <c r="D1783">
        <v>267168</v>
      </c>
      <c r="E1783" t="s">
        <v>206</v>
      </c>
    </row>
    <row r="1784" spans="1:5">
      <c r="A1784" t="s">
        <v>2402</v>
      </c>
      <c r="B1784" t="s">
        <v>896</v>
      </c>
      <c r="C1784" t="s">
        <v>1368</v>
      </c>
      <c r="D1784">
        <v>394635</v>
      </c>
      <c r="E1784" t="s">
        <v>659</v>
      </c>
    </row>
    <row r="1785" spans="1:5">
      <c r="A1785" t="s">
        <v>2402</v>
      </c>
      <c r="B1785" t="s">
        <v>896</v>
      </c>
      <c r="C1785" t="s">
        <v>2412</v>
      </c>
      <c r="D1785">
        <v>468423</v>
      </c>
      <c r="E1785" t="s">
        <v>393</v>
      </c>
    </row>
    <row r="1786" spans="1:5">
      <c r="A1786" t="s">
        <v>2402</v>
      </c>
      <c r="B1786" t="s">
        <v>896</v>
      </c>
      <c r="C1786" t="s">
        <v>1370</v>
      </c>
      <c r="D1786">
        <v>128554</v>
      </c>
      <c r="E1786" t="s">
        <v>709</v>
      </c>
    </row>
    <row r="1787" spans="1:5">
      <c r="A1787" t="s">
        <v>2402</v>
      </c>
      <c r="B1787" t="s">
        <v>896</v>
      </c>
      <c r="C1787" t="s">
        <v>1370</v>
      </c>
      <c r="D1787">
        <v>394635</v>
      </c>
      <c r="E1787" t="s">
        <v>659</v>
      </c>
    </row>
    <row r="1788" spans="1:5">
      <c r="A1788" t="s">
        <v>2413</v>
      </c>
      <c r="B1788" t="s">
        <v>896</v>
      </c>
      <c r="C1788" t="s">
        <v>2414</v>
      </c>
      <c r="D1788">
        <v>618122</v>
      </c>
      <c r="E1788" t="s">
        <v>783</v>
      </c>
    </row>
    <row r="1789" spans="1:5">
      <c r="A1789" t="s">
        <v>2413</v>
      </c>
      <c r="B1789" t="s">
        <v>896</v>
      </c>
      <c r="C1789" t="s">
        <v>2406</v>
      </c>
      <c r="D1789">
        <v>859332</v>
      </c>
      <c r="E1789" t="s">
        <v>271</v>
      </c>
    </row>
    <row r="1790" spans="1:5">
      <c r="A1790" t="s">
        <v>2413</v>
      </c>
      <c r="B1790" t="s">
        <v>896</v>
      </c>
      <c r="C1790" t="s">
        <v>2409</v>
      </c>
      <c r="D1790">
        <v>343330</v>
      </c>
      <c r="E1790" t="s">
        <v>117</v>
      </c>
    </row>
    <row r="1791" spans="1:5">
      <c r="A1791" t="s">
        <v>2413</v>
      </c>
      <c r="B1791" t="s">
        <v>896</v>
      </c>
      <c r="C1791" t="s">
        <v>2415</v>
      </c>
      <c r="D1791">
        <v>246792</v>
      </c>
      <c r="E1791" t="s">
        <v>116</v>
      </c>
    </row>
    <row r="1792" spans="1:5">
      <c r="A1792" t="s">
        <v>2416</v>
      </c>
      <c r="B1792" t="s">
        <v>896</v>
      </c>
      <c r="C1792" t="s">
        <v>2417</v>
      </c>
      <c r="D1792">
        <v>628110</v>
      </c>
      <c r="E1792" t="s">
        <v>584</v>
      </c>
    </row>
    <row r="1793" spans="1:5">
      <c r="A1793" t="s">
        <v>2416</v>
      </c>
      <c r="B1793" t="s">
        <v>896</v>
      </c>
      <c r="C1793" t="s">
        <v>2417</v>
      </c>
      <c r="D1793">
        <v>479121</v>
      </c>
      <c r="E1793" t="s">
        <v>38</v>
      </c>
    </row>
    <row r="1794" spans="1:5">
      <c r="A1794" t="s">
        <v>2416</v>
      </c>
      <c r="B1794" t="s">
        <v>896</v>
      </c>
      <c r="C1794" t="s">
        <v>2418</v>
      </c>
      <c r="D1794">
        <v>442578</v>
      </c>
      <c r="E1794" t="s">
        <v>67</v>
      </c>
    </row>
    <row r="1795" spans="1:5">
      <c r="A1795" t="s">
        <v>2416</v>
      </c>
      <c r="B1795" t="s">
        <v>896</v>
      </c>
      <c r="C1795" t="s">
        <v>2418</v>
      </c>
      <c r="D1795">
        <v>797989</v>
      </c>
      <c r="E1795" t="s">
        <v>337</v>
      </c>
    </row>
    <row r="1796" spans="1:5">
      <c r="A1796" t="s">
        <v>2416</v>
      </c>
      <c r="B1796" t="s">
        <v>896</v>
      </c>
      <c r="C1796" t="s">
        <v>2419</v>
      </c>
      <c r="D1796">
        <v>442578</v>
      </c>
      <c r="E1796" t="s">
        <v>67</v>
      </c>
    </row>
    <row r="1797" spans="1:5">
      <c r="A1797" t="s">
        <v>2416</v>
      </c>
      <c r="B1797" t="s">
        <v>896</v>
      </c>
      <c r="C1797" t="s">
        <v>2419</v>
      </c>
      <c r="D1797">
        <v>248981</v>
      </c>
      <c r="E1797" t="s">
        <v>25</v>
      </c>
    </row>
    <row r="1798" spans="1:5">
      <c r="A1798" t="s">
        <v>2416</v>
      </c>
      <c r="B1798" t="s">
        <v>896</v>
      </c>
      <c r="C1798" t="s">
        <v>2420</v>
      </c>
      <c r="D1798">
        <v>442578</v>
      </c>
      <c r="E1798" t="s">
        <v>67</v>
      </c>
    </row>
    <row r="1799" spans="1:5">
      <c r="A1799" t="s">
        <v>2416</v>
      </c>
      <c r="B1799" t="s">
        <v>896</v>
      </c>
      <c r="C1799" t="s">
        <v>2420</v>
      </c>
      <c r="D1799">
        <v>102703</v>
      </c>
      <c r="E1799" t="s">
        <v>303</v>
      </c>
    </row>
    <row r="1800" spans="1:5">
      <c r="A1800" t="s">
        <v>2421</v>
      </c>
      <c r="B1800" t="s">
        <v>896</v>
      </c>
      <c r="C1800" t="s">
        <v>2422</v>
      </c>
      <c r="D1800">
        <v>748316</v>
      </c>
      <c r="E1800" t="s">
        <v>861</v>
      </c>
    </row>
    <row r="1801" spans="1:5">
      <c r="A1801" t="s">
        <v>2421</v>
      </c>
      <c r="B1801" t="s">
        <v>896</v>
      </c>
      <c r="C1801" t="s">
        <v>2423</v>
      </c>
      <c r="D1801">
        <v>233308</v>
      </c>
      <c r="E1801" t="s">
        <v>707</v>
      </c>
    </row>
    <row r="1802" spans="1:5">
      <c r="A1802" t="s">
        <v>2421</v>
      </c>
      <c r="B1802" t="s">
        <v>896</v>
      </c>
      <c r="C1802" t="s">
        <v>2424</v>
      </c>
      <c r="D1802">
        <v>809076</v>
      </c>
      <c r="E1802" t="s">
        <v>813</v>
      </c>
    </row>
    <row r="1803" spans="1:5">
      <c r="A1803" t="s">
        <v>2421</v>
      </c>
      <c r="B1803" t="s">
        <v>896</v>
      </c>
      <c r="C1803" t="s">
        <v>2425</v>
      </c>
      <c r="D1803">
        <v>801694</v>
      </c>
      <c r="E1803" t="s">
        <v>2426</v>
      </c>
    </row>
    <row r="1804" spans="1:5">
      <c r="A1804" t="s">
        <v>2421</v>
      </c>
      <c r="B1804" t="s">
        <v>896</v>
      </c>
      <c r="C1804" t="s">
        <v>2427</v>
      </c>
      <c r="D1804">
        <v>472114</v>
      </c>
      <c r="E1804" t="s">
        <v>135</v>
      </c>
    </row>
    <row r="1805" spans="1:5">
      <c r="A1805" t="s">
        <v>2421</v>
      </c>
      <c r="B1805" t="s">
        <v>896</v>
      </c>
      <c r="C1805" t="s">
        <v>2428</v>
      </c>
      <c r="D1805">
        <v>968584</v>
      </c>
      <c r="E1805" t="s">
        <v>143</v>
      </c>
    </row>
    <row r="1806" spans="1:5">
      <c r="A1806" t="s">
        <v>2421</v>
      </c>
      <c r="B1806" t="s">
        <v>896</v>
      </c>
      <c r="C1806" t="s">
        <v>2429</v>
      </c>
      <c r="D1806">
        <v>220393</v>
      </c>
      <c r="E1806" t="s">
        <v>410</v>
      </c>
    </row>
    <row r="1807" spans="1:5">
      <c r="A1807" t="s">
        <v>2421</v>
      </c>
      <c r="B1807" t="s">
        <v>896</v>
      </c>
      <c r="C1807" t="s">
        <v>2430</v>
      </c>
      <c r="D1807">
        <v>590029</v>
      </c>
      <c r="E1807" t="s">
        <v>157</v>
      </c>
    </row>
    <row r="1808" spans="1:5">
      <c r="A1808" t="s">
        <v>2421</v>
      </c>
      <c r="B1808" t="s">
        <v>896</v>
      </c>
      <c r="C1808" t="s">
        <v>2431</v>
      </c>
      <c r="D1808">
        <v>641151</v>
      </c>
      <c r="E1808" t="s">
        <v>58</v>
      </c>
    </row>
    <row r="1809" spans="1:5">
      <c r="A1809" t="s">
        <v>2421</v>
      </c>
      <c r="B1809" t="s">
        <v>896</v>
      </c>
      <c r="C1809" t="s">
        <v>2432</v>
      </c>
      <c r="D1809">
        <v>593512</v>
      </c>
      <c r="E1809" t="s">
        <v>120</v>
      </c>
    </row>
    <row r="1810" spans="1:5">
      <c r="A1810" t="s">
        <v>2421</v>
      </c>
      <c r="B1810" t="s">
        <v>896</v>
      </c>
      <c r="C1810" t="s">
        <v>2433</v>
      </c>
      <c r="D1810">
        <v>772113</v>
      </c>
      <c r="E1810" t="s">
        <v>202</v>
      </c>
    </row>
    <row r="1811" spans="1:5">
      <c r="A1811" t="s">
        <v>2421</v>
      </c>
      <c r="B1811" t="s">
        <v>896</v>
      </c>
      <c r="C1811" t="s">
        <v>2434</v>
      </c>
      <c r="D1811">
        <v>674990</v>
      </c>
      <c r="E1811" t="s">
        <v>748</v>
      </c>
    </row>
    <row r="1812" spans="1:5">
      <c r="A1812" t="s">
        <v>2421</v>
      </c>
      <c r="B1812" t="s">
        <v>896</v>
      </c>
      <c r="C1812" t="s">
        <v>2435</v>
      </c>
      <c r="D1812">
        <v>239819</v>
      </c>
      <c r="E1812" t="s">
        <v>336</v>
      </c>
    </row>
    <row r="1813" spans="1:5">
      <c r="A1813" t="s">
        <v>2421</v>
      </c>
      <c r="B1813" t="s">
        <v>896</v>
      </c>
      <c r="C1813" t="s">
        <v>2436</v>
      </c>
      <c r="D1813">
        <v>826067</v>
      </c>
      <c r="E1813" t="s">
        <v>1506</v>
      </c>
    </row>
    <row r="1814" spans="1:5">
      <c r="A1814" t="s">
        <v>2421</v>
      </c>
      <c r="B1814" t="s">
        <v>896</v>
      </c>
      <c r="C1814" t="s">
        <v>2437</v>
      </c>
      <c r="D1814">
        <v>557897</v>
      </c>
      <c r="E1814" t="s">
        <v>18</v>
      </c>
    </row>
    <row r="1815" spans="1:5">
      <c r="A1815" t="s">
        <v>2421</v>
      </c>
      <c r="B1815" t="s">
        <v>896</v>
      </c>
      <c r="C1815" t="s">
        <v>2438</v>
      </c>
      <c r="D1815">
        <v>765474</v>
      </c>
      <c r="E1815" t="s">
        <v>48</v>
      </c>
    </row>
    <row r="1816" spans="1:5">
      <c r="A1816" t="s">
        <v>2421</v>
      </c>
      <c r="B1816" t="s">
        <v>896</v>
      </c>
      <c r="C1816" t="s">
        <v>2439</v>
      </c>
      <c r="D1816">
        <v>557897</v>
      </c>
      <c r="E1816" t="s">
        <v>18</v>
      </c>
    </row>
    <row r="1817" spans="1:5">
      <c r="A1817" t="s">
        <v>2421</v>
      </c>
      <c r="B1817" t="s">
        <v>896</v>
      </c>
      <c r="C1817" t="s">
        <v>2440</v>
      </c>
      <c r="D1817">
        <v>636064</v>
      </c>
      <c r="E1817" t="s">
        <v>518</v>
      </c>
    </row>
    <row r="1818" spans="1:5">
      <c r="A1818" t="s">
        <v>2421</v>
      </c>
      <c r="B1818" t="s">
        <v>896</v>
      </c>
      <c r="C1818" t="s">
        <v>2441</v>
      </c>
      <c r="D1818">
        <v>239819</v>
      </c>
      <c r="E1818" t="s">
        <v>336</v>
      </c>
    </row>
    <row r="1819" spans="1:5">
      <c r="A1819" t="s">
        <v>2421</v>
      </c>
      <c r="B1819" t="s">
        <v>896</v>
      </c>
      <c r="C1819" t="s">
        <v>2442</v>
      </c>
      <c r="D1819">
        <v>437770</v>
      </c>
      <c r="E1819" t="s">
        <v>2443</v>
      </c>
    </row>
    <row r="1820" spans="1:5">
      <c r="A1820" t="s">
        <v>2421</v>
      </c>
      <c r="B1820" t="s">
        <v>896</v>
      </c>
      <c r="C1820" t="s">
        <v>2444</v>
      </c>
      <c r="D1820">
        <v>621484</v>
      </c>
      <c r="E1820" t="s">
        <v>354</v>
      </c>
    </row>
    <row r="1821" spans="1:5">
      <c r="A1821" t="s">
        <v>2421</v>
      </c>
      <c r="B1821" t="s">
        <v>896</v>
      </c>
      <c r="C1821" t="s">
        <v>2445</v>
      </c>
      <c r="D1821">
        <v>772113</v>
      </c>
      <c r="E1821" t="s">
        <v>202</v>
      </c>
    </row>
    <row r="1822" spans="1:5">
      <c r="A1822" t="s">
        <v>2421</v>
      </c>
      <c r="B1822" t="s">
        <v>896</v>
      </c>
      <c r="C1822" t="s">
        <v>2446</v>
      </c>
      <c r="D1822">
        <v>990225</v>
      </c>
      <c r="E1822" t="s">
        <v>858</v>
      </c>
    </row>
    <row r="1823" spans="1:5">
      <c r="A1823" t="s">
        <v>2421</v>
      </c>
      <c r="B1823" t="s">
        <v>896</v>
      </c>
      <c r="C1823" t="s">
        <v>2447</v>
      </c>
      <c r="D1823">
        <v>262000</v>
      </c>
      <c r="E1823" t="s">
        <v>275</v>
      </c>
    </row>
    <row r="1824" spans="1:5">
      <c r="A1824" t="s">
        <v>2421</v>
      </c>
      <c r="B1824" t="s">
        <v>896</v>
      </c>
      <c r="C1824" t="s">
        <v>2448</v>
      </c>
      <c r="D1824">
        <v>869668</v>
      </c>
      <c r="E1824" t="s">
        <v>1388</v>
      </c>
    </row>
    <row r="1825" spans="1:5">
      <c r="A1825" t="s">
        <v>2421</v>
      </c>
      <c r="B1825" t="s">
        <v>896</v>
      </c>
      <c r="C1825" t="s">
        <v>2449</v>
      </c>
      <c r="D1825">
        <v>674990</v>
      </c>
      <c r="E1825" t="s">
        <v>748</v>
      </c>
    </row>
    <row r="1826" spans="1:5">
      <c r="A1826" t="s">
        <v>2421</v>
      </c>
      <c r="B1826" t="s">
        <v>896</v>
      </c>
      <c r="C1826" t="s">
        <v>2450</v>
      </c>
      <c r="D1826">
        <v>858791</v>
      </c>
      <c r="E1826" t="s">
        <v>1083</v>
      </c>
    </row>
    <row r="1827" spans="1:5">
      <c r="A1827" t="s">
        <v>2421</v>
      </c>
      <c r="B1827" t="s">
        <v>896</v>
      </c>
      <c r="C1827" t="s">
        <v>2451</v>
      </c>
      <c r="D1827">
        <v>557897</v>
      </c>
      <c r="E1827" t="s">
        <v>18</v>
      </c>
    </row>
    <row r="1828" spans="1:5">
      <c r="A1828" t="s">
        <v>2421</v>
      </c>
      <c r="B1828" t="s">
        <v>896</v>
      </c>
      <c r="C1828" t="s">
        <v>2452</v>
      </c>
      <c r="D1828">
        <v>593512</v>
      </c>
      <c r="E1828" t="s">
        <v>120</v>
      </c>
    </row>
    <row r="1829" spans="1:5">
      <c r="A1829" t="s">
        <v>2453</v>
      </c>
      <c r="B1829" t="s">
        <v>896</v>
      </c>
      <c r="C1829" t="s">
        <v>2454</v>
      </c>
      <c r="D1829">
        <v>628110</v>
      </c>
      <c r="E1829" t="s">
        <v>584</v>
      </c>
    </row>
    <row r="1830" spans="1:5">
      <c r="A1830" t="s">
        <v>2453</v>
      </c>
      <c r="B1830" t="s">
        <v>896</v>
      </c>
      <c r="C1830" t="s">
        <v>2455</v>
      </c>
      <c r="D1830">
        <v>487210</v>
      </c>
      <c r="E1830" t="s">
        <v>373</v>
      </c>
    </row>
    <row r="1831" spans="1:5">
      <c r="A1831" t="s">
        <v>2453</v>
      </c>
      <c r="B1831" t="s">
        <v>896</v>
      </c>
      <c r="C1831" t="s">
        <v>2456</v>
      </c>
      <c r="D1831">
        <v>597434</v>
      </c>
      <c r="E1831" t="s">
        <v>47</v>
      </c>
    </row>
    <row r="1832" spans="1:5">
      <c r="A1832" t="s">
        <v>2453</v>
      </c>
      <c r="B1832" t="s">
        <v>896</v>
      </c>
      <c r="C1832" t="s">
        <v>2457</v>
      </c>
      <c r="D1832">
        <v>96959</v>
      </c>
      <c r="E1832" t="s">
        <v>56</v>
      </c>
    </row>
    <row r="1833" spans="1:5">
      <c r="A1833" t="s">
        <v>2458</v>
      </c>
      <c r="B1833" t="s">
        <v>896</v>
      </c>
      <c r="C1833" t="s">
        <v>2459</v>
      </c>
      <c r="D1833">
        <v>92567</v>
      </c>
      <c r="E1833" t="s">
        <v>270</v>
      </c>
    </row>
    <row r="1834" spans="1:5">
      <c r="A1834" t="s">
        <v>2458</v>
      </c>
      <c r="B1834" t="s">
        <v>896</v>
      </c>
      <c r="C1834" t="s">
        <v>2460</v>
      </c>
      <c r="D1834">
        <v>765474</v>
      </c>
      <c r="E1834" t="s">
        <v>48</v>
      </c>
    </row>
    <row r="1835" spans="1:5">
      <c r="A1835" t="s">
        <v>2458</v>
      </c>
      <c r="B1835" t="s">
        <v>896</v>
      </c>
      <c r="C1835" t="s">
        <v>2461</v>
      </c>
      <c r="D1835">
        <v>629424</v>
      </c>
      <c r="E1835" t="s">
        <v>51</v>
      </c>
    </row>
    <row r="1836" spans="1:5">
      <c r="A1836" t="s">
        <v>2458</v>
      </c>
      <c r="B1836" t="s">
        <v>896</v>
      </c>
      <c r="C1836" t="s">
        <v>2462</v>
      </c>
      <c r="D1836">
        <v>974730</v>
      </c>
      <c r="E1836" t="s">
        <v>93</v>
      </c>
    </row>
    <row r="1837" spans="1:5">
      <c r="A1837" t="s">
        <v>2458</v>
      </c>
      <c r="B1837" t="s">
        <v>896</v>
      </c>
      <c r="C1837" t="s">
        <v>2463</v>
      </c>
      <c r="D1837">
        <v>175002</v>
      </c>
      <c r="E1837" t="s">
        <v>197</v>
      </c>
    </row>
    <row r="1838" spans="1:5">
      <c r="A1838" t="s">
        <v>2458</v>
      </c>
      <c r="B1838" t="s">
        <v>896</v>
      </c>
      <c r="C1838" t="s">
        <v>2464</v>
      </c>
      <c r="D1838">
        <v>175002</v>
      </c>
      <c r="E1838" t="s">
        <v>197</v>
      </c>
    </row>
    <row r="1839" spans="1:5">
      <c r="A1839" t="s">
        <v>2458</v>
      </c>
      <c r="B1839" t="s">
        <v>896</v>
      </c>
      <c r="C1839" t="s">
        <v>2465</v>
      </c>
      <c r="D1839">
        <v>92567</v>
      </c>
      <c r="E1839" t="s">
        <v>270</v>
      </c>
    </row>
    <row r="1840" spans="1:5">
      <c r="A1840" t="s">
        <v>2458</v>
      </c>
      <c r="B1840" t="s">
        <v>896</v>
      </c>
      <c r="C1840" t="s">
        <v>2466</v>
      </c>
      <c r="D1840">
        <v>170071</v>
      </c>
      <c r="E1840" t="s">
        <v>468</v>
      </c>
    </row>
    <row r="1841" spans="1:5">
      <c r="A1841" t="s">
        <v>2458</v>
      </c>
      <c r="B1841" t="s">
        <v>896</v>
      </c>
      <c r="C1841" t="s">
        <v>2467</v>
      </c>
      <c r="D1841">
        <v>92567</v>
      </c>
      <c r="E1841" t="s">
        <v>270</v>
      </c>
    </row>
    <row r="1842" spans="1:5">
      <c r="A1842" t="s">
        <v>2458</v>
      </c>
      <c r="B1842" t="s">
        <v>896</v>
      </c>
      <c r="C1842" t="s">
        <v>2468</v>
      </c>
      <c r="D1842">
        <v>175002</v>
      </c>
      <c r="E1842" t="s">
        <v>197</v>
      </c>
    </row>
    <row r="1843" spans="1:5">
      <c r="A1843" t="s">
        <v>2458</v>
      </c>
      <c r="B1843" t="s">
        <v>896</v>
      </c>
      <c r="C1843" t="s">
        <v>2469</v>
      </c>
      <c r="D1843">
        <v>587311</v>
      </c>
      <c r="E1843" t="s">
        <v>399</v>
      </c>
    </row>
    <row r="1844" spans="1:5">
      <c r="A1844" t="s">
        <v>2458</v>
      </c>
      <c r="B1844" t="s">
        <v>896</v>
      </c>
      <c r="C1844" t="s">
        <v>2470</v>
      </c>
      <c r="D1844">
        <v>175002</v>
      </c>
      <c r="E1844" t="s">
        <v>197</v>
      </c>
    </row>
    <row r="1845" spans="1:5">
      <c r="A1845" t="s">
        <v>2458</v>
      </c>
      <c r="B1845" t="s">
        <v>896</v>
      </c>
      <c r="C1845" t="s">
        <v>2471</v>
      </c>
      <c r="D1845">
        <v>170071</v>
      </c>
      <c r="E1845" t="s">
        <v>468</v>
      </c>
    </row>
    <row r="1846" spans="1:5">
      <c r="A1846" t="s">
        <v>2458</v>
      </c>
      <c r="B1846" t="s">
        <v>896</v>
      </c>
      <c r="C1846" t="s">
        <v>2472</v>
      </c>
      <c r="D1846">
        <v>170071</v>
      </c>
      <c r="E1846" t="s">
        <v>468</v>
      </c>
    </row>
    <row r="1847" spans="1:5">
      <c r="A1847" t="s">
        <v>2458</v>
      </c>
      <c r="B1847" t="s">
        <v>896</v>
      </c>
      <c r="C1847" t="s">
        <v>2473</v>
      </c>
      <c r="D1847">
        <v>39907</v>
      </c>
      <c r="E1847" t="s">
        <v>385</v>
      </c>
    </row>
    <row r="1848" spans="1:5">
      <c r="A1848" t="s">
        <v>2458</v>
      </c>
      <c r="B1848" t="s">
        <v>896</v>
      </c>
      <c r="C1848" t="s">
        <v>2474</v>
      </c>
      <c r="D1848">
        <v>92567</v>
      </c>
      <c r="E1848" t="s">
        <v>270</v>
      </c>
    </row>
    <row r="1849" spans="1:5">
      <c r="A1849" t="s">
        <v>2458</v>
      </c>
      <c r="B1849" t="s">
        <v>896</v>
      </c>
      <c r="C1849" t="s">
        <v>2475</v>
      </c>
      <c r="D1849">
        <v>270157</v>
      </c>
      <c r="E1849" t="s">
        <v>168</v>
      </c>
    </row>
    <row r="1850" spans="1:5">
      <c r="A1850" t="s">
        <v>2458</v>
      </c>
      <c r="B1850" t="s">
        <v>896</v>
      </c>
      <c r="C1850" t="s">
        <v>2476</v>
      </c>
      <c r="D1850">
        <v>92567</v>
      </c>
      <c r="E1850" t="s">
        <v>270</v>
      </c>
    </row>
    <row r="1851" spans="1:5">
      <c r="A1851" t="s">
        <v>2458</v>
      </c>
      <c r="B1851" t="s">
        <v>896</v>
      </c>
      <c r="C1851" t="s">
        <v>2477</v>
      </c>
      <c r="D1851">
        <v>246792</v>
      </c>
      <c r="E1851" t="s">
        <v>116</v>
      </c>
    </row>
    <row r="1852" spans="1:5">
      <c r="A1852" t="s">
        <v>2458</v>
      </c>
      <c r="B1852" t="s">
        <v>896</v>
      </c>
      <c r="C1852" t="s">
        <v>2478</v>
      </c>
      <c r="D1852">
        <v>587311</v>
      </c>
      <c r="E1852" t="s">
        <v>399</v>
      </c>
    </row>
    <row r="1853" spans="1:5">
      <c r="A1853" t="s">
        <v>2479</v>
      </c>
      <c r="B1853" t="s">
        <v>896</v>
      </c>
      <c r="C1853" t="s">
        <v>2480</v>
      </c>
      <c r="D1853">
        <v>869668</v>
      </c>
      <c r="E1853" t="s">
        <v>1388</v>
      </c>
    </row>
    <row r="1854" spans="1:5">
      <c r="A1854" t="s">
        <v>2479</v>
      </c>
      <c r="B1854" t="s">
        <v>896</v>
      </c>
      <c r="C1854" t="s">
        <v>2481</v>
      </c>
      <c r="D1854">
        <v>689981</v>
      </c>
      <c r="E1854" t="s">
        <v>666</v>
      </c>
    </row>
    <row r="1855" spans="1:5">
      <c r="A1855" t="s">
        <v>2479</v>
      </c>
      <c r="B1855" t="s">
        <v>896</v>
      </c>
      <c r="C1855" t="s">
        <v>2482</v>
      </c>
      <c r="D1855">
        <v>538904</v>
      </c>
      <c r="E1855" t="s">
        <v>1538</v>
      </c>
    </row>
    <row r="1856" spans="1:5">
      <c r="A1856" t="s">
        <v>2479</v>
      </c>
      <c r="B1856" t="s">
        <v>896</v>
      </c>
      <c r="C1856" t="s">
        <v>2483</v>
      </c>
      <c r="D1856">
        <v>871573</v>
      </c>
      <c r="E1856" t="s">
        <v>1463</v>
      </c>
    </row>
    <row r="1857" spans="1:5">
      <c r="A1857" t="s">
        <v>2479</v>
      </c>
      <c r="B1857" t="s">
        <v>896</v>
      </c>
      <c r="C1857" t="s">
        <v>2484</v>
      </c>
      <c r="D1857">
        <v>244036</v>
      </c>
      <c r="E1857" t="s">
        <v>363</v>
      </c>
    </row>
    <row r="1858" spans="1:5">
      <c r="A1858" t="s">
        <v>2479</v>
      </c>
      <c r="B1858" t="s">
        <v>896</v>
      </c>
      <c r="C1858" t="s">
        <v>2485</v>
      </c>
      <c r="D1858">
        <v>689981</v>
      </c>
      <c r="E1858" t="s">
        <v>666</v>
      </c>
    </row>
    <row r="1859" spans="1:5">
      <c r="A1859" t="s">
        <v>2479</v>
      </c>
      <c r="B1859" t="s">
        <v>896</v>
      </c>
      <c r="C1859" t="s">
        <v>2486</v>
      </c>
      <c r="D1859">
        <v>202505</v>
      </c>
      <c r="E1859" t="s">
        <v>686</v>
      </c>
    </row>
    <row r="1860" spans="1:5">
      <c r="A1860" t="s">
        <v>2479</v>
      </c>
      <c r="B1860" t="s">
        <v>896</v>
      </c>
      <c r="C1860" t="s">
        <v>2487</v>
      </c>
      <c r="D1860">
        <v>466400</v>
      </c>
      <c r="E1860" t="s">
        <v>304</v>
      </c>
    </row>
    <row r="1861" spans="1:5">
      <c r="A1861" t="s">
        <v>2479</v>
      </c>
      <c r="B1861" t="s">
        <v>896</v>
      </c>
      <c r="C1861" t="s">
        <v>2488</v>
      </c>
      <c r="D1861">
        <v>83613</v>
      </c>
      <c r="E1861" t="s">
        <v>290</v>
      </c>
    </row>
    <row r="1862" spans="1:5">
      <c r="A1862" t="s">
        <v>2479</v>
      </c>
      <c r="B1862" t="s">
        <v>896</v>
      </c>
      <c r="C1862" t="s">
        <v>2489</v>
      </c>
      <c r="D1862">
        <v>871845</v>
      </c>
      <c r="E1862" t="s">
        <v>19</v>
      </c>
    </row>
    <row r="1863" spans="1:5">
      <c r="A1863" t="s">
        <v>2479</v>
      </c>
      <c r="B1863" t="s">
        <v>896</v>
      </c>
      <c r="C1863" t="s">
        <v>2490</v>
      </c>
      <c r="D1863">
        <v>5221</v>
      </c>
      <c r="E1863" t="s">
        <v>312</v>
      </c>
    </row>
    <row r="1864" spans="1:5">
      <c r="A1864" t="s">
        <v>2479</v>
      </c>
      <c r="B1864" t="s">
        <v>896</v>
      </c>
      <c r="C1864" t="s">
        <v>2491</v>
      </c>
      <c r="D1864">
        <v>614883</v>
      </c>
      <c r="E1864" t="s">
        <v>340</v>
      </c>
    </row>
    <row r="1865" spans="1:5">
      <c r="A1865" t="s">
        <v>2479</v>
      </c>
      <c r="B1865" t="s">
        <v>896</v>
      </c>
      <c r="C1865" t="s">
        <v>2492</v>
      </c>
      <c r="D1865">
        <v>466400</v>
      </c>
      <c r="E1865" t="s">
        <v>304</v>
      </c>
    </row>
    <row r="1866" spans="1:5">
      <c r="A1866" t="s">
        <v>2479</v>
      </c>
      <c r="B1866" t="s">
        <v>896</v>
      </c>
      <c r="C1866" t="s">
        <v>2493</v>
      </c>
      <c r="D1866">
        <v>83613</v>
      </c>
      <c r="E1866" t="s">
        <v>290</v>
      </c>
    </row>
    <row r="1867" spans="1:5">
      <c r="A1867" t="s">
        <v>2479</v>
      </c>
      <c r="B1867" t="s">
        <v>896</v>
      </c>
      <c r="C1867" t="s">
        <v>2494</v>
      </c>
      <c r="D1867">
        <v>967569</v>
      </c>
      <c r="E1867" t="s">
        <v>2495</v>
      </c>
    </row>
    <row r="1868" spans="1:5">
      <c r="A1868" t="s">
        <v>2479</v>
      </c>
      <c r="B1868" t="s">
        <v>896</v>
      </c>
      <c r="C1868" t="s">
        <v>2496</v>
      </c>
      <c r="D1868">
        <v>175069</v>
      </c>
      <c r="E1868" t="s">
        <v>159</v>
      </c>
    </row>
    <row r="1869" spans="1:5">
      <c r="A1869" t="s">
        <v>2479</v>
      </c>
      <c r="B1869" t="s">
        <v>896</v>
      </c>
      <c r="C1869" t="s">
        <v>2497</v>
      </c>
      <c r="D1869">
        <v>910139</v>
      </c>
      <c r="E1869" t="s">
        <v>215</v>
      </c>
    </row>
    <row r="1870" spans="1:5">
      <c r="A1870" t="s">
        <v>2479</v>
      </c>
      <c r="B1870" t="s">
        <v>896</v>
      </c>
      <c r="C1870" t="s">
        <v>2498</v>
      </c>
      <c r="D1870">
        <v>778500</v>
      </c>
      <c r="E1870" t="s">
        <v>345</v>
      </c>
    </row>
    <row r="1871" spans="1:5">
      <c r="A1871" t="s">
        <v>2479</v>
      </c>
      <c r="B1871" t="s">
        <v>896</v>
      </c>
      <c r="C1871" t="s">
        <v>2499</v>
      </c>
      <c r="D1871">
        <v>689981</v>
      </c>
      <c r="E1871" t="s">
        <v>666</v>
      </c>
    </row>
    <row r="1872" spans="1:5">
      <c r="A1872" t="s">
        <v>2479</v>
      </c>
      <c r="B1872" t="s">
        <v>896</v>
      </c>
      <c r="C1872" t="s">
        <v>2500</v>
      </c>
      <c r="D1872">
        <v>814017</v>
      </c>
      <c r="E1872" t="s">
        <v>696</v>
      </c>
    </row>
    <row r="1873" spans="1:5">
      <c r="A1873" t="s">
        <v>2479</v>
      </c>
      <c r="B1873" t="s">
        <v>896</v>
      </c>
      <c r="C1873" t="s">
        <v>2501</v>
      </c>
      <c r="D1873">
        <v>687118</v>
      </c>
      <c r="E1873" t="s">
        <v>422</v>
      </c>
    </row>
    <row r="1874" spans="1:5">
      <c r="A1874" t="s">
        <v>2479</v>
      </c>
      <c r="B1874" t="s">
        <v>896</v>
      </c>
      <c r="C1874" t="s">
        <v>2502</v>
      </c>
      <c r="D1874">
        <v>175069</v>
      </c>
      <c r="E1874" t="s">
        <v>159</v>
      </c>
    </row>
    <row r="1875" spans="1:5">
      <c r="A1875" t="s">
        <v>2479</v>
      </c>
      <c r="B1875" t="s">
        <v>896</v>
      </c>
      <c r="C1875" t="s">
        <v>2503</v>
      </c>
      <c r="D1875">
        <v>778500</v>
      </c>
      <c r="E1875" t="s">
        <v>345</v>
      </c>
    </row>
    <row r="1876" spans="1:5">
      <c r="A1876" t="s">
        <v>2504</v>
      </c>
      <c r="B1876" t="s">
        <v>896</v>
      </c>
      <c r="C1876" t="s">
        <v>2383</v>
      </c>
      <c r="D1876">
        <v>789902</v>
      </c>
      <c r="E1876" t="s">
        <v>485</v>
      </c>
    </row>
    <row r="1877" spans="1:5">
      <c r="A1877" t="s">
        <v>2504</v>
      </c>
      <c r="B1877" t="s">
        <v>896</v>
      </c>
      <c r="C1877" t="s">
        <v>2385</v>
      </c>
      <c r="D1877">
        <v>11467</v>
      </c>
      <c r="E1877" t="s">
        <v>756</v>
      </c>
    </row>
    <row r="1878" spans="1:5">
      <c r="A1878" t="s">
        <v>2504</v>
      </c>
      <c r="B1878" t="s">
        <v>896</v>
      </c>
      <c r="C1878" t="s">
        <v>2387</v>
      </c>
      <c r="D1878">
        <v>11467</v>
      </c>
      <c r="E1878" t="s">
        <v>756</v>
      </c>
    </row>
    <row r="1879" spans="1:5">
      <c r="A1879" t="s">
        <v>2505</v>
      </c>
      <c r="B1879" t="s">
        <v>896</v>
      </c>
      <c r="C1879" t="s">
        <v>2506</v>
      </c>
      <c r="D1879">
        <v>620545</v>
      </c>
      <c r="E1879" t="s">
        <v>126</v>
      </c>
    </row>
    <row r="1880" spans="1:5">
      <c r="A1880" t="s">
        <v>2505</v>
      </c>
      <c r="B1880" t="s">
        <v>896</v>
      </c>
      <c r="C1880" t="s">
        <v>2506</v>
      </c>
      <c r="D1880">
        <v>873907</v>
      </c>
      <c r="E1880" t="s">
        <v>2103</v>
      </c>
    </row>
    <row r="1881" spans="1:5">
      <c r="A1881" t="s">
        <v>2505</v>
      </c>
      <c r="B1881" t="s">
        <v>896</v>
      </c>
      <c r="C1881" t="s">
        <v>2507</v>
      </c>
      <c r="D1881">
        <v>873907</v>
      </c>
      <c r="E1881" t="s">
        <v>2103</v>
      </c>
    </row>
    <row r="1882" spans="1:5">
      <c r="A1882" t="s">
        <v>2505</v>
      </c>
      <c r="B1882" t="s">
        <v>896</v>
      </c>
      <c r="C1882" t="s">
        <v>2507</v>
      </c>
      <c r="D1882">
        <v>620545</v>
      </c>
      <c r="E1882" t="s">
        <v>126</v>
      </c>
    </row>
    <row r="1883" spans="1:5">
      <c r="A1883" t="s">
        <v>2508</v>
      </c>
      <c r="B1883" t="s">
        <v>896</v>
      </c>
      <c r="C1883" t="s">
        <v>2403</v>
      </c>
      <c r="D1883">
        <v>441735</v>
      </c>
      <c r="E1883" t="s">
        <v>496</v>
      </c>
    </row>
    <row r="1884" spans="1:5">
      <c r="A1884" t="s">
        <v>2508</v>
      </c>
      <c r="B1884" t="s">
        <v>896</v>
      </c>
      <c r="C1884" t="s">
        <v>1362</v>
      </c>
      <c r="D1884">
        <v>597434</v>
      </c>
      <c r="E1884" t="s">
        <v>47</v>
      </c>
    </row>
    <row r="1885" spans="1:5">
      <c r="A1885" t="s">
        <v>2508</v>
      </c>
      <c r="B1885" t="s">
        <v>896</v>
      </c>
      <c r="C1885" t="s">
        <v>2509</v>
      </c>
      <c r="D1885">
        <v>978989</v>
      </c>
      <c r="E1885" t="s">
        <v>859</v>
      </c>
    </row>
    <row r="1886" spans="1:5">
      <c r="A1886" t="s">
        <v>2508</v>
      </c>
      <c r="B1886" t="s">
        <v>896</v>
      </c>
      <c r="C1886" t="s">
        <v>2414</v>
      </c>
      <c r="D1886">
        <v>741443</v>
      </c>
      <c r="E1886" t="s">
        <v>267</v>
      </c>
    </row>
    <row r="1887" spans="1:5">
      <c r="A1887" t="s">
        <v>2508</v>
      </c>
      <c r="B1887" t="s">
        <v>896</v>
      </c>
      <c r="C1887" t="s">
        <v>1244</v>
      </c>
      <c r="D1887">
        <v>741443</v>
      </c>
      <c r="E1887" t="s">
        <v>267</v>
      </c>
    </row>
    <row r="1888" spans="1:5">
      <c r="A1888" t="s">
        <v>2508</v>
      </c>
      <c r="B1888" t="s">
        <v>896</v>
      </c>
      <c r="C1888" t="s">
        <v>2404</v>
      </c>
      <c r="D1888">
        <v>741443</v>
      </c>
      <c r="E1888" t="s">
        <v>267</v>
      </c>
    </row>
    <row r="1889" spans="1:5">
      <c r="A1889" t="s">
        <v>2508</v>
      </c>
      <c r="B1889" t="s">
        <v>896</v>
      </c>
      <c r="C1889" t="s">
        <v>1364</v>
      </c>
      <c r="D1889">
        <v>741443</v>
      </c>
      <c r="E1889" t="s">
        <v>267</v>
      </c>
    </row>
    <row r="1890" spans="1:5">
      <c r="A1890" t="s">
        <v>2508</v>
      </c>
      <c r="B1890" t="s">
        <v>896</v>
      </c>
      <c r="C1890" t="s">
        <v>2335</v>
      </c>
      <c r="D1890">
        <v>294548</v>
      </c>
      <c r="E1890" t="s">
        <v>1683</v>
      </c>
    </row>
    <row r="1891" spans="1:5">
      <c r="A1891" t="s">
        <v>2508</v>
      </c>
      <c r="B1891" t="s">
        <v>896</v>
      </c>
      <c r="C1891" t="s">
        <v>2406</v>
      </c>
      <c r="D1891">
        <v>557897</v>
      </c>
      <c r="E1891" t="s">
        <v>18</v>
      </c>
    </row>
    <row r="1892" spans="1:5">
      <c r="A1892" t="s">
        <v>2508</v>
      </c>
      <c r="B1892" t="s">
        <v>896</v>
      </c>
      <c r="C1892" t="s">
        <v>1247</v>
      </c>
      <c r="D1892">
        <v>978989</v>
      </c>
      <c r="E1892" t="s">
        <v>859</v>
      </c>
    </row>
    <row r="1893" spans="1:5">
      <c r="A1893" t="s">
        <v>2508</v>
      </c>
      <c r="B1893" t="s">
        <v>896</v>
      </c>
      <c r="C1893" t="s">
        <v>2510</v>
      </c>
      <c r="D1893">
        <v>378341</v>
      </c>
      <c r="E1893" t="s">
        <v>121</v>
      </c>
    </row>
    <row r="1894" spans="1:5">
      <c r="A1894" t="s">
        <v>2508</v>
      </c>
      <c r="B1894" t="s">
        <v>896</v>
      </c>
      <c r="C1894" t="s">
        <v>2407</v>
      </c>
      <c r="D1894">
        <v>557897</v>
      </c>
      <c r="E1894" t="s">
        <v>18</v>
      </c>
    </row>
    <row r="1895" spans="1:5">
      <c r="A1895" t="s">
        <v>2508</v>
      </c>
      <c r="B1895" t="s">
        <v>896</v>
      </c>
      <c r="C1895" t="s">
        <v>1366</v>
      </c>
      <c r="D1895">
        <v>741443</v>
      </c>
      <c r="E1895" t="s">
        <v>267</v>
      </c>
    </row>
    <row r="1896" spans="1:5">
      <c r="A1896" t="s">
        <v>2508</v>
      </c>
      <c r="B1896" t="s">
        <v>896</v>
      </c>
      <c r="C1896" t="s">
        <v>2511</v>
      </c>
      <c r="D1896">
        <v>429425</v>
      </c>
      <c r="E1896" t="s">
        <v>694</v>
      </c>
    </row>
    <row r="1897" spans="1:5">
      <c r="A1897" t="s">
        <v>2508</v>
      </c>
      <c r="B1897" t="s">
        <v>896</v>
      </c>
      <c r="C1897" t="s">
        <v>2409</v>
      </c>
      <c r="D1897">
        <v>541315</v>
      </c>
      <c r="E1897" t="s">
        <v>374</v>
      </c>
    </row>
    <row r="1898" spans="1:5">
      <c r="A1898" t="s">
        <v>2508</v>
      </c>
      <c r="B1898" t="s">
        <v>896</v>
      </c>
      <c r="C1898" t="s">
        <v>1254</v>
      </c>
      <c r="D1898">
        <v>184651</v>
      </c>
      <c r="E1898" t="s">
        <v>457</v>
      </c>
    </row>
    <row r="1899" spans="1:5">
      <c r="A1899" t="s">
        <v>2508</v>
      </c>
      <c r="B1899" t="s">
        <v>896</v>
      </c>
      <c r="C1899" t="s">
        <v>2512</v>
      </c>
      <c r="D1899">
        <v>978989</v>
      </c>
      <c r="E1899" t="s">
        <v>859</v>
      </c>
    </row>
    <row r="1900" spans="1:5">
      <c r="A1900" t="s">
        <v>2508</v>
      </c>
      <c r="B1900" t="s">
        <v>896</v>
      </c>
      <c r="C1900" t="s">
        <v>2411</v>
      </c>
      <c r="D1900">
        <v>441735</v>
      </c>
      <c r="E1900" t="s">
        <v>496</v>
      </c>
    </row>
    <row r="1901" spans="1:5">
      <c r="A1901" t="s">
        <v>2508</v>
      </c>
      <c r="B1901" t="s">
        <v>896</v>
      </c>
      <c r="C1901" t="s">
        <v>1368</v>
      </c>
      <c r="D1901">
        <v>978989</v>
      </c>
      <c r="E1901" t="s">
        <v>859</v>
      </c>
    </row>
    <row r="1902" spans="1:5">
      <c r="A1902" t="s">
        <v>2508</v>
      </c>
      <c r="B1902" t="s">
        <v>896</v>
      </c>
      <c r="C1902" t="s">
        <v>2513</v>
      </c>
      <c r="D1902">
        <v>741443</v>
      </c>
      <c r="E1902" t="s">
        <v>267</v>
      </c>
    </row>
    <row r="1903" spans="1:5">
      <c r="A1903" t="s">
        <v>2508</v>
      </c>
      <c r="B1903" t="s">
        <v>896</v>
      </c>
      <c r="C1903" t="s">
        <v>2415</v>
      </c>
      <c r="D1903">
        <v>557897</v>
      </c>
      <c r="E1903" t="s">
        <v>18</v>
      </c>
    </row>
    <row r="1904" spans="1:5">
      <c r="A1904" t="s">
        <v>2508</v>
      </c>
      <c r="B1904" t="s">
        <v>896</v>
      </c>
      <c r="C1904" t="s">
        <v>1260</v>
      </c>
      <c r="D1904">
        <v>378341</v>
      </c>
      <c r="E1904" t="s">
        <v>121</v>
      </c>
    </row>
    <row r="1905" spans="1:5">
      <c r="A1905" t="s">
        <v>2508</v>
      </c>
      <c r="B1905" t="s">
        <v>896</v>
      </c>
      <c r="C1905" t="s">
        <v>2514</v>
      </c>
      <c r="D1905">
        <v>378341</v>
      </c>
      <c r="E1905" t="s">
        <v>121</v>
      </c>
    </row>
    <row r="1906" spans="1:5">
      <c r="A1906" t="s">
        <v>2508</v>
      </c>
      <c r="B1906" t="s">
        <v>896</v>
      </c>
      <c r="C1906" t="s">
        <v>2412</v>
      </c>
      <c r="D1906">
        <v>765474</v>
      </c>
      <c r="E1906" t="s">
        <v>48</v>
      </c>
    </row>
    <row r="1907" spans="1:5">
      <c r="A1907" t="s">
        <v>2508</v>
      </c>
      <c r="B1907" t="s">
        <v>896</v>
      </c>
      <c r="C1907" t="s">
        <v>1370</v>
      </c>
      <c r="D1907">
        <v>978989</v>
      </c>
      <c r="E1907" t="s">
        <v>859</v>
      </c>
    </row>
    <row r="1908" spans="1:5">
      <c r="A1908" t="s">
        <v>2515</v>
      </c>
      <c r="B1908" t="s">
        <v>896</v>
      </c>
      <c r="C1908" t="s">
        <v>2516</v>
      </c>
      <c r="D1908">
        <v>455417</v>
      </c>
      <c r="E1908" t="s">
        <v>324</v>
      </c>
    </row>
    <row r="1909" spans="1:5">
      <c r="A1909" t="s">
        <v>2515</v>
      </c>
      <c r="B1909" t="s">
        <v>896</v>
      </c>
      <c r="C1909" t="s">
        <v>2517</v>
      </c>
      <c r="D1909">
        <v>455417</v>
      </c>
      <c r="E1909" t="s">
        <v>324</v>
      </c>
    </row>
    <row r="1910" spans="1:5">
      <c r="A1910" t="s">
        <v>2515</v>
      </c>
      <c r="B1910" t="s">
        <v>896</v>
      </c>
      <c r="C1910" t="s">
        <v>2518</v>
      </c>
      <c r="D1910">
        <v>773189</v>
      </c>
      <c r="E1910" t="s">
        <v>618</v>
      </c>
    </row>
    <row r="1911" spans="1:5">
      <c r="A1911" t="s">
        <v>2515</v>
      </c>
      <c r="B1911" t="s">
        <v>896</v>
      </c>
      <c r="C1911" t="s">
        <v>2519</v>
      </c>
      <c r="D1911">
        <v>22091</v>
      </c>
      <c r="E1911" t="s">
        <v>2028</v>
      </c>
    </row>
    <row r="1912" spans="1:5">
      <c r="A1912" t="s">
        <v>2515</v>
      </c>
      <c r="B1912" t="s">
        <v>896</v>
      </c>
      <c r="C1912" t="s">
        <v>2520</v>
      </c>
      <c r="D1912">
        <v>455417</v>
      </c>
      <c r="E1912" t="s">
        <v>324</v>
      </c>
    </row>
    <row r="1913" spans="1:5">
      <c r="A1913" t="s">
        <v>2515</v>
      </c>
      <c r="B1913" t="s">
        <v>896</v>
      </c>
      <c r="C1913" t="s">
        <v>2521</v>
      </c>
      <c r="D1913">
        <v>455417</v>
      </c>
      <c r="E1913" t="s">
        <v>324</v>
      </c>
    </row>
    <row r="1914" spans="1:5">
      <c r="A1914" t="s">
        <v>2515</v>
      </c>
      <c r="B1914" t="s">
        <v>896</v>
      </c>
      <c r="C1914" t="s">
        <v>2522</v>
      </c>
      <c r="D1914">
        <v>455417</v>
      </c>
      <c r="E1914" t="s">
        <v>324</v>
      </c>
    </row>
    <row r="1915" spans="1:5">
      <c r="A1915" t="s">
        <v>2515</v>
      </c>
      <c r="B1915" t="s">
        <v>896</v>
      </c>
      <c r="C1915" t="s">
        <v>2523</v>
      </c>
      <c r="D1915">
        <v>562264</v>
      </c>
      <c r="E1915" t="s">
        <v>276</v>
      </c>
    </row>
    <row r="1916" spans="1:5">
      <c r="A1916" t="s">
        <v>2515</v>
      </c>
      <c r="B1916" t="s">
        <v>896</v>
      </c>
      <c r="C1916" t="s">
        <v>2524</v>
      </c>
      <c r="D1916">
        <v>562264</v>
      </c>
      <c r="E1916" t="s">
        <v>276</v>
      </c>
    </row>
    <row r="1917" spans="1:5">
      <c r="A1917" t="s">
        <v>2525</v>
      </c>
      <c r="B1917" t="s">
        <v>896</v>
      </c>
      <c r="C1917" t="s">
        <v>2526</v>
      </c>
      <c r="D1917">
        <v>629424</v>
      </c>
      <c r="E1917" t="s">
        <v>51</v>
      </c>
    </row>
    <row r="1918" spans="1:5">
      <c r="A1918" t="s">
        <v>2525</v>
      </c>
      <c r="B1918" t="s">
        <v>896</v>
      </c>
      <c r="C1918" t="s">
        <v>2526</v>
      </c>
      <c r="D1918">
        <v>944892</v>
      </c>
      <c r="E1918" t="s">
        <v>948</v>
      </c>
    </row>
    <row r="1919" spans="1:5">
      <c r="A1919" t="s">
        <v>2525</v>
      </c>
      <c r="B1919" t="s">
        <v>896</v>
      </c>
      <c r="C1919" t="s">
        <v>2527</v>
      </c>
      <c r="D1919">
        <v>391348</v>
      </c>
      <c r="E1919" t="s">
        <v>2528</v>
      </c>
    </row>
    <row r="1920" spans="1:5">
      <c r="A1920" t="s">
        <v>2525</v>
      </c>
      <c r="B1920" t="s">
        <v>896</v>
      </c>
      <c r="C1920" t="s">
        <v>2529</v>
      </c>
      <c r="D1920">
        <v>944892</v>
      </c>
      <c r="E1920" t="s">
        <v>948</v>
      </c>
    </row>
    <row r="1921" spans="1:5">
      <c r="A1921" t="s">
        <v>2525</v>
      </c>
      <c r="B1921" t="s">
        <v>896</v>
      </c>
      <c r="C1921" t="s">
        <v>2530</v>
      </c>
      <c r="D1921">
        <v>237426</v>
      </c>
      <c r="E1921" t="s">
        <v>708</v>
      </c>
    </row>
    <row r="1922" spans="1:5">
      <c r="A1922" t="s">
        <v>2525</v>
      </c>
      <c r="B1922" t="s">
        <v>896</v>
      </c>
      <c r="C1922" t="s">
        <v>2531</v>
      </c>
      <c r="D1922">
        <v>391348</v>
      </c>
      <c r="E1922" t="s">
        <v>2528</v>
      </c>
    </row>
    <row r="1923" spans="1:5">
      <c r="A1923" t="s">
        <v>2525</v>
      </c>
      <c r="B1923" t="s">
        <v>896</v>
      </c>
      <c r="C1923" t="s">
        <v>2532</v>
      </c>
      <c r="D1923">
        <v>562264</v>
      </c>
      <c r="E1923" t="s">
        <v>276</v>
      </c>
    </row>
    <row r="1924" spans="1:5">
      <c r="A1924" t="s">
        <v>2525</v>
      </c>
      <c r="B1924" t="s">
        <v>896</v>
      </c>
      <c r="C1924" t="s">
        <v>2533</v>
      </c>
      <c r="D1924">
        <v>391348</v>
      </c>
      <c r="E1924" t="s">
        <v>2528</v>
      </c>
    </row>
    <row r="1925" spans="1:5">
      <c r="A1925" t="s">
        <v>2534</v>
      </c>
      <c r="B1925" t="s">
        <v>896</v>
      </c>
      <c r="C1925" t="s">
        <v>1344</v>
      </c>
      <c r="D1925">
        <v>831512</v>
      </c>
      <c r="E1925" t="s">
        <v>81</v>
      </c>
    </row>
    <row r="1926" spans="1:5">
      <c r="A1926" t="s">
        <v>2534</v>
      </c>
      <c r="B1926" t="s">
        <v>896</v>
      </c>
      <c r="C1926" t="s">
        <v>2535</v>
      </c>
      <c r="D1926">
        <v>964211</v>
      </c>
      <c r="E1926" t="s">
        <v>1379</v>
      </c>
    </row>
    <row r="1927" spans="1:5">
      <c r="A1927" t="s">
        <v>2534</v>
      </c>
      <c r="B1927" t="s">
        <v>896</v>
      </c>
      <c r="C1927" t="s">
        <v>1345</v>
      </c>
      <c r="D1927">
        <v>944892</v>
      </c>
      <c r="E1927" t="s">
        <v>948</v>
      </c>
    </row>
    <row r="1928" spans="1:5">
      <c r="A1928" t="s">
        <v>2534</v>
      </c>
      <c r="B1928" t="s">
        <v>896</v>
      </c>
      <c r="C1928" t="s">
        <v>2536</v>
      </c>
      <c r="D1928">
        <v>623934</v>
      </c>
      <c r="E1928" t="s">
        <v>364</v>
      </c>
    </row>
    <row r="1929" spans="1:5">
      <c r="A1929" t="s">
        <v>2534</v>
      </c>
      <c r="B1929" t="s">
        <v>896</v>
      </c>
      <c r="C1929" t="s">
        <v>1346</v>
      </c>
      <c r="D1929">
        <v>590029</v>
      </c>
      <c r="E1929" t="s">
        <v>157</v>
      </c>
    </row>
    <row r="1930" spans="1:5">
      <c r="A1930" t="s">
        <v>2534</v>
      </c>
      <c r="B1930" t="s">
        <v>896</v>
      </c>
      <c r="C1930" t="s">
        <v>2537</v>
      </c>
      <c r="D1930">
        <v>978989</v>
      </c>
      <c r="E1930" t="s">
        <v>859</v>
      </c>
    </row>
    <row r="1931" spans="1:5">
      <c r="A1931" t="s">
        <v>2534</v>
      </c>
      <c r="B1931" t="s">
        <v>896</v>
      </c>
      <c r="C1931" t="s">
        <v>1348</v>
      </c>
      <c r="D1931">
        <v>532833</v>
      </c>
      <c r="E1931" t="s">
        <v>325</v>
      </c>
    </row>
    <row r="1932" spans="1:5">
      <c r="A1932" t="s">
        <v>2534</v>
      </c>
      <c r="B1932" t="s">
        <v>896</v>
      </c>
      <c r="C1932" t="s">
        <v>2538</v>
      </c>
      <c r="D1932">
        <v>964211</v>
      </c>
      <c r="E1932" t="s">
        <v>1379</v>
      </c>
    </row>
    <row r="1933" spans="1:5">
      <c r="A1933" t="s">
        <v>2534</v>
      </c>
      <c r="B1933" t="s">
        <v>896</v>
      </c>
      <c r="C1933" t="s">
        <v>1349</v>
      </c>
      <c r="D1933">
        <v>944892</v>
      </c>
      <c r="E1933" t="s">
        <v>948</v>
      </c>
    </row>
    <row r="1934" spans="1:5">
      <c r="A1934" t="s">
        <v>2534</v>
      </c>
      <c r="B1934" t="s">
        <v>896</v>
      </c>
      <c r="C1934" t="s">
        <v>2337</v>
      </c>
      <c r="D1934">
        <v>623934</v>
      </c>
      <c r="E1934" t="s">
        <v>364</v>
      </c>
    </row>
    <row r="1935" spans="1:5">
      <c r="A1935" t="s">
        <v>2534</v>
      </c>
      <c r="B1935" t="s">
        <v>896</v>
      </c>
      <c r="C1935" t="s">
        <v>1350</v>
      </c>
      <c r="D1935">
        <v>978989</v>
      </c>
      <c r="E1935" t="s">
        <v>859</v>
      </c>
    </row>
    <row r="1936" spans="1:5">
      <c r="A1936" t="s">
        <v>2534</v>
      </c>
      <c r="B1936" t="s">
        <v>896</v>
      </c>
      <c r="C1936" t="s">
        <v>2539</v>
      </c>
      <c r="D1936">
        <v>168488</v>
      </c>
      <c r="E1936" t="s">
        <v>63</v>
      </c>
    </row>
    <row r="1937" spans="1:5">
      <c r="A1937" t="s">
        <v>2534</v>
      </c>
      <c r="B1937" t="s">
        <v>896</v>
      </c>
      <c r="C1937" t="s">
        <v>1352</v>
      </c>
      <c r="D1937">
        <v>918562</v>
      </c>
      <c r="E1937" t="s">
        <v>736</v>
      </c>
    </row>
    <row r="1938" spans="1:5">
      <c r="A1938" t="s">
        <v>2534</v>
      </c>
      <c r="B1938" t="s">
        <v>896</v>
      </c>
      <c r="C1938" t="s">
        <v>2540</v>
      </c>
      <c r="D1938">
        <v>964211</v>
      </c>
      <c r="E1938" t="s">
        <v>1379</v>
      </c>
    </row>
    <row r="1939" spans="1:5">
      <c r="A1939" t="s">
        <v>2534</v>
      </c>
      <c r="B1939" t="s">
        <v>896</v>
      </c>
      <c r="C1939" t="s">
        <v>1353</v>
      </c>
      <c r="D1939">
        <v>944892</v>
      </c>
      <c r="E1939" t="s">
        <v>948</v>
      </c>
    </row>
    <row r="1940" spans="1:5">
      <c r="A1940" t="s">
        <v>2534</v>
      </c>
      <c r="B1940" t="s">
        <v>896</v>
      </c>
      <c r="C1940" t="s">
        <v>2541</v>
      </c>
      <c r="D1940">
        <v>11467</v>
      </c>
      <c r="E1940" t="s">
        <v>756</v>
      </c>
    </row>
    <row r="1941" spans="1:5">
      <c r="A1941" t="s">
        <v>2534</v>
      </c>
      <c r="B1941" t="s">
        <v>896</v>
      </c>
      <c r="C1941" t="s">
        <v>1354</v>
      </c>
      <c r="D1941">
        <v>496044</v>
      </c>
      <c r="E1941" t="s">
        <v>396</v>
      </c>
    </row>
    <row r="1942" spans="1:5">
      <c r="A1942" t="s">
        <v>2534</v>
      </c>
      <c r="B1942" t="s">
        <v>896</v>
      </c>
      <c r="C1942" t="s">
        <v>2542</v>
      </c>
      <c r="D1942">
        <v>869668</v>
      </c>
      <c r="E1942" t="s">
        <v>1388</v>
      </c>
    </row>
    <row r="1943" spans="1:5">
      <c r="A1943" t="s">
        <v>2534</v>
      </c>
      <c r="B1943" t="s">
        <v>896</v>
      </c>
      <c r="C1943" t="s">
        <v>1356</v>
      </c>
      <c r="D1943">
        <v>532833</v>
      </c>
      <c r="E1943" t="s">
        <v>325</v>
      </c>
    </row>
    <row r="1944" spans="1:5">
      <c r="A1944" t="s">
        <v>2534</v>
      </c>
      <c r="B1944" t="s">
        <v>896</v>
      </c>
      <c r="C1944" t="s">
        <v>2543</v>
      </c>
      <c r="D1944">
        <v>964211</v>
      </c>
      <c r="E1944" t="s">
        <v>1379</v>
      </c>
    </row>
    <row r="1945" spans="1:5">
      <c r="A1945" t="s">
        <v>2534</v>
      </c>
      <c r="B1945" t="s">
        <v>896</v>
      </c>
      <c r="C1945" t="s">
        <v>1357</v>
      </c>
      <c r="D1945">
        <v>932894</v>
      </c>
      <c r="E1945" t="s">
        <v>335</v>
      </c>
    </row>
    <row r="1946" spans="1:5">
      <c r="A1946" t="s">
        <v>2534</v>
      </c>
      <c r="B1946" t="s">
        <v>896</v>
      </c>
      <c r="C1946" t="s">
        <v>2544</v>
      </c>
      <c r="D1946">
        <v>944892</v>
      </c>
      <c r="E1946" t="s">
        <v>948</v>
      </c>
    </row>
    <row r="1947" spans="1:5">
      <c r="A1947" t="s">
        <v>2534</v>
      </c>
      <c r="B1947" t="s">
        <v>896</v>
      </c>
      <c r="C1947" t="s">
        <v>1358</v>
      </c>
      <c r="D1947">
        <v>935971</v>
      </c>
      <c r="E1947" t="s">
        <v>648</v>
      </c>
    </row>
    <row r="1948" spans="1:5">
      <c r="A1948" t="s">
        <v>2534</v>
      </c>
      <c r="B1948" t="s">
        <v>896</v>
      </c>
      <c r="C1948" t="s">
        <v>2545</v>
      </c>
      <c r="D1948">
        <v>191302</v>
      </c>
      <c r="E1948" t="s">
        <v>314</v>
      </c>
    </row>
    <row r="1949" spans="1:5">
      <c r="A1949" t="s">
        <v>2534</v>
      </c>
      <c r="B1949" t="s">
        <v>896</v>
      </c>
      <c r="C1949" t="s">
        <v>1360</v>
      </c>
      <c r="D1949">
        <v>831512</v>
      </c>
      <c r="E1949" t="s">
        <v>81</v>
      </c>
    </row>
    <row r="1950" spans="1:5">
      <c r="A1950" t="s">
        <v>2546</v>
      </c>
      <c r="B1950" t="s">
        <v>896</v>
      </c>
      <c r="C1950" t="s">
        <v>2547</v>
      </c>
      <c r="D1950">
        <v>858791</v>
      </c>
      <c r="E1950" t="s">
        <v>1083</v>
      </c>
    </row>
    <row r="1951" spans="1:5">
      <c r="A1951" t="s">
        <v>2546</v>
      </c>
      <c r="B1951" t="s">
        <v>896</v>
      </c>
      <c r="C1951" t="s">
        <v>2548</v>
      </c>
      <c r="D1951">
        <v>755301</v>
      </c>
      <c r="E1951" t="s">
        <v>192</v>
      </c>
    </row>
    <row r="1952" spans="1:5">
      <c r="A1952" t="s">
        <v>2546</v>
      </c>
      <c r="B1952" t="s">
        <v>896</v>
      </c>
      <c r="C1952" t="s">
        <v>2549</v>
      </c>
      <c r="D1952">
        <v>597434</v>
      </c>
      <c r="E1952" t="s">
        <v>47</v>
      </c>
    </row>
    <row r="1953" spans="1:5">
      <c r="A1953" t="s">
        <v>2546</v>
      </c>
      <c r="B1953" t="s">
        <v>896</v>
      </c>
      <c r="C1953" t="s">
        <v>2550</v>
      </c>
      <c r="D1953">
        <v>438689</v>
      </c>
      <c r="E1953" t="s">
        <v>36</v>
      </c>
    </row>
    <row r="1954" spans="1:5">
      <c r="A1954" t="s">
        <v>2546</v>
      </c>
      <c r="B1954" t="s">
        <v>896</v>
      </c>
      <c r="C1954" t="s">
        <v>2551</v>
      </c>
      <c r="D1954">
        <v>518980</v>
      </c>
      <c r="E1954" t="s">
        <v>582</v>
      </c>
    </row>
    <row r="1955" spans="1:5">
      <c r="A1955" t="s">
        <v>2546</v>
      </c>
      <c r="B1955" t="s">
        <v>896</v>
      </c>
      <c r="C1955" t="s">
        <v>2552</v>
      </c>
      <c r="D1955">
        <v>150669</v>
      </c>
      <c r="E1955" t="s">
        <v>789</v>
      </c>
    </row>
    <row r="1956" spans="1:5">
      <c r="A1956" t="s">
        <v>2546</v>
      </c>
      <c r="B1956" t="s">
        <v>896</v>
      </c>
      <c r="C1956" t="s">
        <v>2553</v>
      </c>
      <c r="D1956">
        <v>621900</v>
      </c>
      <c r="E1956" t="s">
        <v>254</v>
      </c>
    </row>
    <row r="1957" spans="1:5">
      <c r="A1957" t="s">
        <v>2546</v>
      </c>
      <c r="B1957" t="s">
        <v>896</v>
      </c>
      <c r="C1957" t="s">
        <v>2554</v>
      </c>
      <c r="D1957">
        <v>248981</v>
      </c>
      <c r="E1957" t="s">
        <v>25</v>
      </c>
    </row>
    <row r="1958" spans="1:5">
      <c r="A1958" t="s">
        <v>2546</v>
      </c>
      <c r="B1958" t="s">
        <v>896</v>
      </c>
      <c r="C1958" t="s">
        <v>2555</v>
      </c>
      <c r="D1958">
        <v>266487</v>
      </c>
      <c r="E1958" t="s">
        <v>255</v>
      </c>
    </row>
    <row r="1959" spans="1:5">
      <c r="A1959" t="s">
        <v>2546</v>
      </c>
      <c r="B1959" t="s">
        <v>896</v>
      </c>
      <c r="C1959" t="s">
        <v>2556</v>
      </c>
      <c r="D1959">
        <v>429425</v>
      </c>
      <c r="E1959" t="s">
        <v>694</v>
      </c>
    </row>
    <row r="1960" spans="1:5">
      <c r="A1960" t="s">
        <v>2546</v>
      </c>
      <c r="B1960" t="s">
        <v>896</v>
      </c>
      <c r="C1960" t="s">
        <v>2557</v>
      </c>
      <c r="D1960">
        <v>859332</v>
      </c>
      <c r="E1960" t="s">
        <v>271</v>
      </c>
    </row>
    <row r="1961" spans="1:5">
      <c r="A1961" t="s">
        <v>2546</v>
      </c>
      <c r="B1961" t="s">
        <v>896</v>
      </c>
      <c r="C1961" t="s">
        <v>2558</v>
      </c>
      <c r="D1961">
        <v>755301</v>
      </c>
      <c r="E1961" t="s">
        <v>192</v>
      </c>
    </row>
    <row r="1962" spans="1:5">
      <c r="A1962" t="s">
        <v>2546</v>
      </c>
      <c r="B1962" t="s">
        <v>896</v>
      </c>
      <c r="C1962" t="s">
        <v>2559</v>
      </c>
      <c r="D1962">
        <v>978989</v>
      </c>
      <c r="E1962" t="s">
        <v>859</v>
      </c>
    </row>
    <row r="1963" spans="1:5">
      <c r="A1963" t="s">
        <v>2546</v>
      </c>
      <c r="B1963" t="s">
        <v>896</v>
      </c>
      <c r="C1963" t="s">
        <v>2560</v>
      </c>
      <c r="D1963">
        <v>621900</v>
      </c>
      <c r="E1963" t="s">
        <v>254</v>
      </c>
    </row>
    <row r="1964" spans="1:5">
      <c r="A1964" t="s">
        <v>2546</v>
      </c>
      <c r="B1964" t="s">
        <v>896</v>
      </c>
      <c r="C1964" t="s">
        <v>2561</v>
      </c>
      <c r="D1964">
        <v>978989</v>
      </c>
      <c r="E1964" t="s">
        <v>859</v>
      </c>
    </row>
    <row r="1965" spans="1:5">
      <c r="A1965" t="s">
        <v>2546</v>
      </c>
      <c r="B1965" t="s">
        <v>896</v>
      </c>
      <c r="C1965" t="s">
        <v>2562</v>
      </c>
      <c r="D1965">
        <v>170071</v>
      </c>
      <c r="E1965" t="s">
        <v>468</v>
      </c>
    </row>
    <row r="1966" spans="1:5">
      <c r="A1966" t="s">
        <v>2546</v>
      </c>
      <c r="B1966" t="s">
        <v>896</v>
      </c>
      <c r="C1966" t="s">
        <v>2563</v>
      </c>
      <c r="D1966">
        <v>438689</v>
      </c>
      <c r="E1966" t="s">
        <v>36</v>
      </c>
    </row>
    <row r="1967" spans="1:5">
      <c r="A1967" t="s">
        <v>2546</v>
      </c>
      <c r="B1967" t="s">
        <v>896</v>
      </c>
      <c r="C1967" t="s">
        <v>2564</v>
      </c>
      <c r="D1967">
        <v>755301</v>
      </c>
      <c r="E1967" t="s">
        <v>192</v>
      </c>
    </row>
    <row r="1968" spans="1:5">
      <c r="A1968" t="s">
        <v>2546</v>
      </c>
      <c r="B1968" t="s">
        <v>896</v>
      </c>
      <c r="C1968" t="s">
        <v>2565</v>
      </c>
      <c r="D1968">
        <v>518980</v>
      </c>
      <c r="E1968" t="s">
        <v>582</v>
      </c>
    </row>
    <row r="1969" spans="1:5">
      <c r="A1969" t="s">
        <v>2546</v>
      </c>
      <c r="B1969" t="s">
        <v>896</v>
      </c>
      <c r="C1969" t="s">
        <v>2566</v>
      </c>
      <c r="D1969">
        <v>184651</v>
      </c>
      <c r="E1969" t="s">
        <v>457</v>
      </c>
    </row>
    <row r="1970" spans="1:5">
      <c r="A1970" t="s">
        <v>2546</v>
      </c>
      <c r="B1970" t="s">
        <v>896</v>
      </c>
      <c r="C1970" t="s">
        <v>2567</v>
      </c>
      <c r="D1970">
        <v>170071</v>
      </c>
      <c r="E1970" t="s">
        <v>468</v>
      </c>
    </row>
    <row r="1971" spans="1:5">
      <c r="A1971" t="s">
        <v>2546</v>
      </c>
      <c r="B1971" t="s">
        <v>896</v>
      </c>
      <c r="C1971" t="s">
        <v>2568</v>
      </c>
      <c r="D1971">
        <v>978989</v>
      </c>
      <c r="E1971" t="s">
        <v>859</v>
      </c>
    </row>
    <row r="1972" spans="1:5">
      <c r="A1972" t="s">
        <v>2546</v>
      </c>
      <c r="B1972" t="s">
        <v>896</v>
      </c>
      <c r="C1972" t="s">
        <v>2569</v>
      </c>
      <c r="D1972">
        <v>266487</v>
      </c>
      <c r="E1972" t="s">
        <v>255</v>
      </c>
    </row>
    <row r="1973" spans="1:5">
      <c r="A1973" t="s">
        <v>2546</v>
      </c>
      <c r="B1973" t="s">
        <v>896</v>
      </c>
      <c r="C1973" t="s">
        <v>2570</v>
      </c>
      <c r="D1973">
        <v>755301</v>
      </c>
      <c r="E1973" t="s">
        <v>192</v>
      </c>
    </row>
    <row r="1974" spans="1:5">
      <c r="A1974" t="s">
        <v>2546</v>
      </c>
      <c r="B1974" t="s">
        <v>896</v>
      </c>
      <c r="C1974" t="s">
        <v>2571</v>
      </c>
      <c r="D1974">
        <v>597434</v>
      </c>
      <c r="E1974" t="s">
        <v>47</v>
      </c>
    </row>
    <row r="1975" spans="1:5">
      <c r="A1975" t="s">
        <v>2546</v>
      </c>
      <c r="B1975" t="s">
        <v>896</v>
      </c>
      <c r="C1975" t="s">
        <v>2572</v>
      </c>
      <c r="D1975">
        <v>518980</v>
      </c>
      <c r="E1975" t="s">
        <v>582</v>
      </c>
    </row>
    <row r="1976" spans="1:5">
      <c r="A1976" t="s">
        <v>2546</v>
      </c>
      <c r="B1976" t="s">
        <v>896</v>
      </c>
      <c r="C1976" t="s">
        <v>2573</v>
      </c>
      <c r="D1976">
        <v>621900</v>
      </c>
      <c r="E1976" t="s">
        <v>254</v>
      </c>
    </row>
    <row r="1977" spans="1:5">
      <c r="A1977" t="s">
        <v>2546</v>
      </c>
      <c r="B1977" t="s">
        <v>896</v>
      </c>
      <c r="C1977" t="s">
        <v>2574</v>
      </c>
      <c r="D1977">
        <v>170071</v>
      </c>
      <c r="E1977" t="s">
        <v>468</v>
      </c>
    </row>
    <row r="1978" spans="1:5">
      <c r="A1978" t="s">
        <v>2546</v>
      </c>
      <c r="B1978" t="s">
        <v>896</v>
      </c>
      <c r="C1978" t="s">
        <v>2575</v>
      </c>
      <c r="D1978">
        <v>858791</v>
      </c>
      <c r="E1978" t="s">
        <v>1083</v>
      </c>
    </row>
    <row r="1979" spans="1:5">
      <c r="A1979" t="s">
        <v>2546</v>
      </c>
      <c r="B1979" t="s">
        <v>896</v>
      </c>
      <c r="C1979" t="s">
        <v>2576</v>
      </c>
      <c r="D1979">
        <v>151929</v>
      </c>
      <c r="E1979" t="s">
        <v>180</v>
      </c>
    </row>
    <row r="1980" spans="1:5">
      <c r="A1980" t="s">
        <v>2546</v>
      </c>
      <c r="B1980" t="s">
        <v>896</v>
      </c>
      <c r="C1980" t="s">
        <v>2577</v>
      </c>
      <c r="D1980">
        <v>248981</v>
      </c>
      <c r="E1980" t="s">
        <v>25</v>
      </c>
    </row>
    <row r="1981" spans="1:5">
      <c r="A1981" t="s">
        <v>2578</v>
      </c>
      <c r="B1981" t="s">
        <v>896</v>
      </c>
      <c r="C1981" t="s">
        <v>2579</v>
      </c>
      <c r="D1981">
        <v>554842</v>
      </c>
      <c r="E1981" t="s">
        <v>588</v>
      </c>
    </row>
    <row r="1982" spans="1:5">
      <c r="A1982" t="s">
        <v>2578</v>
      </c>
      <c r="B1982" t="s">
        <v>896</v>
      </c>
      <c r="C1982" t="s">
        <v>2403</v>
      </c>
      <c r="D1982">
        <v>524315</v>
      </c>
      <c r="E1982" t="s">
        <v>568</v>
      </c>
    </row>
    <row r="1983" spans="1:5">
      <c r="A1983" t="s">
        <v>2578</v>
      </c>
      <c r="B1983" t="s">
        <v>896</v>
      </c>
      <c r="C1983" t="s">
        <v>1362</v>
      </c>
      <c r="D1983">
        <v>496999</v>
      </c>
      <c r="E1983" t="s">
        <v>781</v>
      </c>
    </row>
    <row r="1984" spans="1:5">
      <c r="A1984" t="s">
        <v>2578</v>
      </c>
      <c r="B1984" t="s">
        <v>896</v>
      </c>
      <c r="C1984" t="s">
        <v>2509</v>
      </c>
      <c r="D1984">
        <v>888948</v>
      </c>
      <c r="E1984" t="s">
        <v>801</v>
      </c>
    </row>
    <row r="1985" spans="1:5">
      <c r="A1985" t="s">
        <v>2578</v>
      </c>
      <c r="B1985" t="s">
        <v>896</v>
      </c>
      <c r="C1985" t="s">
        <v>2414</v>
      </c>
      <c r="D1985">
        <v>477377</v>
      </c>
      <c r="E1985" t="s">
        <v>40</v>
      </c>
    </row>
    <row r="1986" spans="1:5">
      <c r="A1986" t="s">
        <v>2578</v>
      </c>
      <c r="B1986" t="s">
        <v>896</v>
      </c>
      <c r="C1986" t="s">
        <v>1363</v>
      </c>
      <c r="D1986">
        <v>859332</v>
      </c>
      <c r="E1986" t="s">
        <v>271</v>
      </c>
    </row>
    <row r="1987" spans="1:5">
      <c r="A1987" t="s">
        <v>2578</v>
      </c>
      <c r="B1987" t="s">
        <v>896</v>
      </c>
      <c r="C1987" t="s">
        <v>2580</v>
      </c>
      <c r="D1987">
        <v>772113</v>
      </c>
      <c r="E1987" t="s">
        <v>202</v>
      </c>
    </row>
    <row r="1988" spans="1:5">
      <c r="A1988" t="s">
        <v>2578</v>
      </c>
      <c r="B1988" t="s">
        <v>896</v>
      </c>
      <c r="C1988" t="s">
        <v>2581</v>
      </c>
      <c r="D1988">
        <v>585909</v>
      </c>
      <c r="E1988" t="s">
        <v>673</v>
      </c>
    </row>
    <row r="1989" spans="1:5">
      <c r="A1989" t="s">
        <v>2578</v>
      </c>
      <c r="B1989" t="s">
        <v>896</v>
      </c>
      <c r="C1989" t="s">
        <v>2404</v>
      </c>
      <c r="D1989">
        <v>333377</v>
      </c>
      <c r="E1989" t="s">
        <v>2582</v>
      </c>
    </row>
    <row r="1990" spans="1:5">
      <c r="A1990" t="s">
        <v>2578</v>
      </c>
      <c r="B1990" t="s">
        <v>896</v>
      </c>
      <c r="C1990" t="s">
        <v>1364</v>
      </c>
      <c r="D1990">
        <v>514839</v>
      </c>
      <c r="E1990" t="s">
        <v>409</v>
      </c>
    </row>
    <row r="1991" spans="1:5">
      <c r="A1991" t="s">
        <v>2578</v>
      </c>
      <c r="B1991" t="s">
        <v>896</v>
      </c>
      <c r="C1991" t="s">
        <v>2335</v>
      </c>
      <c r="D1991">
        <v>703541</v>
      </c>
      <c r="E1991" t="s">
        <v>523</v>
      </c>
    </row>
    <row r="1992" spans="1:5">
      <c r="A1992" t="s">
        <v>2578</v>
      </c>
      <c r="B1992" t="s">
        <v>896</v>
      </c>
      <c r="C1992" t="s">
        <v>2406</v>
      </c>
      <c r="D1992">
        <v>809076</v>
      </c>
      <c r="E1992" t="s">
        <v>813</v>
      </c>
    </row>
    <row r="1993" spans="1:5">
      <c r="A1993" t="s">
        <v>2578</v>
      </c>
      <c r="B1993" t="s">
        <v>896</v>
      </c>
      <c r="C1993" t="s">
        <v>1365</v>
      </c>
      <c r="D1993">
        <v>632638</v>
      </c>
      <c r="E1993" t="s">
        <v>260</v>
      </c>
    </row>
    <row r="1994" spans="1:5">
      <c r="A1994" t="s">
        <v>2578</v>
      </c>
      <c r="B1994" t="s">
        <v>896</v>
      </c>
      <c r="C1994" t="s">
        <v>2583</v>
      </c>
      <c r="D1994">
        <v>302687</v>
      </c>
      <c r="E1994" t="s">
        <v>560</v>
      </c>
    </row>
    <row r="1995" spans="1:5">
      <c r="A1995" t="s">
        <v>2578</v>
      </c>
      <c r="B1995" t="s">
        <v>896</v>
      </c>
      <c r="C1995" t="s">
        <v>2584</v>
      </c>
      <c r="D1995">
        <v>183984</v>
      </c>
      <c r="E1995" t="s">
        <v>580</v>
      </c>
    </row>
    <row r="1996" spans="1:5">
      <c r="A1996" t="s">
        <v>2578</v>
      </c>
      <c r="B1996" t="s">
        <v>896</v>
      </c>
      <c r="C1996" t="s">
        <v>2407</v>
      </c>
      <c r="D1996">
        <v>477377</v>
      </c>
      <c r="E1996" t="s">
        <v>40</v>
      </c>
    </row>
    <row r="1997" spans="1:5">
      <c r="A1997" t="s">
        <v>2578</v>
      </c>
      <c r="B1997" t="s">
        <v>896</v>
      </c>
      <c r="C1997" t="s">
        <v>1366</v>
      </c>
      <c r="D1997">
        <v>888948</v>
      </c>
      <c r="E1997" t="s">
        <v>801</v>
      </c>
    </row>
    <row r="1998" spans="1:5">
      <c r="A1998" t="s">
        <v>2578</v>
      </c>
      <c r="B1998" t="s">
        <v>896</v>
      </c>
      <c r="C1998" t="s">
        <v>2511</v>
      </c>
      <c r="D1998">
        <v>772113</v>
      </c>
      <c r="E1998" t="s">
        <v>202</v>
      </c>
    </row>
    <row r="1999" spans="1:5">
      <c r="A1999" t="s">
        <v>2578</v>
      </c>
      <c r="B1999" t="s">
        <v>896</v>
      </c>
      <c r="C1999" t="s">
        <v>2409</v>
      </c>
      <c r="D1999">
        <v>477377</v>
      </c>
      <c r="E1999" t="s">
        <v>40</v>
      </c>
    </row>
    <row r="2000" spans="1:5">
      <c r="A2000" t="s">
        <v>2578</v>
      </c>
      <c r="B2000" t="s">
        <v>896</v>
      </c>
      <c r="C2000" t="s">
        <v>1367</v>
      </c>
      <c r="D2000">
        <v>729487</v>
      </c>
      <c r="E2000" t="s">
        <v>96</v>
      </c>
    </row>
    <row r="2001" spans="1:5">
      <c r="A2001" t="s">
        <v>2578</v>
      </c>
      <c r="B2001" t="s">
        <v>896</v>
      </c>
      <c r="C2001" t="s">
        <v>2585</v>
      </c>
      <c r="D2001">
        <v>985544</v>
      </c>
      <c r="E2001" t="s">
        <v>844</v>
      </c>
    </row>
    <row r="2002" spans="1:5">
      <c r="A2002" t="s">
        <v>2578</v>
      </c>
      <c r="B2002" t="s">
        <v>896</v>
      </c>
      <c r="C2002" t="s">
        <v>2586</v>
      </c>
      <c r="D2002">
        <v>858791</v>
      </c>
      <c r="E2002" t="s">
        <v>1083</v>
      </c>
    </row>
    <row r="2003" spans="1:5">
      <c r="A2003" t="s">
        <v>2578</v>
      </c>
      <c r="B2003" t="s">
        <v>896</v>
      </c>
      <c r="C2003" t="s">
        <v>2411</v>
      </c>
      <c r="D2003">
        <v>888948</v>
      </c>
      <c r="E2003" t="s">
        <v>801</v>
      </c>
    </row>
    <row r="2004" spans="1:5">
      <c r="A2004" t="s">
        <v>2578</v>
      </c>
      <c r="B2004" t="s">
        <v>896</v>
      </c>
      <c r="C2004" t="s">
        <v>1368</v>
      </c>
      <c r="D2004">
        <v>554842</v>
      </c>
      <c r="E2004" t="s">
        <v>588</v>
      </c>
    </row>
    <row r="2005" spans="1:5">
      <c r="A2005" t="s">
        <v>2578</v>
      </c>
      <c r="B2005" t="s">
        <v>896</v>
      </c>
      <c r="C2005" t="s">
        <v>2513</v>
      </c>
      <c r="D2005">
        <v>772113</v>
      </c>
      <c r="E2005" t="s">
        <v>202</v>
      </c>
    </row>
    <row r="2006" spans="1:5">
      <c r="A2006" t="s">
        <v>2578</v>
      </c>
      <c r="B2006" t="s">
        <v>896</v>
      </c>
      <c r="C2006" t="s">
        <v>2415</v>
      </c>
      <c r="D2006">
        <v>809076</v>
      </c>
      <c r="E2006" t="s">
        <v>813</v>
      </c>
    </row>
    <row r="2007" spans="1:5">
      <c r="A2007" t="s">
        <v>2578</v>
      </c>
      <c r="B2007" t="s">
        <v>896</v>
      </c>
      <c r="C2007" t="s">
        <v>1369</v>
      </c>
      <c r="D2007">
        <v>632638</v>
      </c>
      <c r="E2007" t="s">
        <v>260</v>
      </c>
    </row>
    <row r="2008" spans="1:5">
      <c r="A2008" t="s">
        <v>2578</v>
      </c>
      <c r="B2008" t="s">
        <v>896</v>
      </c>
      <c r="C2008" t="s">
        <v>2587</v>
      </c>
      <c r="D2008">
        <v>302687</v>
      </c>
      <c r="E2008" t="s">
        <v>560</v>
      </c>
    </row>
    <row r="2009" spans="1:5">
      <c r="A2009" t="s">
        <v>2578</v>
      </c>
      <c r="B2009" t="s">
        <v>896</v>
      </c>
      <c r="C2009" t="s">
        <v>2588</v>
      </c>
      <c r="D2009">
        <v>585909</v>
      </c>
      <c r="E2009" t="s">
        <v>673</v>
      </c>
    </row>
    <row r="2010" spans="1:5">
      <c r="A2010" t="s">
        <v>2578</v>
      </c>
      <c r="B2010" t="s">
        <v>896</v>
      </c>
      <c r="C2010" t="s">
        <v>2412</v>
      </c>
      <c r="D2010">
        <v>772113</v>
      </c>
      <c r="E2010" t="s">
        <v>202</v>
      </c>
    </row>
    <row r="2011" spans="1:5">
      <c r="A2011" t="s">
        <v>2578</v>
      </c>
      <c r="B2011" t="s">
        <v>896</v>
      </c>
      <c r="C2011" t="s">
        <v>1370</v>
      </c>
      <c r="D2011">
        <v>643668</v>
      </c>
      <c r="E2011" t="s">
        <v>378</v>
      </c>
    </row>
    <row r="2012" spans="1:5">
      <c r="A2012" t="s">
        <v>2589</v>
      </c>
      <c r="B2012" t="s">
        <v>896</v>
      </c>
      <c r="C2012" t="s">
        <v>2590</v>
      </c>
      <c r="D2012">
        <v>623934</v>
      </c>
      <c r="E2012" t="s">
        <v>364</v>
      </c>
    </row>
    <row r="2013" spans="1:5">
      <c r="A2013" t="s">
        <v>2589</v>
      </c>
      <c r="B2013" t="s">
        <v>896</v>
      </c>
      <c r="C2013" t="s">
        <v>2591</v>
      </c>
      <c r="D2013">
        <v>413594</v>
      </c>
      <c r="E2013" t="s">
        <v>782</v>
      </c>
    </row>
    <row r="2014" spans="1:5">
      <c r="A2014" t="s">
        <v>2589</v>
      </c>
      <c r="B2014" t="s">
        <v>896</v>
      </c>
      <c r="C2014" t="s">
        <v>2591</v>
      </c>
      <c r="D2014">
        <v>447184</v>
      </c>
      <c r="E2014" t="s">
        <v>153</v>
      </c>
    </row>
    <row r="2015" spans="1:5">
      <c r="A2015" t="s">
        <v>2589</v>
      </c>
      <c r="B2015" t="s">
        <v>896</v>
      </c>
      <c r="C2015" t="s">
        <v>2592</v>
      </c>
      <c r="D2015">
        <v>413594</v>
      </c>
      <c r="E2015" t="s">
        <v>782</v>
      </c>
    </row>
    <row r="2016" spans="1:5">
      <c r="A2016" t="s">
        <v>2589</v>
      </c>
      <c r="B2016" t="s">
        <v>896</v>
      </c>
      <c r="C2016" t="s">
        <v>2592</v>
      </c>
      <c r="D2016">
        <v>447184</v>
      </c>
      <c r="E2016" t="s">
        <v>153</v>
      </c>
    </row>
    <row r="2017" spans="1:5">
      <c r="A2017" t="s">
        <v>2589</v>
      </c>
      <c r="B2017" t="s">
        <v>896</v>
      </c>
      <c r="C2017" t="s">
        <v>2593</v>
      </c>
      <c r="D2017">
        <v>366232</v>
      </c>
      <c r="E2017" t="s">
        <v>152</v>
      </c>
    </row>
    <row r="2018" spans="1:5">
      <c r="A2018" t="s">
        <v>2589</v>
      </c>
      <c r="B2018" t="s">
        <v>896</v>
      </c>
      <c r="C2018" t="s">
        <v>2594</v>
      </c>
      <c r="D2018">
        <v>267370</v>
      </c>
      <c r="E2018" t="s">
        <v>371</v>
      </c>
    </row>
    <row r="2019" spans="1:5">
      <c r="A2019" t="s">
        <v>2589</v>
      </c>
      <c r="B2019" t="s">
        <v>896</v>
      </c>
      <c r="C2019" t="s">
        <v>2595</v>
      </c>
      <c r="D2019">
        <v>773189</v>
      </c>
      <c r="E2019" t="s">
        <v>618</v>
      </c>
    </row>
    <row r="2020" spans="1:5">
      <c r="A2020" t="s">
        <v>2589</v>
      </c>
      <c r="B2020" t="s">
        <v>896</v>
      </c>
      <c r="C2020" t="s">
        <v>2596</v>
      </c>
      <c r="D2020">
        <v>413594</v>
      </c>
      <c r="E2020" t="s">
        <v>782</v>
      </c>
    </row>
    <row r="2021" spans="1:5">
      <c r="A2021" t="s">
        <v>2589</v>
      </c>
      <c r="B2021" t="s">
        <v>896</v>
      </c>
      <c r="C2021" t="s">
        <v>2596</v>
      </c>
      <c r="D2021">
        <v>447184</v>
      </c>
      <c r="E2021" t="s">
        <v>153</v>
      </c>
    </row>
    <row r="2022" spans="1:5">
      <c r="A2022" t="s">
        <v>2589</v>
      </c>
      <c r="B2022" t="s">
        <v>896</v>
      </c>
      <c r="C2022" t="s">
        <v>2597</v>
      </c>
      <c r="D2022">
        <v>363730</v>
      </c>
      <c r="E2022" t="s">
        <v>2598</v>
      </c>
    </row>
    <row r="2023" spans="1:5">
      <c r="A2023" t="s">
        <v>2589</v>
      </c>
      <c r="B2023" t="s">
        <v>896</v>
      </c>
      <c r="C2023" t="s">
        <v>2597</v>
      </c>
      <c r="D2023">
        <v>635215</v>
      </c>
      <c r="E2023" t="s">
        <v>2599</v>
      </c>
    </row>
    <row r="2024" spans="1:5">
      <c r="A2024" t="s">
        <v>2589</v>
      </c>
      <c r="B2024" t="s">
        <v>896</v>
      </c>
      <c r="C2024" t="s">
        <v>2600</v>
      </c>
      <c r="D2024">
        <v>586919</v>
      </c>
      <c r="E2024" t="s">
        <v>715</v>
      </c>
    </row>
    <row r="2025" spans="1:5">
      <c r="A2025" t="s">
        <v>2589</v>
      </c>
      <c r="B2025" t="s">
        <v>896</v>
      </c>
      <c r="C2025" t="s">
        <v>2601</v>
      </c>
      <c r="D2025">
        <v>267370</v>
      </c>
      <c r="E2025" t="s">
        <v>371</v>
      </c>
    </row>
    <row r="2026" spans="1:5">
      <c r="A2026" t="s">
        <v>2589</v>
      </c>
      <c r="B2026" t="s">
        <v>896</v>
      </c>
      <c r="C2026" t="s">
        <v>2602</v>
      </c>
      <c r="D2026">
        <v>456761</v>
      </c>
      <c r="E2026" t="s">
        <v>558</v>
      </c>
    </row>
    <row r="2027" spans="1:5">
      <c r="A2027" t="s">
        <v>2589</v>
      </c>
      <c r="B2027" t="s">
        <v>896</v>
      </c>
      <c r="C2027" t="s">
        <v>2602</v>
      </c>
      <c r="D2027">
        <v>986554</v>
      </c>
      <c r="E2027" t="s">
        <v>860</v>
      </c>
    </row>
    <row r="2028" spans="1:5">
      <c r="A2028" t="s">
        <v>2589</v>
      </c>
      <c r="B2028" t="s">
        <v>896</v>
      </c>
      <c r="C2028" t="s">
        <v>2339</v>
      </c>
      <c r="D2028">
        <v>845124</v>
      </c>
      <c r="E2028" t="s">
        <v>474</v>
      </c>
    </row>
    <row r="2029" spans="1:5">
      <c r="A2029" t="s">
        <v>2589</v>
      </c>
      <c r="B2029" t="s">
        <v>896</v>
      </c>
      <c r="C2029" t="s">
        <v>2603</v>
      </c>
      <c r="D2029">
        <v>406588</v>
      </c>
      <c r="E2029" t="s">
        <v>188</v>
      </c>
    </row>
    <row r="2030" spans="1:5">
      <c r="A2030" t="s">
        <v>2589</v>
      </c>
      <c r="B2030" t="s">
        <v>896</v>
      </c>
      <c r="C2030" t="s">
        <v>2604</v>
      </c>
      <c r="D2030">
        <v>974730</v>
      </c>
      <c r="E2030" t="s">
        <v>93</v>
      </c>
    </row>
    <row r="2031" spans="1:5">
      <c r="A2031" t="s">
        <v>2589</v>
      </c>
      <c r="B2031" t="s">
        <v>896</v>
      </c>
      <c r="C2031" t="s">
        <v>2605</v>
      </c>
      <c r="D2031">
        <v>845124</v>
      </c>
      <c r="E2031" t="s">
        <v>474</v>
      </c>
    </row>
    <row r="2032" spans="1:5">
      <c r="A2032" t="s">
        <v>2589</v>
      </c>
      <c r="B2032" t="s">
        <v>896</v>
      </c>
      <c r="C2032" t="s">
        <v>2605</v>
      </c>
      <c r="D2032">
        <v>366232</v>
      </c>
      <c r="E2032" t="s">
        <v>152</v>
      </c>
    </row>
    <row r="2033" spans="1:5">
      <c r="A2033" t="s">
        <v>2589</v>
      </c>
      <c r="B2033" t="s">
        <v>896</v>
      </c>
      <c r="C2033" t="s">
        <v>2606</v>
      </c>
      <c r="D2033">
        <v>586919</v>
      </c>
      <c r="E2033" t="s">
        <v>715</v>
      </c>
    </row>
    <row r="2034" spans="1:5">
      <c r="A2034" t="s">
        <v>2589</v>
      </c>
      <c r="B2034" t="s">
        <v>896</v>
      </c>
      <c r="C2034" t="s">
        <v>2607</v>
      </c>
      <c r="D2034">
        <v>904795</v>
      </c>
      <c r="E2034" t="s">
        <v>971</v>
      </c>
    </row>
    <row r="2035" spans="1:5">
      <c r="A2035" t="s">
        <v>2589</v>
      </c>
      <c r="B2035" t="s">
        <v>896</v>
      </c>
      <c r="C2035" t="s">
        <v>2607</v>
      </c>
      <c r="D2035">
        <v>872540</v>
      </c>
      <c r="E2035" t="s">
        <v>733</v>
      </c>
    </row>
    <row r="2036" spans="1:5">
      <c r="A2036" t="s">
        <v>2589</v>
      </c>
      <c r="B2036" t="s">
        <v>896</v>
      </c>
      <c r="C2036" t="s">
        <v>2608</v>
      </c>
      <c r="D2036">
        <v>717821</v>
      </c>
      <c r="E2036" t="s">
        <v>240</v>
      </c>
    </row>
    <row r="2037" spans="1:5">
      <c r="A2037" t="s">
        <v>2589</v>
      </c>
      <c r="B2037" t="s">
        <v>896</v>
      </c>
      <c r="C2037" t="s">
        <v>2608</v>
      </c>
      <c r="D2037">
        <v>916985</v>
      </c>
      <c r="E2037" t="s">
        <v>2609</v>
      </c>
    </row>
    <row r="2038" spans="1:5">
      <c r="A2038" t="s">
        <v>2589</v>
      </c>
      <c r="B2038" t="s">
        <v>896</v>
      </c>
      <c r="C2038" t="s">
        <v>2610</v>
      </c>
      <c r="D2038">
        <v>192432</v>
      </c>
      <c r="E2038" t="s">
        <v>815</v>
      </c>
    </row>
    <row r="2039" spans="1:5">
      <c r="A2039" t="s">
        <v>2589</v>
      </c>
      <c r="B2039" t="s">
        <v>896</v>
      </c>
      <c r="C2039" t="s">
        <v>2611</v>
      </c>
      <c r="D2039">
        <v>571947</v>
      </c>
      <c r="E2039" t="s">
        <v>228</v>
      </c>
    </row>
    <row r="2040" spans="1:5">
      <c r="A2040" t="s">
        <v>2589</v>
      </c>
      <c r="B2040" t="s">
        <v>896</v>
      </c>
      <c r="C2040" t="s">
        <v>2612</v>
      </c>
      <c r="D2040">
        <v>861261</v>
      </c>
      <c r="E2040" t="s">
        <v>252</v>
      </c>
    </row>
    <row r="2041" spans="1:5">
      <c r="A2041" t="s">
        <v>2589</v>
      </c>
      <c r="B2041" t="s">
        <v>896</v>
      </c>
      <c r="C2041" t="s">
        <v>2613</v>
      </c>
      <c r="D2041">
        <v>885140</v>
      </c>
      <c r="E2041" t="s">
        <v>785</v>
      </c>
    </row>
    <row r="2042" spans="1:5">
      <c r="A2042" t="s">
        <v>2589</v>
      </c>
      <c r="B2042" t="s">
        <v>896</v>
      </c>
      <c r="C2042" t="s">
        <v>2614</v>
      </c>
      <c r="D2042">
        <v>586919</v>
      </c>
      <c r="E2042" t="s">
        <v>715</v>
      </c>
    </row>
    <row r="2043" spans="1:5">
      <c r="A2043" t="s">
        <v>2589</v>
      </c>
      <c r="B2043" t="s">
        <v>896</v>
      </c>
      <c r="C2043" t="s">
        <v>2615</v>
      </c>
      <c r="D2043">
        <v>898849</v>
      </c>
      <c r="E2043" t="s">
        <v>301</v>
      </c>
    </row>
    <row r="2044" spans="1:5">
      <c r="A2044" t="s">
        <v>2589</v>
      </c>
      <c r="B2044" t="s">
        <v>896</v>
      </c>
      <c r="C2044" t="s">
        <v>2616</v>
      </c>
      <c r="D2044">
        <v>845124</v>
      </c>
      <c r="E2044" t="s">
        <v>474</v>
      </c>
    </row>
    <row r="2045" spans="1:5">
      <c r="A2045" t="s">
        <v>2589</v>
      </c>
      <c r="B2045" t="s">
        <v>896</v>
      </c>
      <c r="C2045" t="s">
        <v>2617</v>
      </c>
      <c r="D2045">
        <v>597830</v>
      </c>
      <c r="E2045" t="s">
        <v>134</v>
      </c>
    </row>
    <row r="2046" spans="1:5">
      <c r="A2046" t="s">
        <v>2589</v>
      </c>
      <c r="B2046" t="s">
        <v>896</v>
      </c>
      <c r="C2046" t="s">
        <v>2618</v>
      </c>
      <c r="D2046">
        <v>773189</v>
      </c>
      <c r="E2046" t="s">
        <v>618</v>
      </c>
    </row>
    <row r="2047" spans="1:5">
      <c r="A2047" t="s">
        <v>2589</v>
      </c>
      <c r="B2047" t="s">
        <v>896</v>
      </c>
      <c r="C2047" t="s">
        <v>2619</v>
      </c>
      <c r="D2047">
        <v>974730</v>
      </c>
      <c r="E2047" t="s">
        <v>93</v>
      </c>
    </row>
    <row r="2048" spans="1:5">
      <c r="A2048" t="s">
        <v>2620</v>
      </c>
      <c r="B2048" t="s">
        <v>896</v>
      </c>
      <c r="C2048" t="s">
        <v>2621</v>
      </c>
      <c r="D2048">
        <v>765474</v>
      </c>
      <c r="E2048" t="s">
        <v>48</v>
      </c>
    </row>
    <row r="2049" spans="1:5">
      <c r="A2049" t="s">
        <v>2620</v>
      </c>
      <c r="B2049" t="s">
        <v>896</v>
      </c>
      <c r="C2049" t="s">
        <v>2382</v>
      </c>
      <c r="D2049">
        <v>623934</v>
      </c>
      <c r="E2049" t="s">
        <v>364</v>
      </c>
    </row>
    <row r="2050" spans="1:5">
      <c r="A2050" t="s">
        <v>2620</v>
      </c>
      <c r="B2050" t="s">
        <v>896</v>
      </c>
      <c r="C2050" t="s">
        <v>2622</v>
      </c>
      <c r="D2050">
        <v>262000</v>
      </c>
      <c r="E2050" t="s">
        <v>275</v>
      </c>
    </row>
    <row r="2051" spans="1:5">
      <c r="A2051" t="s">
        <v>2620</v>
      </c>
      <c r="B2051" t="s">
        <v>896</v>
      </c>
      <c r="C2051" t="s">
        <v>2623</v>
      </c>
      <c r="D2051">
        <v>859332</v>
      </c>
      <c r="E2051" t="s">
        <v>271</v>
      </c>
    </row>
    <row r="2052" spans="1:5">
      <c r="A2052" t="s">
        <v>2620</v>
      </c>
      <c r="B2052" t="s">
        <v>896</v>
      </c>
      <c r="C2052" t="s">
        <v>2624</v>
      </c>
      <c r="D2052">
        <v>709830</v>
      </c>
      <c r="E2052" t="s">
        <v>679</v>
      </c>
    </row>
    <row r="2053" spans="1:5">
      <c r="A2053" t="s">
        <v>2620</v>
      </c>
      <c r="B2053" t="s">
        <v>896</v>
      </c>
      <c r="C2053" t="s">
        <v>2625</v>
      </c>
      <c r="D2053">
        <v>970202</v>
      </c>
      <c r="E2053" t="s">
        <v>836</v>
      </c>
    </row>
    <row r="2054" spans="1:5">
      <c r="A2054" t="s">
        <v>2620</v>
      </c>
      <c r="B2054" t="s">
        <v>896</v>
      </c>
      <c r="C2054" t="s">
        <v>2384</v>
      </c>
      <c r="D2054">
        <v>623934</v>
      </c>
      <c r="E2054" t="s">
        <v>364</v>
      </c>
    </row>
    <row r="2055" spans="1:5">
      <c r="A2055" t="s">
        <v>2620</v>
      </c>
      <c r="B2055" t="s">
        <v>896</v>
      </c>
      <c r="C2055" t="s">
        <v>2626</v>
      </c>
      <c r="D2055">
        <v>859332</v>
      </c>
      <c r="E2055" t="s">
        <v>271</v>
      </c>
    </row>
    <row r="2056" spans="1:5">
      <c r="A2056" t="s">
        <v>2620</v>
      </c>
      <c r="B2056" t="s">
        <v>896</v>
      </c>
      <c r="C2056" t="s">
        <v>2627</v>
      </c>
      <c r="D2056">
        <v>804250</v>
      </c>
      <c r="E2056" t="s">
        <v>145</v>
      </c>
    </row>
    <row r="2057" spans="1:5">
      <c r="A2057" t="s">
        <v>2620</v>
      </c>
      <c r="B2057" t="s">
        <v>896</v>
      </c>
      <c r="C2057" t="s">
        <v>2628</v>
      </c>
      <c r="D2057">
        <v>970202</v>
      </c>
      <c r="E2057" t="s">
        <v>836</v>
      </c>
    </row>
    <row r="2058" spans="1:5">
      <c r="A2058" t="s">
        <v>2620</v>
      </c>
      <c r="B2058" t="s">
        <v>896</v>
      </c>
      <c r="C2058" t="s">
        <v>2629</v>
      </c>
      <c r="D2058">
        <v>378310</v>
      </c>
      <c r="E2058" t="s">
        <v>506</v>
      </c>
    </row>
    <row r="2059" spans="1:5">
      <c r="A2059" t="s">
        <v>2620</v>
      </c>
      <c r="B2059" t="s">
        <v>896</v>
      </c>
      <c r="C2059" t="s">
        <v>2386</v>
      </c>
      <c r="D2059">
        <v>623934</v>
      </c>
      <c r="E2059" t="s">
        <v>364</v>
      </c>
    </row>
    <row r="2060" spans="1:5">
      <c r="A2060" t="s">
        <v>2620</v>
      </c>
      <c r="B2060" t="s">
        <v>896</v>
      </c>
      <c r="C2060" t="s">
        <v>2630</v>
      </c>
      <c r="D2060">
        <v>765474</v>
      </c>
      <c r="E2060" t="s">
        <v>48</v>
      </c>
    </row>
    <row r="2061" spans="1:5">
      <c r="A2061" t="s">
        <v>2620</v>
      </c>
      <c r="B2061" t="s">
        <v>896</v>
      </c>
      <c r="C2061" t="s">
        <v>2631</v>
      </c>
      <c r="D2061">
        <v>693099</v>
      </c>
      <c r="E2061" t="s">
        <v>461</v>
      </c>
    </row>
    <row r="2062" spans="1:5">
      <c r="A2062" t="s">
        <v>2620</v>
      </c>
      <c r="B2062" t="s">
        <v>896</v>
      </c>
      <c r="C2062" t="s">
        <v>2632</v>
      </c>
      <c r="D2062">
        <v>709830</v>
      </c>
      <c r="E2062" t="s">
        <v>679</v>
      </c>
    </row>
    <row r="2063" spans="1:5">
      <c r="A2063" t="s">
        <v>2620</v>
      </c>
      <c r="B2063" t="s">
        <v>896</v>
      </c>
      <c r="C2063" t="s">
        <v>2633</v>
      </c>
      <c r="D2063">
        <v>970202</v>
      </c>
      <c r="E2063" t="s">
        <v>836</v>
      </c>
    </row>
    <row r="2064" spans="1:5">
      <c r="A2064" t="s">
        <v>2620</v>
      </c>
      <c r="B2064" t="s">
        <v>896</v>
      </c>
      <c r="C2064" t="s">
        <v>2634</v>
      </c>
      <c r="D2064">
        <v>921659</v>
      </c>
      <c r="E2064" t="s">
        <v>356</v>
      </c>
    </row>
    <row r="2065" spans="1:5">
      <c r="A2065" t="s">
        <v>2620</v>
      </c>
      <c r="B2065" t="s">
        <v>896</v>
      </c>
      <c r="C2065" t="s">
        <v>2635</v>
      </c>
      <c r="D2065">
        <v>847686</v>
      </c>
      <c r="E2065" t="s">
        <v>343</v>
      </c>
    </row>
    <row r="2066" spans="1:5">
      <c r="A2066" t="s">
        <v>2620</v>
      </c>
      <c r="B2066" t="s">
        <v>896</v>
      </c>
      <c r="C2066" t="s">
        <v>2636</v>
      </c>
      <c r="D2066">
        <v>968584</v>
      </c>
      <c r="E2066" t="s">
        <v>143</v>
      </c>
    </row>
    <row r="2067" spans="1:5">
      <c r="A2067" t="s">
        <v>2620</v>
      </c>
      <c r="B2067" t="s">
        <v>896</v>
      </c>
      <c r="C2067" t="s">
        <v>2637</v>
      </c>
      <c r="D2067">
        <v>748316</v>
      </c>
      <c r="E2067" t="s">
        <v>861</v>
      </c>
    </row>
    <row r="2068" spans="1:5">
      <c r="A2068" t="s">
        <v>2620</v>
      </c>
      <c r="B2068" t="s">
        <v>896</v>
      </c>
      <c r="C2068" t="s">
        <v>2638</v>
      </c>
      <c r="D2068">
        <v>990225</v>
      </c>
      <c r="E2068" t="s">
        <v>858</v>
      </c>
    </row>
    <row r="2069" spans="1:5">
      <c r="A2069" t="s">
        <v>2639</v>
      </c>
      <c r="B2069" t="s">
        <v>896</v>
      </c>
      <c r="C2069" t="s">
        <v>2591</v>
      </c>
      <c r="D2069">
        <v>322182</v>
      </c>
      <c r="E2069" t="s">
        <v>751</v>
      </c>
    </row>
    <row r="2070" spans="1:5">
      <c r="A2070" t="s">
        <v>2639</v>
      </c>
      <c r="B2070" t="s">
        <v>896</v>
      </c>
      <c r="C2070" t="s">
        <v>2480</v>
      </c>
      <c r="D2070">
        <v>959536</v>
      </c>
      <c r="E2070" t="s">
        <v>796</v>
      </c>
    </row>
    <row r="2071" spans="1:5">
      <c r="A2071" t="s">
        <v>2639</v>
      </c>
      <c r="B2071" t="s">
        <v>896</v>
      </c>
      <c r="C2071" t="s">
        <v>2592</v>
      </c>
      <c r="D2071">
        <v>707444</v>
      </c>
      <c r="E2071" t="s">
        <v>623</v>
      </c>
    </row>
    <row r="2072" spans="1:5">
      <c r="A2072" t="s">
        <v>2639</v>
      </c>
      <c r="B2072" t="s">
        <v>896</v>
      </c>
      <c r="C2072" t="s">
        <v>2481</v>
      </c>
      <c r="D2072">
        <v>847592</v>
      </c>
      <c r="E2072" t="s">
        <v>989</v>
      </c>
    </row>
    <row r="2073" spans="1:5">
      <c r="A2073" t="s">
        <v>2639</v>
      </c>
      <c r="B2073" t="s">
        <v>896</v>
      </c>
      <c r="C2073" t="s">
        <v>2593</v>
      </c>
      <c r="D2073">
        <v>299942</v>
      </c>
      <c r="E2073" t="s">
        <v>39</v>
      </c>
    </row>
    <row r="2074" spans="1:5">
      <c r="A2074" t="s">
        <v>2639</v>
      </c>
      <c r="B2074" t="s">
        <v>896</v>
      </c>
      <c r="C2074" t="s">
        <v>2482</v>
      </c>
      <c r="D2074">
        <v>583731</v>
      </c>
      <c r="E2074" t="s">
        <v>740</v>
      </c>
    </row>
    <row r="2075" spans="1:5">
      <c r="A2075" t="s">
        <v>2639</v>
      </c>
      <c r="B2075" t="s">
        <v>896</v>
      </c>
      <c r="C2075" t="s">
        <v>2594</v>
      </c>
      <c r="D2075">
        <v>613604</v>
      </c>
      <c r="E2075" t="s">
        <v>219</v>
      </c>
    </row>
    <row r="2076" spans="1:5">
      <c r="A2076" t="s">
        <v>2639</v>
      </c>
      <c r="B2076" t="s">
        <v>896</v>
      </c>
      <c r="C2076" t="s">
        <v>2483</v>
      </c>
      <c r="D2076">
        <v>480346</v>
      </c>
      <c r="E2076" t="s">
        <v>741</v>
      </c>
    </row>
    <row r="2077" spans="1:5">
      <c r="A2077" t="s">
        <v>2639</v>
      </c>
      <c r="B2077" t="s">
        <v>896</v>
      </c>
      <c r="C2077" t="s">
        <v>2640</v>
      </c>
      <c r="D2077">
        <v>267168</v>
      </c>
      <c r="E2077" t="s">
        <v>206</v>
      </c>
    </row>
    <row r="2078" spans="1:5">
      <c r="A2078" t="s">
        <v>2639</v>
      </c>
      <c r="B2078" t="s">
        <v>896</v>
      </c>
      <c r="C2078" t="s">
        <v>2484</v>
      </c>
      <c r="D2078">
        <v>269049</v>
      </c>
      <c r="E2078" t="s">
        <v>632</v>
      </c>
    </row>
    <row r="2079" spans="1:5">
      <c r="A2079" t="s">
        <v>2639</v>
      </c>
      <c r="B2079" t="s">
        <v>896</v>
      </c>
      <c r="C2079" t="s">
        <v>2641</v>
      </c>
      <c r="D2079">
        <v>955121</v>
      </c>
      <c r="E2079" t="s">
        <v>611</v>
      </c>
    </row>
    <row r="2080" spans="1:5">
      <c r="A2080" t="s">
        <v>2639</v>
      </c>
      <c r="B2080" t="s">
        <v>896</v>
      </c>
      <c r="C2080" t="s">
        <v>2596</v>
      </c>
      <c r="D2080">
        <v>959536</v>
      </c>
      <c r="E2080" t="s">
        <v>796</v>
      </c>
    </row>
    <row r="2081" spans="1:5">
      <c r="A2081" t="s">
        <v>2639</v>
      </c>
      <c r="B2081" t="s">
        <v>896</v>
      </c>
      <c r="C2081" t="s">
        <v>2485</v>
      </c>
      <c r="D2081">
        <v>614883</v>
      </c>
      <c r="E2081" t="s">
        <v>340</v>
      </c>
    </row>
    <row r="2082" spans="1:5">
      <c r="A2082" t="s">
        <v>2639</v>
      </c>
      <c r="B2082" t="s">
        <v>896</v>
      </c>
      <c r="C2082" t="s">
        <v>2597</v>
      </c>
      <c r="D2082">
        <v>988224</v>
      </c>
      <c r="E2082" t="s">
        <v>857</v>
      </c>
    </row>
    <row r="2083" spans="1:5">
      <c r="A2083" t="s">
        <v>2639</v>
      </c>
      <c r="B2083" t="s">
        <v>896</v>
      </c>
      <c r="C2083" t="s">
        <v>2486</v>
      </c>
      <c r="D2083">
        <v>322182</v>
      </c>
      <c r="E2083" t="s">
        <v>751</v>
      </c>
    </row>
    <row r="2084" spans="1:5">
      <c r="A2084" t="s">
        <v>2639</v>
      </c>
      <c r="B2084" t="s">
        <v>896</v>
      </c>
      <c r="C2084" t="s">
        <v>2487</v>
      </c>
      <c r="D2084">
        <v>480346</v>
      </c>
      <c r="E2084" t="s">
        <v>741</v>
      </c>
    </row>
    <row r="2085" spans="1:5">
      <c r="A2085" t="s">
        <v>2639</v>
      </c>
      <c r="B2085" t="s">
        <v>896</v>
      </c>
      <c r="C2085" t="s">
        <v>2601</v>
      </c>
      <c r="D2085">
        <v>959536</v>
      </c>
      <c r="E2085" t="s">
        <v>796</v>
      </c>
    </row>
    <row r="2086" spans="1:5">
      <c r="A2086" t="s">
        <v>2639</v>
      </c>
      <c r="B2086" t="s">
        <v>896</v>
      </c>
      <c r="C2086" t="s">
        <v>2488</v>
      </c>
      <c r="D2086">
        <v>613604</v>
      </c>
      <c r="E2086" t="s">
        <v>219</v>
      </c>
    </row>
    <row r="2087" spans="1:5">
      <c r="A2087" t="s">
        <v>2639</v>
      </c>
      <c r="B2087" t="s">
        <v>896</v>
      </c>
      <c r="C2087" t="s">
        <v>2602</v>
      </c>
      <c r="D2087">
        <v>269049</v>
      </c>
      <c r="E2087" t="s">
        <v>632</v>
      </c>
    </row>
    <row r="2088" spans="1:5">
      <c r="A2088" t="s">
        <v>2639</v>
      </c>
      <c r="B2088" t="s">
        <v>896</v>
      </c>
      <c r="C2088" t="s">
        <v>2339</v>
      </c>
      <c r="D2088">
        <v>233308</v>
      </c>
      <c r="E2088" t="s">
        <v>707</v>
      </c>
    </row>
    <row r="2089" spans="1:5">
      <c r="A2089" t="s">
        <v>2639</v>
      </c>
      <c r="B2089" t="s">
        <v>896</v>
      </c>
      <c r="C2089" t="s">
        <v>2604</v>
      </c>
      <c r="D2089">
        <v>959536</v>
      </c>
      <c r="E2089" t="s">
        <v>796</v>
      </c>
    </row>
    <row r="2090" spans="1:5">
      <c r="A2090" t="s">
        <v>2639</v>
      </c>
      <c r="B2090" t="s">
        <v>896</v>
      </c>
      <c r="C2090" t="s">
        <v>2642</v>
      </c>
      <c r="D2090">
        <v>495110</v>
      </c>
      <c r="E2090" t="s">
        <v>413</v>
      </c>
    </row>
    <row r="2091" spans="1:5">
      <c r="A2091" t="s">
        <v>2639</v>
      </c>
      <c r="B2091" t="s">
        <v>896</v>
      </c>
      <c r="C2091" t="s">
        <v>2605</v>
      </c>
      <c r="D2091">
        <v>829985</v>
      </c>
      <c r="E2091" t="s">
        <v>806</v>
      </c>
    </row>
    <row r="2092" spans="1:5">
      <c r="A2092" t="s">
        <v>2639</v>
      </c>
      <c r="B2092" t="s">
        <v>896</v>
      </c>
      <c r="C2092" t="s">
        <v>2606</v>
      </c>
      <c r="D2092">
        <v>480346</v>
      </c>
      <c r="E2092" t="s">
        <v>741</v>
      </c>
    </row>
    <row r="2093" spans="1:5">
      <c r="A2093" t="s">
        <v>2639</v>
      </c>
      <c r="B2093" t="s">
        <v>896</v>
      </c>
      <c r="C2093" t="s">
        <v>2491</v>
      </c>
      <c r="D2093">
        <v>955121</v>
      </c>
      <c r="E2093" t="s">
        <v>611</v>
      </c>
    </row>
    <row r="2094" spans="1:5">
      <c r="A2094" t="s">
        <v>2639</v>
      </c>
      <c r="B2094" t="s">
        <v>896</v>
      </c>
      <c r="C2094" t="s">
        <v>2607</v>
      </c>
      <c r="D2094">
        <v>613604</v>
      </c>
      <c r="E2094" t="s">
        <v>219</v>
      </c>
    </row>
    <row r="2095" spans="1:5">
      <c r="A2095" t="s">
        <v>2639</v>
      </c>
      <c r="B2095" t="s">
        <v>896</v>
      </c>
      <c r="C2095" t="s">
        <v>2608</v>
      </c>
      <c r="D2095">
        <v>269049</v>
      </c>
      <c r="E2095" t="s">
        <v>632</v>
      </c>
    </row>
    <row r="2096" spans="1:5">
      <c r="A2096" t="s">
        <v>2639</v>
      </c>
      <c r="B2096" t="s">
        <v>896</v>
      </c>
      <c r="C2096" t="s">
        <v>2493</v>
      </c>
      <c r="D2096">
        <v>959536</v>
      </c>
      <c r="E2096" t="s">
        <v>796</v>
      </c>
    </row>
    <row r="2097" spans="1:5">
      <c r="A2097" t="s">
        <v>2639</v>
      </c>
      <c r="B2097" t="s">
        <v>896</v>
      </c>
      <c r="C2097" t="s">
        <v>2610</v>
      </c>
      <c r="D2097">
        <v>955121</v>
      </c>
      <c r="E2097" t="s">
        <v>611</v>
      </c>
    </row>
    <row r="2098" spans="1:5">
      <c r="A2098" t="s">
        <v>2639</v>
      </c>
      <c r="B2098" t="s">
        <v>896</v>
      </c>
      <c r="C2098" t="s">
        <v>2612</v>
      </c>
      <c r="D2098">
        <v>959536</v>
      </c>
      <c r="E2098" t="s">
        <v>796</v>
      </c>
    </row>
    <row r="2099" spans="1:5">
      <c r="A2099" t="s">
        <v>2639</v>
      </c>
      <c r="B2099" t="s">
        <v>896</v>
      </c>
      <c r="C2099" t="s">
        <v>2496</v>
      </c>
      <c r="D2099">
        <v>864086</v>
      </c>
      <c r="E2099" t="s">
        <v>866</v>
      </c>
    </row>
    <row r="2100" spans="1:5">
      <c r="A2100" t="s">
        <v>2639</v>
      </c>
      <c r="B2100" t="s">
        <v>896</v>
      </c>
      <c r="C2100" t="s">
        <v>2613</v>
      </c>
      <c r="D2100">
        <v>707649</v>
      </c>
      <c r="E2100" t="s">
        <v>746</v>
      </c>
    </row>
    <row r="2101" spans="1:5">
      <c r="A2101" t="s">
        <v>2639</v>
      </c>
      <c r="B2101" t="s">
        <v>896</v>
      </c>
      <c r="C2101" t="s">
        <v>2497</v>
      </c>
      <c r="D2101">
        <v>847592</v>
      </c>
      <c r="E2101" t="s">
        <v>989</v>
      </c>
    </row>
    <row r="2102" spans="1:5">
      <c r="A2102" t="s">
        <v>2639</v>
      </c>
      <c r="B2102" t="s">
        <v>896</v>
      </c>
      <c r="C2102" t="s">
        <v>2614</v>
      </c>
      <c r="D2102">
        <v>693099</v>
      </c>
      <c r="E2102" t="s">
        <v>461</v>
      </c>
    </row>
    <row r="2103" spans="1:5">
      <c r="A2103" t="s">
        <v>2639</v>
      </c>
      <c r="B2103" t="s">
        <v>896</v>
      </c>
      <c r="C2103" t="s">
        <v>2615</v>
      </c>
      <c r="D2103">
        <v>613604</v>
      </c>
      <c r="E2103" t="s">
        <v>219</v>
      </c>
    </row>
    <row r="2104" spans="1:5">
      <c r="A2104" t="s">
        <v>2639</v>
      </c>
      <c r="B2104" t="s">
        <v>896</v>
      </c>
      <c r="C2104" t="s">
        <v>2616</v>
      </c>
      <c r="D2104">
        <v>233308</v>
      </c>
      <c r="E2104" t="s">
        <v>707</v>
      </c>
    </row>
    <row r="2105" spans="1:5">
      <c r="A2105" t="s">
        <v>2639</v>
      </c>
      <c r="B2105" t="s">
        <v>896</v>
      </c>
      <c r="C2105" t="s">
        <v>2500</v>
      </c>
      <c r="D2105">
        <v>959536</v>
      </c>
      <c r="E2105" t="s">
        <v>796</v>
      </c>
    </row>
    <row r="2106" spans="1:5">
      <c r="A2106" t="s">
        <v>2639</v>
      </c>
      <c r="B2106" t="s">
        <v>896</v>
      </c>
      <c r="C2106" t="s">
        <v>2643</v>
      </c>
      <c r="D2106">
        <v>487643</v>
      </c>
      <c r="E2106" t="s">
        <v>586</v>
      </c>
    </row>
    <row r="2107" spans="1:5">
      <c r="A2107" t="s">
        <v>2639</v>
      </c>
      <c r="B2107" t="s">
        <v>896</v>
      </c>
      <c r="C2107" t="s">
        <v>2501</v>
      </c>
      <c r="D2107">
        <v>480351</v>
      </c>
      <c r="E2107" t="s">
        <v>599</v>
      </c>
    </row>
    <row r="2108" spans="1:5">
      <c r="A2108" t="s">
        <v>2639</v>
      </c>
      <c r="B2108" t="s">
        <v>896</v>
      </c>
      <c r="C2108" t="s">
        <v>2618</v>
      </c>
      <c r="D2108">
        <v>480346</v>
      </c>
      <c r="E2108" t="s">
        <v>741</v>
      </c>
    </row>
    <row r="2109" spans="1:5">
      <c r="A2109" t="s">
        <v>2639</v>
      </c>
      <c r="B2109" t="s">
        <v>896</v>
      </c>
      <c r="C2109" t="s">
        <v>2502</v>
      </c>
      <c r="D2109">
        <v>959536</v>
      </c>
      <c r="E2109" t="s">
        <v>796</v>
      </c>
    </row>
    <row r="2110" spans="1:5">
      <c r="A2110" t="s">
        <v>2639</v>
      </c>
      <c r="B2110" t="s">
        <v>896</v>
      </c>
      <c r="C2110" t="s">
        <v>2619</v>
      </c>
      <c r="D2110">
        <v>480346</v>
      </c>
      <c r="E2110" t="s">
        <v>741</v>
      </c>
    </row>
    <row r="2111" spans="1:5">
      <c r="A2111" t="s">
        <v>2644</v>
      </c>
      <c r="B2111" t="s">
        <v>896</v>
      </c>
      <c r="C2111" t="s">
        <v>1367</v>
      </c>
      <c r="D2111">
        <v>22091</v>
      </c>
      <c r="E2111" t="s">
        <v>2028</v>
      </c>
    </row>
    <row r="2112" spans="1:5">
      <c r="A2112" t="s">
        <v>2644</v>
      </c>
      <c r="B2112" t="s">
        <v>896</v>
      </c>
      <c r="C2112" t="s">
        <v>1255</v>
      </c>
      <c r="D2112">
        <v>624638</v>
      </c>
      <c r="E2112" t="s">
        <v>421</v>
      </c>
    </row>
    <row r="2113" spans="1:5">
      <c r="A2113" t="s">
        <v>2644</v>
      </c>
      <c r="B2113" t="s">
        <v>896</v>
      </c>
      <c r="C2113" t="s">
        <v>2411</v>
      </c>
      <c r="D2113">
        <v>482778</v>
      </c>
      <c r="E2113" t="s">
        <v>512</v>
      </c>
    </row>
    <row r="2114" spans="1:5">
      <c r="A2114" t="s">
        <v>2644</v>
      </c>
      <c r="B2114" t="s">
        <v>896</v>
      </c>
      <c r="C2114" t="s">
        <v>2513</v>
      </c>
      <c r="D2114">
        <v>721932</v>
      </c>
      <c r="E2114" t="s">
        <v>451</v>
      </c>
    </row>
    <row r="2115" spans="1:5">
      <c r="A2115" t="s">
        <v>2644</v>
      </c>
      <c r="B2115" t="s">
        <v>896</v>
      </c>
      <c r="C2115" t="s">
        <v>2415</v>
      </c>
      <c r="D2115">
        <v>373149</v>
      </c>
      <c r="E2115" t="s">
        <v>653</v>
      </c>
    </row>
    <row r="2116" spans="1:5">
      <c r="A2116" t="s">
        <v>2644</v>
      </c>
      <c r="B2116" t="s">
        <v>896</v>
      </c>
      <c r="C2116" t="s">
        <v>1369</v>
      </c>
      <c r="D2116">
        <v>294548</v>
      </c>
      <c r="E2116" t="s">
        <v>1683</v>
      </c>
    </row>
    <row r="2117" spans="1:5">
      <c r="A2117" t="s">
        <v>2644</v>
      </c>
      <c r="B2117" t="s">
        <v>896</v>
      </c>
      <c r="C2117" t="s">
        <v>1359</v>
      </c>
      <c r="D2117">
        <v>22091</v>
      </c>
      <c r="E2117" t="s">
        <v>2028</v>
      </c>
    </row>
    <row r="2118" spans="1:5">
      <c r="A2118" t="s">
        <v>2644</v>
      </c>
      <c r="B2118" t="s">
        <v>896</v>
      </c>
      <c r="C2118" t="s">
        <v>1262</v>
      </c>
      <c r="D2118">
        <v>816531</v>
      </c>
      <c r="E2118" t="s">
        <v>102</v>
      </c>
    </row>
    <row r="2119" spans="1:5">
      <c r="A2119" t="s">
        <v>2644</v>
      </c>
      <c r="B2119" t="s">
        <v>896</v>
      </c>
      <c r="C2119" t="s">
        <v>2412</v>
      </c>
      <c r="D2119">
        <v>676235</v>
      </c>
      <c r="E2119" t="s">
        <v>524</v>
      </c>
    </row>
    <row r="2120" spans="1:5">
      <c r="A2120" t="s">
        <v>2644</v>
      </c>
      <c r="B2120" t="s">
        <v>896</v>
      </c>
      <c r="C2120" t="s">
        <v>1370</v>
      </c>
      <c r="D2120">
        <v>480346</v>
      </c>
      <c r="E2120" t="s">
        <v>741</v>
      </c>
    </row>
    <row r="2121" spans="1:5">
      <c r="A2121" t="s">
        <v>2645</v>
      </c>
      <c r="B2121" t="s">
        <v>896</v>
      </c>
      <c r="C2121" t="s">
        <v>1244</v>
      </c>
      <c r="D2121">
        <v>333377</v>
      </c>
      <c r="E2121" t="s">
        <v>2582</v>
      </c>
    </row>
    <row r="2122" spans="1:5">
      <c r="A2122" t="s">
        <v>2645</v>
      </c>
      <c r="B2122" t="s">
        <v>896</v>
      </c>
      <c r="C2122" t="s">
        <v>1247</v>
      </c>
      <c r="D2122">
        <v>276971</v>
      </c>
      <c r="E2122" t="s">
        <v>2646</v>
      </c>
    </row>
    <row r="2123" spans="1:5">
      <c r="A2123" t="s">
        <v>2645</v>
      </c>
      <c r="B2123" t="s">
        <v>896</v>
      </c>
      <c r="C2123" t="s">
        <v>1254</v>
      </c>
      <c r="D2123">
        <v>703541</v>
      </c>
      <c r="E2123" t="s">
        <v>523</v>
      </c>
    </row>
    <row r="2124" spans="1:5">
      <c r="A2124" t="s">
        <v>2645</v>
      </c>
      <c r="B2124" t="s">
        <v>896</v>
      </c>
      <c r="C2124" t="s">
        <v>1260</v>
      </c>
      <c r="D2124">
        <v>476617</v>
      </c>
      <c r="E2124" t="s">
        <v>493</v>
      </c>
    </row>
    <row r="2125" spans="1:5">
      <c r="A2125" t="s">
        <v>2647</v>
      </c>
      <c r="B2125" t="s">
        <v>896</v>
      </c>
      <c r="C2125" t="s">
        <v>1344</v>
      </c>
      <c r="D2125">
        <v>936159</v>
      </c>
      <c r="E2125" t="s">
        <v>834</v>
      </c>
    </row>
    <row r="2126" spans="1:5">
      <c r="A2126" t="s">
        <v>2647</v>
      </c>
      <c r="B2126" t="s">
        <v>896</v>
      </c>
      <c r="C2126" t="s">
        <v>1344</v>
      </c>
      <c r="D2126">
        <v>725703</v>
      </c>
      <c r="E2126" t="s">
        <v>427</v>
      </c>
    </row>
    <row r="2127" spans="1:5">
      <c r="A2127" t="s">
        <v>2647</v>
      </c>
      <c r="B2127" t="s">
        <v>896</v>
      </c>
      <c r="C2127" t="s">
        <v>1345</v>
      </c>
      <c r="D2127">
        <v>831512</v>
      </c>
      <c r="E2127" t="s">
        <v>81</v>
      </c>
    </row>
    <row r="2128" spans="1:5">
      <c r="A2128" t="s">
        <v>2647</v>
      </c>
      <c r="B2128" t="s">
        <v>896</v>
      </c>
      <c r="C2128" t="s">
        <v>1345</v>
      </c>
      <c r="D2128">
        <v>960559</v>
      </c>
      <c r="E2128" t="s">
        <v>403</v>
      </c>
    </row>
    <row r="2129" spans="1:5">
      <c r="A2129" t="s">
        <v>2647</v>
      </c>
      <c r="B2129" t="s">
        <v>896</v>
      </c>
      <c r="C2129" t="s">
        <v>2648</v>
      </c>
      <c r="D2129">
        <v>661416</v>
      </c>
      <c r="E2129" t="s">
        <v>211</v>
      </c>
    </row>
    <row r="2130" spans="1:5">
      <c r="A2130" t="s">
        <v>2647</v>
      </c>
      <c r="B2130" t="s">
        <v>896</v>
      </c>
      <c r="C2130" t="s">
        <v>2648</v>
      </c>
      <c r="D2130">
        <v>12277</v>
      </c>
      <c r="E2130" t="s">
        <v>97</v>
      </c>
    </row>
    <row r="2131" spans="1:5">
      <c r="A2131" t="s">
        <v>2647</v>
      </c>
      <c r="B2131" t="s">
        <v>896</v>
      </c>
      <c r="C2131" t="s">
        <v>1348</v>
      </c>
      <c r="D2131">
        <v>898849</v>
      </c>
      <c r="E2131" t="s">
        <v>301</v>
      </c>
    </row>
    <row r="2132" spans="1:5">
      <c r="A2132" t="s">
        <v>2647</v>
      </c>
      <c r="B2132" t="s">
        <v>896</v>
      </c>
      <c r="C2132" t="s">
        <v>1348</v>
      </c>
      <c r="D2132">
        <v>960559</v>
      </c>
      <c r="E2132" t="s">
        <v>403</v>
      </c>
    </row>
    <row r="2133" spans="1:5">
      <c r="A2133" t="s">
        <v>2647</v>
      </c>
      <c r="B2133" t="s">
        <v>896</v>
      </c>
      <c r="C2133" t="s">
        <v>1349</v>
      </c>
      <c r="D2133">
        <v>707444</v>
      </c>
      <c r="E2133" t="s">
        <v>623</v>
      </c>
    </row>
    <row r="2134" spans="1:5">
      <c r="A2134" t="s">
        <v>2647</v>
      </c>
      <c r="B2134" t="s">
        <v>896</v>
      </c>
      <c r="C2134" t="s">
        <v>1349</v>
      </c>
      <c r="D2134">
        <v>707649</v>
      </c>
      <c r="E2134" t="s">
        <v>746</v>
      </c>
    </row>
    <row r="2135" spans="1:5">
      <c r="A2135" t="s">
        <v>2647</v>
      </c>
      <c r="B2135" t="s">
        <v>896</v>
      </c>
      <c r="C2135" t="s">
        <v>2649</v>
      </c>
      <c r="D2135">
        <v>829985</v>
      </c>
      <c r="E2135" t="s">
        <v>806</v>
      </c>
    </row>
    <row r="2136" spans="1:5">
      <c r="A2136" t="s">
        <v>2647</v>
      </c>
      <c r="B2136" t="s">
        <v>896</v>
      </c>
      <c r="C2136" t="s">
        <v>2649</v>
      </c>
      <c r="D2136">
        <v>613604</v>
      </c>
      <c r="E2136" t="s">
        <v>219</v>
      </c>
    </row>
    <row r="2137" spans="1:5">
      <c r="A2137" t="s">
        <v>2647</v>
      </c>
      <c r="B2137" t="s">
        <v>896</v>
      </c>
      <c r="C2137" t="s">
        <v>1352</v>
      </c>
      <c r="D2137">
        <v>806909</v>
      </c>
      <c r="E2137" t="s">
        <v>769</v>
      </c>
    </row>
    <row r="2138" spans="1:5">
      <c r="A2138" t="s">
        <v>2647</v>
      </c>
      <c r="B2138" t="s">
        <v>896</v>
      </c>
      <c r="C2138" t="s">
        <v>1352</v>
      </c>
      <c r="D2138">
        <v>326161</v>
      </c>
      <c r="E2138" t="s">
        <v>104</v>
      </c>
    </row>
    <row r="2139" spans="1:5">
      <c r="A2139" t="s">
        <v>2647</v>
      </c>
      <c r="B2139" t="s">
        <v>896</v>
      </c>
      <c r="C2139" t="s">
        <v>1353</v>
      </c>
      <c r="D2139">
        <v>331144</v>
      </c>
      <c r="E2139" t="s">
        <v>273</v>
      </c>
    </row>
    <row r="2140" spans="1:5">
      <c r="A2140" t="s">
        <v>2647</v>
      </c>
      <c r="B2140" t="s">
        <v>896</v>
      </c>
      <c r="C2140" t="s">
        <v>1353</v>
      </c>
      <c r="D2140">
        <v>949198</v>
      </c>
      <c r="E2140" t="s">
        <v>229</v>
      </c>
    </row>
    <row r="2141" spans="1:5">
      <c r="A2141" t="s">
        <v>2647</v>
      </c>
      <c r="B2141" t="s">
        <v>896</v>
      </c>
      <c r="C2141" t="s">
        <v>2529</v>
      </c>
      <c r="D2141">
        <v>411764</v>
      </c>
      <c r="E2141" t="s">
        <v>682</v>
      </c>
    </row>
    <row r="2142" spans="1:5">
      <c r="A2142" t="s">
        <v>2647</v>
      </c>
      <c r="B2142" t="s">
        <v>896</v>
      </c>
      <c r="C2142" t="s">
        <v>2529</v>
      </c>
      <c r="D2142">
        <v>2140</v>
      </c>
      <c r="E2142" t="s">
        <v>742</v>
      </c>
    </row>
    <row r="2143" spans="1:5">
      <c r="A2143" t="s">
        <v>2647</v>
      </c>
      <c r="B2143" t="s">
        <v>896</v>
      </c>
      <c r="C2143" t="s">
        <v>1356</v>
      </c>
      <c r="D2143">
        <v>703541</v>
      </c>
      <c r="E2143" t="s">
        <v>523</v>
      </c>
    </row>
    <row r="2144" spans="1:5">
      <c r="A2144" t="s">
        <v>2647</v>
      </c>
      <c r="B2144" t="s">
        <v>896</v>
      </c>
      <c r="C2144" t="s">
        <v>1356</v>
      </c>
      <c r="D2144">
        <v>789902</v>
      </c>
      <c r="E2144" t="s">
        <v>485</v>
      </c>
    </row>
    <row r="2145" spans="1:5">
      <c r="A2145" t="s">
        <v>2647</v>
      </c>
      <c r="B2145" t="s">
        <v>896</v>
      </c>
      <c r="C2145" t="s">
        <v>1357</v>
      </c>
      <c r="D2145">
        <v>898849</v>
      </c>
      <c r="E2145" t="s">
        <v>301</v>
      </c>
    </row>
    <row r="2146" spans="1:5">
      <c r="A2146" t="s">
        <v>2647</v>
      </c>
      <c r="B2146" t="s">
        <v>896</v>
      </c>
      <c r="C2146" t="s">
        <v>1357</v>
      </c>
      <c r="D2146">
        <v>960559</v>
      </c>
      <c r="E2146" t="s">
        <v>403</v>
      </c>
    </row>
    <row r="2147" spans="1:5">
      <c r="A2147" t="s">
        <v>2647</v>
      </c>
      <c r="B2147" t="s">
        <v>896</v>
      </c>
      <c r="C2147" t="s">
        <v>2344</v>
      </c>
      <c r="D2147">
        <v>829723</v>
      </c>
      <c r="E2147" t="s">
        <v>735</v>
      </c>
    </row>
    <row r="2148" spans="1:5">
      <c r="A2148" t="s">
        <v>2647</v>
      </c>
      <c r="B2148" t="s">
        <v>896</v>
      </c>
      <c r="C2148" t="s">
        <v>2344</v>
      </c>
      <c r="D2148">
        <v>231210</v>
      </c>
      <c r="E2148" t="s">
        <v>278</v>
      </c>
    </row>
    <row r="2149" spans="1:5">
      <c r="A2149" t="s">
        <v>2647</v>
      </c>
      <c r="B2149" t="s">
        <v>896</v>
      </c>
      <c r="C2149" t="s">
        <v>1360</v>
      </c>
      <c r="D2149">
        <v>11467</v>
      </c>
      <c r="E2149" t="s">
        <v>756</v>
      </c>
    </row>
    <row r="2150" spans="1:5">
      <c r="A2150" t="s">
        <v>2647</v>
      </c>
      <c r="B2150" t="s">
        <v>896</v>
      </c>
      <c r="C2150" t="s">
        <v>1360</v>
      </c>
      <c r="D2150">
        <v>936159</v>
      </c>
      <c r="E2150" t="s">
        <v>834</v>
      </c>
    </row>
    <row r="2151" spans="1:5">
      <c r="A2151" t="s">
        <v>2650</v>
      </c>
      <c r="B2151" t="s">
        <v>896</v>
      </c>
      <c r="C2151" t="s">
        <v>1239</v>
      </c>
      <c r="D2151">
        <v>574333</v>
      </c>
      <c r="E2151" t="s">
        <v>630</v>
      </c>
    </row>
    <row r="2152" spans="1:5">
      <c r="A2152" t="s">
        <v>2650</v>
      </c>
      <c r="B2152" t="s">
        <v>896</v>
      </c>
      <c r="C2152" t="s">
        <v>1239</v>
      </c>
      <c r="D2152">
        <v>872540</v>
      </c>
      <c r="E2152" t="s">
        <v>733</v>
      </c>
    </row>
    <row r="2153" spans="1:5">
      <c r="A2153" t="s">
        <v>2650</v>
      </c>
      <c r="B2153" t="s">
        <v>896</v>
      </c>
      <c r="C2153" t="s">
        <v>1240</v>
      </c>
      <c r="D2153">
        <v>935091</v>
      </c>
      <c r="E2153" t="s">
        <v>771</v>
      </c>
    </row>
    <row r="2154" spans="1:5">
      <c r="A2154" t="s">
        <v>2650</v>
      </c>
      <c r="B2154" t="s">
        <v>896</v>
      </c>
      <c r="C2154" t="s">
        <v>1241</v>
      </c>
      <c r="D2154">
        <v>844290</v>
      </c>
      <c r="E2154" t="s">
        <v>476</v>
      </c>
    </row>
    <row r="2155" spans="1:5">
      <c r="A2155" t="s">
        <v>2650</v>
      </c>
      <c r="B2155" t="s">
        <v>896</v>
      </c>
      <c r="C2155" t="s">
        <v>1242</v>
      </c>
      <c r="D2155">
        <v>479121</v>
      </c>
      <c r="E2155" t="s">
        <v>38</v>
      </c>
    </row>
    <row r="2156" spans="1:5">
      <c r="A2156" t="s">
        <v>2650</v>
      </c>
      <c r="B2156" t="s">
        <v>896</v>
      </c>
      <c r="C2156" t="s">
        <v>1242</v>
      </c>
      <c r="D2156">
        <v>872540</v>
      </c>
      <c r="E2156" t="s">
        <v>733</v>
      </c>
    </row>
    <row r="2157" spans="1:5">
      <c r="A2157" t="s">
        <v>2650</v>
      </c>
      <c r="B2157" t="s">
        <v>896</v>
      </c>
      <c r="C2157" t="s">
        <v>1244</v>
      </c>
      <c r="D2157">
        <v>401614</v>
      </c>
      <c r="E2157" t="s">
        <v>49</v>
      </c>
    </row>
    <row r="2158" spans="1:5">
      <c r="A2158" t="s">
        <v>2650</v>
      </c>
      <c r="B2158" t="s">
        <v>896</v>
      </c>
      <c r="C2158" t="s">
        <v>1244</v>
      </c>
      <c r="D2158">
        <v>927192</v>
      </c>
      <c r="E2158" t="s">
        <v>641</v>
      </c>
    </row>
    <row r="2159" spans="1:5">
      <c r="A2159" t="s">
        <v>2650</v>
      </c>
      <c r="B2159" t="s">
        <v>896</v>
      </c>
      <c r="C2159" t="s">
        <v>2651</v>
      </c>
      <c r="D2159">
        <v>542923</v>
      </c>
      <c r="E2159" t="s">
        <v>32</v>
      </c>
    </row>
    <row r="2160" spans="1:5">
      <c r="A2160" t="s">
        <v>2650</v>
      </c>
      <c r="B2160" t="s">
        <v>896</v>
      </c>
      <c r="C2160" t="s">
        <v>2651</v>
      </c>
      <c r="D2160">
        <v>927192</v>
      </c>
      <c r="E2160" t="s">
        <v>641</v>
      </c>
    </row>
    <row r="2161" spans="1:5">
      <c r="A2161" t="s">
        <v>2650</v>
      </c>
      <c r="B2161" t="s">
        <v>896</v>
      </c>
      <c r="C2161" t="s">
        <v>2652</v>
      </c>
      <c r="D2161">
        <v>864086</v>
      </c>
      <c r="E2161" t="s">
        <v>866</v>
      </c>
    </row>
    <row r="2162" spans="1:5">
      <c r="A2162" t="s">
        <v>2650</v>
      </c>
      <c r="B2162" t="s">
        <v>896</v>
      </c>
      <c r="C2162" t="s">
        <v>2652</v>
      </c>
      <c r="D2162">
        <v>560546</v>
      </c>
      <c r="E2162" t="s">
        <v>318</v>
      </c>
    </row>
    <row r="2163" spans="1:5">
      <c r="A2163" t="s">
        <v>2650</v>
      </c>
      <c r="B2163" t="s">
        <v>896</v>
      </c>
      <c r="C2163" t="s">
        <v>2653</v>
      </c>
      <c r="D2163">
        <v>891376</v>
      </c>
      <c r="E2163" t="s">
        <v>770</v>
      </c>
    </row>
    <row r="2164" spans="1:5">
      <c r="A2164" t="s">
        <v>2650</v>
      </c>
      <c r="B2164" t="s">
        <v>896</v>
      </c>
      <c r="C2164" t="s">
        <v>2653</v>
      </c>
      <c r="D2164">
        <v>191302</v>
      </c>
      <c r="E2164" t="s">
        <v>314</v>
      </c>
    </row>
    <row r="2165" spans="1:5">
      <c r="A2165" t="s">
        <v>2650</v>
      </c>
      <c r="B2165" t="s">
        <v>896</v>
      </c>
      <c r="C2165" t="s">
        <v>1245</v>
      </c>
      <c r="D2165">
        <v>935091</v>
      </c>
      <c r="E2165" t="s">
        <v>771</v>
      </c>
    </row>
    <row r="2166" spans="1:5">
      <c r="A2166" t="s">
        <v>2650</v>
      </c>
      <c r="B2166" t="s">
        <v>896</v>
      </c>
      <c r="C2166" t="s">
        <v>1246</v>
      </c>
      <c r="D2166">
        <v>844290</v>
      </c>
      <c r="E2166" t="s">
        <v>476</v>
      </c>
    </row>
    <row r="2167" spans="1:5">
      <c r="A2167" t="s">
        <v>2650</v>
      </c>
      <c r="B2167" t="s">
        <v>896</v>
      </c>
      <c r="C2167" t="s">
        <v>1246</v>
      </c>
      <c r="D2167">
        <v>479121</v>
      </c>
      <c r="E2167" t="s">
        <v>38</v>
      </c>
    </row>
    <row r="2168" spans="1:5">
      <c r="A2168" t="s">
        <v>2650</v>
      </c>
      <c r="B2168" t="s">
        <v>896</v>
      </c>
      <c r="C2168" t="s">
        <v>1247</v>
      </c>
      <c r="D2168">
        <v>710236</v>
      </c>
      <c r="E2168" t="s">
        <v>103</v>
      </c>
    </row>
    <row r="2169" spans="1:5">
      <c r="A2169" t="s">
        <v>2650</v>
      </c>
      <c r="B2169" t="s">
        <v>896</v>
      </c>
      <c r="C2169" t="s">
        <v>1247</v>
      </c>
      <c r="D2169">
        <v>560546</v>
      </c>
      <c r="E2169" t="s">
        <v>318</v>
      </c>
    </row>
    <row r="2170" spans="1:5">
      <c r="A2170" t="s">
        <v>2650</v>
      </c>
      <c r="B2170" t="s">
        <v>896</v>
      </c>
      <c r="C2170" t="s">
        <v>2654</v>
      </c>
      <c r="D2170">
        <v>542923</v>
      </c>
      <c r="E2170" t="s">
        <v>32</v>
      </c>
    </row>
    <row r="2171" spans="1:5">
      <c r="A2171" t="s">
        <v>2650</v>
      </c>
      <c r="B2171" t="s">
        <v>896</v>
      </c>
      <c r="C2171" t="s">
        <v>2654</v>
      </c>
      <c r="D2171">
        <v>635374</v>
      </c>
      <c r="E2171" t="s">
        <v>450</v>
      </c>
    </row>
    <row r="2172" spans="1:5">
      <c r="A2172" t="s">
        <v>2650</v>
      </c>
      <c r="B2172" t="s">
        <v>896</v>
      </c>
      <c r="C2172" t="s">
        <v>1250</v>
      </c>
      <c r="D2172">
        <v>574333</v>
      </c>
      <c r="E2172" t="s">
        <v>630</v>
      </c>
    </row>
    <row r="2173" spans="1:5">
      <c r="A2173" t="s">
        <v>2650</v>
      </c>
      <c r="B2173" t="s">
        <v>896</v>
      </c>
      <c r="C2173" t="s">
        <v>1250</v>
      </c>
      <c r="D2173">
        <v>864086</v>
      </c>
      <c r="E2173" t="s">
        <v>866</v>
      </c>
    </row>
    <row r="2174" spans="1:5">
      <c r="A2174" t="s">
        <v>2650</v>
      </c>
      <c r="B2174" t="s">
        <v>896</v>
      </c>
      <c r="C2174" t="s">
        <v>1251</v>
      </c>
      <c r="D2174">
        <v>246792</v>
      </c>
      <c r="E2174" t="s">
        <v>116</v>
      </c>
    </row>
    <row r="2175" spans="1:5">
      <c r="A2175" t="s">
        <v>2650</v>
      </c>
      <c r="B2175" t="s">
        <v>896</v>
      </c>
      <c r="C2175" t="s">
        <v>1251</v>
      </c>
      <c r="D2175">
        <v>864086</v>
      </c>
      <c r="E2175" t="s">
        <v>866</v>
      </c>
    </row>
    <row r="2176" spans="1:5">
      <c r="A2176" t="s">
        <v>2650</v>
      </c>
      <c r="B2176" t="s">
        <v>896</v>
      </c>
      <c r="C2176" t="s">
        <v>1252</v>
      </c>
      <c r="D2176">
        <v>542923</v>
      </c>
      <c r="E2176" t="s">
        <v>32</v>
      </c>
    </row>
    <row r="2177" spans="1:5">
      <c r="A2177" t="s">
        <v>2650</v>
      </c>
      <c r="B2177" t="s">
        <v>896</v>
      </c>
      <c r="C2177" t="s">
        <v>1252</v>
      </c>
      <c r="D2177">
        <v>927192</v>
      </c>
      <c r="E2177" t="s">
        <v>641</v>
      </c>
    </row>
    <row r="2178" spans="1:5">
      <c r="A2178" t="s">
        <v>2650</v>
      </c>
      <c r="B2178" t="s">
        <v>896</v>
      </c>
      <c r="C2178" t="s">
        <v>1253</v>
      </c>
      <c r="D2178">
        <v>869668</v>
      </c>
      <c r="E2178" t="s">
        <v>1388</v>
      </c>
    </row>
    <row r="2179" spans="1:5">
      <c r="A2179" t="s">
        <v>2650</v>
      </c>
      <c r="B2179" t="s">
        <v>896</v>
      </c>
      <c r="C2179" t="s">
        <v>1253</v>
      </c>
      <c r="D2179">
        <v>479121</v>
      </c>
      <c r="E2179" t="s">
        <v>38</v>
      </c>
    </row>
    <row r="2180" spans="1:5">
      <c r="A2180" t="s">
        <v>2650</v>
      </c>
      <c r="B2180" t="s">
        <v>896</v>
      </c>
      <c r="C2180" t="s">
        <v>1254</v>
      </c>
      <c r="D2180">
        <v>872540</v>
      </c>
      <c r="E2180" t="s">
        <v>733</v>
      </c>
    </row>
    <row r="2181" spans="1:5">
      <c r="A2181" t="s">
        <v>2650</v>
      </c>
      <c r="B2181" t="s">
        <v>896</v>
      </c>
      <c r="C2181" t="s">
        <v>1254</v>
      </c>
      <c r="D2181">
        <v>560546</v>
      </c>
      <c r="E2181" t="s">
        <v>318</v>
      </c>
    </row>
    <row r="2182" spans="1:5">
      <c r="A2182" t="s">
        <v>2650</v>
      </c>
      <c r="B2182" t="s">
        <v>896</v>
      </c>
      <c r="C2182" t="s">
        <v>2655</v>
      </c>
      <c r="D2182">
        <v>710236</v>
      </c>
      <c r="E2182" t="s">
        <v>103</v>
      </c>
    </row>
    <row r="2183" spans="1:5">
      <c r="A2183" t="s">
        <v>2650</v>
      </c>
      <c r="B2183" t="s">
        <v>896</v>
      </c>
      <c r="C2183" t="s">
        <v>2655</v>
      </c>
      <c r="D2183">
        <v>542923</v>
      </c>
      <c r="E2183" t="s">
        <v>32</v>
      </c>
    </row>
    <row r="2184" spans="1:5">
      <c r="A2184" t="s">
        <v>2650</v>
      </c>
      <c r="B2184" t="s">
        <v>896</v>
      </c>
      <c r="C2184" t="s">
        <v>1256</v>
      </c>
      <c r="D2184">
        <v>542923</v>
      </c>
      <c r="E2184" t="s">
        <v>32</v>
      </c>
    </row>
    <row r="2185" spans="1:5">
      <c r="A2185" t="s">
        <v>2650</v>
      </c>
      <c r="B2185" t="s">
        <v>896</v>
      </c>
      <c r="C2185" t="s">
        <v>1256</v>
      </c>
      <c r="D2185">
        <v>927192</v>
      </c>
      <c r="E2185" t="s">
        <v>641</v>
      </c>
    </row>
    <row r="2186" spans="1:5">
      <c r="A2186" t="s">
        <v>2650</v>
      </c>
      <c r="B2186" t="s">
        <v>896</v>
      </c>
      <c r="C2186" t="s">
        <v>1257</v>
      </c>
      <c r="D2186">
        <v>401614</v>
      </c>
      <c r="E2186" t="s">
        <v>49</v>
      </c>
    </row>
    <row r="2187" spans="1:5">
      <c r="A2187" t="s">
        <v>2650</v>
      </c>
      <c r="B2187" t="s">
        <v>896</v>
      </c>
      <c r="C2187" t="s">
        <v>1257</v>
      </c>
      <c r="D2187">
        <v>574333</v>
      </c>
      <c r="E2187" t="s">
        <v>630</v>
      </c>
    </row>
    <row r="2188" spans="1:5">
      <c r="A2188" t="s">
        <v>2650</v>
      </c>
      <c r="B2188" t="s">
        <v>896</v>
      </c>
      <c r="C2188" t="s">
        <v>1258</v>
      </c>
      <c r="D2188">
        <v>191302</v>
      </c>
      <c r="E2188" t="s">
        <v>314</v>
      </c>
    </row>
    <row r="2189" spans="1:5">
      <c r="A2189" t="s">
        <v>2650</v>
      </c>
      <c r="B2189" t="s">
        <v>896</v>
      </c>
      <c r="C2189" t="s">
        <v>1259</v>
      </c>
      <c r="D2189">
        <v>468423</v>
      </c>
      <c r="E2189" t="s">
        <v>393</v>
      </c>
    </row>
    <row r="2190" spans="1:5">
      <c r="A2190" t="s">
        <v>2650</v>
      </c>
      <c r="B2190" t="s">
        <v>896</v>
      </c>
      <c r="C2190" t="s">
        <v>1260</v>
      </c>
      <c r="D2190">
        <v>967743</v>
      </c>
      <c r="E2190" t="s">
        <v>87</v>
      </c>
    </row>
    <row r="2191" spans="1:5">
      <c r="A2191" t="s">
        <v>2650</v>
      </c>
      <c r="B2191" t="s">
        <v>896</v>
      </c>
      <c r="C2191" t="s">
        <v>1260</v>
      </c>
      <c r="D2191">
        <v>967569</v>
      </c>
      <c r="E2191" t="s">
        <v>617</v>
      </c>
    </row>
    <row r="2192" spans="1:5">
      <c r="A2192" t="s">
        <v>2650</v>
      </c>
      <c r="B2192" t="s">
        <v>896</v>
      </c>
      <c r="C2192" t="s">
        <v>2656</v>
      </c>
      <c r="D2192">
        <v>900975</v>
      </c>
      <c r="E2192" t="s">
        <v>412</v>
      </c>
    </row>
    <row r="2193" spans="1:5">
      <c r="A2193" t="s">
        <v>2650</v>
      </c>
      <c r="B2193" t="s">
        <v>896</v>
      </c>
      <c r="C2193" t="s">
        <v>2656</v>
      </c>
      <c r="D2193">
        <v>635374</v>
      </c>
      <c r="E2193" t="s">
        <v>450</v>
      </c>
    </row>
    <row r="2194" spans="1:5">
      <c r="A2194" t="s">
        <v>2650</v>
      </c>
      <c r="B2194" t="s">
        <v>896</v>
      </c>
      <c r="C2194" t="s">
        <v>1263</v>
      </c>
      <c r="D2194">
        <v>864086</v>
      </c>
      <c r="E2194" t="s">
        <v>866</v>
      </c>
    </row>
    <row r="2195" spans="1:5">
      <c r="A2195" t="s">
        <v>2650</v>
      </c>
      <c r="B2195" t="s">
        <v>896</v>
      </c>
      <c r="C2195" t="s">
        <v>1264</v>
      </c>
      <c r="D2195">
        <v>466400</v>
      </c>
      <c r="E2195" t="s">
        <v>304</v>
      </c>
    </row>
    <row r="2196" spans="1:5">
      <c r="A2196" t="s">
        <v>2650</v>
      </c>
      <c r="B2196" t="s">
        <v>896</v>
      </c>
      <c r="C2196" t="s">
        <v>1264</v>
      </c>
      <c r="D2196">
        <v>479121</v>
      </c>
      <c r="E2196" t="s">
        <v>38</v>
      </c>
    </row>
    <row r="2197" spans="1:5">
      <c r="A2197" t="s">
        <v>2657</v>
      </c>
      <c r="B2197" t="s">
        <v>896</v>
      </c>
      <c r="C2197" t="s">
        <v>2658</v>
      </c>
      <c r="D2197">
        <v>755301</v>
      </c>
      <c r="E2197" t="s">
        <v>192</v>
      </c>
    </row>
    <row r="2198" spans="1:5">
      <c r="A2198" t="s">
        <v>2657</v>
      </c>
      <c r="B2198" t="s">
        <v>896</v>
      </c>
      <c r="C2198" t="s">
        <v>2659</v>
      </c>
      <c r="D2198">
        <v>802419</v>
      </c>
      <c r="E2198" t="s">
        <v>647</v>
      </c>
    </row>
    <row r="2199" spans="1:5">
      <c r="A2199" t="s">
        <v>2657</v>
      </c>
      <c r="B2199" t="s">
        <v>896</v>
      </c>
      <c r="C2199" t="s">
        <v>2660</v>
      </c>
      <c r="D2199">
        <v>741443</v>
      </c>
      <c r="E2199" t="s">
        <v>267</v>
      </c>
    </row>
    <row r="2200" spans="1:5">
      <c r="A2200" t="s">
        <v>2657</v>
      </c>
      <c r="B2200" t="s">
        <v>896</v>
      </c>
      <c r="C2200" t="s">
        <v>2661</v>
      </c>
      <c r="D2200">
        <v>755301</v>
      </c>
      <c r="E2200" t="s">
        <v>192</v>
      </c>
    </row>
    <row r="2201" spans="1:5">
      <c r="A2201" t="s">
        <v>2657</v>
      </c>
      <c r="B2201" t="s">
        <v>896</v>
      </c>
      <c r="C2201" t="s">
        <v>2662</v>
      </c>
      <c r="D2201">
        <v>175002</v>
      </c>
      <c r="E2201" t="s">
        <v>197</v>
      </c>
    </row>
    <row r="2202" spans="1:5">
      <c r="A2202" t="s">
        <v>2657</v>
      </c>
      <c r="B2202" t="s">
        <v>896</v>
      </c>
      <c r="C2202" t="s">
        <v>2663</v>
      </c>
      <c r="D2202">
        <v>629424</v>
      </c>
      <c r="E2202" t="s">
        <v>51</v>
      </c>
    </row>
    <row r="2203" spans="1:5">
      <c r="A2203" t="s">
        <v>2664</v>
      </c>
      <c r="B2203" t="s">
        <v>896</v>
      </c>
      <c r="C2203" t="s">
        <v>2665</v>
      </c>
      <c r="D2203">
        <v>686972</v>
      </c>
      <c r="E2203" t="s">
        <v>417</v>
      </c>
    </row>
    <row r="2204" spans="1:5">
      <c r="A2204" t="s">
        <v>2664</v>
      </c>
      <c r="B2204" t="s">
        <v>896</v>
      </c>
      <c r="C2204" t="s">
        <v>2666</v>
      </c>
      <c r="D2204">
        <v>686974</v>
      </c>
      <c r="E2204" t="s">
        <v>712</v>
      </c>
    </row>
    <row r="2205" spans="1:5">
      <c r="A2205" t="s">
        <v>2664</v>
      </c>
      <c r="B2205" t="s">
        <v>896</v>
      </c>
      <c r="C2205" t="s">
        <v>2667</v>
      </c>
      <c r="D2205">
        <v>686972</v>
      </c>
      <c r="E2205" t="s">
        <v>417</v>
      </c>
    </row>
    <row r="2206" spans="1:5">
      <c r="A2206" t="s">
        <v>2664</v>
      </c>
      <c r="B2206" t="s">
        <v>896</v>
      </c>
      <c r="C2206" t="s">
        <v>2668</v>
      </c>
      <c r="D2206">
        <v>687118</v>
      </c>
      <c r="E2206" t="s">
        <v>422</v>
      </c>
    </row>
    <row r="2207" spans="1:5">
      <c r="A2207" t="s">
        <v>2664</v>
      </c>
      <c r="B2207" t="s">
        <v>896</v>
      </c>
      <c r="C2207" t="s">
        <v>2669</v>
      </c>
      <c r="D2207">
        <v>277668</v>
      </c>
      <c r="E2207" t="s">
        <v>656</v>
      </c>
    </row>
    <row r="2208" spans="1:5">
      <c r="A2208" t="s">
        <v>2664</v>
      </c>
      <c r="B2208" t="s">
        <v>896</v>
      </c>
      <c r="C2208" t="s">
        <v>2670</v>
      </c>
      <c r="D2208">
        <v>716693</v>
      </c>
      <c r="E2208" t="s">
        <v>551</v>
      </c>
    </row>
    <row r="2209" spans="1:5">
      <c r="A2209" t="s">
        <v>2664</v>
      </c>
      <c r="B2209" t="s">
        <v>896</v>
      </c>
      <c r="C2209" t="s">
        <v>2671</v>
      </c>
      <c r="D2209">
        <v>277668</v>
      </c>
      <c r="E2209" t="s">
        <v>656</v>
      </c>
    </row>
    <row r="2210" spans="1:5">
      <c r="A2210" t="s">
        <v>2664</v>
      </c>
      <c r="B2210" t="s">
        <v>896</v>
      </c>
      <c r="C2210" t="s">
        <v>2672</v>
      </c>
      <c r="D2210">
        <v>735827</v>
      </c>
      <c r="E2210" t="s">
        <v>128</v>
      </c>
    </row>
    <row r="2211" spans="1:5">
      <c r="A2211" t="s">
        <v>2664</v>
      </c>
      <c r="B2211" t="s">
        <v>896</v>
      </c>
      <c r="C2211" t="s">
        <v>2673</v>
      </c>
      <c r="D2211">
        <v>735827</v>
      </c>
      <c r="E2211" t="s">
        <v>128</v>
      </c>
    </row>
    <row r="2212" spans="1:5">
      <c r="A2212" t="s">
        <v>2664</v>
      </c>
      <c r="B2212" t="s">
        <v>896</v>
      </c>
      <c r="C2212" t="s">
        <v>2674</v>
      </c>
      <c r="D2212">
        <v>22091</v>
      </c>
      <c r="E2212" t="s">
        <v>2028</v>
      </c>
    </row>
    <row r="2213" spans="1:5">
      <c r="A2213" t="s">
        <v>2664</v>
      </c>
      <c r="B2213" t="s">
        <v>896</v>
      </c>
      <c r="C2213" t="s">
        <v>2675</v>
      </c>
      <c r="D2213">
        <v>686972</v>
      </c>
      <c r="E2213" t="s">
        <v>417</v>
      </c>
    </row>
    <row r="2214" spans="1:5">
      <c r="A2214" t="s">
        <v>2664</v>
      </c>
      <c r="B2214" t="s">
        <v>896</v>
      </c>
      <c r="C2214" t="s">
        <v>2676</v>
      </c>
      <c r="D2214">
        <v>735827</v>
      </c>
      <c r="E2214" t="s">
        <v>128</v>
      </c>
    </row>
    <row r="2215" spans="1:5">
      <c r="A2215" t="s">
        <v>2677</v>
      </c>
      <c r="B2215" t="s">
        <v>896</v>
      </c>
      <c r="C2215" t="s">
        <v>2678</v>
      </c>
      <c r="D2215">
        <v>967920</v>
      </c>
      <c r="E2215" t="s">
        <v>499</v>
      </c>
    </row>
    <row r="2216" spans="1:5">
      <c r="A2216" t="s">
        <v>2677</v>
      </c>
      <c r="B2216" t="s">
        <v>896</v>
      </c>
      <c r="C2216" t="s">
        <v>2679</v>
      </c>
      <c r="D2216">
        <v>829723</v>
      </c>
      <c r="E2216" t="s">
        <v>735</v>
      </c>
    </row>
    <row r="2217" spans="1:5">
      <c r="A2217" t="s">
        <v>2677</v>
      </c>
      <c r="B2217" t="s">
        <v>896</v>
      </c>
      <c r="C2217" t="s">
        <v>2680</v>
      </c>
      <c r="D2217">
        <v>660626</v>
      </c>
      <c r="E2217" t="s">
        <v>495</v>
      </c>
    </row>
    <row r="2218" spans="1:5">
      <c r="A2218" t="s">
        <v>2677</v>
      </c>
      <c r="B2218" t="s">
        <v>896</v>
      </c>
      <c r="C2218" t="s">
        <v>2681</v>
      </c>
      <c r="D2218">
        <v>774526</v>
      </c>
      <c r="E2218" t="s">
        <v>772</v>
      </c>
    </row>
    <row r="2219" spans="1:5">
      <c r="A2219" t="s">
        <v>2677</v>
      </c>
      <c r="B2219" t="s">
        <v>896</v>
      </c>
      <c r="C2219" t="s">
        <v>2682</v>
      </c>
      <c r="D2219">
        <v>803535</v>
      </c>
      <c r="E2219" t="s">
        <v>729</v>
      </c>
    </row>
    <row r="2220" spans="1:5">
      <c r="A2220" t="s">
        <v>2677</v>
      </c>
      <c r="B2220" t="s">
        <v>896</v>
      </c>
      <c r="C2220" t="s">
        <v>2683</v>
      </c>
      <c r="D2220">
        <v>11467</v>
      </c>
      <c r="E2220" t="s">
        <v>756</v>
      </c>
    </row>
    <row r="2221" spans="1:5">
      <c r="A2221" t="s">
        <v>2677</v>
      </c>
      <c r="B2221" t="s">
        <v>896</v>
      </c>
      <c r="C2221" t="s">
        <v>2684</v>
      </c>
      <c r="D2221">
        <v>789902</v>
      </c>
      <c r="E2221" t="s">
        <v>485</v>
      </c>
    </row>
    <row r="2222" spans="1:5">
      <c r="A2222" t="s">
        <v>2677</v>
      </c>
      <c r="B2222" t="s">
        <v>896</v>
      </c>
      <c r="C2222" t="s">
        <v>2685</v>
      </c>
      <c r="D2222">
        <v>829723</v>
      </c>
      <c r="E2222" t="s">
        <v>735</v>
      </c>
    </row>
    <row r="2223" spans="1:5">
      <c r="A2223" t="s">
        <v>2677</v>
      </c>
      <c r="B2223" t="s">
        <v>896</v>
      </c>
      <c r="C2223" t="s">
        <v>2686</v>
      </c>
      <c r="D2223">
        <v>761889</v>
      </c>
      <c r="E2223" t="s">
        <v>381</v>
      </c>
    </row>
    <row r="2224" spans="1:5">
      <c r="A2224" t="s">
        <v>2677</v>
      </c>
      <c r="B2224" t="s">
        <v>896</v>
      </c>
      <c r="C2224" t="s">
        <v>2687</v>
      </c>
      <c r="D2224">
        <v>803118</v>
      </c>
      <c r="E2224" t="s">
        <v>590</v>
      </c>
    </row>
    <row r="2225" spans="1:5">
      <c r="A2225" t="s">
        <v>2677</v>
      </c>
      <c r="B2225" t="s">
        <v>896</v>
      </c>
      <c r="C2225" t="s">
        <v>2688</v>
      </c>
      <c r="D2225">
        <v>11467</v>
      </c>
      <c r="E2225" t="s">
        <v>756</v>
      </c>
    </row>
    <row r="2226" spans="1:5">
      <c r="A2226" t="s">
        <v>2677</v>
      </c>
      <c r="B2226" t="s">
        <v>896</v>
      </c>
      <c r="C2226" t="s">
        <v>2689</v>
      </c>
      <c r="D2226">
        <v>725703</v>
      </c>
      <c r="E2226" t="s">
        <v>427</v>
      </c>
    </row>
    <row r="2227" spans="1:5">
      <c r="A2227" t="s">
        <v>2677</v>
      </c>
      <c r="B2227" t="s">
        <v>896</v>
      </c>
      <c r="C2227" t="s">
        <v>2690</v>
      </c>
      <c r="D2227">
        <v>803118</v>
      </c>
      <c r="E2227" t="s">
        <v>590</v>
      </c>
    </row>
    <row r="2228" spans="1:5">
      <c r="A2228" t="s">
        <v>2677</v>
      </c>
      <c r="B2228" t="s">
        <v>896</v>
      </c>
      <c r="C2228" t="s">
        <v>2691</v>
      </c>
      <c r="D2228">
        <v>761889</v>
      </c>
      <c r="E2228" t="s">
        <v>381</v>
      </c>
    </row>
    <row r="2229" spans="1:5">
      <c r="A2229" t="s">
        <v>2677</v>
      </c>
      <c r="B2229" t="s">
        <v>896</v>
      </c>
      <c r="C2229" t="s">
        <v>2692</v>
      </c>
      <c r="D2229">
        <v>829723</v>
      </c>
      <c r="E2229" t="s">
        <v>735</v>
      </c>
    </row>
    <row r="2230" spans="1:5">
      <c r="A2230" t="s">
        <v>2677</v>
      </c>
      <c r="B2230" t="s">
        <v>896</v>
      </c>
      <c r="C2230" t="s">
        <v>2693</v>
      </c>
      <c r="D2230">
        <v>803118</v>
      </c>
      <c r="E2230" t="s">
        <v>590</v>
      </c>
    </row>
    <row r="2231" spans="1:5">
      <c r="A2231" t="s">
        <v>2677</v>
      </c>
      <c r="B2231" t="s">
        <v>896</v>
      </c>
      <c r="C2231" t="s">
        <v>2694</v>
      </c>
      <c r="D2231">
        <v>803118</v>
      </c>
      <c r="E2231" t="s">
        <v>590</v>
      </c>
    </row>
    <row r="2232" spans="1:5">
      <c r="A2232" t="s">
        <v>2677</v>
      </c>
      <c r="B2232" t="s">
        <v>896</v>
      </c>
      <c r="C2232" t="s">
        <v>2695</v>
      </c>
      <c r="D2232">
        <v>789902</v>
      </c>
      <c r="E2232" t="s">
        <v>485</v>
      </c>
    </row>
    <row r="2233" spans="1:5">
      <c r="A2233" t="s">
        <v>2677</v>
      </c>
      <c r="B2233" t="s">
        <v>896</v>
      </c>
      <c r="C2233" t="s">
        <v>2696</v>
      </c>
      <c r="D2233">
        <v>803535</v>
      </c>
      <c r="E2233" t="s">
        <v>729</v>
      </c>
    </row>
    <row r="2234" spans="1:5">
      <c r="A2234" t="s">
        <v>2677</v>
      </c>
      <c r="B2234" t="s">
        <v>896</v>
      </c>
      <c r="C2234" t="s">
        <v>2697</v>
      </c>
      <c r="D2234">
        <v>583731</v>
      </c>
      <c r="E2234" t="s">
        <v>740</v>
      </c>
    </row>
    <row r="2235" spans="1:5">
      <c r="A2235" t="s">
        <v>2677</v>
      </c>
      <c r="B2235" t="s">
        <v>896</v>
      </c>
      <c r="C2235" t="s">
        <v>2698</v>
      </c>
      <c r="D2235">
        <v>803118</v>
      </c>
      <c r="E2235" t="s">
        <v>590</v>
      </c>
    </row>
    <row r="2236" spans="1:5">
      <c r="A2236" t="s">
        <v>2699</v>
      </c>
      <c r="B2236" t="s">
        <v>896</v>
      </c>
      <c r="C2236" t="s">
        <v>2700</v>
      </c>
      <c r="D2236">
        <v>597434</v>
      </c>
      <c r="E2236" t="s">
        <v>47</v>
      </c>
    </row>
    <row r="2237" spans="1:5">
      <c r="A2237" t="s">
        <v>2699</v>
      </c>
      <c r="B2237" t="s">
        <v>896</v>
      </c>
      <c r="C2237" t="s">
        <v>2701</v>
      </c>
      <c r="D2237">
        <v>809076</v>
      </c>
      <c r="E2237" t="s">
        <v>813</v>
      </c>
    </row>
    <row r="2238" spans="1:5">
      <c r="A2238" t="s">
        <v>2699</v>
      </c>
      <c r="B2238" t="s">
        <v>896</v>
      </c>
      <c r="C2238" t="s">
        <v>2702</v>
      </c>
      <c r="D2238">
        <v>261486</v>
      </c>
      <c r="E2238" t="s">
        <v>357</v>
      </c>
    </row>
    <row r="2239" spans="1:5">
      <c r="A2239" t="s">
        <v>2699</v>
      </c>
      <c r="B2239" t="s">
        <v>896</v>
      </c>
      <c r="C2239" t="s">
        <v>2703</v>
      </c>
      <c r="D2239">
        <v>948789</v>
      </c>
      <c r="E2239" t="s">
        <v>212</v>
      </c>
    </row>
    <row r="2240" spans="1:5">
      <c r="A2240" t="s">
        <v>2699</v>
      </c>
      <c r="B2240" t="s">
        <v>896</v>
      </c>
      <c r="C2240" t="s">
        <v>2704</v>
      </c>
      <c r="D2240">
        <v>441735</v>
      </c>
      <c r="E2240" t="s">
        <v>496</v>
      </c>
    </row>
    <row r="2241" spans="1:5">
      <c r="A2241" t="s">
        <v>2699</v>
      </c>
      <c r="B2241" t="s">
        <v>896</v>
      </c>
      <c r="C2241" t="s">
        <v>2705</v>
      </c>
      <c r="D2241">
        <v>854317</v>
      </c>
      <c r="E2241" t="s">
        <v>734</v>
      </c>
    </row>
    <row r="2242" spans="1:5">
      <c r="A2242" t="s">
        <v>2699</v>
      </c>
      <c r="B2242" t="s">
        <v>896</v>
      </c>
      <c r="C2242" t="s">
        <v>2706</v>
      </c>
      <c r="D2242">
        <v>765474</v>
      </c>
      <c r="E2242" t="s">
        <v>48</v>
      </c>
    </row>
    <row r="2243" spans="1:5">
      <c r="A2243" t="s">
        <v>2699</v>
      </c>
      <c r="B2243" t="s">
        <v>896</v>
      </c>
      <c r="C2243" t="s">
        <v>2707</v>
      </c>
      <c r="D2243">
        <v>593512</v>
      </c>
      <c r="E2243" t="s">
        <v>120</v>
      </c>
    </row>
    <row r="2244" spans="1:5">
      <c r="A2244" t="s">
        <v>2699</v>
      </c>
      <c r="B2244" t="s">
        <v>896</v>
      </c>
      <c r="C2244" t="s">
        <v>2708</v>
      </c>
      <c r="D2244">
        <v>755301</v>
      </c>
      <c r="E2244" t="s">
        <v>192</v>
      </c>
    </row>
    <row r="2245" spans="1:5">
      <c r="A2245" t="s">
        <v>2699</v>
      </c>
      <c r="B2245" t="s">
        <v>896</v>
      </c>
      <c r="C2245" t="s">
        <v>2709</v>
      </c>
      <c r="D2245">
        <v>948789</v>
      </c>
      <c r="E2245" t="s">
        <v>212</v>
      </c>
    </row>
    <row r="2246" spans="1:5">
      <c r="A2246" t="s">
        <v>2699</v>
      </c>
      <c r="B2246" t="s">
        <v>896</v>
      </c>
      <c r="C2246" t="s">
        <v>2710</v>
      </c>
      <c r="D2246">
        <v>557897</v>
      </c>
      <c r="E2246" t="s">
        <v>18</v>
      </c>
    </row>
    <row r="2247" spans="1:5">
      <c r="A2247" t="s">
        <v>2699</v>
      </c>
      <c r="B2247" t="s">
        <v>896</v>
      </c>
      <c r="C2247" t="s">
        <v>2711</v>
      </c>
      <c r="D2247">
        <v>957687</v>
      </c>
      <c r="E2247" t="s">
        <v>867</v>
      </c>
    </row>
    <row r="2248" spans="1:5">
      <c r="A2248" t="s">
        <v>2699</v>
      </c>
      <c r="B2248" t="s">
        <v>896</v>
      </c>
      <c r="C2248" t="s">
        <v>2712</v>
      </c>
      <c r="D2248">
        <v>441735</v>
      </c>
      <c r="E2248" t="s">
        <v>496</v>
      </c>
    </row>
    <row r="2249" spans="1:5">
      <c r="A2249" t="s">
        <v>2699</v>
      </c>
      <c r="B2249" t="s">
        <v>896</v>
      </c>
      <c r="C2249" t="s">
        <v>2713</v>
      </c>
      <c r="D2249">
        <v>231210</v>
      </c>
      <c r="E2249" t="s">
        <v>278</v>
      </c>
    </row>
    <row r="2250" spans="1:5">
      <c r="A2250" t="s">
        <v>2699</v>
      </c>
      <c r="B2250" t="s">
        <v>896</v>
      </c>
      <c r="C2250" t="s">
        <v>2714</v>
      </c>
      <c r="D2250">
        <v>755301</v>
      </c>
      <c r="E2250" t="s">
        <v>192</v>
      </c>
    </row>
    <row r="2251" spans="1:5">
      <c r="A2251" t="s">
        <v>2699</v>
      </c>
      <c r="B2251" t="s">
        <v>896</v>
      </c>
      <c r="C2251" t="s">
        <v>2715</v>
      </c>
      <c r="D2251">
        <v>348165</v>
      </c>
      <c r="E2251" t="s">
        <v>35</v>
      </c>
    </row>
    <row r="2252" spans="1:5">
      <c r="A2252" t="s">
        <v>2699</v>
      </c>
      <c r="B2252" t="s">
        <v>896</v>
      </c>
      <c r="C2252" t="s">
        <v>2716</v>
      </c>
      <c r="D2252">
        <v>943909</v>
      </c>
      <c r="E2252" t="s">
        <v>674</v>
      </c>
    </row>
    <row r="2253" spans="1:5">
      <c r="A2253" t="s">
        <v>2699</v>
      </c>
      <c r="B2253" t="s">
        <v>896</v>
      </c>
      <c r="C2253" t="s">
        <v>2717</v>
      </c>
      <c r="D2253">
        <v>948789</v>
      </c>
      <c r="E2253" t="s">
        <v>212</v>
      </c>
    </row>
    <row r="2254" spans="1:5">
      <c r="A2254" t="s">
        <v>2699</v>
      </c>
      <c r="B2254" t="s">
        <v>896</v>
      </c>
      <c r="C2254" t="s">
        <v>2718</v>
      </c>
      <c r="D2254">
        <v>597434</v>
      </c>
      <c r="E2254" t="s">
        <v>47</v>
      </c>
    </row>
    <row r="2255" spans="1:5">
      <c r="A2255" t="s">
        <v>2699</v>
      </c>
      <c r="B2255" t="s">
        <v>896</v>
      </c>
      <c r="C2255" t="s">
        <v>2719</v>
      </c>
      <c r="D2255">
        <v>755301</v>
      </c>
      <c r="E2255" t="s">
        <v>192</v>
      </c>
    </row>
    <row r="2256" spans="1:5">
      <c r="A2256" t="s">
        <v>2699</v>
      </c>
      <c r="B2256" t="s">
        <v>896</v>
      </c>
      <c r="C2256" t="s">
        <v>2720</v>
      </c>
      <c r="D2256">
        <v>429425</v>
      </c>
      <c r="E2256" t="s">
        <v>694</v>
      </c>
    </row>
    <row r="2257" spans="1:5">
      <c r="A2257" t="s">
        <v>2699</v>
      </c>
      <c r="B2257" t="s">
        <v>896</v>
      </c>
      <c r="C2257" t="s">
        <v>2721</v>
      </c>
      <c r="D2257">
        <v>560546</v>
      </c>
      <c r="E2257" t="s">
        <v>318</v>
      </c>
    </row>
    <row r="2258" spans="1:5">
      <c r="A2258" t="s">
        <v>2699</v>
      </c>
      <c r="B2258" t="s">
        <v>896</v>
      </c>
      <c r="C2258" t="s">
        <v>2722</v>
      </c>
      <c r="D2258">
        <v>948789</v>
      </c>
      <c r="E2258" t="s">
        <v>212</v>
      </c>
    </row>
    <row r="2259" spans="1:5">
      <c r="A2259" t="s">
        <v>2699</v>
      </c>
      <c r="B2259" t="s">
        <v>896</v>
      </c>
      <c r="C2259" t="s">
        <v>2723</v>
      </c>
      <c r="D2259">
        <v>891376</v>
      </c>
      <c r="E2259" t="s">
        <v>770</v>
      </c>
    </row>
    <row r="2260" spans="1:5">
      <c r="A2260" t="s">
        <v>2699</v>
      </c>
      <c r="B2260" t="s">
        <v>896</v>
      </c>
      <c r="C2260" t="s">
        <v>2724</v>
      </c>
      <c r="D2260">
        <v>261486</v>
      </c>
      <c r="E2260" t="s">
        <v>357</v>
      </c>
    </row>
    <row r="2261" spans="1:5">
      <c r="A2261" t="s">
        <v>2699</v>
      </c>
      <c r="B2261" t="s">
        <v>896</v>
      </c>
      <c r="C2261" t="s">
        <v>2725</v>
      </c>
      <c r="D2261">
        <v>593512</v>
      </c>
      <c r="E2261" t="s">
        <v>120</v>
      </c>
    </row>
    <row r="2262" spans="1:5">
      <c r="A2262" t="s">
        <v>2726</v>
      </c>
      <c r="B2262" t="s">
        <v>896</v>
      </c>
      <c r="C2262" t="s">
        <v>2727</v>
      </c>
      <c r="D2262">
        <v>987543</v>
      </c>
      <c r="E2262" t="s">
        <v>223</v>
      </c>
    </row>
    <row r="2263" spans="1:5">
      <c r="A2263" t="s">
        <v>2726</v>
      </c>
      <c r="B2263" t="s">
        <v>896</v>
      </c>
      <c r="C2263" t="s">
        <v>2728</v>
      </c>
      <c r="D2263">
        <v>111631</v>
      </c>
      <c r="E2263" t="s">
        <v>83</v>
      </c>
    </row>
    <row r="2264" spans="1:5">
      <c r="A2264" t="s">
        <v>2726</v>
      </c>
      <c r="B2264" t="s">
        <v>896</v>
      </c>
      <c r="C2264" t="s">
        <v>2729</v>
      </c>
      <c r="D2264">
        <v>584071</v>
      </c>
      <c r="E2264" t="s">
        <v>138</v>
      </c>
    </row>
    <row r="2265" spans="1:5">
      <c r="A2265" t="s">
        <v>2726</v>
      </c>
      <c r="B2265" t="s">
        <v>896</v>
      </c>
      <c r="C2265" t="s">
        <v>2730</v>
      </c>
      <c r="D2265">
        <v>657156</v>
      </c>
      <c r="E2265" t="s">
        <v>305</v>
      </c>
    </row>
    <row r="2266" spans="1:5">
      <c r="A2266" t="s">
        <v>2726</v>
      </c>
      <c r="B2266" t="s">
        <v>896</v>
      </c>
      <c r="C2266" t="s">
        <v>2731</v>
      </c>
      <c r="D2266">
        <v>832249</v>
      </c>
      <c r="E2266" t="s">
        <v>85</v>
      </c>
    </row>
    <row r="2267" spans="1:5">
      <c r="A2267" t="s">
        <v>2726</v>
      </c>
      <c r="B2267" t="s">
        <v>896</v>
      </c>
      <c r="C2267" t="s">
        <v>2624</v>
      </c>
      <c r="D2267">
        <v>488062</v>
      </c>
      <c r="E2267" t="s">
        <v>755</v>
      </c>
    </row>
    <row r="2268" spans="1:5">
      <c r="A2268" t="s">
        <v>2726</v>
      </c>
      <c r="B2268" t="s">
        <v>896</v>
      </c>
      <c r="C2268" t="s">
        <v>2732</v>
      </c>
      <c r="D2268">
        <v>987543</v>
      </c>
      <c r="E2268" t="s">
        <v>223</v>
      </c>
    </row>
    <row r="2269" spans="1:5">
      <c r="A2269" t="s">
        <v>2726</v>
      </c>
      <c r="B2269" t="s">
        <v>896</v>
      </c>
      <c r="C2269" t="s">
        <v>2733</v>
      </c>
      <c r="D2269">
        <v>366558</v>
      </c>
      <c r="E2269" t="s">
        <v>502</v>
      </c>
    </row>
    <row r="2270" spans="1:5">
      <c r="A2270" t="s">
        <v>2726</v>
      </c>
      <c r="B2270" t="s">
        <v>896</v>
      </c>
      <c r="C2270" t="s">
        <v>2734</v>
      </c>
      <c r="D2270">
        <v>832249</v>
      </c>
      <c r="E2270" t="s">
        <v>85</v>
      </c>
    </row>
    <row r="2271" spans="1:5">
      <c r="A2271" t="s">
        <v>2726</v>
      </c>
      <c r="B2271" t="s">
        <v>896</v>
      </c>
      <c r="C2271" t="s">
        <v>2735</v>
      </c>
      <c r="D2271">
        <v>957687</v>
      </c>
      <c r="E2271" t="s">
        <v>867</v>
      </c>
    </row>
    <row r="2272" spans="1:5">
      <c r="A2272" t="s">
        <v>2726</v>
      </c>
      <c r="B2272" t="s">
        <v>896</v>
      </c>
      <c r="C2272" t="s">
        <v>2736</v>
      </c>
      <c r="D2272">
        <v>495533</v>
      </c>
      <c r="E2272" t="s">
        <v>147</v>
      </c>
    </row>
    <row r="2273" spans="1:5">
      <c r="A2273" t="s">
        <v>2726</v>
      </c>
      <c r="B2273" t="s">
        <v>896</v>
      </c>
      <c r="C2273" t="s">
        <v>2628</v>
      </c>
      <c r="D2273">
        <v>328548</v>
      </c>
      <c r="E2273" t="s">
        <v>414</v>
      </c>
    </row>
    <row r="2274" spans="1:5">
      <c r="A2274" t="s">
        <v>2726</v>
      </c>
      <c r="B2274" t="s">
        <v>896</v>
      </c>
      <c r="C2274" t="s">
        <v>2340</v>
      </c>
      <c r="D2274">
        <v>978517</v>
      </c>
      <c r="E2274" t="s">
        <v>846</v>
      </c>
    </row>
    <row r="2275" spans="1:5">
      <c r="A2275" t="s">
        <v>2726</v>
      </c>
      <c r="B2275" t="s">
        <v>896</v>
      </c>
      <c r="C2275" t="s">
        <v>2737</v>
      </c>
      <c r="D2275">
        <v>610944</v>
      </c>
      <c r="E2275" t="s">
        <v>1210</v>
      </c>
    </row>
    <row r="2276" spans="1:5">
      <c r="A2276" t="s">
        <v>2726</v>
      </c>
      <c r="B2276" t="s">
        <v>896</v>
      </c>
      <c r="C2276" t="s">
        <v>2738</v>
      </c>
      <c r="D2276">
        <v>635374</v>
      </c>
      <c r="E2276" t="s">
        <v>450</v>
      </c>
    </row>
    <row r="2277" spans="1:5">
      <c r="A2277" t="s">
        <v>2726</v>
      </c>
      <c r="B2277" t="s">
        <v>896</v>
      </c>
      <c r="C2277" t="s">
        <v>2739</v>
      </c>
      <c r="D2277">
        <v>974730</v>
      </c>
      <c r="E2277" t="s">
        <v>93</v>
      </c>
    </row>
    <row r="2278" spans="1:5">
      <c r="A2278" t="s">
        <v>2726</v>
      </c>
      <c r="B2278" t="s">
        <v>896</v>
      </c>
      <c r="C2278" t="s">
        <v>2740</v>
      </c>
      <c r="D2278">
        <v>481387</v>
      </c>
      <c r="E2278" t="s">
        <v>448</v>
      </c>
    </row>
    <row r="2279" spans="1:5">
      <c r="A2279" t="s">
        <v>2726</v>
      </c>
      <c r="B2279" t="s">
        <v>896</v>
      </c>
      <c r="C2279" t="s">
        <v>2632</v>
      </c>
      <c r="D2279">
        <v>557897</v>
      </c>
      <c r="E2279" t="s">
        <v>18</v>
      </c>
    </row>
    <row r="2280" spans="1:5">
      <c r="A2280" t="s">
        <v>2726</v>
      </c>
      <c r="B2280" t="s">
        <v>896</v>
      </c>
      <c r="C2280" t="s">
        <v>2741</v>
      </c>
      <c r="D2280">
        <v>957687</v>
      </c>
      <c r="E2280" t="s">
        <v>867</v>
      </c>
    </row>
    <row r="2281" spans="1:5">
      <c r="A2281" t="s">
        <v>2726</v>
      </c>
      <c r="B2281" t="s">
        <v>896</v>
      </c>
      <c r="C2281" t="s">
        <v>2742</v>
      </c>
      <c r="D2281">
        <v>667491</v>
      </c>
      <c r="E2281" t="s">
        <v>1039</v>
      </c>
    </row>
    <row r="2282" spans="1:5">
      <c r="A2282" t="s">
        <v>2726</v>
      </c>
      <c r="B2282" t="s">
        <v>896</v>
      </c>
      <c r="C2282" t="s">
        <v>2743</v>
      </c>
      <c r="D2282">
        <v>635374</v>
      </c>
      <c r="E2282" t="s">
        <v>450</v>
      </c>
    </row>
    <row r="2283" spans="1:5">
      <c r="A2283" t="s">
        <v>2726</v>
      </c>
      <c r="B2283" t="s">
        <v>896</v>
      </c>
      <c r="C2283" t="s">
        <v>2744</v>
      </c>
      <c r="D2283">
        <v>844290</v>
      </c>
      <c r="E2283" t="s">
        <v>476</v>
      </c>
    </row>
    <row r="2284" spans="1:5">
      <c r="A2284" t="s">
        <v>2726</v>
      </c>
      <c r="B2284" t="s">
        <v>896</v>
      </c>
      <c r="C2284" t="s">
        <v>2745</v>
      </c>
      <c r="D2284">
        <v>610944</v>
      </c>
      <c r="E2284" t="s">
        <v>1210</v>
      </c>
    </row>
    <row r="2285" spans="1:5">
      <c r="A2285" t="s">
        <v>2726</v>
      </c>
      <c r="B2285" t="s">
        <v>896</v>
      </c>
      <c r="C2285" t="s">
        <v>2637</v>
      </c>
      <c r="D2285">
        <v>488062</v>
      </c>
      <c r="E2285" t="s">
        <v>755</v>
      </c>
    </row>
    <row r="2286" spans="1:5">
      <c r="A2286" t="s">
        <v>2726</v>
      </c>
      <c r="B2286" t="s">
        <v>896</v>
      </c>
      <c r="C2286" t="s">
        <v>2746</v>
      </c>
      <c r="D2286">
        <v>571329</v>
      </c>
      <c r="E2286" t="s">
        <v>319</v>
      </c>
    </row>
    <row r="2287" spans="1:5">
      <c r="A2287" t="s">
        <v>2726</v>
      </c>
      <c r="B2287" t="s">
        <v>896</v>
      </c>
      <c r="C2287" t="s">
        <v>2747</v>
      </c>
      <c r="D2287">
        <v>261486</v>
      </c>
      <c r="E2287" t="s">
        <v>357</v>
      </c>
    </row>
    <row r="2288" spans="1:5">
      <c r="A2288" t="s">
        <v>2748</v>
      </c>
      <c r="B2288" t="s">
        <v>896</v>
      </c>
      <c r="C2288" t="s">
        <v>1267</v>
      </c>
      <c r="D2288">
        <v>970202</v>
      </c>
      <c r="E2288" t="s">
        <v>836</v>
      </c>
    </row>
    <row r="2289" spans="1:5">
      <c r="A2289" t="s">
        <v>2748</v>
      </c>
      <c r="B2289" t="s">
        <v>896</v>
      </c>
      <c r="C2289" t="s">
        <v>1267</v>
      </c>
      <c r="D2289">
        <v>955121</v>
      </c>
      <c r="E2289" t="s">
        <v>611</v>
      </c>
    </row>
    <row r="2290" spans="1:5">
      <c r="A2290" t="s">
        <v>2748</v>
      </c>
      <c r="B2290" t="s">
        <v>896</v>
      </c>
      <c r="C2290" t="s">
        <v>1268</v>
      </c>
      <c r="D2290">
        <v>314692</v>
      </c>
      <c r="E2290" t="s">
        <v>516</v>
      </c>
    </row>
    <row r="2291" spans="1:5">
      <c r="A2291" t="s">
        <v>2748</v>
      </c>
      <c r="B2291" t="s">
        <v>896</v>
      </c>
      <c r="C2291" t="s">
        <v>1269</v>
      </c>
      <c r="D2291">
        <v>955121</v>
      </c>
      <c r="E2291" t="s">
        <v>611</v>
      </c>
    </row>
    <row r="2292" spans="1:5">
      <c r="A2292" t="s">
        <v>2748</v>
      </c>
      <c r="B2292" t="s">
        <v>896</v>
      </c>
      <c r="C2292" t="s">
        <v>1270</v>
      </c>
      <c r="D2292">
        <v>343330</v>
      </c>
      <c r="E2292" t="s">
        <v>117</v>
      </c>
    </row>
    <row r="2293" spans="1:5">
      <c r="A2293" t="s">
        <v>2748</v>
      </c>
      <c r="B2293" t="s">
        <v>896</v>
      </c>
      <c r="C2293" t="s">
        <v>1271</v>
      </c>
      <c r="D2293">
        <v>314692</v>
      </c>
      <c r="E2293" t="s">
        <v>516</v>
      </c>
    </row>
    <row r="2294" spans="1:5">
      <c r="A2294" t="s">
        <v>2748</v>
      </c>
      <c r="B2294" t="s">
        <v>896</v>
      </c>
      <c r="C2294" t="s">
        <v>1272</v>
      </c>
      <c r="D2294">
        <v>970202</v>
      </c>
      <c r="E2294" t="s">
        <v>836</v>
      </c>
    </row>
    <row r="2295" spans="1:5">
      <c r="A2295" t="s">
        <v>2748</v>
      </c>
      <c r="B2295" t="s">
        <v>896</v>
      </c>
      <c r="C2295" t="s">
        <v>1274</v>
      </c>
      <c r="D2295">
        <v>343330</v>
      </c>
      <c r="E2295" t="s">
        <v>117</v>
      </c>
    </row>
    <row r="2296" spans="1:5">
      <c r="A2296" t="s">
        <v>2748</v>
      </c>
      <c r="B2296" t="s">
        <v>896</v>
      </c>
      <c r="C2296" t="s">
        <v>1274</v>
      </c>
      <c r="D2296">
        <v>384287</v>
      </c>
      <c r="E2296" t="s">
        <v>236</v>
      </c>
    </row>
    <row r="2297" spans="1:5">
      <c r="A2297" t="s">
        <v>2748</v>
      </c>
      <c r="B2297" t="s">
        <v>896</v>
      </c>
      <c r="C2297" t="s">
        <v>1275</v>
      </c>
      <c r="D2297">
        <v>366558</v>
      </c>
      <c r="E2297" t="s">
        <v>502</v>
      </c>
    </row>
    <row r="2298" spans="1:5">
      <c r="A2298" t="s">
        <v>2748</v>
      </c>
      <c r="B2298" t="s">
        <v>896</v>
      </c>
      <c r="C2298" t="s">
        <v>1276</v>
      </c>
      <c r="D2298">
        <v>614883</v>
      </c>
      <c r="E2298" t="s">
        <v>340</v>
      </c>
    </row>
    <row r="2299" spans="1:5">
      <c r="A2299" t="s">
        <v>2748</v>
      </c>
      <c r="B2299" t="s">
        <v>896</v>
      </c>
      <c r="C2299" t="s">
        <v>1277</v>
      </c>
      <c r="D2299">
        <v>343330</v>
      </c>
      <c r="E2299" t="s">
        <v>117</v>
      </c>
    </row>
    <row r="2300" spans="1:5">
      <c r="A2300" t="s">
        <v>2748</v>
      </c>
      <c r="B2300" t="s">
        <v>896</v>
      </c>
      <c r="C2300" t="s">
        <v>1278</v>
      </c>
      <c r="D2300">
        <v>314692</v>
      </c>
      <c r="E2300" t="s">
        <v>516</v>
      </c>
    </row>
    <row r="2301" spans="1:5">
      <c r="A2301" t="s">
        <v>2748</v>
      </c>
      <c r="B2301" t="s">
        <v>896</v>
      </c>
      <c r="C2301" t="s">
        <v>1280</v>
      </c>
      <c r="D2301">
        <v>970202</v>
      </c>
      <c r="E2301" t="s">
        <v>836</v>
      </c>
    </row>
    <row r="2302" spans="1:5">
      <c r="A2302" t="s">
        <v>2748</v>
      </c>
      <c r="B2302" t="s">
        <v>896</v>
      </c>
      <c r="C2302" t="s">
        <v>1282</v>
      </c>
      <c r="D2302">
        <v>75350</v>
      </c>
      <c r="E2302" t="s">
        <v>391</v>
      </c>
    </row>
    <row r="2303" spans="1:5">
      <c r="A2303" t="s">
        <v>2748</v>
      </c>
      <c r="B2303" t="s">
        <v>896</v>
      </c>
      <c r="C2303" t="s">
        <v>1282</v>
      </c>
      <c r="D2303">
        <v>988224</v>
      </c>
      <c r="E2303" t="s">
        <v>857</v>
      </c>
    </row>
    <row r="2304" spans="1:5">
      <c r="A2304" t="s">
        <v>2748</v>
      </c>
      <c r="B2304" t="s">
        <v>896</v>
      </c>
      <c r="C2304" t="s">
        <v>1283</v>
      </c>
      <c r="D2304">
        <v>314692</v>
      </c>
      <c r="E2304" t="s">
        <v>516</v>
      </c>
    </row>
    <row r="2305" spans="1:5">
      <c r="A2305" t="s">
        <v>2748</v>
      </c>
      <c r="B2305" t="s">
        <v>896</v>
      </c>
      <c r="C2305" t="s">
        <v>1284</v>
      </c>
      <c r="D2305">
        <v>926434</v>
      </c>
      <c r="E2305" t="s">
        <v>407</v>
      </c>
    </row>
    <row r="2306" spans="1:5">
      <c r="A2306" t="s">
        <v>2748</v>
      </c>
      <c r="B2306" t="s">
        <v>896</v>
      </c>
      <c r="C2306" t="s">
        <v>1285</v>
      </c>
      <c r="D2306">
        <v>970202</v>
      </c>
      <c r="E2306" t="s">
        <v>836</v>
      </c>
    </row>
    <row r="2307" spans="1:5">
      <c r="A2307" t="s">
        <v>2748</v>
      </c>
      <c r="B2307" t="s">
        <v>896</v>
      </c>
      <c r="C2307" t="s">
        <v>1286</v>
      </c>
      <c r="D2307">
        <v>314692</v>
      </c>
      <c r="E2307" t="s">
        <v>516</v>
      </c>
    </row>
    <row r="2308" spans="1:5">
      <c r="A2308" t="s">
        <v>2748</v>
      </c>
      <c r="B2308" t="s">
        <v>896</v>
      </c>
      <c r="C2308" t="s">
        <v>1287</v>
      </c>
      <c r="D2308">
        <v>163348</v>
      </c>
      <c r="E2308" t="s">
        <v>375</v>
      </c>
    </row>
    <row r="2309" spans="1:5">
      <c r="A2309" t="s">
        <v>2748</v>
      </c>
      <c r="B2309" t="s">
        <v>896</v>
      </c>
      <c r="C2309" t="s">
        <v>1289</v>
      </c>
      <c r="D2309">
        <v>384287</v>
      </c>
      <c r="E2309" t="s">
        <v>236</v>
      </c>
    </row>
    <row r="2310" spans="1:5">
      <c r="A2310" t="s">
        <v>2748</v>
      </c>
      <c r="B2310" t="s">
        <v>896</v>
      </c>
      <c r="C2310" t="s">
        <v>2749</v>
      </c>
      <c r="D2310">
        <v>910139</v>
      </c>
      <c r="E2310" t="s">
        <v>215</v>
      </c>
    </row>
    <row r="2311" spans="1:5">
      <c r="A2311" t="s">
        <v>2748</v>
      </c>
      <c r="B2311" t="s">
        <v>896</v>
      </c>
      <c r="C2311" t="s">
        <v>1290</v>
      </c>
      <c r="D2311">
        <v>314692</v>
      </c>
      <c r="E2311" t="s">
        <v>516</v>
      </c>
    </row>
    <row r="2312" spans="1:5">
      <c r="A2312" t="s">
        <v>2748</v>
      </c>
      <c r="B2312" t="s">
        <v>896</v>
      </c>
      <c r="C2312" t="s">
        <v>1291</v>
      </c>
      <c r="D2312">
        <v>886392</v>
      </c>
      <c r="E2312" t="s">
        <v>805</v>
      </c>
    </row>
    <row r="2313" spans="1:5">
      <c r="A2313" t="s">
        <v>2748</v>
      </c>
      <c r="B2313" t="s">
        <v>896</v>
      </c>
      <c r="C2313" t="s">
        <v>1292</v>
      </c>
      <c r="D2313">
        <v>988224</v>
      </c>
      <c r="E2313" t="s">
        <v>857</v>
      </c>
    </row>
    <row r="2314" spans="1:5">
      <c r="A2314" t="s">
        <v>2748</v>
      </c>
      <c r="B2314" t="s">
        <v>896</v>
      </c>
      <c r="C2314" t="s">
        <v>1293</v>
      </c>
      <c r="D2314">
        <v>314692</v>
      </c>
      <c r="E2314" t="s">
        <v>516</v>
      </c>
    </row>
    <row r="2315" spans="1:5">
      <c r="A2315" t="s">
        <v>2748</v>
      </c>
      <c r="B2315" t="s">
        <v>896</v>
      </c>
      <c r="C2315" t="s">
        <v>1294</v>
      </c>
      <c r="D2315">
        <v>687118</v>
      </c>
      <c r="E2315" t="s">
        <v>422</v>
      </c>
    </row>
    <row r="2316" spans="1:5">
      <c r="A2316" t="s">
        <v>2748</v>
      </c>
      <c r="B2316" t="s">
        <v>896</v>
      </c>
      <c r="C2316" t="s">
        <v>1296</v>
      </c>
      <c r="D2316">
        <v>384287</v>
      </c>
      <c r="E2316" t="s">
        <v>236</v>
      </c>
    </row>
    <row r="2317" spans="1:5">
      <c r="A2317" t="s">
        <v>2748</v>
      </c>
      <c r="B2317" t="s">
        <v>896</v>
      </c>
      <c r="C2317" t="s">
        <v>1296</v>
      </c>
      <c r="D2317">
        <v>614883</v>
      </c>
      <c r="E2317" t="s">
        <v>340</v>
      </c>
    </row>
    <row r="2318" spans="1:5">
      <c r="A2318" t="s">
        <v>2748</v>
      </c>
      <c r="B2318" t="s">
        <v>896</v>
      </c>
      <c r="C2318" t="s">
        <v>1297</v>
      </c>
      <c r="D2318">
        <v>314692</v>
      </c>
      <c r="E2318" t="s">
        <v>516</v>
      </c>
    </row>
    <row r="2319" spans="1:5">
      <c r="A2319" t="s">
        <v>2750</v>
      </c>
      <c r="B2319" t="s">
        <v>896</v>
      </c>
      <c r="C2319" t="s">
        <v>2689</v>
      </c>
      <c r="D2319">
        <v>845124</v>
      </c>
      <c r="E2319" t="s">
        <v>474</v>
      </c>
    </row>
    <row r="2320" spans="1:5">
      <c r="A2320" t="s">
        <v>2750</v>
      </c>
      <c r="B2320" t="s">
        <v>896</v>
      </c>
      <c r="C2320" t="s">
        <v>2689</v>
      </c>
      <c r="D2320">
        <v>703098</v>
      </c>
      <c r="E2320" t="s">
        <v>16</v>
      </c>
    </row>
    <row r="2321" spans="1:5">
      <c r="A2321" t="s">
        <v>2750</v>
      </c>
      <c r="B2321" t="s">
        <v>896</v>
      </c>
      <c r="C2321" t="s">
        <v>2691</v>
      </c>
      <c r="D2321">
        <v>638067</v>
      </c>
      <c r="E2321" t="s">
        <v>182</v>
      </c>
    </row>
    <row r="2322" spans="1:5">
      <c r="A2322" t="s">
        <v>2750</v>
      </c>
      <c r="B2322" t="s">
        <v>896</v>
      </c>
      <c r="C2322" t="s">
        <v>2691</v>
      </c>
      <c r="D2322">
        <v>267168</v>
      </c>
      <c r="E2322" t="s">
        <v>206</v>
      </c>
    </row>
    <row r="2323" spans="1:5">
      <c r="A2323" t="s">
        <v>2751</v>
      </c>
      <c r="B2323" t="s">
        <v>896</v>
      </c>
      <c r="C2323" t="s">
        <v>2752</v>
      </c>
      <c r="D2323">
        <v>455417</v>
      </c>
      <c r="E2323" t="s">
        <v>324</v>
      </c>
    </row>
    <row r="2324" spans="1:5">
      <c r="A2324" t="s">
        <v>2751</v>
      </c>
      <c r="B2324" t="s">
        <v>896</v>
      </c>
      <c r="C2324" t="s">
        <v>2753</v>
      </c>
      <c r="D2324">
        <v>448875</v>
      </c>
      <c r="E2324" t="s">
        <v>387</v>
      </c>
    </row>
    <row r="2325" spans="1:5">
      <c r="A2325" t="s">
        <v>2751</v>
      </c>
      <c r="B2325" t="s">
        <v>896</v>
      </c>
      <c r="C2325" t="s">
        <v>2754</v>
      </c>
      <c r="D2325">
        <v>816531</v>
      </c>
      <c r="E2325" t="s">
        <v>102</v>
      </c>
    </row>
    <row r="2326" spans="1:5">
      <c r="A2326" t="s">
        <v>2755</v>
      </c>
      <c r="B2326" t="s">
        <v>896</v>
      </c>
      <c r="C2326" t="s">
        <v>2756</v>
      </c>
      <c r="D2326">
        <v>620545</v>
      </c>
      <c r="E2326" t="s">
        <v>126</v>
      </c>
    </row>
    <row r="2327" spans="1:5">
      <c r="A2327" t="s">
        <v>2755</v>
      </c>
      <c r="B2327" t="s">
        <v>896</v>
      </c>
      <c r="C2327" t="s">
        <v>1280</v>
      </c>
      <c r="D2327">
        <v>267168</v>
      </c>
      <c r="E2327" t="s">
        <v>206</v>
      </c>
    </row>
    <row r="2328" spans="1:5">
      <c r="A2328" t="s">
        <v>2755</v>
      </c>
      <c r="B2328" t="s">
        <v>896</v>
      </c>
      <c r="C2328" t="s">
        <v>1280</v>
      </c>
      <c r="D2328">
        <v>873907</v>
      </c>
      <c r="E2328" t="s">
        <v>2103</v>
      </c>
    </row>
    <row r="2329" spans="1:5">
      <c r="A2329" t="s">
        <v>2755</v>
      </c>
      <c r="B2329" t="s">
        <v>896</v>
      </c>
      <c r="C2329" t="s">
        <v>1280</v>
      </c>
      <c r="D2329">
        <v>797441</v>
      </c>
      <c r="E2329" t="s">
        <v>716</v>
      </c>
    </row>
    <row r="2330" spans="1:5">
      <c r="A2330" t="s">
        <v>2757</v>
      </c>
      <c r="B2330" t="s">
        <v>896</v>
      </c>
      <c r="C2330" t="s">
        <v>1267</v>
      </c>
      <c r="D2330">
        <v>875441</v>
      </c>
      <c r="E2330" t="s">
        <v>160</v>
      </c>
    </row>
    <row r="2331" spans="1:5">
      <c r="A2331" t="s">
        <v>2757</v>
      </c>
      <c r="B2331" t="s">
        <v>896</v>
      </c>
      <c r="C2331" t="s">
        <v>1268</v>
      </c>
      <c r="D2331">
        <v>875441</v>
      </c>
      <c r="E2331" t="s">
        <v>160</v>
      </c>
    </row>
    <row r="2332" spans="1:5">
      <c r="A2332" t="s">
        <v>2757</v>
      </c>
      <c r="B2332" t="s">
        <v>896</v>
      </c>
      <c r="C2332" t="s">
        <v>1269</v>
      </c>
      <c r="D2332">
        <v>748316</v>
      </c>
      <c r="E2332" t="s">
        <v>861</v>
      </c>
    </row>
    <row r="2333" spans="1:5">
      <c r="A2333" t="s">
        <v>2757</v>
      </c>
      <c r="B2333" t="s">
        <v>896</v>
      </c>
      <c r="C2333" t="s">
        <v>1270</v>
      </c>
      <c r="D2333">
        <v>887315</v>
      </c>
      <c r="E2333" t="s">
        <v>725</v>
      </c>
    </row>
    <row r="2334" spans="1:5">
      <c r="A2334" t="s">
        <v>2757</v>
      </c>
      <c r="B2334" t="s">
        <v>896</v>
      </c>
      <c r="C2334" t="s">
        <v>1271</v>
      </c>
      <c r="D2334">
        <v>887315</v>
      </c>
      <c r="E2334" t="s">
        <v>725</v>
      </c>
    </row>
    <row r="2335" spans="1:5">
      <c r="A2335" t="s">
        <v>2757</v>
      </c>
      <c r="B2335" t="s">
        <v>896</v>
      </c>
      <c r="C2335" t="s">
        <v>1320</v>
      </c>
      <c r="D2335">
        <v>792959</v>
      </c>
      <c r="E2335" t="s">
        <v>1454</v>
      </c>
    </row>
    <row r="2336" spans="1:5">
      <c r="A2336" t="s">
        <v>2757</v>
      </c>
      <c r="B2336" t="s">
        <v>896</v>
      </c>
      <c r="C2336" t="s">
        <v>1274</v>
      </c>
      <c r="D2336">
        <v>806909</v>
      </c>
      <c r="E2336" t="s">
        <v>769</v>
      </c>
    </row>
    <row r="2337" spans="1:5">
      <c r="A2337" t="s">
        <v>2757</v>
      </c>
      <c r="B2337" t="s">
        <v>896</v>
      </c>
      <c r="C2337" t="s">
        <v>1275</v>
      </c>
      <c r="D2337">
        <v>957687</v>
      </c>
      <c r="E2337" t="s">
        <v>867</v>
      </c>
    </row>
    <row r="2338" spans="1:5">
      <c r="A2338" t="s">
        <v>2757</v>
      </c>
      <c r="B2338" t="s">
        <v>896</v>
      </c>
      <c r="C2338" t="s">
        <v>1276</v>
      </c>
      <c r="D2338">
        <v>262000</v>
      </c>
      <c r="E2338" t="s">
        <v>275</v>
      </c>
    </row>
    <row r="2339" spans="1:5">
      <c r="A2339" t="s">
        <v>2757</v>
      </c>
      <c r="B2339" t="s">
        <v>896</v>
      </c>
      <c r="C2339" t="s">
        <v>1278</v>
      </c>
      <c r="D2339">
        <v>957687</v>
      </c>
      <c r="E2339" t="s">
        <v>867</v>
      </c>
    </row>
    <row r="2340" spans="1:5">
      <c r="A2340" t="s">
        <v>2757</v>
      </c>
      <c r="B2340" t="s">
        <v>896</v>
      </c>
      <c r="C2340" t="s">
        <v>2758</v>
      </c>
      <c r="D2340">
        <v>739516</v>
      </c>
      <c r="E2340" t="s">
        <v>487</v>
      </c>
    </row>
    <row r="2341" spans="1:5">
      <c r="A2341" t="s">
        <v>2757</v>
      </c>
      <c r="B2341" t="s">
        <v>896</v>
      </c>
      <c r="C2341" t="s">
        <v>1327</v>
      </c>
      <c r="D2341">
        <v>340877</v>
      </c>
      <c r="E2341" t="s">
        <v>299</v>
      </c>
    </row>
    <row r="2342" spans="1:5">
      <c r="A2342" t="s">
        <v>2757</v>
      </c>
      <c r="B2342" t="s">
        <v>896</v>
      </c>
      <c r="C2342" t="s">
        <v>1282</v>
      </c>
      <c r="D2342">
        <v>828379</v>
      </c>
      <c r="E2342" t="s">
        <v>2759</v>
      </c>
    </row>
    <row r="2343" spans="1:5">
      <c r="A2343" t="s">
        <v>2757</v>
      </c>
      <c r="B2343" t="s">
        <v>896</v>
      </c>
      <c r="C2343" t="s">
        <v>1284</v>
      </c>
      <c r="D2343">
        <v>262000</v>
      </c>
      <c r="E2343" t="s">
        <v>275</v>
      </c>
    </row>
    <row r="2344" spans="1:5">
      <c r="A2344" t="s">
        <v>2757</v>
      </c>
      <c r="B2344" t="s">
        <v>896</v>
      </c>
      <c r="C2344" t="s">
        <v>1285</v>
      </c>
      <c r="D2344">
        <v>887315</v>
      </c>
      <c r="E2344" t="s">
        <v>725</v>
      </c>
    </row>
    <row r="2345" spans="1:5">
      <c r="A2345" t="s">
        <v>2757</v>
      </c>
      <c r="B2345" t="s">
        <v>896</v>
      </c>
      <c r="C2345" t="s">
        <v>1286</v>
      </c>
      <c r="D2345">
        <v>216555</v>
      </c>
      <c r="E2345" t="s">
        <v>8</v>
      </c>
    </row>
    <row r="2346" spans="1:5">
      <c r="A2346" t="s">
        <v>2757</v>
      </c>
      <c r="B2346" t="s">
        <v>896</v>
      </c>
      <c r="C2346" t="s">
        <v>2760</v>
      </c>
      <c r="D2346">
        <v>340877</v>
      </c>
      <c r="E2346" t="s">
        <v>299</v>
      </c>
    </row>
    <row r="2347" spans="1:5">
      <c r="A2347" t="s">
        <v>2757</v>
      </c>
      <c r="B2347" t="s">
        <v>896</v>
      </c>
      <c r="C2347" t="s">
        <v>1334</v>
      </c>
      <c r="D2347">
        <v>792959</v>
      </c>
      <c r="E2347" t="s">
        <v>1454</v>
      </c>
    </row>
    <row r="2348" spans="1:5">
      <c r="A2348" t="s">
        <v>2757</v>
      </c>
      <c r="B2348" t="s">
        <v>896</v>
      </c>
      <c r="C2348" t="s">
        <v>1289</v>
      </c>
      <c r="D2348">
        <v>990225</v>
      </c>
      <c r="E2348" t="s">
        <v>858</v>
      </c>
    </row>
    <row r="2349" spans="1:5">
      <c r="A2349" t="s">
        <v>2757</v>
      </c>
      <c r="B2349" t="s">
        <v>896</v>
      </c>
      <c r="C2349" t="s">
        <v>1290</v>
      </c>
      <c r="D2349">
        <v>641872</v>
      </c>
      <c r="E2349" t="s">
        <v>401</v>
      </c>
    </row>
    <row r="2350" spans="1:5">
      <c r="A2350" t="s">
        <v>2757</v>
      </c>
      <c r="B2350" t="s">
        <v>896</v>
      </c>
      <c r="C2350" t="s">
        <v>1292</v>
      </c>
      <c r="D2350">
        <v>803704</v>
      </c>
      <c r="E2350" t="s">
        <v>727</v>
      </c>
    </row>
    <row r="2351" spans="1:5">
      <c r="A2351" t="s">
        <v>2757</v>
      </c>
      <c r="B2351" t="s">
        <v>896</v>
      </c>
      <c r="C2351" t="s">
        <v>1293</v>
      </c>
      <c r="D2351">
        <v>748316</v>
      </c>
      <c r="E2351" t="s">
        <v>861</v>
      </c>
    </row>
    <row r="2352" spans="1:5">
      <c r="A2352" t="s">
        <v>2757</v>
      </c>
      <c r="B2352" t="s">
        <v>896</v>
      </c>
      <c r="C2352" t="s">
        <v>2761</v>
      </c>
      <c r="D2352">
        <v>990225</v>
      </c>
      <c r="E2352" t="s">
        <v>858</v>
      </c>
    </row>
    <row r="2353" spans="1:5">
      <c r="A2353" t="s">
        <v>2757</v>
      </c>
      <c r="B2353" t="s">
        <v>896</v>
      </c>
      <c r="C2353" t="s">
        <v>1341</v>
      </c>
      <c r="D2353">
        <v>739516</v>
      </c>
      <c r="E2353" t="s">
        <v>487</v>
      </c>
    </row>
    <row r="2354" spans="1:5">
      <c r="A2354" t="s">
        <v>2757</v>
      </c>
      <c r="B2354" t="s">
        <v>896</v>
      </c>
      <c r="C2354" t="s">
        <v>1296</v>
      </c>
      <c r="D2354">
        <v>887315</v>
      </c>
      <c r="E2354" t="s">
        <v>725</v>
      </c>
    </row>
    <row r="2355" spans="1:5">
      <c r="A2355" t="s">
        <v>2762</v>
      </c>
      <c r="B2355" t="s">
        <v>896</v>
      </c>
      <c r="C2355" t="s">
        <v>1314</v>
      </c>
      <c r="D2355">
        <v>175002</v>
      </c>
      <c r="E2355" t="s">
        <v>197</v>
      </c>
    </row>
    <row r="2356" spans="1:5">
      <c r="A2356" t="s">
        <v>2762</v>
      </c>
      <c r="B2356" t="s">
        <v>896</v>
      </c>
      <c r="C2356" t="s">
        <v>1315</v>
      </c>
      <c r="D2356">
        <v>875441</v>
      </c>
      <c r="E2356" t="s">
        <v>160</v>
      </c>
    </row>
    <row r="2357" spans="1:5">
      <c r="A2357" t="s">
        <v>2762</v>
      </c>
      <c r="B2357" t="s">
        <v>896</v>
      </c>
      <c r="C2357" t="s">
        <v>1316</v>
      </c>
      <c r="D2357">
        <v>664967</v>
      </c>
      <c r="E2357" t="s">
        <v>812</v>
      </c>
    </row>
    <row r="2358" spans="1:5">
      <c r="A2358" t="s">
        <v>2762</v>
      </c>
      <c r="B2358" t="s">
        <v>896</v>
      </c>
      <c r="C2358" t="s">
        <v>1317</v>
      </c>
      <c r="D2358">
        <v>584071</v>
      </c>
      <c r="E2358" t="s">
        <v>138</v>
      </c>
    </row>
    <row r="2359" spans="1:5">
      <c r="A2359" t="s">
        <v>2762</v>
      </c>
      <c r="B2359" t="s">
        <v>896</v>
      </c>
      <c r="C2359" t="s">
        <v>1318</v>
      </c>
      <c r="D2359">
        <v>872540</v>
      </c>
      <c r="E2359" t="s">
        <v>733</v>
      </c>
    </row>
    <row r="2360" spans="1:5">
      <c r="A2360" t="s">
        <v>2762</v>
      </c>
      <c r="B2360" t="s">
        <v>896</v>
      </c>
      <c r="C2360" t="s">
        <v>1319</v>
      </c>
      <c r="D2360">
        <v>872540</v>
      </c>
      <c r="E2360" t="s">
        <v>733</v>
      </c>
    </row>
    <row r="2361" spans="1:5">
      <c r="A2361" t="s">
        <v>2762</v>
      </c>
      <c r="B2361" t="s">
        <v>896</v>
      </c>
      <c r="C2361" t="s">
        <v>1321</v>
      </c>
      <c r="D2361">
        <v>872540</v>
      </c>
      <c r="E2361" t="s">
        <v>733</v>
      </c>
    </row>
    <row r="2362" spans="1:5">
      <c r="A2362" t="s">
        <v>2762</v>
      </c>
      <c r="B2362" t="s">
        <v>896</v>
      </c>
      <c r="C2362" t="s">
        <v>1322</v>
      </c>
      <c r="D2362">
        <v>872540</v>
      </c>
      <c r="E2362" t="s">
        <v>733</v>
      </c>
    </row>
    <row r="2363" spans="1:5">
      <c r="A2363" t="s">
        <v>2762</v>
      </c>
      <c r="B2363" t="s">
        <v>896</v>
      </c>
      <c r="C2363" t="s">
        <v>1323</v>
      </c>
      <c r="D2363">
        <v>384287</v>
      </c>
      <c r="E2363" t="s">
        <v>236</v>
      </c>
    </row>
    <row r="2364" spans="1:5">
      <c r="A2364" t="s">
        <v>2762</v>
      </c>
      <c r="B2364" t="s">
        <v>896</v>
      </c>
      <c r="C2364" t="s">
        <v>1324</v>
      </c>
      <c r="D2364">
        <v>584071</v>
      </c>
      <c r="E2364" t="s">
        <v>138</v>
      </c>
    </row>
    <row r="2365" spans="1:5">
      <c r="A2365" t="s">
        <v>2762</v>
      </c>
      <c r="B2365" t="s">
        <v>896</v>
      </c>
      <c r="C2365" t="s">
        <v>1325</v>
      </c>
      <c r="D2365">
        <v>872540</v>
      </c>
      <c r="E2365" t="s">
        <v>733</v>
      </c>
    </row>
    <row r="2366" spans="1:5">
      <c r="A2366" t="s">
        <v>2762</v>
      </c>
      <c r="B2366" t="s">
        <v>896</v>
      </c>
      <c r="C2366" t="s">
        <v>1326</v>
      </c>
      <c r="D2366">
        <v>220820</v>
      </c>
      <c r="E2366" t="s">
        <v>645</v>
      </c>
    </row>
    <row r="2367" spans="1:5">
      <c r="A2367" t="s">
        <v>2762</v>
      </c>
      <c r="B2367" t="s">
        <v>896</v>
      </c>
      <c r="C2367" t="s">
        <v>1328</v>
      </c>
      <c r="D2367">
        <v>872540</v>
      </c>
      <c r="E2367" t="s">
        <v>733</v>
      </c>
    </row>
    <row r="2368" spans="1:5">
      <c r="A2368" t="s">
        <v>2762</v>
      </c>
      <c r="B2368" t="s">
        <v>896</v>
      </c>
      <c r="C2368" t="s">
        <v>1329</v>
      </c>
      <c r="D2368">
        <v>872540</v>
      </c>
      <c r="E2368" t="s">
        <v>733</v>
      </c>
    </row>
    <row r="2369" spans="1:5">
      <c r="A2369" t="s">
        <v>2762</v>
      </c>
      <c r="B2369" t="s">
        <v>896</v>
      </c>
      <c r="C2369" t="s">
        <v>1330</v>
      </c>
      <c r="D2369">
        <v>872540</v>
      </c>
      <c r="E2369" t="s">
        <v>733</v>
      </c>
    </row>
    <row r="2370" spans="1:5">
      <c r="A2370" t="s">
        <v>2762</v>
      </c>
      <c r="B2370" t="s">
        <v>896</v>
      </c>
      <c r="C2370" t="s">
        <v>1331</v>
      </c>
      <c r="D2370">
        <v>584071</v>
      </c>
      <c r="E2370" t="s">
        <v>138</v>
      </c>
    </row>
    <row r="2371" spans="1:5">
      <c r="A2371" t="s">
        <v>2762</v>
      </c>
      <c r="B2371" t="s">
        <v>896</v>
      </c>
      <c r="C2371" t="s">
        <v>1332</v>
      </c>
      <c r="D2371">
        <v>175002</v>
      </c>
      <c r="E2371" t="s">
        <v>197</v>
      </c>
    </row>
    <row r="2372" spans="1:5">
      <c r="A2372" t="s">
        <v>2762</v>
      </c>
      <c r="B2372" t="s">
        <v>896</v>
      </c>
      <c r="C2372" t="s">
        <v>1333</v>
      </c>
      <c r="D2372">
        <v>664967</v>
      </c>
      <c r="E2372" t="s">
        <v>812</v>
      </c>
    </row>
    <row r="2373" spans="1:5">
      <c r="A2373" t="s">
        <v>2762</v>
      </c>
      <c r="B2373" t="s">
        <v>896</v>
      </c>
      <c r="C2373" t="s">
        <v>1335</v>
      </c>
      <c r="D2373">
        <v>597806</v>
      </c>
      <c r="E2373" t="s">
        <v>23</v>
      </c>
    </row>
    <row r="2374" spans="1:5">
      <c r="A2374" t="s">
        <v>2762</v>
      </c>
      <c r="B2374" t="s">
        <v>896</v>
      </c>
      <c r="C2374" t="s">
        <v>1336</v>
      </c>
      <c r="D2374">
        <v>584071</v>
      </c>
      <c r="E2374" t="s">
        <v>138</v>
      </c>
    </row>
    <row r="2375" spans="1:5">
      <c r="A2375" t="s">
        <v>2762</v>
      </c>
      <c r="B2375" t="s">
        <v>896</v>
      </c>
      <c r="C2375" t="s">
        <v>1338</v>
      </c>
      <c r="D2375">
        <v>872540</v>
      </c>
      <c r="E2375" t="s">
        <v>733</v>
      </c>
    </row>
    <row r="2376" spans="1:5">
      <c r="A2376" t="s">
        <v>2762</v>
      </c>
      <c r="B2376" t="s">
        <v>896</v>
      </c>
      <c r="C2376" t="s">
        <v>1339</v>
      </c>
      <c r="D2376">
        <v>872540</v>
      </c>
      <c r="E2376" t="s">
        <v>733</v>
      </c>
    </row>
    <row r="2377" spans="1:5">
      <c r="A2377" t="s">
        <v>2762</v>
      </c>
      <c r="B2377" t="s">
        <v>896</v>
      </c>
      <c r="C2377" t="s">
        <v>1340</v>
      </c>
      <c r="D2377">
        <v>723096</v>
      </c>
      <c r="E2377" t="s">
        <v>768</v>
      </c>
    </row>
    <row r="2378" spans="1:5">
      <c r="A2378" t="s">
        <v>2762</v>
      </c>
      <c r="B2378" t="s">
        <v>896</v>
      </c>
      <c r="C2378" t="s">
        <v>2763</v>
      </c>
      <c r="D2378">
        <v>872540</v>
      </c>
      <c r="E2378" t="s">
        <v>733</v>
      </c>
    </row>
    <row r="2379" spans="1:5">
      <c r="A2379" t="s">
        <v>2762</v>
      </c>
      <c r="B2379" t="s">
        <v>896</v>
      </c>
      <c r="C2379" t="s">
        <v>1342</v>
      </c>
      <c r="D2379">
        <v>872540</v>
      </c>
      <c r="E2379" t="s">
        <v>733</v>
      </c>
    </row>
    <row r="2380" spans="1:5">
      <c r="A2380" t="s">
        <v>2764</v>
      </c>
      <c r="B2380" t="s">
        <v>896</v>
      </c>
      <c r="C2380" t="s">
        <v>2765</v>
      </c>
      <c r="D2380">
        <v>510212</v>
      </c>
      <c r="E2380" t="s">
        <v>293</v>
      </c>
    </row>
    <row r="2381" spans="1:5">
      <c r="A2381" t="s">
        <v>2764</v>
      </c>
      <c r="B2381" t="s">
        <v>896</v>
      </c>
      <c r="C2381" t="s">
        <v>2766</v>
      </c>
      <c r="D2381">
        <v>510212</v>
      </c>
      <c r="E2381" t="s">
        <v>293</v>
      </c>
    </row>
    <row r="2382" spans="1:5">
      <c r="A2382" t="s">
        <v>2764</v>
      </c>
      <c r="B2382" t="s">
        <v>896</v>
      </c>
      <c r="C2382" t="s">
        <v>2766</v>
      </c>
      <c r="D2382">
        <v>584071</v>
      </c>
      <c r="E2382" t="s">
        <v>138</v>
      </c>
    </row>
    <row r="2383" spans="1:5">
      <c r="A2383" t="s">
        <v>2764</v>
      </c>
      <c r="B2383" t="s">
        <v>896</v>
      </c>
      <c r="C2383" t="s">
        <v>2767</v>
      </c>
      <c r="D2383">
        <v>923674</v>
      </c>
      <c r="E2383" t="s">
        <v>663</v>
      </c>
    </row>
    <row r="2384" spans="1:5">
      <c r="A2384" t="s">
        <v>2764</v>
      </c>
      <c r="B2384" t="s">
        <v>896</v>
      </c>
      <c r="C2384" t="s">
        <v>2767</v>
      </c>
      <c r="D2384">
        <v>610024</v>
      </c>
      <c r="E2384" t="s">
        <v>757</v>
      </c>
    </row>
    <row r="2385" spans="1:5">
      <c r="A2385" t="s">
        <v>2764</v>
      </c>
      <c r="B2385" t="s">
        <v>896</v>
      </c>
      <c r="C2385" t="s">
        <v>2768</v>
      </c>
      <c r="D2385">
        <v>510212</v>
      </c>
      <c r="E2385" t="s">
        <v>293</v>
      </c>
    </row>
    <row r="2386" spans="1:5">
      <c r="A2386" t="s">
        <v>2764</v>
      </c>
      <c r="B2386" t="s">
        <v>896</v>
      </c>
      <c r="C2386" t="s">
        <v>2768</v>
      </c>
      <c r="D2386">
        <v>584071</v>
      </c>
      <c r="E2386" t="s">
        <v>138</v>
      </c>
    </row>
    <row r="2387" spans="1:5">
      <c r="A2387" t="s">
        <v>2764</v>
      </c>
      <c r="B2387" t="s">
        <v>896</v>
      </c>
      <c r="C2387" t="s">
        <v>2769</v>
      </c>
      <c r="D2387">
        <v>480346</v>
      </c>
      <c r="E2387" t="s">
        <v>741</v>
      </c>
    </row>
    <row r="2388" spans="1:5">
      <c r="A2388" t="s">
        <v>2770</v>
      </c>
      <c r="B2388" t="s">
        <v>896</v>
      </c>
      <c r="C2388" t="s">
        <v>2771</v>
      </c>
      <c r="D2388">
        <v>678974</v>
      </c>
      <c r="E2388" t="s">
        <v>69</v>
      </c>
    </row>
    <row r="2389" spans="1:5">
      <c r="A2389" t="s">
        <v>2770</v>
      </c>
      <c r="B2389" t="s">
        <v>896</v>
      </c>
      <c r="C2389" t="s">
        <v>2772</v>
      </c>
      <c r="D2389">
        <v>803118</v>
      </c>
      <c r="E2389" t="s">
        <v>590</v>
      </c>
    </row>
    <row r="2390" spans="1:5">
      <c r="A2390" t="s">
        <v>2770</v>
      </c>
      <c r="B2390" t="s">
        <v>896</v>
      </c>
      <c r="C2390" t="s">
        <v>2772</v>
      </c>
      <c r="D2390">
        <v>331144</v>
      </c>
      <c r="E2390" t="s">
        <v>273</v>
      </c>
    </row>
    <row r="2391" spans="1:5">
      <c r="A2391" t="s">
        <v>2770</v>
      </c>
      <c r="B2391" t="s">
        <v>896</v>
      </c>
      <c r="C2391" t="s">
        <v>2773</v>
      </c>
      <c r="D2391">
        <v>866328</v>
      </c>
      <c r="E2391" t="s">
        <v>583</v>
      </c>
    </row>
    <row r="2392" spans="1:5">
      <c r="A2392" t="s">
        <v>2770</v>
      </c>
      <c r="B2392" t="s">
        <v>896</v>
      </c>
      <c r="C2392" t="s">
        <v>2774</v>
      </c>
      <c r="D2392">
        <v>542923</v>
      </c>
      <c r="E2392" t="s">
        <v>32</v>
      </c>
    </row>
    <row r="2393" spans="1:5">
      <c r="A2393" t="s">
        <v>2770</v>
      </c>
      <c r="B2393" t="s">
        <v>896</v>
      </c>
      <c r="C2393" t="s">
        <v>2775</v>
      </c>
      <c r="D2393">
        <v>571329</v>
      </c>
      <c r="E2393" t="s">
        <v>319</v>
      </c>
    </row>
    <row r="2394" spans="1:5">
      <c r="A2394" t="s">
        <v>2770</v>
      </c>
      <c r="B2394" t="s">
        <v>896</v>
      </c>
      <c r="C2394" t="s">
        <v>2775</v>
      </c>
      <c r="D2394">
        <v>620545</v>
      </c>
      <c r="E2394" t="s">
        <v>126</v>
      </c>
    </row>
    <row r="2395" spans="1:5">
      <c r="A2395" t="s">
        <v>2770</v>
      </c>
      <c r="B2395" t="s">
        <v>896</v>
      </c>
      <c r="C2395" t="s">
        <v>2776</v>
      </c>
      <c r="D2395">
        <v>978517</v>
      </c>
      <c r="E2395" t="s">
        <v>846</v>
      </c>
    </row>
    <row r="2396" spans="1:5">
      <c r="A2396" t="s">
        <v>2770</v>
      </c>
      <c r="B2396" t="s">
        <v>896</v>
      </c>
      <c r="C2396" t="s">
        <v>2777</v>
      </c>
      <c r="D2396">
        <v>803118</v>
      </c>
      <c r="E2396" t="s">
        <v>590</v>
      </c>
    </row>
    <row r="2397" spans="1:5">
      <c r="A2397" t="s">
        <v>2770</v>
      </c>
      <c r="B2397" t="s">
        <v>896</v>
      </c>
      <c r="C2397" t="s">
        <v>2777</v>
      </c>
      <c r="D2397">
        <v>970202</v>
      </c>
      <c r="E2397" t="s">
        <v>836</v>
      </c>
    </row>
    <row r="2398" spans="1:5">
      <c r="A2398" t="s">
        <v>2770</v>
      </c>
      <c r="B2398" t="s">
        <v>896</v>
      </c>
      <c r="C2398" t="s">
        <v>2778</v>
      </c>
      <c r="D2398">
        <v>542923</v>
      </c>
      <c r="E2398" t="s">
        <v>32</v>
      </c>
    </row>
    <row r="2399" spans="1:5">
      <c r="A2399" t="s">
        <v>2770</v>
      </c>
      <c r="B2399" t="s">
        <v>896</v>
      </c>
      <c r="C2399" t="s">
        <v>2779</v>
      </c>
      <c r="D2399">
        <v>964211</v>
      </c>
      <c r="E2399" t="s">
        <v>1379</v>
      </c>
    </row>
    <row r="2400" spans="1:5">
      <c r="A2400" t="s">
        <v>2770</v>
      </c>
      <c r="B2400" t="s">
        <v>896</v>
      </c>
      <c r="C2400" t="s">
        <v>2779</v>
      </c>
      <c r="D2400">
        <v>978517</v>
      </c>
      <c r="E2400" t="s">
        <v>846</v>
      </c>
    </row>
    <row r="2401" spans="1:5">
      <c r="A2401" t="s">
        <v>2770</v>
      </c>
      <c r="B2401" t="s">
        <v>896</v>
      </c>
      <c r="C2401" t="s">
        <v>2780</v>
      </c>
      <c r="D2401">
        <v>803118</v>
      </c>
      <c r="E2401" t="s">
        <v>590</v>
      </c>
    </row>
    <row r="2402" spans="1:5">
      <c r="A2402" t="s">
        <v>2770</v>
      </c>
      <c r="B2402" t="s">
        <v>896</v>
      </c>
      <c r="C2402" t="s">
        <v>2780</v>
      </c>
      <c r="D2402">
        <v>629424</v>
      </c>
      <c r="E2402" t="s">
        <v>51</v>
      </c>
    </row>
    <row r="2403" spans="1:5">
      <c r="A2403" t="s">
        <v>2770</v>
      </c>
      <c r="B2403" t="s">
        <v>896</v>
      </c>
      <c r="C2403" t="s">
        <v>2781</v>
      </c>
      <c r="D2403">
        <v>970202</v>
      </c>
      <c r="E2403" t="s">
        <v>836</v>
      </c>
    </row>
    <row r="2404" spans="1:5">
      <c r="A2404" t="s">
        <v>2770</v>
      </c>
      <c r="B2404" t="s">
        <v>896</v>
      </c>
      <c r="C2404" t="s">
        <v>2781</v>
      </c>
      <c r="D2404">
        <v>923674</v>
      </c>
      <c r="E2404" t="s">
        <v>663</v>
      </c>
    </row>
    <row r="2405" spans="1:5">
      <c r="A2405" t="s">
        <v>2770</v>
      </c>
      <c r="B2405" t="s">
        <v>896</v>
      </c>
      <c r="C2405" t="s">
        <v>2782</v>
      </c>
      <c r="D2405">
        <v>866328</v>
      </c>
      <c r="E2405" t="s">
        <v>583</v>
      </c>
    </row>
    <row r="2406" spans="1:5">
      <c r="A2406" t="s">
        <v>2770</v>
      </c>
      <c r="B2406" t="s">
        <v>896</v>
      </c>
      <c r="C2406" t="s">
        <v>2783</v>
      </c>
      <c r="D2406">
        <v>542923</v>
      </c>
      <c r="E2406" t="s">
        <v>32</v>
      </c>
    </row>
    <row r="2407" spans="1:5">
      <c r="A2407" t="s">
        <v>2770</v>
      </c>
      <c r="B2407" t="s">
        <v>896</v>
      </c>
      <c r="C2407" t="s">
        <v>2784</v>
      </c>
      <c r="D2407">
        <v>552211</v>
      </c>
      <c r="E2407" t="s">
        <v>75</v>
      </c>
    </row>
    <row r="2408" spans="1:5">
      <c r="A2408" t="s">
        <v>2770</v>
      </c>
      <c r="B2408" t="s">
        <v>896</v>
      </c>
      <c r="C2408" t="s">
        <v>2784</v>
      </c>
      <c r="D2408">
        <v>803118</v>
      </c>
      <c r="E2408" t="s">
        <v>590</v>
      </c>
    </row>
    <row r="2409" spans="1:5">
      <c r="A2409" t="s">
        <v>2770</v>
      </c>
      <c r="B2409" t="s">
        <v>896</v>
      </c>
      <c r="C2409" t="s">
        <v>2785</v>
      </c>
      <c r="D2409">
        <v>803118</v>
      </c>
      <c r="E2409" t="s">
        <v>590</v>
      </c>
    </row>
    <row r="2410" spans="1:5">
      <c r="A2410" t="s">
        <v>2770</v>
      </c>
      <c r="B2410" t="s">
        <v>896</v>
      </c>
      <c r="C2410" t="s">
        <v>2786</v>
      </c>
      <c r="D2410">
        <v>866328</v>
      </c>
      <c r="E2410" t="s">
        <v>583</v>
      </c>
    </row>
    <row r="2411" spans="1:5">
      <c r="A2411" t="s">
        <v>2770</v>
      </c>
      <c r="B2411" t="s">
        <v>896</v>
      </c>
      <c r="C2411" t="s">
        <v>2787</v>
      </c>
      <c r="D2411">
        <v>392247</v>
      </c>
      <c r="E2411" t="s">
        <v>532</v>
      </c>
    </row>
    <row r="2412" spans="1:5">
      <c r="A2412" t="s">
        <v>2770</v>
      </c>
      <c r="B2412" t="s">
        <v>896</v>
      </c>
      <c r="C2412" t="s">
        <v>2788</v>
      </c>
      <c r="D2412">
        <v>571329</v>
      </c>
      <c r="E2412" t="s">
        <v>319</v>
      </c>
    </row>
    <row r="2413" spans="1:5">
      <c r="A2413" t="s">
        <v>2770</v>
      </c>
      <c r="B2413" t="s">
        <v>896</v>
      </c>
      <c r="C2413" t="s">
        <v>2788</v>
      </c>
      <c r="D2413">
        <v>970202</v>
      </c>
      <c r="E2413" t="s">
        <v>836</v>
      </c>
    </row>
    <row r="2414" spans="1:5">
      <c r="A2414" t="s">
        <v>2770</v>
      </c>
      <c r="B2414" t="s">
        <v>896</v>
      </c>
      <c r="C2414" t="s">
        <v>2789</v>
      </c>
      <c r="D2414">
        <v>803118</v>
      </c>
      <c r="E2414" t="s">
        <v>590</v>
      </c>
    </row>
    <row r="2415" spans="1:5">
      <c r="A2415" t="s">
        <v>2770</v>
      </c>
      <c r="B2415" t="s">
        <v>896</v>
      </c>
      <c r="C2415" t="s">
        <v>2790</v>
      </c>
      <c r="D2415">
        <v>439207</v>
      </c>
      <c r="E2415" t="s">
        <v>131</v>
      </c>
    </row>
    <row r="2416" spans="1:5">
      <c r="A2416" t="s">
        <v>2770</v>
      </c>
      <c r="B2416" t="s">
        <v>896</v>
      </c>
      <c r="C2416" t="s">
        <v>2790</v>
      </c>
      <c r="D2416">
        <v>803535</v>
      </c>
      <c r="E2416" t="s">
        <v>729</v>
      </c>
    </row>
    <row r="2417" spans="1:5">
      <c r="A2417" t="s">
        <v>2770</v>
      </c>
      <c r="B2417" t="s">
        <v>896</v>
      </c>
      <c r="C2417" t="s">
        <v>2791</v>
      </c>
      <c r="D2417">
        <v>866328</v>
      </c>
      <c r="E2417" t="s">
        <v>583</v>
      </c>
    </row>
    <row r="2418" spans="1:5">
      <c r="A2418" t="s">
        <v>2792</v>
      </c>
      <c r="B2418" t="s">
        <v>896</v>
      </c>
      <c r="C2418" t="s">
        <v>2793</v>
      </c>
      <c r="D2418">
        <v>944892</v>
      </c>
      <c r="E2418" t="s">
        <v>948</v>
      </c>
    </row>
    <row r="2419" spans="1:5">
      <c r="A2419" t="s">
        <v>2792</v>
      </c>
      <c r="B2419" t="s">
        <v>896</v>
      </c>
      <c r="C2419" t="s">
        <v>2793</v>
      </c>
      <c r="D2419">
        <v>267168</v>
      </c>
      <c r="E2419" t="s">
        <v>206</v>
      </c>
    </row>
    <row r="2420" spans="1:5">
      <c r="A2420" t="s">
        <v>2792</v>
      </c>
      <c r="B2420" t="s">
        <v>896</v>
      </c>
      <c r="C2420" t="s">
        <v>2794</v>
      </c>
      <c r="D2420">
        <v>239819</v>
      </c>
      <c r="E2420" t="s">
        <v>336</v>
      </c>
    </row>
    <row r="2421" spans="1:5">
      <c r="A2421" t="s">
        <v>2792</v>
      </c>
      <c r="B2421" t="s">
        <v>896</v>
      </c>
      <c r="C2421" t="s">
        <v>1364</v>
      </c>
      <c r="D2421">
        <v>175002</v>
      </c>
      <c r="E2421" t="s">
        <v>197</v>
      </c>
    </row>
    <row r="2422" spans="1:5">
      <c r="A2422" t="s">
        <v>2792</v>
      </c>
      <c r="B2422" t="s">
        <v>896</v>
      </c>
      <c r="C2422" t="s">
        <v>2795</v>
      </c>
      <c r="D2422">
        <v>944892</v>
      </c>
      <c r="E2422" t="s">
        <v>948</v>
      </c>
    </row>
    <row r="2423" spans="1:5">
      <c r="A2423" t="s">
        <v>2792</v>
      </c>
      <c r="B2423" t="s">
        <v>896</v>
      </c>
      <c r="C2423" t="s">
        <v>2795</v>
      </c>
      <c r="D2423">
        <v>955121</v>
      </c>
      <c r="E2423" t="s">
        <v>611</v>
      </c>
    </row>
    <row r="2424" spans="1:5">
      <c r="A2424" t="s">
        <v>2792</v>
      </c>
      <c r="B2424" t="s">
        <v>896</v>
      </c>
      <c r="C2424" t="s">
        <v>2335</v>
      </c>
      <c r="D2424">
        <v>466400</v>
      </c>
      <c r="E2424" t="s">
        <v>304</v>
      </c>
    </row>
    <row r="2425" spans="1:5">
      <c r="A2425" t="s">
        <v>2792</v>
      </c>
      <c r="B2425" t="s">
        <v>896</v>
      </c>
      <c r="C2425" t="s">
        <v>2335</v>
      </c>
      <c r="D2425">
        <v>578846</v>
      </c>
      <c r="E2425" t="s">
        <v>810</v>
      </c>
    </row>
    <row r="2426" spans="1:5">
      <c r="A2426" t="s">
        <v>2792</v>
      </c>
      <c r="B2426" t="s">
        <v>896</v>
      </c>
      <c r="C2426" t="s">
        <v>2796</v>
      </c>
      <c r="D2426">
        <v>585909</v>
      </c>
      <c r="E2426" t="s">
        <v>673</v>
      </c>
    </row>
    <row r="2427" spans="1:5">
      <c r="A2427" t="s">
        <v>2792</v>
      </c>
      <c r="B2427" t="s">
        <v>896</v>
      </c>
      <c r="C2427" t="s">
        <v>2406</v>
      </c>
      <c r="D2427">
        <v>105687</v>
      </c>
      <c r="E2427" t="s">
        <v>790</v>
      </c>
    </row>
    <row r="2428" spans="1:5">
      <c r="A2428" t="s">
        <v>2792</v>
      </c>
      <c r="B2428" t="s">
        <v>896</v>
      </c>
      <c r="C2428" t="s">
        <v>2406</v>
      </c>
      <c r="D2428">
        <v>717821</v>
      </c>
      <c r="E2428" t="s">
        <v>240</v>
      </c>
    </row>
    <row r="2429" spans="1:5">
      <c r="A2429" t="s">
        <v>2792</v>
      </c>
      <c r="B2429" t="s">
        <v>896</v>
      </c>
      <c r="C2429" t="s">
        <v>2797</v>
      </c>
      <c r="D2429">
        <v>898849</v>
      </c>
      <c r="E2429" t="s">
        <v>301</v>
      </c>
    </row>
    <row r="2430" spans="1:5">
      <c r="A2430" t="s">
        <v>2792</v>
      </c>
      <c r="B2430" t="s">
        <v>896</v>
      </c>
      <c r="C2430" t="s">
        <v>1365</v>
      </c>
      <c r="D2430">
        <v>967569</v>
      </c>
      <c r="E2430" t="s">
        <v>617</v>
      </c>
    </row>
    <row r="2431" spans="1:5">
      <c r="A2431" t="s">
        <v>2792</v>
      </c>
      <c r="B2431" t="s">
        <v>896</v>
      </c>
      <c r="C2431" t="s">
        <v>1365</v>
      </c>
      <c r="D2431">
        <v>967743</v>
      </c>
      <c r="E2431" t="s">
        <v>87</v>
      </c>
    </row>
    <row r="2432" spans="1:5">
      <c r="A2432" t="s">
        <v>2792</v>
      </c>
      <c r="B2432" t="s">
        <v>896</v>
      </c>
      <c r="C2432" t="s">
        <v>2798</v>
      </c>
      <c r="D2432">
        <v>326161</v>
      </c>
      <c r="E2432" t="s">
        <v>104</v>
      </c>
    </row>
    <row r="2433" spans="1:5">
      <c r="A2433" t="s">
        <v>2792</v>
      </c>
      <c r="B2433" t="s">
        <v>896</v>
      </c>
      <c r="C2433" t="s">
        <v>2407</v>
      </c>
      <c r="D2433">
        <v>806909</v>
      </c>
      <c r="E2433" t="s">
        <v>769</v>
      </c>
    </row>
    <row r="2434" spans="1:5">
      <c r="A2434" t="s">
        <v>2792</v>
      </c>
      <c r="B2434" t="s">
        <v>896</v>
      </c>
      <c r="C2434" t="s">
        <v>2407</v>
      </c>
      <c r="D2434">
        <v>610944</v>
      </c>
      <c r="E2434" t="s">
        <v>1210</v>
      </c>
    </row>
    <row r="2435" spans="1:5">
      <c r="A2435" t="s">
        <v>2792</v>
      </c>
      <c r="B2435" t="s">
        <v>896</v>
      </c>
      <c r="C2435" t="s">
        <v>2799</v>
      </c>
      <c r="D2435">
        <v>562264</v>
      </c>
      <c r="E2435" t="s">
        <v>276</v>
      </c>
    </row>
    <row r="2436" spans="1:5">
      <c r="A2436" t="s">
        <v>2792</v>
      </c>
      <c r="B2436" t="s">
        <v>896</v>
      </c>
      <c r="C2436" t="s">
        <v>2800</v>
      </c>
      <c r="D2436">
        <v>470624</v>
      </c>
      <c r="E2436" t="s">
        <v>525</v>
      </c>
    </row>
    <row r="2437" spans="1:5">
      <c r="A2437" t="s">
        <v>2792</v>
      </c>
      <c r="B2437" t="s">
        <v>896</v>
      </c>
      <c r="C2437" t="s">
        <v>2511</v>
      </c>
      <c r="D2437">
        <v>532833</v>
      </c>
      <c r="E2437" t="s">
        <v>325</v>
      </c>
    </row>
    <row r="2438" spans="1:5">
      <c r="A2438" t="s">
        <v>2792</v>
      </c>
      <c r="B2438" t="s">
        <v>896</v>
      </c>
      <c r="C2438" t="s">
        <v>2801</v>
      </c>
      <c r="D2438">
        <v>729487</v>
      </c>
      <c r="E2438" t="s">
        <v>96</v>
      </c>
    </row>
    <row r="2439" spans="1:5">
      <c r="A2439" t="s">
        <v>2792</v>
      </c>
      <c r="B2439" t="s">
        <v>896</v>
      </c>
      <c r="C2439" t="s">
        <v>2409</v>
      </c>
      <c r="D2439">
        <v>340877</v>
      </c>
      <c r="E2439" t="s">
        <v>299</v>
      </c>
    </row>
    <row r="2440" spans="1:5">
      <c r="A2440" t="s">
        <v>2792</v>
      </c>
      <c r="B2440" t="s">
        <v>896</v>
      </c>
      <c r="C2440" t="s">
        <v>2409</v>
      </c>
      <c r="D2440">
        <v>864086</v>
      </c>
      <c r="E2440" t="s">
        <v>866</v>
      </c>
    </row>
    <row r="2441" spans="1:5">
      <c r="A2441" t="s">
        <v>2792</v>
      </c>
      <c r="B2441" t="s">
        <v>896</v>
      </c>
      <c r="C2441" t="s">
        <v>2409</v>
      </c>
      <c r="D2441">
        <v>801788</v>
      </c>
      <c r="E2441" t="s">
        <v>515</v>
      </c>
    </row>
    <row r="2442" spans="1:5">
      <c r="A2442" t="s">
        <v>2792</v>
      </c>
      <c r="B2442" t="s">
        <v>896</v>
      </c>
      <c r="C2442" t="s">
        <v>2409</v>
      </c>
      <c r="D2442">
        <v>873907</v>
      </c>
      <c r="E2442" t="s">
        <v>2103</v>
      </c>
    </row>
    <row r="2443" spans="1:5">
      <c r="A2443" t="s">
        <v>2792</v>
      </c>
      <c r="B2443" t="s">
        <v>896</v>
      </c>
      <c r="C2443" t="s">
        <v>2409</v>
      </c>
      <c r="D2443">
        <v>470624</v>
      </c>
      <c r="E2443" t="s">
        <v>525</v>
      </c>
    </row>
    <row r="2444" spans="1:5">
      <c r="A2444" t="s">
        <v>2792</v>
      </c>
      <c r="B2444" t="s">
        <v>896</v>
      </c>
      <c r="C2444" t="s">
        <v>2409</v>
      </c>
      <c r="D2444">
        <v>944892</v>
      </c>
      <c r="E2444" t="s">
        <v>948</v>
      </c>
    </row>
    <row r="2445" spans="1:5">
      <c r="A2445" t="s">
        <v>2792</v>
      </c>
      <c r="B2445" t="s">
        <v>896</v>
      </c>
      <c r="C2445" t="s">
        <v>2802</v>
      </c>
      <c r="D2445">
        <v>562264</v>
      </c>
      <c r="E2445" t="s">
        <v>276</v>
      </c>
    </row>
    <row r="2446" spans="1:5">
      <c r="A2446" t="s">
        <v>2792</v>
      </c>
      <c r="B2446" t="s">
        <v>896</v>
      </c>
      <c r="C2446" t="s">
        <v>1367</v>
      </c>
      <c r="D2446">
        <v>828379</v>
      </c>
      <c r="E2446" t="s">
        <v>287</v>
      </c>
    </row>
    <row r="2447" spans="1:5">
      <c r="A2447" t="s">
        <v>2792</v>
      </c>
      <c r="B2447" t="s">
        <v>896</v>
      </c>
      <c r="C2447" t="s">
        <v>1367</v>
      </c>
      <c r="D2447">
        <v>532833</v>
      </c>
      <c r="E2447" t="s">
        <v>325</v>
      </c>
    </row>
    <row r="2448" spans="1:5">
      <c r="A2448" t="s">
        <v>2792</v>
      </c>
      <c r="B2448" t="s">
        <v>896</v>
      </c>
      <c r="C2448" t="s">
        <v>2803</v>
      </c>
      <c r="D2448">
        <v>470624</v>
      </c>
      <c r="E2448" t="s">
        <v>525</v>
      </c>
    </row>
    <row r="2449" spans="1:5">
      <c r="A2449" t="s">
        <v>2792</v>
      </c>
      <c r="B2449" t="s">
        <v>896</v>
      </c>
      <c r="C2449" t="s">
        <v>2411</v>
      </c>
      <c r="D2449">
        <v>343330</v>
      </c>
      <c r="E2449" t="s">
        <v>117</v>
      </c>
    </row>
    <row r="2450" spans="1:5">
      <c r="A2450" t="s">
        <v>2792</v>
      </c>
      <c r="B2450" t="s">
        <v>896</v>
      </c>
      <c r="C2450" t="s">
        <v>2411</v>
      </c>
      <c r="D2450">
        <v>687118</v>
      </c>
      <c r="E2450" t="s">
        <v>422</v>
      </c>
    </row>
    <row r="2451" spans="1:5">
      <c r="A2451" t="s">
        <v>2792</v>
      </c>
      <c r="B2451" t="s">
        <v>896</v>
      </c>
      <c r="C2451" t="s">
        <v>2411</v>
      </c>
      <c r="D2451">
        <v>934158</v>
      </c>
      <c r="E2451" t="s">
        <v>484</v>
      </c>
    </row>
    <row r="2452" spans="1:5">
      <c r="A2452" t="s">
        <v>2792</v>
      </c>
      <c r="B2452" t="s">
        <v>896</v>
      </c>
      <c r="C2452" t="s">
        <v>2804</v>
      </c>
      <c r="D2452">
        <v>960559</v>
      </c>
      <c r="E2452" t="s">
        <v>403</v>
      </c>
    </row>
    <row r="2453" spans="1:5">
      <c r="A2453" t="s">
        <v>2792</v>
      </c>
      <c r="B2453" t="s">
        <v>896</v>
      </c>
      <c r="C2453" t="s">
        <v>2805</v>
      </c>
      <c r="D2453">
        <v>970202</v>
      </c>
      <c r="E2453" t="s">
        <v>836</v>
      </c>
    </row>
    <row r="2454" spans="1:5">
      <c r="A2454" t="s">
        <v>2792</v>
      </c>
      <c r="B2454" t="s">
        <v>896</v>
      </c>
      <c r="C2454" t="s">
        <v>2513</v>
      </c>
      <c r="D2454">
        <v>340877</v>
      </c>
      <c r="E2454" t="s">
        <v>299</v>
      </c>
    </row>
    <row r="2455" spans="1:5">
      <c r="A2455" t="s">
        <v>2792</v>
      </c>
      <c r="B2455" t="s">
        <v>896</v>
      </c>
      <c r="C2455" t="s">
        <v>2806</v>
      </c>
      <c r="D2455">
        <v>620545</v>
      </c>
      <c r="E2455" t="s">
        <v>126</v>
      </c>
    </row>
    <row r="2456" spans="1:5">
      <c r="A2456" t="s">
        <v>2792</v>
      </c>
      <c r="B2456" t="s">
        <v>896</v>
      </c>
      <c r="C2456" t="s">
        <v>2415</v>
      </c>
      <c r="D2456">
        <v>873907</v>
      </c>
      <c r="E2456" t="s">
        <v>2103</v>
      </c>
    </row>
    <row r="2457" spans="1:5">
      <c r="A2457" t="s">
        <v>2792</v>
      </c>
      <c r="B2457" t="s">
        <v>896</v>
      </c>
      <c r="C2457" t="s">
        <v>2415</v>
      </c>
      <c r="D2457">
        <v>872540</v>
      </c>
      <c r="E2457" t="s">
        <v>733</v>
      </c>
    </row>
    <row r="2458" spans="1:5">
      <c r="A2458" t="s">
        <v>2792</v>
      </c>
      <c r="B2458" t="s">
        <v>896</v>
      </c>
      <c r="C2458" t="s">
        <v>1369</v>
      </c>
      <c r="D2458">
        <v>532833</v>
      </c>
      <c r="E2458" t="s">
        <v>325</v>
      </c>
    </row>
    <row r="2459" spans="1:5">
      <c r="A2459" t="s">
        <v>2792</v>
      </c>
      <c r="B2459" t="s">
        <v>896</v>
      </c>
      <c r="C2459" t="s">
        <v>1369</v>
      </c>
      <c r="D2459">
        <v>864086</v>
      </c>
      <c r="E2459" t="s">
        <v>866</v>
      </c>
    </row>
    <row r="2460" spans="1:5">
      <c r="A2460" t="s">
        <v>2792</v>
      </c>
      <c r="B2460" t="s">
        <v>896</v>
      </c>
      <c r="C2460" t="s">
        <v>2412</v>
      </c>
      <c r="D2460">
        <v>175002</v>
      </c>
      <c r="E2460" t="s">
        <v>197</v>
      </c>
    </row>
    <row r="2461" spans="1:5">
      <c r="A2461" t="s">
        <v>2792</v>
      </c>
      <c r="B2461" t="s">
        <v>896</v>
      </c>
      <c r="C2461" t="s">
        <v>2412</v>
      </c>
      <c r="D2461">
        <v>340877</v>
      </c>
      <c r="E2461" t="s">
        <v>299</v>
      </c>
    </row>
    <row r="2462" spans="1:5">
      <c r="A2462" t="s">
        <v>2792</v>
      </c>
      <c r="B2462" t="s">
        <v>896</v>
      </c>
      <c r="C2462" t="s">
        <v>2807</v>
      </c>
      <c r="D2462">
        <v>898849</v>
      </c>
      <c r="E2462" t="s">
        <v>301</v>
      </c>
    </row>
    <row r="2463" spans="1:5">
      <c r="A2463" t="s">
        <v>2792</v>
      </c>
      <c r="B2463" t="s">
        <v>896</v>
      </c>
      <c r="C2463" t="s">
        <v>1370</v>
      </c>
      <c r="D2463">
        <v>466400</v>
      </c>
      <c r="E2463" t="s">
        <v>304</v>
      </c>
    </row>
    <row r="2464" spans="1:5">
      <c r="A2464" t="s">
        <v>2792</v>
      </c>
      <c r="B2464" t="s">
        <v>896</v>
      </c>
      <c r="C2464" t="s">
        <v>1370</v>
      </c>
      <c r="D2464">
        <v>948789</v>
      </c>
      <c r="E2464" t="s">
        <v>212</v>
      </c>
    </row>
    <row r="2465" spans="1:5">
      <c r="A2465" t="s">
        <v>2808</v>
      </c>
      <c r="B2465" t="s">
        <v>896</v>
      </c>
      <c r="C2465" t="s">
        <v>2809</v>
      </c>
      <c r="D2465">
        <v>904795</v>
      </c>
      <c r="E2465" t="s">
        <v>971</v>
      </c>
    </row>
    <row r="2466" spans="1:5">
      <c r="A2466" t="s">
        <v>2808</v>
      </c>
      <c r="B2466" t="s">
        <v>896</v>
      </c>
      <c r="C2466" t="s">
        <v>2810</v>
      </c>
      <c r="D2466">
        <v>571329</v>
      </c>
      <c r="E2466" t="s">
        <v>319</v>
      </c>
    </row>
    <row r="2467" spans="1:5">
      <c r="A2467" t="s">
        <v>2808</v>
      </c>
      <c r="B2467" t="s">
        <v>896</v>
      </c>
      <c r="C2467" t="s">
        <v>2811</v>
      </c>
      <c r="D2467">
        <v>618122</v>
      </c>
      <c r="E2467" t="s">
        <v>783</v>
      </c>
    </row>
    <row r="2468" spans="1:5">
      <c r="A2468" t="s">
        <v>2808</v>
      </c>
      <c r="B2468" t="s">
        <v>896</v>
      </c>
      <c r="C2468" t="s">
        <v>2812</v>
      </c>
      <c r="D2468">
        <v>872540</v>
      </c>
      <c r="E2468" t="s">
        <v>733</v>
      </c>
    </row>
    <row r="2469" spans="1:5">
      <c r="A2469" t="s">
        <v>2808</v>
      </c>
      <c r="B2469" t="s">
        <v>896</v>
      </c>
      <c r="C2469" t="s">
        <v>2682</v>
      </c>
      <c r="D2469">
        <v>518980</v>
      </c>
      <c r="E2469" t="s">
        <v>582</v>
      </c>
    </row>
    <row r="2470" spans="1:5">
      <c r="A2470" t="s">
        <v>2808</v>
      </c>
      <c r="B2470" t="s">
        <v>896</v>
      </c>
      <c r="C2470" t="s">
        <v>2813</v>
      </c>
      <c r="D2470">
        <v>618122</v>
      </c>
      <c r="E2470" t="s">
        <v>783</v>
      </c>
    </row>
    <row r="2471" spans="1:5">
      <c r="A2471" t="s">
        <v>2808</v>
      </c>
      <c r="B2471" t="s">
        <v>896</v>
      </c>
      <c r="C2471" t="s">
        <v>2814</v>
      </c>
      <c r="D2471">
        <v>618122</v>
      </c>
      <c r="E2471" t="s">
        <v>783</v>
      </c>
    </row>
    <row r="2472" spans="1:5">
      <c r="A2472" t="s">
        <v>2808</v>
      </c>
      <c r="B2472" t="s">
        <v>896</v>
      </c>
      <c r="C2472" t="s">
        <v>2815</v>
      </c>
      <c r="D2472">
        <v>872540</v>
      </c>
      <c r="E2472" t="s">
        <v>733</v>
      </c>
    </row>
    <row r="2473" spans="1:5">
      <c r="A2473" t="s">
        <v>2808</v>
      </c>
      <c r="B2473" t="s">
        <v>896</v>
      </c>
      <c r="C2473" t="s">
        <v>2816</v>
      </c>
      <c r="D2473">
        <v>618122</v>
      </c>
      <c r="E2473" t="s">
        <v>783</v>
      </c>
    </row>
    <row r="2474" spans="1:5">
      <c r="A2474" t="s">
        <v>2808</v>
      </c>
      <c r="B2474" t="s">
        <v>896</v>
      </c>
      <c r="C2474" t="s">
        <v>2687</v>
      </c>
      <c r="D2474">
        <v>948789</v>
      </c>
      <c r="E2474" t="s">
        <v>212</v>
      </c>
    </row>
    <row r="2475" spans="1:5">
      <c r="A2475" t="s">
        <v>2808</v>
      </c>
      <c r="B2475" t="s">
        <v>896</v>
      </c>
      <c r="C2475" t="s">
        <v>2817</v>
      </c>
      <c r="D2475">
        <v>729265</v>
      </c>
      <c r="E2475" t="s">
        <v>594</v>
      </c>
    </row>
    <row r="2476" spans="1:5">
      <c r="A2476" t="s">
        <v>2808</v>
      </c>
      <c r="B2476" t="s">
        <v>896</v>
      </c>
      <c r="C2476" t="s">
        <v>2818</v>
      </c>
      <c r="D2476">
        <v>571329</v>
      </c>
      <c r="E2476" t="s">
        <v>319</v>
      </c>
    </row>
    <row r="2477" spans="1:5">
      <c r="A2477" t="s">
        <v>2808</v>
      </c>
      <c r="B2477" t="s">
        <v>896</v>
      </c>
      <c r="C2477" t="s">
        <v>2819</v>
      </c>
      <c r="D2477">
        <v>348209</v>
      </c>
      <c r="E2477" t="s">
        <v>534</v>
      </c>
    </row>
    <row r="2478" spans="1:5">
      <c r="A2478" t="s">
        <v>2808</v>
      </c>
      <c r="B2478" t="s">
        <v>896</v>
      </c>
      <c r="C2478" t="s">
        <v>2820</v>
      </c>
      <c r="D2478">
        <v>571329</v>
      </c>
      <c r="E2478" t="s">
        <v>319</v>
      </c>
    </row>
    <row r="2479" spans="1:5">
      <c r="A2479" t="s">
        <v>2808</v>
      </c>
      <c r="B2479" t="s">
        <v>896</v>
      </c>
      <c r="C2479" t="s">
        <v>2821</v>
      </c>
      <c r="D2479">
        <v>571329</v>
      </c>
      <c r="E2479" t="s">
        <v>319</v>
      </c>
    </row>
    <row r="2480" spans="1:5">
      <c r="A2480" t="s">
        <v>2808</v>
      </c>
      <c r="B2480" t="s">
        <v>896</v>
      </c>
      <c r="C2480" t="s">
        <v>2822</v>
      </c>
      <c r="D2480">
        <v>948789</v>
      </c>
      <c r="E2480" t="s">
        <v>212</v>
      </c>
    </row>
    <row r="2481" spans="1:5">
      <c r="A2481" t="s">
        <v>2808</v>
      </c>
      <c r="B2481" t="s">
        <v>896</v>
      </c>
      <c r="C2481" t="s">
        <v>2823</v>
      </c>
      <c r="D2481">
        <v>571329</v>
      </c>
      <c r="E2481" t="s">
        <v>319</v>
      </c>
    </row>
    <row r="2482" spans="1:5">
      <c r="A2482" t="s">
        <v>2808</v>
      </c>
      <c r="B2482" t="s">
        <v>896</v>
      </c>
      <c r="C2482" t="s">
        <v>2824</v>
      </c>
      <c r="D2482">
        <v>459115</v>
      </c>
      <c r="E2482" t="s">
        <v>631</v>
      </c>
    </row>
    <row r="2483" spans="1:5">
      <c r="A2483" t="s">
        <v>2808</v>
      </c>
      <c r="B2483" t="s">
        <v>896</v>
      </c>
      <c r="C2483" t="s">
        <v>2825</v>
      </c>
      <c r="D2483">
        <v>910059</v>
      </c>
      <c r="E2483" t="s">
        <v>440</v>
      </c>
    </row>
    <row r="2484" spans="1:5">
      <c r="A2484" t="s">
        <v>2808</v>
      </c>
      <c r="B2484" t="s">
        <v>896</v>
      </c>
      <c r="C2484" t="s">
        <v>2826</v>
      </c>
      <c r="D2484">
        <v>571329</v>
      </c>
      <c r="E2484" t="s">
        <v>319</v>
      </c>
    </row>
    <row r="2485" spans="1:5">
      <c r="A2485" t="s">
        <v>2808</v>
      </c>
      <c r="B2485" t="s">
        <v>896</v>
      </c>
      <c r="C2485" t="s">
        <v>2696</v>
      </c>
      <c r="D2485">
        <v>518980</v>
      </c>
      <c r="E2485" t="s">
        <v>582</v>
      </c>
    </row>
    <row r="2486" spans="1:5">
      <c r="A2486" t="s">
        <v>2808</v>
      </c>
      <c r="B2486" t="s">
        <v>896</v>
      </c>
      <c r="C2486" t="s">
        <v>2827</v>
      </c>
      <c r="D2486">
        <v>571329</v>
      </c>
      <c r="E2486" t="s">
        <v>319</v>
      </c>
    </row>
    <row r="2487" spans="1:5">
      <c r="A2487" t="s">
        <v>2808</v>
      </c>
      <c r="B2487" t="s">
        <v>896</v>
      </c>
      <c r="C2487" t="s">
        <v>2828</v>
      </c>
      <c r="D2487">
        <v>948789</v>
      </c>
      <c r="E2487" t="s">
        <v>212</v>
      </c>
    </row>
    <row r="2488" spans="1:5">
      <c r="A2488" t="s">
        <v>2989</v>
      </c>
      <c r="C2488" t="s">
        <v>2990</v>
      </c>
      <c r="D2488">
        <v>828268</v>
      </c>
      <c r="E2488" t="s">
        <v>30</v>
      </c>
    </row>
    <row r="2489" spans="1:5">
      <c r="A2489" t="s">
        <v>2989</v>
      </c>
      <c r="C2489" t="s">
        <v>2991</v>
      </c>
      <c r="D2489">
        <v>681494</v>
      </c>
      <c r="E2489" t="s">
        <v>535</v>
      </c>
    </row>
    <row r="2490" spans="1:5">
      <c r="A2490" t="s">
        <v>2989</v>
      </c>
      <c r="C2490" t="s">
        <v>2991</v>
      </c>
      <c r="D2490">
        <v>470624</v>
      </c>
      <c r="E2490" t="s">
        <v>525</v>
      </c>
    </row>
    <row r="2491" spans="1:5">
      <c r="A2491" t="s">
        <v>2989</v>
      </c>
      <c r="C2491" t="s">
        <v>2992</v>
      </c>
      <c r="D2491">
        <v>168488</v>
      </c>
      <c r="E2491" t="s">
        <v>63</v>
      </c>
    </row>
    <row r="2492" spans="1:5">
      <c r="A2492" t="s">
        <v>2989</v>
      </c>
      <c r="C2492" t="s">
        <v>2993</v>
      </c>
      <c r="D2492">
        <v>773189</v>
      </c>
      <c r="E2492" t="s">
        <v>618</v>
      </c>
    </row>
    <row r="2493" spans="1:5">
      <c r="A2493" t="s">
        <v>2989</v>
      </c>
      <c r="C2493" t="s">
        <v>2993</v>
      </c>
      <c r="D2493">
        <v>216772</v>
      </c>
      <c r="E2493" t="s">
        <v>576</v>
      </c>
    </row>
    <row r="2494" spans="1:5">
      <c r="A2494" t="s">
        <v>2989</v>
      </c>
      <c r="C2494" t="s">
        <v>2994</v>
      </c>
      <c r="D2494">
        <v>664967</v>
      </c>
      <c r="E2494" t="s">
        <v>812</v>
      </c>
    </row>
    <row r="2495" spans="1:5">
      <c r="A2495" t="s">
        <v>2989</v>
      </c>
      <c r="C2495" t="s">
        <v>2995</v>
      </c>
      <c r="D2495">
        <v>676235</v>
      </c>
      <c r="E2495" t="s">
        <v>524</v>
      </c>
    </row>
    <row r="2496" spans="1:5">
      <c r="A2496" t="s">
        <v>2989</v>
      </c>
      <c r="C2496" t="s">
        <v>2995</v>
      </c>
      <c r="D2496">
        <v>806909</v>
      </c>
      <c r="E2496" t="s">
        <v>2996</v>
      </c>
    </row>
    <row r="2497" spans="1:5">
      <c r="A2497" t="s">
        <v>2989</v>
      </c>
      <c r="C2497" t="s">
        <v>2997</v>
      </c>
      <c r="D2497">
        <v>151929</v>
      </c>
      <c r="E2497" t="s">
        <v>180</v>
      </c>
    </row>
    <row r="2498" spans="1:5">
      <c r="A2498" t="s">
        <v>2989</v>
      </c>
      <c r="C2498" t="s">
        <v>2998</v>
      </c>
      <c r="D2498">
        <v>261486</v>
      </c>
      <c r="E2498" t="s">
        <v>357</v>
      </c>
    </row>
    <row r="2499" spans="1:5">
      <c r="A2499" t="s">
        <v>2989</v>
      </c>
      <c r="C2499" t="s">
        <v>2998</v>
      </c>
      <c r="D2499">
        <v>231210</v>
      </c>
      <c r="E2499" t="s">
        <v>278</v>
      </c>
    </row>
    <row r="2500" spans="1:5">
      <c r="A2500" t="s">
        <v>2989</v>
      </c>
      <c r="C2500" t="s">
        <v>2999</v>
      </c>
      <c r="D2500">
        <v>924566</v>
      </c>
      <c r="E2500" t="s">
        <v>359</v>
      </c>
    </row>
    <row r="2501" spans="1:5">
      <c r="A2501" t="s">
        <v>2989</v>
      </c>
      <c r="C2501" t="s">
        <v>3000</v>
      </c>
      <c r="D2501">
        <v>496999</v>
      </c>
      <c r="E2501" t="s">
        <v>781</v>
      </c>
    </row>
    <row r="2502" spans="1:5">
      <c r="A2502" t="s">
        <v>2989</v>
      </c>
      <c r="C2502" t="s">
        <v>3001</v>
      </c>
      <c r="D2502">
        <v>378759</v>
      </c>
      <c r="E2502" t="s">
        <v>389</v>
      </c>
    </row>
    <row r="2503" spans="1:5">
      <c r="A2503" t="s">
        <v>2989</v>
      </c>
      <c r="C2503" t="s">
        <v>3002</v>
      </c>
      <c r="D2503">
        <v>898849</v>
      </c>
      <c r="E2503" t="s">
        <v>301</v>
      </c>
    </row>
    <row r="2504" spans="1:5">
      <c r="A2504" t="s">
        <v>2989</v>
      </c>
      <c r="C2504" t="s">
        <v>3003</v>
      </c>
      <c r="D2504">
        <v>970070</v>
      </c>
      <c r="E2504" t="s">
        <v>697</v>
      </c>
    </row>
    <row r="2505" spans="1:5">
      <c r="A2505" t="s">
        <v>2989</v>
      </c>
      <c r="C2505" t="s">
        <v>3004</v>
      </c>
      <c r="D2505">
        <v>1005096</v>
      </c>
      <c r="E2505" t="s">
        <v>845</v>
      </c>
    </row>
    <row r="2506" spans="1:5">
      <c r="A2506" t="s">
        <v>2989</v>
      </c>
      <c r="C2506" t="s">
        <v>3005</v>
      </c>
      <c r="D2506">
        <v>957687</v>
      </c>
      <c r="E2506" t="s">
        <v>867</v>
      </c>
    </row>
    <row r="2507" spans="1:5">
      <c r="A2507" t="s">
        <v>2989</v>
      </c>
      <c r="C2507" t="s">
        <v>3006</v>
      </c>
      <c r="D2507">
        <v>391348</v>
      </c>
      <c r="E2507" t="s">
        <v>2528</v>
      </c>
    </row>
    <row r="2508" spans="1:5">
      <c r="A2508" t="s">
        <v>2989</v>
      </c>
      <c r="C2508" t="s">
        <v>3007</v>
      </c>
      <c r="D2508">
        <v>872540</v>
      </c>
      <c r="E2508" t="s">
        <v>733</v>
      </c>
    </row>
    <row r="2509" spans="1:5">
      <c r="A2509" t="s">
        <v>2989</v>
      </c>
      <c r="C2509" t="s">
        <v>3008</v>
      </c>
      <c r="D2509">
        <v>978989</v>
      </c>
      <c r="E2509" t="s">
        <v>859</v>
      </c>
    </row>
    <row r="2510" spans="1:5">
      <c r="A2510" t="s">
        <v>2989</v>
      </c>
      <c r="C2510" t="s">
        <v>3008</v>
      </c>
      <c r="D2510">
        <v>970070</v>
      </c>
      <c r="E2510" t="s">
        <v>697</v>
      </c>
    </row>
    <row r="2511" spans="1:5">
      <c r="A2511" t="s">
        <v>2989</v>
      </c>
      <c r="C2511" t="s">
        <v>3009</v>
      </c>
      <c r="D2511">
        <v>978517</v>
      </c>
      <c r="E2511" t="s">
        <v>846</v>
      </c>
    </row>
    <row r="2512" spans="1:5">
      <c r="A2512" t="s">
        <v>2989</v>
      </c>
      <c r="C2512" t="s">
        <v>3010</v>
      </c>
      <c r="D2512">
        <v>96959</v>
      </c>
      <c r="E2512" t="s">
        <v>56</v>
      </c>
    </row>
    <row r="2513" spans="1:5">
      <c r="A2513" t="s">
        <v>2989</v>
      </c>
      <c r="C2513" t="s">
        <v>3011</v>
      </c>
      <c r="D2513">
        <v>781854</v>
      </c>
      <c r="E2513" t="s">
        <v>405</v>
      </c>
    </row>
    <row r="2514" spans="1:5">
      <c r="A2514" t="s">
        <v>2989</v>
      </c>
      <c r="C2514" t="s">
        <v>3011</v>
      </c>
      <c r="D2514">
        <v>22091</v>
      </c>
      <c r="E2514" t="s">
        <v>2028</v>
      </c>
    </row>
    <row r="2515" spans="1:5">
      <c r="A2515" t="s">
        <v>2989</v>
      </c>
      <c r="C2515" t="s">
        <v>3012</v>
      </c>
      <c r="D2515">
        <v>378759</v>
      </c>
      <c r="E2515" t="s">
        <v>389</v>
      </c>
    </row>
    <row r="2516" spans="1:5">
      <c r="A2516" t="s">
        <v>2989</v>
      </c>
      <c r="C2516" t="s">
        <v>3013</v>
      </c>
      <c r="D2516">
        <v>845124</v>
      </c>
      <c r="E2516" t="s">
        <v>474</v>
      </c>
    </row>
    <row r="2517" spans="1:5">
      <c r="A2517" t="s">
        <v>2989</v>
      </c>
      <c r="C2517" t="s">
        <v>3014</v>
      </c>
      <c r="D2517">
        <v>496999</v>
      </c>
      <c r="E2517" t="s">
        <v>781</v>
      </c>
    </row>
    <row r="2518" spans="1:5">
      <c r="A2518" t="s">
        <v>2989</v>
      </c>
      <c r="C2518" t="s">
        <v>3015</v>
      </c>
      <c r="D2518">
        <v>96959</v>
      </c>
      <c r="E2518" t="s">
        <v>56</v>
      </c>
    </row>
    <row r="2519" spans="1:5">
      <c r="A2519" t="s">
        <v>2989</v>
      </c>
      <c r="C2519" t="s">
        <v>3016</v>
      </c>
      <c r="D2519">
        <v>96959</v>
      </c>
      <c r="E2519" t="s">
        <v>56</v>
      </c>
    </row>
    <row r="2520" spans="1:5">
      <c r="A2520" t="s">
        <v>2989</v>
      </c>
      <c r="C2520" t="s">
        <v>3017</v>
      </c>
      <c r="D2520">
        <v>910139</v>
      </c>
      <c r="E2520" t="s">
        <v>215</v>
      </c>
    </row>
    <row r="2521" spans="1:5">
      <c r="A2521" t="s">
        <v>3018</v>
      </c>
      <c r="C2521" t="s">
        <v>3019</v>
      </c>
      <c r="D2521">
        <v>239594</v>
      </c>
      <c r="E2521" t="s">
        <v>119</v>
      </c>
    </row>
    <row r="2522" spans="1:5">
      <c r="A2522" t="s">
        <v>3018</v>
      </c>
      <c r="C2522" t="s">
        <v>3020</v>
      </c>
      <c r="D2522">
        <v>568663</v>
      </c>
      <c r="E2522" t="s">
        <v>379</v>
      </c>
    </row>
    <row r="2523" spans="1:5">
      <c r="A2523" t="s">
        <v>3018</v>
      </c>
      <c r="C2523" t="s">
        <v>3021</v>
      </c>
      <c r="D2523">
        <v>368256</v>
      </c>
      <c r="E2523" t="s">
        <v>661</v>
      </c>
    </row>
    <row r="2524" spans="1:5">
      <c r="A2524" t="s">
        <v>3018</v>
      </c>
      <c r="C2524" t="s">
        <v>3022</v>
      </c>
      <c r="D2524">
        <v>708613</v>
      </c>
      <c r="E2524" t="s">
        <v>489</v>
      </c>
    </row>
    <row r="2525" spans="1:5">
      <c r="A2525" t="s">
        <v>3018</v>
      </c>
      <c r="C2525" t="s">
        <v>3023</v>
      </c>
      <c r="D2525">
        <v>9184</v>
      </c>
      <c r="E2525" t="s">
        <v>655</v>
      </c>
    </row>
    <row r="2526" spans="1:5">
      <c r="A2526" t="s">
        <v>3018</v>
      </c>
      <c r="C2526" t="s">
        <v>3024</v>
      </c>
      <c r="D2526">
        <v>368256</v>
      </c>
      <c r="E2526" t="s">
        <v>661</v>
      </c>
    </row>
    <row r="2527" spans="1:5">
      <c r="A2527" t="s">
        <v>3018</v>
      </c>
      <c r="C2527" t="s">
        <v>3025</v>
      </c>
      <c r="D2527">
        <v>420519</v>
      </c>
      <c r="E2527" t="s">
        <v>544</v>
      </c>
    </row>
    <row r="2528" spans="1:5">
      <c r="A2528" t="s">
        <v>3018</v>
      </c>
      <c r="C2528" t="s">
        <v>3026</v>
      </c>
      <c r="D2528">
        <v>1003583</v>
      </c>
      <c r="E2528" t="s">
        <v>3027</v>
      </c>
    </row>
    <row r="2529" spans="1:5">
      <c r="A2529" t="s">
        <v>3018</v>
      </c>
      <c r="C2529" t="s">
        <v>3028</v>
      </c>
      <c r="D2529">
        <v>367133</v>
      </c>
      <c r="E2529" t="s">
        <v>667</v>
      </c>
    </row>
    <row r="2530" spans="1:5">
      <c r="A2530" t="s">
        <v>3018</v>
      </c>
      <c r="C2530" t="s">
        <v>3029</v>
      </c>
      <c r="D2530">
        <v>801886</v>
      </c>
      <c r="E2530" t="s">
        <v>167</v>
      </c>
    </row>
    <row r="2531" spans="1:5">
      <c r="A2531" t="s">
        <v>3018</v>
      </c>
      <c r="C2531" t="s">
        <v>3030</v>
      </c>
      <c r="D2531">
        <v>367133</v>
      </c>
      <c r="E2531" t="s">
        <v>667</v>
      </c>
    </row>
    <row r="2532" spans="1:5">
      <c r="A2532" t="s">
        <v>3018</v>
      </c>
      <c r="C2532" t="s">
        <v>3031</v>
      </c>
      <c r="D2532">
        <v>990225</v>
      </c>
      <c r="E2532" t="s">
        <v>858</v>
      </c>
    </row>
    <row r="2533" spans="1:5">
      <c r="A2533" t="s">
        <v>3018</v>
      </c>
      <c r="C2533" t="s">
        <v>3032</v>
      </c>
      <c r="D2533">
        <v>96959</v>
      </c>
      <c r="E2533" t="s">
        <v>56</v>
      </c>
    </row>
    <row r="2534" spans="1:5">
      <c r="A2534" t="s">
        <v>3018</v>
      </c>
      <c r="C2534" t="s">
        <v>3033</v>
      </c>
      <c r="D2534">
        <v>922976</v>
      </c>
      <c r="E2534" t="s">
        <v>199</v>
      </c>
    </row>
    <row r="2535" spans="1:5">
      <c r="A2535" t="s">
        <v>3018</v>
      </c>
      <c r="C2535" t="s">
        <v>3034</v>
      </c>
      <c r="D2535">
        <v>818752</v>
      </c>
      <c r="E2535" t="s">
        <v>376</v>
      </c>
    </row>
    <row r="2536" spans="1:5">
      <c r="A2536" t="s">
        <v>3018</v>
      </c>
      <c r="C2536" t="s">
        <v>3035</v>
      </c>
      <c r="D2536">
        <v>568663</v>
      </c>
      <c r="E2536" t="s">
        <v>379</v>
      </c>
    </row>
    <row r="2537" spans="1:5">
      <c r="A2537" t="s">
        <v>3018</v>
      </c>
      <c r="C2537" t="s">
        <v>3036</v>
      </c>
      <c r="D2537">
        <v>890105</v>
      </c>
      <c r="E2537" t="s">
        <v>349</v>
      </c>
    </row>
    <row r="2538" spans="1:5">
      <c r="A2538" t="s">
        <v>3018</v>
      </c>
      <c r="C2538" t="s">
        <v>3037</v>
      </c>
      <c r="D2538">
        <v>1003583</v>
      </c>
      <c r="E2538" t="s">
        <v>3027</v>
      </c>
    </row>
    <row r="2539" spans="1:5">
      <c r="A2539" t="s">
        <v>3018</v>
      </c>
      <c r="C2539" t="s">
        <v>3038</v>
      </c>
      <c r="D2539">
        <v>888948</v>
      </c>
      <c r="E2539" t="s">
        <v>801</v>
      </c>
    </row>
    <row r="2540" spans="1:5">
      <c r="A2540" t="s">
        <v>3018</v>
      </c>
      <c r="C2540" t="s">
        <v>3039</v>
      </c>
      <c r="D2540">
        <v>1003583</v>
      </c>
      <c r="E2540" t="s">
        <v>3027</v>
      </c>
    </row>
    <row r="2541" spans="1:5">
      <c r="A2541" t="s">
        <v>3018</v>
      </c>
      <c r="C2541" t="s">
        <v>3040</v>
      </c>
      <c r="D2541">
        <v>887315</v>
      </c>
      <c r="E2541" t="s">
        <v>725</v>
      </c>
    </row>
    <row r="2542" spans="1:5">
      <c r="A2542" t="s">
        <v>3018</v>
      </c>
      <c r="C2542" t="s">
        <v>3041</v>
      </c>
      <c r="D2542">
        <v>726889</v>
      </c>
      <c r="E2542" t="s">
        <v>505</v>
      </c>
    </row>
    <row r="2543" spans="1:5">
      <c r="A2543" t="s">
        <v>3018</v>
      </c>
      <c r="C2543" t="s">
        <v>3042</v>
      </c>
      <c r="D2543">
        <v>748316</v>
      </c>
      <c r="E2543" t="s">
        <v>861</v>
      </c>
    </row>
    <row r="2544" spans="1:5">
      <c r="A2544" t="s">
        <v>3018</v>
      </c>
      <c r="C2544" t="s">
        <v>3043</v>
      </c>
      <c r="D2544">
        <v>935541</v>
      </c>
      <c r="E2544" t="s">
        <v>851</v>
      </c>
    </row>
    <row r="2545" spans="1:5">
      <c r="A2545" t="s">
        <v>3018</v>
      </c>
      <c r="C2545" t="s">
        <v>3044</v>
      </c>
      <c r="D2545">
        <v>890105</v>
      </c>
      <c r="E2545" t="s">
        <v>349</v>
      </c>
    </row>
    <row r="2546" spans="1:5">
      <c r="A2546" t="s">
        <v>3018</v>
      </c>
      <c r="C2546" t="s">
        <v>3045</v>
      </c>
      <c r="D2546">
        <v>420519</v>
      </c>
      <c r="E2546" t="s">
        <v>544</v>
      </c>
    </row>
    <row r="2547" spans="1:5">
      <c r="A2547" t="s">
        <v>3018</v>
      </c>
      <c r="C2547" t="s">
        <v>3046</v>
      </c>
      <c r="D2547">
        <v>802419</v>
      </c>
      <c r="E2547" t="s">
        <v>647</v>
      </c>
    </row>
    <row r="2548" spans="1:5">
      <c r="A2548" t="s">
        <v>3018</v>
      </c>
      <c r="C2548" t="s">
        <v>3047</v>
      </c>
      <c r="D2548">
        <v>233308</v>
      </c>
      <c r="E2548" t="s">
        <v>707</v>
      </c>
    </row>
    <row r="2549" spans="1:5">
      <c r="A2549" t="s">
        <v>3018</v>
      </c>
      <c r="C2549" t="s">
        <v>3048</v>
      </c>
      <c r="D2549">
        <v>568663</v>
      </c>
      <c r="E2549" t="s">
        <v>379</v>
      </c>
    </row>
    <row r="2550" spans="1:5">
      <c r="A2550" t="s">
        <v>3049</v>
      </c>
      <c r="C2550" t="s">
        <v>3050</v>
      </c>
      <c r="D2550">
        <v>686974</v>
      </c>
      <c r="E2550" t="s">
        <v>712</v>
      </c>
    </row>
    <row r="2551" spans="1:5">
      <c r="A2551" t="s">
        <v>3049</v>
      </c>
      <c r="C2551" t="s">
        <v>2992</v>
      </c>
      <c r="D2551">
        <v>716693</v>
      </c>
      <c r="E2551" t="s">
        <v>551</v>
      </c>
    </row>
    <row r="2552" spans="1:5">
      <c r="A2552" t="s">
        <v>3049</v>
      </c>
      <c r="C2552" t="s">
        <v>3051</v>
      </c>
      <c r="D2552">
        <v>686972</v>
      </c>
      <c r="E2552" t="s">
        <v>417</v>
      </c>
    </row>
    <row r="2553" spans="1:5">
      <c r="A2553" t="s">
        <v>3049</v>
      </c>
      <c r="C2553" t="s">
        <v>3052</v>
      </c>
      <c r="D2553">
        <v>716693</v>
      </c>
      <c r="E2553" t="s">
        <v>551</v>
      </c>
    </row>
    <row r="2554" spans="1:5">
      <c r="A2554" t="s">
        <v>3049</v>
      </c>
      <c r="C2554" t="s">
        <v>3053</v>
      </c>
      <c r="D2554">
        <v>872540</v>
      </c>
      <c r="E2554" t="s">
        <v>733</v>
      </c>
    </row>
    <row r="2555" spans="1:5">
      <c r="A2555" t="s">
        <v>3049</v>
      </c>
      <c r="C2555" t="s">
        <v>3054</v>
      </c>
      <c r="D2555">
        <v>872540</v>
      </c>
      <c r="E2555" t="s">
        <v>733</v>
      </c>
    </row>
    <row r="2556" spans="1:5">
      <c r="A2556" t="s">
        <v>3049</v>
      </c>
      <c r="C2556" t="s">
        <v>3055</v>
      </c>
      <c r="D2556">
        <v>686972</v>
      </c>
      <c r="E2556" t="s">
        <v>417</v>
      </c>
    </row>
    <row r="2557" spans="1:5">
      <c r="A2557" t="s">
        <v>3049</v>
      </c>
      <c r="C2557" t="s">
        <v>3056</v>
      </c>
      <c r="D2557">
        <v>584071</v>
      </c>
      <c r="E2557" t="s">
        <v>3057</v>
      </c>
    </row>
    <row r="2558" spans="1:5">
      <c r="A2558" t="s">
        <v>3049</v>
      </c>
      <c r="C2558" t="s">
        <v>3058</v>
      </c>
      <c r="D2558">
        <v>686974</v>
      </c>
      <c r="E2558" t="s">
        <v>712</v>
      </c>
    </row>
    <row r="2559" spans="1:5">
      <c r="A2559" t="s">
        <v>3049</v>
      </c>
      <c r="C2559" t="s">
        <v>3059</v>
      </c>
      <c r="D2559">
        <v>716693</v>
      </c>
      <c r="E2559" t="s">
        <v>551</v>
      </c>
    </row>
    <row r="2560" spans="1:5">
      <c r="A2560" t="s">
        <v>3049</v>
      </c>
      <c r="C2560" t="s">
        <v>3008</v>
      </c>
      <c r="D2560">
        <v>495533</v>
      </c>
      <c r="E2560" t="s">
        <v>147</v>
      </c>
    </row>
    <row r="2561" spans="1:5">
      <c r="A2561" t="s">
        <v>3049</v>
      </c>
      <c r="C2561" t="s">
        <v>3060</v>
      </c>
      <c r="D2561">
        <v>716693</v>
      </c>
      <c r="E2561" t="s">
        <v>551</v>
      </c>
    </row>
    <row r="2562" spans="1:5">
      <c r="A2562" t="s">
        <v>3049</v>
      </c>
      <c r="C2562" t="s">
        <v>3011</v>
      </c>
      <c r="D2562">
        <v>833503</v>
      </c>
      <c r="E2562" t="s">
        <v>230</v>
      </c>
    </row>
    <row r="2563" spans="1:5">
      <c r="A2563" t="s">
        <v>3049</v>
      </c>
      <c r="C2563" t="s">
        <v>3061</v>
      </c>
      <c r="D2563">
        <v>872540</v>
      </c>
      <c r="E2563" t="s">
        <v>733</v>
      </c>
    </row>
    <row r="2564" spans="1:5">
      <c r="A2564" t="s">
        <v>3049</v>
      </c>
      <c r="C2564" t="s">
        <v>3062</v>
      </c>
      <c r="D2564">
        <v>686972</v>
      </c>
      <c r="E2564" t="s">
        <v>417</v>
      </c>
    </row>
    <row r="2565" spans="1:5">
      <c r="A2565" t="s">
        <v>3049</v>
      </c>
      <c r="C2565" t="s">
        <v>3063</v>
      </c>
      <c r="D2565">
        <v>681494</v>
      </c>
      <c r="E2565" t="s">
        <v>535</v>
      </c>
    </row>
    <row r="2566" spans="1:5">
      <c r="A2566" t="s">
        <v>3049</v>
      </c>
      <c r="C2566" t="s">
        <v>3017</v>
      </c>
      <c r="D2566">
        <v>686974</v>
      </c>
      <c r="E2566" t="s">
        <v>712</v>
      </c>
    </row>
    <row r="2567" spans="1:5">
      <c r="A2567" t="s">
        <v>3064</v>
      </c>
      <c r="C2567" t="s">
        <v>3065</v>
      </c>
      <c r="D2567">
        <v>288222</v>
      </c>
      <c r="E2567" t="s">
        <v>380</v>
      </c>
    </row>
    <row r="2568" spans="1:5">
      <c r="A2568" t="s">
        <v>3064</v>
      </c>
      <c r="C2568" t="s">
        <v>3065</v>
      </c>
      <c r="D2568">
        <v>847682</v>
      </c>
      <c r="E2568" t="s">
        <v>79</v>
      </c>
    </row>
    <row r="2569" spans="1:5">
      <c r="A2569" t="s">
        <v>3064</v>
      </c>
      <c r="C2569" t="s">
        <v>3066</v>
      </c>
      <c r="D2569">
        <v>770790</v>
      </c>
      <c r="E2569" t="s">
        <v>365</v>
      </c>
    </row>
    <row r="2570" spans="1:5">
      <c r="A2570" t="s">
        <v>3064</v>
      </c>
      <c r="C2570" t="s">
        <v>3066</v>
      </c>
      <c r="D2570">
        <v>230752</v>
      </c>
      <c r="E2570" t="s">
        <v>550</v>
      </c>
    </row>
    <row r="2571" spans="1:5">
      <c r="A2571" t="s">
        <v>3064</v>
      </c>
      <c r="C2571" t="s">
        <v>3066</v>
      </c>
      <c r="D2571">
        <v>828268</v>
      </c>
      <c r="E2571" t="s">
        <v>30</v>
      </c>
    </row>
    <row r="2572" spans="1:5">
      <c r="A2572" t="s">
        <v>3064</v>
      </c>
      <c r="C2572" t="s">
        <v>3067</v>
      </c>
      <c r="D2572">
        <v>726889</v>
      </c>
      <c r="E2572" t="s">
        <v>505</v>
      </c>
    </row>
    <row r="2573" spans="1:5">
      <c r="A2573" t="s">
        <v>3064</v>
      </c>
      <c r="C2573" t="s">
        <v>3067</v>
      </c>
      <c r="D2573">
        <v>828268</v>
      </c>
      <c r="E2573" t="s">
        <v>30</v>
      </c>
    </row>
    <row r="2574" spans="1:5">
      <c r="A2574" t="s">
        <v>3064</v>
      </c>
      <c r="C2574" t="s">
        <v>3067</v>
      </c>
      <c r="D2574">
        <v>96959</v>
      </c>
      <c r="E2574" t="s">
        <v>56</v>
      </c>
    </row>
    <row r="2575" spans="1:5">
      <c r="A2575" t="s">
        <v>3064</v>
      </c>
      <c r="C2575" t="s">
        <v>3068</v>
      </c>
      <c r="D2575">
        <v>748316</v>
      </c>
      <c r="E2575" t="s">
        <v>861</v>
      </c>
    </row>
    <row r="2576" spans="1:5">
      <c r="A2576" t="s">
        <v>3064</v>
      </c>
      <c r="C2576" t="s">
        <v>3068</v>
      </c>
      <c r="D2576">
        <v>801886</v>
      </c>
      <c r="E2576" t="s">
        <v>167</v>
      </c>
    </row>
    <row r="2577" spans="1:5">
      <c r="A2577" t="s">
        <v>3064</v>
      </c>
      <c r="C2577" t="s">
        <v>3068</v>
      </c>
      <c r="D2577">
        <v>1003583</v>
      </c>
      <c r="E2577" t="s">
        <v>3027</v>
      </c>
    </row>
    <row r="2578" spans="1:5">
      <c r="A2578" t="s">
        <v>3064</v>
      </c>
      <c r="C2578" t="s">
        <v>3069</v>
      </c>
      <c r="D2578">
        <v>792959</v>
      </c>
      <c r="E2578" t="s">
        <v>1454</v>
      </c>
    </row>
    <row r="2579" spans="1:5">
      <c r="A2579" t="s">
        <v>3064</v>
      </c>
      <c r="C2579" t="s">
        <v>3069</v>
      </c>
      <c r="D2579">
        <v>802419</v>
      </c>
      <c r="E2579" t="s">
        <v>647</v>
      </c>
    </row>
    <row r="2580" spans="1:5">
      <c r="A2580" t="s">
        <v>3064</v>
      </c>
      <c r="C2580" t="s">
        <v>3069</v>
      </c>
      <c r="D2580">
        <v>96959</v>
      </c>
      <c r="E2580" t="s">
        <v>56</v>
      </c>
    </row>
    <row r="2581" spans="1:5">
      <c r="A2581" t="s">
        <v>3064</v>
      </c>
      <c r="C2581" t="s">
        <v>3070</v>
      </c>
      <c r="D2581">
        <v>1003583</v>
      </c>
      <c r="E2581" t="s">
        <v>3027</v>
      </c>
    </row>
    <row r="2582" spans="1:5">
      <c r="A2582" t="s">
        <v>3064</v>
      </c>
      <c r="C2582" t="s">
        <v>3070</v>
      </c>
      <c r="D2582">
        <v>486886</v>
      </c>
      <c r="E2582" t="s">
        <v>29</v>
      </c>
    </row>
    <row r="2583" spans="1:5">
      <c r="A2583" t="s">
        <v>3064</v>
      </c>
      <c r="C2583" t="s">
        <v>3070</v>
      </c>
      <c r="D2583">
        <v>990225</v>
      </c>
      <c r="E2583" t="s">
        <v>858</v>
      </c>
    </row>
    <row r="2584" spans="1:5">
      <c r="A2584" t="s">
        <v>3064</v>
      </c>
      <c r="C2584" t="s">
        <v>3071</v>
      </c>
      <c r="D2584">
        <v>802419</v>
      </c>
      <c r="E2584" t="s">
        <v>647</v>
      </c>
    </row>
    <row r="2585" spans="1:5">
      <c r="A2585" t="s">
        <v>3064</v>
      </c>
      <c r="C2585" t="s">
        <v>3071</v>
      </c>
      <c r="D2585">
        <v>990225</v>
      </c>
      <c r="E2585" t="s">
        <v>858</v>
      </c>
    </row>
    <row r="2586" spans="1:5">
      <c r="A2586" t="s">
        <v>3064</v>
      </c>
      <c r="C2586" t="s">
        <v>3071</v>
      </c>
      <c r="D2586">
        <v>748316</v>
      </c>
      <c r="E2586" t="s">
        <v>861</v>
      </c>
    </row>
    <row r="2587" spans="1:5">
      <c r="A2587" t="s">
        <v>3064</v>
      </c>
      <c r="C2587" t="s">
        <v>3072</v>
      </c>
      <c r="D2587">
        <v>565142</v>
      </c>
      <c r="E2587" t="s">
        <v>24</v>
      </c>
    </row>
    <row r="2588" spans="1:5">
      <c r="A2588" t="s">
        <v>3064</v>
      </c>
      <c r="C2588" t="s">
        <v>3072</v>
      </c>
      <c r="D2588">
        <v>801886</v>
      </c>
      <c r="E2588" t="s">
        <v>167</v>
      </c>
    </row>
    <row r="2589" spans="1:5">
      <c r="A2589" t="s">
        <v>3064</v>
      </c>
      <c r="C2589" t="s">
        <v>3072</v>
      </c>
      <c r="D2589">
        <v>215276</v>
      </c>
      <c r="E2589" t="s">
        <v>529</v>
      </c>
    </row>
    <row r="2590" spans="1:5">
      <c r="A2590" t="s">
        <v>3064</v>
      </c>
      <c r="C2590" t="s">
        <v>3072</v>
      </c>
      <c r="D2590">
        <v>990225</v>
      </c>
      <c r="E2590" t="s">
        <v>858</v>
      </c>
    </row>
    <row r="2591" spans="1:5">
      <c r="A2591" t="s">
        <v>3064</v>
      </c>
      <c r="C2591" t="s">
        <v>3073</v>
      </c>
      <c r="D2591">
        <v>921659</v>
      </c>
      <c r="E2591" t="s">
        <v>356</v>
      </c>
    </row>
    <row r="2592" spans="1:5">
      <c r="A2592" t="s">
        <v>3064</v>
      </c>
      <c r="C2592" t="s">
        <v>3073</v>
      </c>
      <c r="D2592">
        <v>802419</v>
      </c>
      <c r="E2592" t="s">
        <v>647</v>
      </c>
    </row>
    <row r="2593" spans="1:5">
      <c r="A2593" t="s">
        <v>3064</v>
      </c>
      <c r="C2593" t="s">
        <v>3073</v>
      </c>
      <c r="D2593">
        <v>990225</v>
      </c>
      <c r="E2593" t="s">
        <v>858</v>
      </c>
    </row>
    <row r="2594" spans="1:5">
      <c r="A2594" t="s">
        <v>3074</v>
      </c>
      <c r="C2594" t="s">
        <v>3075</v>
      </c>
      <c r="D2594">
        <v>373118</v>
      </c>
      <c r="E2594" t="s">
        <v>856</v>
      </c>
    </row>
    <row r="2595" spans="1:5">
      <c r="A2595" t="s">
        <v>3074</v>
      </c>
      <c r="C2595" t="s">
        <v>3075</v>
      </c>
      <c r="D2595">
        <v>314692</v>
      </c>
      <c r="E2595" t="s">
        <v>516</v>
      </c>
    </row>
    <row r="2596" spans="1:5">
      <c r="A2596" t="s">
        <v>3074</v>
      </c>
      <c r="C2596" t="s">
        <v>3075</v>
      </c>
      <c r="D2596">
        <v>455603</v>
      </c>
      <c r="E2596" t="s">
        <v>711</v>
      </c>
    </row>
    <row r="2597" spans="1:5">
      <c r="A2597" t="s">
        <v>3074</v>
      </c>
      <c r="C2597" t="s">
        <v>3076</v>
      </c>
      <c r="D2597">
        <v>728700</v>
      </c>
      <c r="E2597" t="s">
        <v>249</v>
      </c>
    </row>
    <row r="2598" spans="1:5">
      <c r="A2598" t="s">
        <v>3074</v>
      </c>
      <c r="C2598" t="s">
        <v>3076</v>
      </c>
      <c r="D2598">
        <v>455603</v>
      </c>
      <c r="E2598" t="s">
        <v>711</v>
      </c>
    </row>
    <row r="2599" spans="1:5">
      <c r="A2599" t="s">
        <v>3074</v>
      </c>
      <c r="C2599" t="s">
        <v>3077</v>
      </c>
      <c r="D2599">
        <v>314692</v>
      </c>
      <c r="E2599" t="s">
        <v>516</v>
      </c>
    </row>
    <row r="2600" spans="1:5">
      <c r="A2600" t="s">
        <v>3074</v>
      </c>
      <c r="C2600" t="s">
        <v>3077</v>
      </c>
      <c r="D2600">
        <v>933107</v>
      </c>
      <c r="E2600" t="s">
        <v>1458</v>
      </c>
    </row>
    <row r="2601" spans="1:5">
      <c r="A2601" t="s">
        <v>3074</v>
      </c>
      <c r="C2601" t="s">
        <v>3077</v>
      </c>
      <c r="D2601">
        <v>871573</v>
      </c>
      <c r="E2601" t="s">
        <v>1463</v>
      </c>
    </row>
    <row r="2602" spans="1:5">
      <c r="A2602" t="s">
        <v>3074</v>
      </c>
      <c r="C2602" t="s">
        <v>3078</v>
      </c>
      <c r="D2602">
        <v>886392</v>
      </c>
      <c r="E2602" t="s">
        <v>805</v>
      </c>
    </row>
    <row r="2603" spans="1:5">
      <c r="A2603" t="s">
        <v>3074</v>
      </c>
      <c r="C2603" t="s">
        <v>3079</v>
      </c>
      <c r="D2603">
        <v>314692</v>
      </c>
      <c r="E2603" t="s">
        <v>516</v>
      </c>
    </row>
    <row r="2604" spans="1:5">
      <c r="A2604" t="s">
        <v>3074</v>
      </c>
      <c r="C2604" t="s">
        <v>3079</v>
      </c>
      <c r="D2604">
        <v>933107</v>
      </c>
      <c r="E2604" t="s">
        <v>1458</v>
      </c>
    </row>
    <row r="2605" spans="1:5">
      <c r="A2605" t="s">
        <v>3074</v>
      </c>
      <c r="C2605" t="s">
        <v>3079</v>
      </c>
      <c r="D2605">
        <v>871573</v>
      </c>
      <c r="E2605" t="s">
        <v>1463</v>
      </c>
    </row>
    <row r="2606" spans="1:5">
      <c r="A2606" t="s">
        <v>3074</v>
      </c>
      <c r="C2606" t="s">
        <v>3080</v>
      </c>
      <c r="D2606">
        <v>524315</v>
      </c>
      <c r="E2606" t="s">
        <v>568</v>
      </c>
    </row>
    <row r="2607" spans="1:5">
      <c r="A2607" t="s">
        <v>3074</v>
      </c>
      <c r="C2607" t="s">
        <v>3080</v>
      </c>
      <c r="D2607">
        <v>728700</v>
      </c>
      <c r="E2607" t="s">
        <v>249</v>
      </c>
    </row>
    <row r="2608" spans="1:5">
      <c r="A2608" t="s">
        <v>3074</v>
      </c>
      <c r="C2608" t="s">
        <v>3081</v>
      </c>
      <c r="D2608">
        <v>314692</v>
      </c>
      <c r="E2608" t="s">
        <v>516</v>
      </c>
    </row>
    <row r="2609" spans="1:5">
      <c r="A2609" t="s">
        <v>3074</v>
      </c>
      <c r="C2609" t="s">
        <v>3081</v>
      </c>
      <c r="D2609">
        <v>933107</v>
      </c>
      <c r="E2609" t="s">
        <v>1458</v>
      </c>
    </row>
    <row r="2610" spans="1:5">
      <c r="A2610" t="s">
        <v>3074</v>
      </c>
      <c r="C2610" t="s">
        <v>3081</v>
      </c>
      <c r="D2610">
        <v>871573</v>
      </c>
      <c r="E2610" t="s">
        <v>1463</v>
      </c>
    </row>
    <row r="2611" spans="1:5">
      <c r="A2611" t="s">
        <v>3074</v>
      </c>
      <c r="C2611" t="s">
        <v>3082</v>
      </c>
      <c r="D2611">
        <v>801788</v>
      </c>
      <c r="E2611" t="s">
        <v>515</v>
      </c>
    </row>
    <row r="2612" spans="1:5">
      <c r="A2612" t="s">
        <v>3074</v>
      </c>
      <c r="C2612" t="s">
        <v>3082</v>
      </c>
      <c r="D2612">
        <v>373118</v>
      </c>
      <c r="E2612" t="s">
        <v>856</v>
      </c>
    </row>
    <row r="2613" spans="1:5">
      <c r="A2613" t="s">
        <v>3074</v>
      </c>
      <c r="C2613" t="s">
        <v>3083</v>
      </c>
      <c r="D2613">
        <v>728700</v>
      </c>
      <c r="E2613" t="s">
        <v>249</v>
      </c>
    </row>
    <row r="2614" spans="1:5">
      <c r="A2614" t="s">
        <v>3074</v>
      </c>
      <c r="C2614" t="s">
        <v>3083</v>
      </c>
      <c r="D2614">
        <v>973988</v>
      </c>
      <c r="E2614" t="s">
        <v>842</v>
      </c>
    </row>
    <row r="2615" spans="1:5">
      <c r="A2615" t="s">
        <v>3074</v>
      </c>
      <c r="C2615" t="s">
        <v>3083</v>
      </c>
      <c r="D2615">
        <v>988224</v>
      </c>
      <c r="E2615" t="s">
        <v>857</v>
      </c>
    </row>
    <row r="2616" spans="1:5">
      <c r="A2616" t="s">
        <v>3084</v>
      </c>
      <c r="C2616" t="s">
        <v>3085</v>
      </c>
      <c r="D2616">
        <v>1003583</v>
      </c>
      <c r="E2616" t="s">
        <v>3027</v>
      </c>
    </row>
    <row r="2617" spans="1:5">
      <c r="A2617" t="s">
        <v>3084</v>
      </c>
      <c r="C2617" t="s">
        <v>3086</v>
      </c>
      <c r="D2617">
        <v>904795</v>
      </c>
      <c r="E2617" t="s">
        <v>971</v>
      </c>
    </row>
    <row r="2618" spans="1:5">
      <c r="A2618" t="s">
        <v>3084</v>
      </c>
      <c r="C2618" t="s">
        <v>3087</v>
      </c>
      <c r="D2618">
        <v>904795</v>
      </c>
      <c r="E2618" t="s">
        <v>971</v>
      </c>
    </row>
    <row r="2619" spans="1:5">
      <c r="A2619" t="s">
        <v>3084</v>
      </c>
      <c r="C2619" t="s">
        <v>3087</v>
      </c>
      <c r="D2619">
        <v>394635</v>
      </c>
      <c r="E2619" t="s">
        <v>659</v>
      </c>
    </row>
    <row r="2620" spans="1:5">
      <c r="A2620" t="s">
        <v>3084</v>
      </c>
      <c r="C2620" t="s">
        <v>3088</v>
      </c>
      <c r="D2620">
        <v>788129</v>
      </c>
      <c r="E2620" t="s">
        <v>538</v>
      </c>
    </row>
    <row r="2621" spans="1:5">
      <c r="A2621" t="s">
        <v>3084</v>
      </c>
      <c r="C2621" t="s">
        <v>3089</v>
      </c>
      <c r="D2621">
        <v>788129</v>
      </c>
      <c r="E2621" t="s">
        <v>538</v>
      </c>
    </row>
    <row r="2622" spans="1:5">
      <c r="A2622" t="s">
        <v>3084</v>
      </c>
      <c r="C2622" t="s">
        <v>3090</v>
      </c>
      <c r="D2622">
        <v>861261</v>
      </c>
      <c r="E2622" t="s">
        <v>252</v>
      </c>
    </row>
    <row r="2623" spans="1:5">
      <c r="A2623" t="s">
        <v>3084</v>
      </c>
      <c r="C2623" t="s">
        <v>3091</v>
      </c>
      <c r="D2623">
        <v>578977</v>
      </c>
      <c r="E2623" t="s">
        <v>875</v>
      </c>
    </row>
    <row r="2624" spans="1:5">
      <c r="A2624" t="s">
        <v>3084</v>
      </c>
      <c r="C2624" t="s">
        <v>3092</v>
      </c>
      <c r="D2624">
        <v>617808</v>
      </c>
      <c r="E2624" t="s">
        <v>34</v>
      </c>
    </row>
    <row r="2625" spans="1:5">
      <c r="A2625" t="s">
        <v>3084</v>
      </c>
      <c r="C2625" t="s">
        <v>3092</v>
      </c>
      <c r="D2625">
        <v>394635</v>
      </c>
      <c r="E2625" t="s">
        <v>659</v>
      </c>
    </row>
    <row r="2626" spans="1:5">
      <c r="A2626" t="s">
        <v>3084</v>
      </c>
      <c r="C2626" t="s">
        <v>3093</v>
      </c>
      <c r="D2626">
        <v>394635</v>
      </c>
      <c r="E2626" t="s">
        <v>659</v>
      </c>
    </row>
    <row r="2627" spans="1:5">
      <c r="A2627" t="s">
        <v>3084</v>
      </c>
      <c r="C2627" t="s">
        <v>3094</v>
      </c>
      <c r="D2627">
        <v>904795</v>
      </c>
      <c r="E2627" t="s">
        <v>971</v>
      </c>
    </row>
    <row r="2628" spans="1:5">
      <c r="A2628" t="s">
        <v>3084</v>
      </c>
      <c r="C2628" t="s">
        <v>3095</v>
      </c>
      <c r="D2628">
        <v>617808</v>
      </c>
      <c r="E2628" t="s">
        <v>34</v>
      </c>
    </row>
    <row r="2629" spans="1:5">
      <c r="A2629" t="s">
        <v>3084</v>
      </c>
      <c r="C2629" t="s">
        <v>3095</v>
      </c>
      <c r="D2629">
        <v>547872</v>
      </c>
      <c r="E2629" t="s">
        <v>527</v>
      </c>
    </row>
    <row r="2630" spans="1:5">
      <c r="A2630" t="s">
        <v>3096</v>
      </c>
      <c r="C2630" t="s">
        <v>3097</v>
      </c>
      <c r="D2630">
        <v>524315</v>
      </c>
      <c r="E2630" t="s">
        <v>568</v>
      </c>
    </row>
    <row r="2631" spans="1:5">
      <c r="A2631" t="s">
        <v>3096</v>
      </c>
      <c r="C2631" t="s">
        <v>3086</v>
      </c>
      <c r="D2631">
        <v>378341</v>
      </c>
      <c r="E2631" t="s">
        <v>121</v>
      </c>
    </row>
    <row r="2632" spans="1:5">
      <c r="A2632" t="s">
        <v>3096</v>
      </c>
      <c r="C2632" t="s">
        <v>3093</v>
      </c>
      <c r="D2632">
        <v>246792</v>
      </c>
      <c r="E2632" t="s">
        <v>116</v>
      </c>
    </row>
    <row r="2633" spans="1:5">
      <c r="A2633" t="s">
        <v>3096</v>
      </c>
      <c r="C2633" t="s">
        <v>3098</v>
      </c>
      <c r="D2633">
        <v>246792</v>
      </c>
      <c r="E2633" t="s">
        <v>116</v>
      </c>
    </row>
    <row r="2634" spans="1:5">
      <c r="A2634" t="s">
        <v>3099</v>
      </c>
      <c r="C2634" t="s">
        <v>3100</v>
      </c>
      <c r="D2634">
        <v>628110</v>
      </c>
      <c r="E2634" t="s">
        <v>584</v>
      </c>
    </row>
    <row r="2635" spans="1:5">
      <c r="A2635" t="s">
        <v>3099</v>
      </c>
      <c r="C2635" t="s">
        <v>3100</v>
      </c>
      <c r="D2635">
        <v>623731</v>
      </c>
      <c r="E2635" t="s">
        <v>3101</v>
      </c>
    </row>
    <row r="2636" spans="1:5">
      <c r="A2636" t="s">
        <v>3099</v>
      </c>
      <c r="C2636" t="s">
        <v>3102</v>
      </c>
      <c r="D2636">
        <v>442578</v>
      </c>
      <c r="E2636" t="s">
        <v>67</v>
      </c>
    </row>
    <row r="2637" spans="1:5">
      <c r="A2637" t="s">
        <v>3099</v>
      </c>
      <c r="C2637" t="s">
        <v>3102</v>
      </c>
      <c r="D2637">
        <v>560546</v>
      </c>
      <c r="E2637" t="s">
        <v>318</v>
      </c>
    </row>
    <row r="2638" spans="1:5">
      <c r="A2638" t="s">
        <v>3099</v>
      </c>
      <c r="C2638" t="s">
        <v>3103</v>
      </c>
      <c r="D2638">
        <v>797989</v>
      </c>
      <c r="E2638" t="s">
        <v>337</v>
      </c>
    </row>
    <row r="2639" spans="1:5">
      <c r="A2639" t="s">
        <v>3099</v>
      </c>
      <c r="C2639" t="s">
        <v>3103</v>
      </c>
      <c r="D2639">
        <v>442578</v>
      </c>
      <c r="E2639" t="s">
        <v>67</v>
      </c>
    </row>
    <row r="2640" spans="1:5">
      <c r="A2640" t="s">
        <v>3099</v>
      </c>
      <c r="C2640" t="s">
        <v>3104</v>
      </c>
      <c r="D2640">
        <v>803118</v>
      </c>
      <c r="E2640" t="s">
        <v>590</v>
      </c>
    </row>
    <row r="2641" spans="1:5">
      <c r="A2641" t="s">
        <v>3099</v>
      </c>
      <c r="C2641" t="s">
        <v>3104</v>
      </c>
      <c r="D2641">
        <v>803535</v>
      </c>
      <c r="E2641" t="s">
        <v>729</v>
      </c>
    </row>
    <row r="2642" spans="1:5">
      <c r="A2642" t="s">
        <v>3099</v>
      </c>
      <c r="C2642" t="s">
        <v>3105</v>
      </c>
      <c r="D2642">
        <v>248981</v>
      </c>
      <c r="E2642" t="s">
        <v>25</v>
      </c>
    </row>
    <row r="2643" spans="1:5">
      <c r="A2643" t="s">
        <v>3099</v>
      </c>
      <c r="C2643" t="s">
        <v>3105</v>
      </c>
      <c r="D2643">
        <v>442578</v>
      </c>
      <c r="E2643" t="s">
        <v>67</v>
      </c>
    </row>
    <row r="2644" spans="1:5">
      <c r="A2644" t="s">
        <v>3106</v>
      </c>
      <c r="C2644" t="s">
        <v>3107</v>
      </c>
      <c r="D2644">
        <v>188883</v>
      </c>
      <c r="E2644" t="s">
        <v>721</v>
      </c>
    </row>
    <row r="2645" spans="1:5">
      <c r="A2645" t="s">
        <v>3106</v>
      </c>
      <c r="C2645" t="s">
        <v>3108</v>
      </c>
      <c r="D2645">
        <v>772113</v>
      </c>
      <c r="E2645" t="s">
        <v>202</v>
      </c>
    </row>
    <row r="2646" spans="1:5">
      <c r="A2646" t="s">
        <v>3106</v>
      </c>
      <c r="C2646" t="s">
        <v>3109</v>
      </c>
      <c r="D2646">
        <v>660813</v>
      </c>
      <c r="E2646" t="s">
        <v>296</v>
      </c>
    </row>
    <row r="2647" spans="1:5">
      <c r="A2647" t="s">
        <v>3106</v>
      </c>
      <c r="C2647" t="s">
        <v>3110</v>
      </c>
      <c r="D2647">
        <v>262000</v>
      </c>
      <c r="E2647" t="s">
        <v>275</v>
      </c>
    </row>
    <row r="2648" spans="1:5">
      <c r="A2648" t="s">
        <v>3106</v>
      </c>
      <c r="C2648" t="s">
        <v>3111</v>
      </c>
      <c r="D2648">
        <v>76997</v>
      </c>
      <c r="E2648" t="s">
        <v>72</v>
      </c>
    </row>
    <row r="2649" spans="1:5">
      <c r="A2649" t="s">
        <v>3106</v>
      </c>
      <c r="C2649" t="s">
        <v>3112</v>
      </c>
      <c r="D2649">
        <v>496999</v>
      </c>
      <c r="E2649" t="s">
        <v>781</v>
      </c>
    </row>
    <row r="2650" spans="1:5">
      <c r="A2650" t="s">
        <v>3106</v>
      </c>
      <c r="C2650" t="s">
        <v>3113</v>
      </c>
      <c r="D2650">
        <v>131287</v>
      </c>
      <c r="E2650" t="s">
        <v>610</v>
      </c>
    </row>
    <row r="2651" spans="1:5">
      <c r="A2651" t="s">
        <v>3106</v>
      </c>
      <c r="C2651" t="s">
        <v>3114</v>
      </c>
      <c r="D2651">
        <v>620294</v>
      </c>
      <c r="E2651" t="s">
        <v>482</v>
      </c>
    </row>
    <row r="2652" spans="1:5">
      <c r="A2652" t="s">
        <v>3106</v>
      </c>
      <c r="C2652" t="s">
        <v>3115</v>
      </c>
      <c r="D2652">
        <v>428553</v>
      </c>
      <c r="E2652" t="s">
        <v>872</v>
      </c>
    </row>
    <row r="2653" spans="1:5">
      <c r="A2653" t="s">
        <v>3106</v>
      </c>
      <c r="C2653" t="s">
        <v>3116</v>
      </c>
      <c r="D2653">
        <v>772113</v>
      </c>
      <c r="E2653" t="s">
        <v>202</v>
      </c>
    </row>
    <row r="2654" spans="1:5">
      <c r="A2654" t="s">
        <v>3106</v>
      </c>
      <c r="C2654" t="s">
        <v>3117</v>
      </c>
      <c r="D2654">
        <v>621484</v>
      </c>
      <c r="E2654" t="s">
        <v>354</v>
      </c>
    </row>
    <row r="2655" spans="1:5">
      <c r="A2655" t="s">
        <v>3106</v>
      </c>
      <c r="C2655" t="s">
        <v>3118</v>
      </c>
      <c r="D2655">
        <v>765474</v>
      </c>
      <c r="E2655" t="s">
        <v>48</v>
      </c>
    </row>
    <row r="2656" spans="1:5">
      <c r="A2656" t="s">
        <v>3106</v>
      </c>
      <c r="C2656" t="s">
        <v>3119</v>
      </c>
      <c r="D2656">
        <v>593512</v>
      </c>
      <c r="E2656" t="s">
        <v>120</v>
      </c>
    </row>
    <row r="2657" spans="1:5">
      <c r="A2657" t="s">
        <v>3106</v>
      </c>
      <c r="C2657" t="s">
        <v>3120</v>
      </c>
      <c r="D2657">
        <v>772113</v>
      </c>
      <c r="E2657" t="s">
        <v>202</v>
      </c>
    </row>
    <row r="2658" spans="1:5">
      <c r="A2658" t="s">
        <v>3106</v>
      </c>
      <c r="C2658" t="s">
        <v>3121</v>
      </c>
      <c r="D2658">
        <v>674990</v>
      </c>
      <c r="E2658" t="s">
        <v>748</v>
      </c>
    </row>
    <row r="2659" spans="1:5">
      <c r="A2659" t="s">
        <v>3106</v>
      </c>
      <c r="C2659" t="s">
        <v>3122</v>
      </c>
      <c r="D2659">
        <v>590029</v>
      </c>
      <c r="E2659" t="s">
        <v>157</v>
      </c>
    </row>
    <row r="2660" spans="1:5">
      <c r="A2660" t="s">
        <v>3106</v>
      </c>
      <c r="C2660" t="s">
        <v>3123</v>
      </c>
      <c r="D2660">
        <v>641151</v>
      </c>
      <c r="E2660" t="s">
        <v>58</v>
      </c>
    </row>
    <row r="2661" spans="1:5">
      <c r="A2661" t="s">
        <v>3106</v>
      </c>
      <c r="C2661" t="s">
        <v>3124</v>
      </c>
      <c r="D2661">
        <v>944892</v>
      </c>
      <c r="E2661" t="s">
        <v>948</v>
      </c>
    </row>
    <row r="2662" spans="1:5">
      <c r="A2662" t="s">
        <v>3106</v>
      </c>
      <c r="C2662" t="s">
        <v>3125</v>
      </c>
      <c r="D2662">
        <v>641151</v>
      </c>
      <c r="E2662" t="s">
        <v>58</v>
      </c>
    </row>
    <row r="2663" spans="1:5">
      <c r="A2663" t="s">
        <v>3106</v>
      </c>
      <c r="C2663" t="s">
        <v>3126</v>
      </c>
      <c r="D2663">
        <v>494196</v>
      </c>
      <c r="E2663" t="s">
        <v>463</v>
      </c>
    </row>
    <row r="2664" spans="1:5">
      <c r="A2664" t="s">
        <v>3106</v>
      </c>
      <c r="C2664" t="s">
        <v>3127</v>
      </c>
      <c r="D2664">
        <v>772113</v>
      </c>
      <c r="E2664" t="s">
        <v>202</v>
      </c>
    </row>
    <row r="2665" spans="1:5">
      <c r="A2665" t="s">
        <v>3106</v>
      </c>
      <c r="C2665" t="s">
        <v>3128</v>
      </c>
      <c r="D2665">
        <v>944892</v>
      </c>
      <c r="E2665" t="s">
        <v>948</v>
      </c>
    </row>
    <row r="2666" spans="1:5">
      <c r="A2666" t="s">
        <v>3106</v>
      </c>
      <c r="C2666" t="s">
        <v>3129</v>
      </c>
      <c r="D2666">
        <v>131287</v>
      </c>
      <c r="E2666" t="s">
        <v>610</v>
      </c>
    </row>
    <row r="2667" spans="1:5">
      <c r="A2667" t="s">
        <v>3106</v>
      </c>
      <c r="C2667" t="s">
        <v>3130</v>
      </c>
      <c r="D2667">
        <v>826067</v>
      </c>
      <c r="E2667" t="s">
        <v>1506</v>
      </c>
    </row>
    <row r="2668" spans="1:5">
      <c r="A2668" t="s">
        <v>3106</v>
      </c>
      <c r="C2668" t="s">
        <v>3131</v>
      </c>
      <c r="D2668">
        <v>239819</v>
      </c>
      <c r="E2668" t="s">
        <v>336</v>
      </c>
    </row>
    <row r="2669" spans="1:5">
      <c r="A2669" t="s">
        <v>3106</v>
      </c>
      <c r="C2669" t="s">
        <v>3132</v>
      </c>
      <c r="D2669">
        <v>772113</v>
      </c>
      <c r="E2669" t="s">
        <v>202</v>
      </c>
    </row>
    <row r="2670" spans="1:5">
      <c r="A2670" t="s">
        <v>3106</v>
      </c>
      <c r="C2670" t="s">
        <v>3133</v>
      </c>
      <c r="D2670">
        <v>472114</v>
      </c>
      <c r="E2670" t="s">
        <v>135</v>
      </c>
    </row>
    <row r="2671" spans="1:5">
      <c r="A2671" t="s">
        <v>3106</v>
      </c>
      <c r="C2671" t="s">
        <v>3134</v>
      </c>
      <c r="D2671">
        <v>192237</v>
      </c>
      <c r="E2671" t="s">
        <v>68</v>
      </c>
    </row>
    <row r="2672" spans="1:5">
      <c r="A2672" t="s">
        <v>3106</v>
      </c>
      <c r="C2672" t="s">
        <v>3135</v>
      </c>
      <c r="D2672">
        <v>1003583</v>
      </c>
      <c r="E2672" t="s">
        <v>3027</v>
      </c>
    </row>
    <row r="2673" spans="1:5">
      <c r="A2673" t="s">
        <v>3136</v>
      </c>
      <c r="C2673" t="s">
        <v>3137</v>
      </c>
      <c r="D2673">
        <v>801788</v>
      </c>
      <c r="E2673" t="s">
        <v>515</v>
      </c>
    </row>
    <row r="2674" spans="1:5">
      <c r="A2674" t="s">
        <v>3136</v>
      </c>
      <c r="C2674" t="s">
        <v>3138</v>
      </c>
      <c r="D2674">
        <v>487210</v>
      </c>
      <c r="E2674" t="s">
        <v>373</v>
      </c>
    </row>
    <row r="2675" spans="1:5">
      <c r="A2675" t="s">
        <v>3136</v>
      </c>
      <c r="C2675" t="s">
        <v>3139</v>
      </c>
      <c r="D2675">
        <v>487210</v>
      </c>
      <c r="E2675" t="s">
        <v>373</v>
      </c>
    </row>
    <row r="2676" spans="1:5">
      <c r="A2676" t="s">
        <v>3136</v>
      </c>
      <c r="C2676" t="s">
        <v>3140</v>
      </c>
      <c r="D2676">
        <v>978989</v>
      </c>
      <c r="E2676" t="s">
        <v>859</v>
      </c>
    </row>
    <row r="2677" spans="1:5">
      <c r="A2677" t="s">
        <v>3136</v>
      </c>
      <c r="C2677" t="s">
        <v>3140</v>
      </c>
      <c r="D2677">
        <v>96959</v>
      </c>
      <c r="E2677" t="s">
        <v>56</v>
      </c>
    </row>
    <row r="2678" spans="1:5">
      <c r="A2678" t="s">
        <v>3141</v>
      </c>
      <c r="C2678" t="s">
        <v>3142</v>
      </c>
      <c r="D2678">
        <v>587311</v>
      </c>
      <c r="E2678" t="s">
        <v>399</v>
      </c>
    </row>
    <row r="2679" spans="1:5">
      <c r="A2679" t="s">
        <v>3141</v>
      </c>
      <c r="C2679" t="s">
        <v>3143</v>
      </c>
      <c r="D2679">
        <v>270157</v>
      </c>
      <c r="E2679" t="s">
        <v>168</v>
      </c>
    </row>
    <row r="2680" spans="1:5">
      <c r="A2680" t="s">
        <v>3141</v>
      </c>
      <c r="C2680" t="s">
        <v>3144</v>
      </c>
      <c r="D2680">
        <v>92567</v>
      </c>
      <c r="E2680" t="s">
        <v>270</v>
      </c>
    </row>
    <row r="2681" spans="1:5">
      <c r="A2681" t="s">
        <v>3141</v>
      </c>
      <c r="C2681" t="s">
        <v>3145</v>
      </c>
      <c r="D2681">
        <v>550755</v>
      </c>
      <c r="E2681" t="s">
        <v>737</v>
      </c>
    </row>
    <row r="2682" spans="1:5">
      <c r="A2682" t="s">
        <v>3141</v>
      </c>
      <c r="C2682" t="s">
        <v>3146</v>
      </c>
      <c r="D2682">
        <v>246792</v>
      </c>
      <c r="E2682" t="s">
        <v>116</v>
      </c>
    </row>
    <row r="2683" spans="1:5">
      <c r="A2683" t="s">
        <v>3141</v>
      </c>
      <c r="C2683" t="s">
        <v>3147</v>
      </c>
      <c r="D2683">
        <v>92567</v>
      </c>
      <c r="E2683" t="s">
        <v>270</v>
      </c>
    </row>
    <row r="2684" spans="1:5">
      <c r="A2684" t="s">
        <v>3141</v>
      </c>
      <c r="C2684" t="s">
        <v>3148</v>
      </c>
      <c r="D2684">
        <v>765474</v>
      </c>
      <c r="E2684" t="s">
        <v>48</v>
      </c>
    </row>
    <row r="2685" spans="1:5">
      <c r="A2685" t="s">
        <v>3141</v>
      </c>
      <c r="C2685" t="s">
        <v>3149</v>
      </c>
      <c r="D2685">
        <v>794490</v>
      </c>
      <c r="E2685" t="s">
        <v>129</v>
      </c>
    </row>
    <row r="2686" spans="1:5">
      <c r="A2686" t="s">
        <v>3141</v>
      </c>
      <c r="C2686" t="s">
        <v>3150</v>
      </c>
      <c r="D2686">
        <v>587311</v>
      </c>
      <c r="E2686" t="s">
        <v>399</v>
      </c>
    </row>
    <row r="2687" spans="1:5">
      <c r="A2687" t="s">
        <v>3141</v>
      </c>
      <c r="C2687" t="s">
        <v>3151</v>
      </c>
      <c r="D2687">
        <v>629424</v>
      </c>
      <c r="E2687" t="s">
        <v>51</v>
      </c>
    </row>
    <row r="2688" spans="1:5">
      <c r="A2688" t="s">
        <v>3141</v>
      </c>
      <c r="C2688" t="s">
        <v>3152</v>
      </c>
      <c r="D2688">
        <v>429425</v>
      </c>
      <c r="E2688" t="s">
        <v>694</v>
      </c>
    </row>
    <row r="2689" spans="1:5">
      <c r="A2689" t="s">
        <v>3141</v>
      </c>
      <c r="C2689" t="s">
        <v>3153</v>
      </c>
      <c r="D2689">
        <v>270157</v>
      </c>
      <c r="E2689" t="s">
        <v>168</v>
      </c>
    </row>
    <row r="2690" spans="1:5">
      <c r="A2690" t="s">
        <v>3141</v>
      </c>
      <c r="C2690" t="s">
        <v>3154</v>
      </c>
      <c r="D2690">
        <v>587311</v>
      </c>
      <c r="E2690" t="s">
        <v>399</v>
      </c>
    </row>
    <row r="2691" spans="1:5">
      <c r="A2691" t="s">
        <v>3155</v>
      </c>
      <c r="C2691" t="s">
        <v>3156</v>
      </c>
      <c r="D2691">
        <v>466400</v>
      </c>
      <c r="E2691" t="s">
        <v>304</v>
      </c>
    </row>
    <row r="2692" spans="1:5">
      <c r="A2692" t="s">
        <v>3155</v>
      </c>
      <c r="C2692" t="s">
        <v>3157</v>
      </c>
      <c r="D2692">
        <v>83613</v>
      </c>
      <c r="E2692" t="s">
        <v>290</v>
      </c>
    </row>
    <row r="2693" spans="1:5">
      <c r="A2693" t="s">
        <v>3155</v>
      </c>
      <c r="C2693" t="s">
        <v>3158</v>
      </c>
      <c r="D2693">
        <v>871573</v>
      </c>
      <c r="E2693" t="s">
        <v>1463</v>
      </c>
    </row>
    <row r="2694" spans="1:5">
      <c r="A2694" t="s">
        <v>3155</v>
      </c>
      <c r="C2694" t="s">
        <v>3159</v>
      </c>
      <c r="D2694">
        <v>244036</v>
      </c>
      <c r="E2694" t="s">
        <v>363</v>
      </c>
    </row>
    <row r="2695" spans="1:5">
      <c r="A2695" t="s">
        <v>3155</v>
      </c>
      <c r="C2695" t="s">
        <v>3160</v>
      </c>
      <c r="D2695">
        <v>466400</v>
      </c>
      <c r="E2695" t="s">
        <v>304</v>
      </c>
    </row>
    <row r="2696" spans="1:5">
      <c r="A2696" t="s">
        <v>3155</v>
      </c>
      <c r="C2696" t="s">
        <v>3161</v>
      </c>
      <c r="D2696">
        <v>814017</v>
      </c>
      <c r="E2696" t="s">
        <v>696</v>
      </c>
    </row>
    <row r="2697" spans="1:5">
      <c r="A2697" t="s">
        <v>3155</v>
      </c>
      <c r="C2697" t="s">
        <v>3162</v>
      </c>
      <c r="D2697">
        <v>538904</v>
      </c>
      <c r="E2697" t="s">
        <v>1538</v>
      </c>
    </row>
    <row r="2698" spans="1:5">
      <c r="A2698" t="s">
        <v>3155</v>
      </c>
      <c r="C2698" t="s">
        <v>3163</v>
      </c>
      <c r="D2698">
        <v>5221</v>
      </c>
      <c r="E2698" t="s">
        <v>312</v>
      </c>
    </row>
    <row r="2699" spans="1:5">
      <c r="A2699" t="s">
        <v>3155</v>
      </c>
      <c r="C2699" t="s">
        <v>3164</v>
      </c>
      <c r="D2699">
        <v>202505</v>
      </c>
      <c r="E2699" t="s">
        <v>686</v>
      </c>
    </row>
    <row r="2700" spans="1:5">
      <c r="A2700" t="s">
        <v>3155</v>
      </c>
      <c r="C2700" t="s">
        <v>3165</v>
      </c>
      <c r="D2700">
        <v>689981</v>
      </c>
      <c r="E2700" t="s">
        <v>666</v>
      </c>
    </row>
    <row r="2701" spans="1:5">
      <c r="A2701" t="s">
        <v>3155</v>
      </c>
      <c r="C2701" t="s">
        <v>3166</v>
      </c>
      <c r="D2701">
        <v>175069</v>
      </c>
      <c r="E2701" t="s">
        <v>159</v>
      </c>
    </row>
    <row r="2702" spans="1:5">
      <c r="A2702" t="s">
        <v>3155</v>
      </c>
      <c r="C2702" t="s">
        <v>3167</v>
      </c>
      <c r="D2702">
        <v>466400</v>
      </c>
      <c r="E2702" t="s">
        <v>304</v>
      </c>
    </row>
    <row r="2703" spans="1:5">
      <c r="A2703" t="s">
        <v>3155</v>
      </c>
      <c r="C2703" t="s">
        <v>3168</v>
      </c>
      <c r="D2703">
        <v>244036</v>
      </c>
      <c r="E2703" t="s">
        <v>363</v>
      </c>
    </row>
    <row r="2704" spans="1:5">
      <c r="A2704" t="s">
        <v>3155</v>
      </c>
      <c r="C2704" t="s">
        <v>3169</v>
      </c>
      <c r="D2704">
        <v>83613</v>
      </c>
      <c r="E2704" t="s">
        <v>290</v>
      </c>
    </row>
    <row r="2705" spans="1:5">
      <c r="A2705" t="s">
        <v>3155</v>
      </c>
      <c r="C2705" t="s">
        <v>3170</v>
      </c>
      <c r="D2705">
        <v>814017</v>
      </c>
      <c r="E2705" t="s">
        <v>696</v>
      </c>
    </row>
    <row r="2706" spans="1:5">
      <c r="A2706" t="s">
        <v>3155</v>
      </c>
      <c r="C2706" t="s">
        <v>3171</v>
      </c>
      <c r="D2706">
        <v>83613</v>
      </c>
      <c r="E2706" t="s">
        <v>290</v>
      </c>
    </row>
    <row r="2707" spans="1:5">
      <c r="A2707" t="s">
        <v>3155</v>
      </c>
      <c r="C2707" t="s">
        <v>3172</v>
      </c>
      <c r="D2707">
        <v>924438</v>
      </c>
      <c r="E2707" t="s">
        <v>745</v>
      </c>
    </row>
    <row r="2708" spans="1:5">
      <c r="A2708" t="s">
        <v>3155</v>
      </c>
      <c r="C2708" t="s">
        <v>3173</v>
      </c>
      <c r="D2708">
        <v>466400</v>
      </c>
      <c r="E2708" t="s">
        <v>304</v>
      </c>
    </row>
    <row r="2709" spans="1:5">
      <c r="A2709" t="s">
        <v>3174</v>
      </c>
    </row>
    <row r="2710" spans="1:5">
      <c r="A2710" t="s">
        <v>3175</v>
      </c>
      <c r="C2710" t="s">
        <v>3176</v>
      </c>
      <c r="D2710">
        <v>128554</v>
      </c>
      <c r="E2710" t="s">
        <v>709</v>
      </c>
    </row>
    <row r="2711" spans="1:5">
      <c r="A2711" t="s">
        <v>3175</v>
      </c>
      <c r="C2711" t="s">
        <v>3177</v>
      </c>
      <c r="D2711">
        <v>128554</v>
      </c>
      <c r="E2711" t="s">
        <v>709</v>
      </c>
    </row>
    <row r="2712" spans="1:5">
      <c r="A2712" t="s">
        <v>3175</v>
      </c>
      <c r="C2712" t="s">
        <v>3178</v>
      </c>
      <c r="D2712">
        <v>696603</v>
      </c>
      <c r="E2712" t="s">
        <v>458</v>
      </c>
    </row>
    <row r="2713" spans="1:5">
      <c r="A2713" t="s">
        <v>3175</v>
      </c>
      <c r="C2713" t="s">
        <v>3179</v>
      </c>
      <c r="D2713">
        <v>696603</v>
      </c>
      <c r="E2713" t="s">
        <v>458</v>
      </c>
    </row>
    <row r="2714" spans="1:5">
      <c r="A2714" t="s">
        <v>3175</v>
      </c>
      <c r="C2714" t="s">
        <v>3180</v>
      </c>
      <c r="D2714">
        <v>943909</v>
      </c>
      <c r="E2714" t="s">
        <v>674</v>
      </c>
    </row>
    <row r="2715" spans="1:5">
      <c r="A2715" t="s">
        <v>3175</v>
      </c>
      <c r="C2715" t="s">
        <v>3181</v>
      </c>
      <c r="D2715">
        <v>943909</v>
      </c>
      <c r="E2715" t="s">
        <v>674</v>
      </c>
    </row>
    <row r="2716" spans="1:5">
      <c r="A2716" t="s">
        <v>3175</v>
      </c>
      <c r="C2716" t="s">
        <v>3182</v>
      </c>
      <c r="D2716">
        <v>151929</v>
      </c>
      <c r="E2716" t="s">
        <v>180</v>
      </c>
    </row>
    <row r="2717" spans="1:5">
      <c r="A2717" t="s">
        <v>3175</v>
      </c>
      <c r="C2717" t="s">
        <v>3183</v>
      </c>
      <c r="D2717">
        <v>151929</v>
      </c>
      <c r="E2717" t="s">
        <v>180</v>
      </c>
    </row>
    <row r="2718" spans="1:5">
      <c r="A2718" t="s">
        <v>3184</v>
      </c>
      <c r="C2718" t="s">
        <v>3185</v>
      </c>
      <c r="D2718">
        <v>557897</v>
      </c>
      <c r="E2718" t="s">
        <v>18</v>
      </c>
    </row>
    <row r="2719" spans="1:5">
      <c r="A2719" t="s">
        <v>3184</v>
      </c>
      <c r="C2719" t="s">
        <v>3097</v>
      </c>
      <c r="D2719">
        <v>978989</v>
      </c>
      <c r="E2719" t="s">
        <v>859</v>
      </c>
    </row>
    <row r="2720" spans="1:5">
      <c r="A2720" t="s">
        <v>3184</v>
      </c>
      <c r="C2720" t="s">
        <v>3186</v>
      </c>
      <c r="D2720">
        <v>378341</v>
      </c>
      <c r="E2720" t="s">
        <v>121</v>
      </c>
    </row>
    <row r="2721" spans="1:5">
      <c r="A2721" t="s">
        <v>3184</v>
      </c>
      <c r="C2721" t="s">
        <v>3085</v>
      </c>
      <c r="D2721">
        <v>741443</v>
      </c>
      <c r="E2721" t="s">
        <v>267</v>
      </c>
    </row>
    <row r="2722" spans="1:5">
      <c r="A2722" t="s">
        <v>3184</v>
      </c>
      <c r="C2722" t="s">
        <v>3187</v>
      </c>
      <c r="D2722">
        <v>978989</v>
      </c>
      <c r="E2722" t="s">
        <v>859</v>
      </c>
    </row>
    <row r="2723" spans="1:5">
      <c r="A2723" t="s">
        <v>3184</v>
      </c>
      <c r="C2723" t="s">
        <v>3086</v>
      </c>
      <c r="D2723">
        <v>978989</v>
      </c>
      <c r="E2723" t="s">
        <v>859</v>
      </c>
    </row>
    <row r="2724" spans="1:5">
      <c r="A2724" t="s">
        <v>3184</v>
      </c>
      <c r="C2724" t="s">
        <v>3188</v>
      </c>
      <c r="D2724">
        <v>439207</v>
      </c>
      <c r="E2724" t="s">
        <v>131</v>
      </c>
    </row>
    <row r="2725" spans="1:5">
      <c r="A2725" t="s">
        <v>3184</v>
      </c>
      <c r="C2725" t="s">
        <v>3087</v>
      </c>
      <c r="D2725">
        <v>441735</v>
      </c>
      <c r="E2725" t="s">
        <v>496</v>
      </c>
    </row>
    <row r="2726" spans="1:5">
      <c r="A2726" t="s">
        <v>3184</v>
      </c>
      <c r="C2726" t="s">
        <v>3088</v>
      </c>
      <c r="D2726">
        <v>560546</v>
      </c>
      <c r="E2726" t="s">
        <v>318</v>
      </c>
    </row>
    <row r="2727" spans="1:5">
      <c r="A2727" t="s">
        <v>3184</v>
      </c>
      <c r="C2727" t="s">
        <v>3189</v>
      </c>
      <c r="D2727">
        <v>828379</v>
      </c>
      <c r="E2727" t="s">
        <v>287</v>
      </c>
    </row>
    <row r="2728" spans="1:5">
      <c r="A2728" t="s">
        <v>3184</v>
      </c>
      <c r="C2728" t="s">
        <v>3089</v>
      </c>
      <c r="D2728">
        <v>429425</v>
      </c>
      <c r="E2728" t="s">
        <v>694</v>
      </c>
    </row>
    <row r="2729" spans="1:5">
      <c r="A2729" t="s">
        <v>3184</v>
      </c>
      <c r="C2729" t="s">
        <v>3190</v>
      </c>
      <c r="D2729">
        <v>578846</v>
      </c>
      <c r="E2729" t="s">
        <v>810</v>
      </c>
    </row>
    <row r="2730" spans="1:5">
      <c r="A2730" t="s">
        <v>3184</v>
      </c>
      <c r="C2730" t="s">
        <v>3090</v>
      </c>
      <c r="D2730">
        <v>978989</v>
      </c>
      <c r="E2730" t="s">
        <v>859</v>
      </c>
    </row>
    <row r="2731" spans="1:5">
      <c r="A2731" t="s">
        <v>3184</v>
      </c>
      <c r="C2731" t="s">
        <v>3092</v>
      </c>
      <c r="D2731">
        <v>560546</v>
      </c>
      <c r="E2731" t="s">
        <v>318</v>
      </c>
    </row>
    <row r="2732" spans="1:5">
      <c r="A2732" t="s">
        <v>3184</v>
      </c>
      <c r="C2732" t="s">
        <v>3191</v>
      </c>
      <c r="D2732">
        <v>978989</v>
      </c>
      <c r="E2732" t="s">
        <v>859</v>
      </c>
    </row>
    <row r="2733" spans="1:5">
      <c r="A2733" t="s">
        <v>3184</v>
      </c>
      <c r="C2733" t="s">
        <v>3093</v>
      </c>
      <c r="D2733">
        <v>978989</v>
      </c>
      <c r="E2733" t="s">
        <v>859</v>
      </c>
    </row>
    <row r="2734" spans="1:5">
      <c r="A2734" t="s">
        <v>3184</v>
      </c>
      <c r="C2734" t="s">
        <v>3192</v>
      </c>
      <c r="D2734">
        <v>541315</v>
      </c>
      <c r="E2734" t="s">
        <v>374</v>
      </c>
    </row>
    <row r="2735" spans="1:5">
      <c r="A2735" t="s">
        <v>3184</v>
      </c>
      <c r="C2735" t="s">
        <v>3094</v>
      </c>
      <c r="D2735">
        <v>578846</v>
      </c>
      <c r="E2735" t="s">
        <v>810</v>
      </c>
    </row>
    <row r="2736" spans="1:5">
      <c r="A2736" t="s">
        <v>3184</v>
      </c>
      <c r="C2736" t="s">
        <v>3095</v>
      </c>
      <c r="D2736">
        <v>557897</v>
      </c>
      <c r="E2736" t="s">
        <v>18</v>
      </c>
    </row>
    <row r="2737" spans="1:5">
      <c r="A2737" t="s">
        <v>3184</v>
      </c>
      <c r="C2737" t="s">
        <v>3193</v>
      </c>
      <c r="D2737">
        <v>248981</v>
      </c>
      <c r="E2737" t="s">
        <v>25</v>
      </c>
    </row>
    <row r="2738" spans="1:5">
      <c r="A2738" t="s">
        <v>3184</v>
      </c>
      <c r="C2738" t="s">
        <v>3098</v>
      </c>
      <c r="D2738">
        <v>429425</v>
      </c>
      <c r="E2738" t="s">
        <v>694</v>
      </c>
    </row>
    <row r="2739" spans="1:5">
      <c r="A2739" t="s">
        <v>3194</v>
      </c>
    </row>
    <row r="2740" spans="1:5">
      <c r="A2740" t="s">
        <v>3195</v>
      </c>
      <c r="C2740" t="s">
        <v>3196</v>
      </c>
      <c r="D2740">
        <v>391348</v>
      </c>
      <c r="E2740" t="s">
        <v>2528</v>
      </c>
    </row>
    <row r="2741" spans="1:5">
      <c r="A2741" t="s">
        <v>3195</v>
      </c>
      <c r="C2741" t="s">
        <v>3197</v>
      </c>
      <c r="D2741">
        <v>944892</v>
      </c>
      <c r="E2741" t="s">
        <v>948</v>
      </c>
    </row>
    <row r="2742" spans="1:5">
      <c r="A2742" t="s">
        <v>3195</v>
      </c>
      <c r="C2742" t="s">
        <v>3197</v>
      </c>
      <c r="D2742">
        <v>970202</v>
      </c>
      <c r="E2742" t="s">
        <v>836</v>
      </c>
    </row>
    <row r="2743" spans="1:5">
      <c r="A2743" t="s">
        <v>3195</v>
      </c>
      <c r="C2743" t="s">
        <v>3198</v>
      </c>
      <c r="D2743">
        <v>970202</v>
      </c>
      <c r="E2743" t="s">
        <v>836</v>
      </c>
    </row>
    <row r="2744" spans="1:5">
      <c r="A2744" t="s">
        <v>3195</v>
      </c>
      <c r="C2744" t="s">
        <v>3199</v>
      </c>
      <c r="D2744">
        <v>237426</v>
      </c>
      <c r="E2744" t="s">
        <v>708</v>
      </c>
    </row>
    <row r="2745" spans="1:5">
      <c r="A2745" t="s">
        <v>3195</v>
      </c>
      <c r="C2745" t="s">
        <v>3200</v>
      </c>
      <c r="D2745">
        <v>725703</v>
      </c>
      <c r="E2745" t="s">
        <v>427</v>
      </c>
    </row>
    <row r="2746" spans="1:5">
      <c r="A2746" t="s">
        <v>3201</v>
      </c>
      <c r="C2746" t="s">
        <v>3202</v>
      </c>
      <c r="D2746">
        <v>873830</v>
      </c>
      <c r="E2746" t="s">
        <v>174</v>
      </c>
    </row>
    <row r="2747" spans="1:5">
      <c r="A2747" t="s">
        <v>3201</v>
      </c>
      <c r="C2747" t="s">
        <v>3203</v>
      </c>
      <c r="D2747">
        <v>590029</v>
      </c>
      <c r="E2747" t="s">
        <v>157</v>
      </c>
    </row>
    <row r="2748" spans="1:5">
      <c r="A2748" t="s">
        <v>3201</v>
      </c>
      <c r="C2748" t="s">
        <v>3204</v>
      </c>
      <c r="D2748">
        <v>935971</v>
      </c>
      <c r="E2748" t="s">
        <v>648</v>
      </c>
    </row>
    <row r="2749" spans="1:5">
      <c r="A2749" t="s">
        <v>3201</v>
      </c>
      <c r="C2749" t="s">
        <v>3205</v>
      </c>
      <c r="D2749">
        <v>964211</v>
      </c>
      <c r="E2749" t="s">
        <v>1379</v>
      </c>
    </row>
    <row r="2750" spans="1:5">
      <c r="A2750" t="s">
        <v>3201</v>
      </c>
      <c r="C2750" t="s">
        <v>3206</v>
      </c>
      <c r="D2750">
        <v>918562</v>
      </c>
      <c r="E2750" t="s">
        <v>736</v>
      </c>
    </row>
    <row r="2751" spans="1:5">
      <c r="A2751" t="s">
        <v>3201</v>
      </c>
      <c r="C2751" t="s">
        <v>3207</v>
      </c>
      <c r="D2751">
        <v>978989</v>
      </c>
      <c r="E2751" t="s">
        <v>859</v>
      </c>
    </row>
    <row r="2752" spans="1:5">
      <c r="A2752" t="s">
        <v>3201</v>
      </c>
      <c r="C2752" t="s">
        <v>3208</v>
      </c>
      <c r="D2752">
        <v>590029</v>
      </c>
      <c r="E2752" t="s">
        <v>157</v>
      </c>
    </row>
    <row r="2753" spans="1:5">
      <c r="A2753" t="s">
        <v>3201</v>
      </c>
      <c r="C2753" t="s">
        <v>3209</v>
      </c>
      <c r="D2753">
        <v>975283</v>
      </c>
      <c r="E2753" t="s">
        <v>869</v>
      </c>
    </row>
    <row r="2754" spans="1:5">
      <c r="A2754" t="s">
        <v>3201</v>
      </c>
      <c r="C2754" t="s">
        <v>3210</v>
      </c>
      <c r="D2754">
        <v>532833</v>
      </c>
      <c r="E2754" t="s">
        <v>325</v>
      </c>
    </row>
    <row r="2755" spans="1:5">
      <c r="A2755" t="s">
        <v>3201</v>
      </c>
      <c r="C2755" t="s">
        <v>3211</v>
      </c>
      <c r="D2755">
        <v>964211</v>
      </c>
      <c r="E2755" t="s">
        <v>1379</v>
      </c>
    </row>
    <row r="2756" spans="1:5">
      <c r="A2756" t="s">
        <v>3201</v>
      </c>
      <c r="C2756" t="s">
        <v>3212</v>
      </c>
      <c r="D2756">
        <v>944892</v>
      </c>
      <c r="E2756" t="s">
        <v>948</v>
      </c>
    </row>
    <row r="2757" spans="1:5">
      <c r="A2757" t="s">
        <v>3201</v>
      </c>
      <c r="C2757" t="s">
        <v>3213</v>
      </c>
      <c r="D2757">
        <v>725703</v>
      </c>
      <c r="E2757" t="s">
        <v>427</v>
      </c>
    </row>
    <row r="2758" spans="1:5">
      <c r="A2758" t="s">
        <v>3201</v>
      </c>
      <c r="C2758" t="s">
        <v>3214</v>
      </c>
      <c r="D2758">
        <v>918562</v>
      </c>
      <c r="E2758" t="s">
        <v>736</v>
      </c>
    </row>
    <row r="2759" spans="1:5">
      <c r="A2759" t="s">
        <v>3201</v>
      </c>
      <c r="C2759" t="s">
        <v>3215</v>
      </c>
      <c r="D2759">
        <v>803118</v>
      </c>
      <c r="E2759" t="s">
        <v>590</v>
      </c>
    </row>
    <row r="2760" spans="1:5">
      <c r="A2760" t="s">
        <v>3201</v>
      </c>
      <c r="C2760" t="s">
        <v>3216</v>
      </c>
      <c r="D2760">
        <v>590029</v>
      </c>
      <c r="E2760" t="s">
        <v>157</v>
      </c>
    </row>
    <row r="2761" spans="1:5">
      <c r="A2761" t="s">
        <v>3201</v>
      </c>
      <c r="C2761" t="s">
        <v>3217</v>
      </c>
      <c r="D2761">
        <v>964211</v>
      </c>
      <c r="E2761" t="s">
        <v>1379</v>
      </c>
    </row>
    <row r="2762" spans="1:5">
      <c r="A2762" t="s">
        <v>3201</v>
      </c>
      <c r="C2762" t="s">
        <v>3218</v>
      </c>
      <c r="D2762">
        <v>585909</v>
      </c>
      <c r="E2762" t="s">
        <v>673</v>
      </c>
    </row>
    <row r="2763" spans="1:5">
      <c r="A2763" t="s">
        <v>3201</v>
      </c>
      <c r="C2763" t="s">
        <v>3219</v>
      </c>
      <c r="D2763">
        <v>496044</v>
      </c>
      <c r="E2763" t="s">
        <v>396</v>
      </c>
    </row>
    <row r="2764" spans="1:5">
      <c r="A2764" t="s">
        <v>3201</v>
      </c>
      <c r="C2764" t="s">
        <v>3220</v>
      </c>
      <c r="D2764">
        <v>975283</v>
      </c>
      <c r="E2764" t="s">
        <v>869</v>
      </c>
    </row>
    <row r="2765" spans="1:5">
      <c r="A2765" t="s">
        <v>3201</v>
      </c>
      <c r="C2765" t="s">
        <v>3221</v>
      </c>
      <c r="D2765">
        <v>532833</v>
      </c>
      <c r="E2765" t="s">
        <v>325</v>
      </c>
    </row>
    <row r="2766" spans="1:5">
      <c r="A2766" t="s">
        <v>3201</v>
      </c>
      <c r="C2766" t="s">
        <v>3222</v>
      </c>
      <c r="D2766">
        <v>964211</v>
      </c>
      <c r="E2766" t="s">
        <v>1379</v>
      </c>
    </row>
    <row r="2767" spans="1:5">
      <c r="A2767" t="s">
        <v>3201</v>
      </c>
      <c r="C2767" t="s">
        <v>3223</v>
      </c>
      <c r="D2767">
        <v>590029</v>
      </c>
      <c r="E2767" t="s">
        <v>157</v>
      </c>
    </row>
    <row r="2768" spans="1:5">
      <c r="A2768" t="s">
        <v>3224</v>
      </c>
      <c r="C2768" t="s">
        <v>3225</v>
      </c>
      <c r="D2768">
        <v>755301</v>
      </c>
      <c r="E2768" t="s">
        <v>192</v>
      </c>
    </row>
    <row r="2769" spans="1:5">
      <c r="A2769" t="s">
        <v>3224</v>
      </c>
      <c r="C2769" t="s">
        <v>3226</v>
      </c>
      <c r="D2769">
        <v>518980</v>
      </c>
      <c r="E2769" t="s">
        <v>582</v>
      </c>
    </row>
    <row r="2770" spans="1:5">
      <c r="A2770" t="s">
        <v>3224</v>
      </c>
      <c r="C2770" t="s">
        <v>3227</v>
      </c>
      <c r="D2770">
        <v>632638</v>
      </c>
      <c r="E2770" t="s">
        <v>260</v>
      </c>
    </row>
    <row r="2771" spans="1:5">
      <c r="A2771" t="s">
        <v>3224</v>
      </c>
      <c r="C2771" t="s">
        <v>3228</v>
      </c>
      <c r="D2771">
        <v>266487</v>
      </c>
      <c r="E2771" t="s">
        <v>255</v>
      </c>
    </row>
    <row r="2772" spans="1:5">
      <c r="A2772" t="s">
        <v>3224</v>
      </c>
      <c r="C2772" t="s">
        <v>3229</v>
      </c>
      <c r="D2772">
        <v>923674</v>
      </c>
      <c r="E2772" t="s">
        <v>663</v>
      </c>
    </row>
    <row r="2773" spans="1:5">
      <c r="A2773" t="s">
        <v>3224</v>
      </c>
      <c r="C2773" t="s">
        <v>3230</v>
      </c>
      <c r="D2773">
        <v>943909</v>
      </c>
      <c r="E2773" t="s">
        <v>674</v>
      </c>
    </row>
    <row r="2774" spans="1:5">
      <c r="A2774" t="s">
        <v>3224</v>
      </c>
      <c r="C2774" t="s">
        <v>3231</v>
      </c>
      <c r="D2774">
        <v>597434</v>
      </c>
      <c r="E2774" t="s">
        <v>47</v>
      </c>
    </row>
    <row r="2775" spans="1:5">
      <c r="A2775" t="s">
        <v>3224</v>
      </c>
      <c r="C2775" t="s">
        <v>3232</v>
      </c>
      <c r="D2775">
        <v>755301</v>
      </c>
      <c r="E2775" t="s">
        <v>192</v>
      </c>
    </row>
    <row r="2776" spans="1:5">
      <c r="A2776" t="s">
        <v>3224</v>
      </c>
      <c r="C2776" t="s">
        <v>3233</v>
      </c>
      <c r="D2776">
        <v>429425</v>
      </c>
      <c r="E2776" t="s">
        <v>694</v>
      </c>
    </row>
    <row r="2777" spans="1:5">
      <c r="A2777" t="s">
        <v>3224</v>
      </c>
      <c r="C2777" t="s">
        <v>3234</v>
      </c>
      <c r="D2777">
        <v>131987</v>
      </c>
      <c r="E2777" t="s">
        <v>719</v>
      </c>
    </row>
    <row r="2778" spans="1:5">
      <c r="A2778" t="s">
        <v>3224</v>
      </c>
      <c r="C2778" t="s">
        <v>3235</v>
      </c>
      <c r="D2778">
        <v>621900</v>
      </c>
      <c r="E2778" t="s">
        <v>254</v>
      </c>
    </row>
    <row r="2779" spans="1:5">
      <c r="A2779" t="s">
        <v>3224</v>
      </c>
      <c r="C2779" t="s">
        <v>3236</v>
      </c>
      <c r="D2779">
        <v>815694</v>
      </c>
      <c r="E2779" t="s">
        <v>718</v>
      </c>
    </row>
    <row r="2780" spans="1:5">
      <c r="A2780" t="s">
        <v>3224</v>
      </c>
      <c r="C2780" t="s">
        <v>3237</v>
      </c>
      <c r="D2780">
        <v>978989</v>
      </c>
      <c r="E2780" t="s">
        <v>859</v>
      </c>
    </row>
    <row r="2781" spans="1:5">
      <c r="A2781" t="s">
        <v>3224</v>
      </c>
      <c r="C2781" t="s">
        <v>3238</v>
      </c>
      <c r="D2781">
        <v>438689</v>
      </c>
      <c r="E2781" t="s">
        <v>36</v>
      </c>
    </row>
    <row r="2782" spans="1:5">
      <c r="A2782" t="s">
        <v>3224</v>
      </c>
      <c r="C2782" t="s">
        <v>3239</v>
      </c>
      <c r="D2782">
        <v>755301</v>
      </c>
      <c r="E2782" t="s">
        <v>192</v>
      </c>
    </row>
    <row r="2783" spans="1:5">
      <c r="A2783" t="s">
        <v>3224</v>
      </c>
      <c r="C2783" t="s">
        <v>3240</v>
      </c>
      <c r="D2783">
        <v>518980</v>
      </c>
      <c r="E2783" t="s">
        <v>582</v>
      </c>
    </row>
    <row r="2784" spans="1:5">
      <c r="A2784" t="s">
        <v>3224</v>
      </c>
      <c r="C2784" t="s">
        <v>3241</v>
      </c>
      <c r="D2784">
        <v>632638</v>
      </c>
      <c r="E2784" t="s">
        <v>260</v>
      </c>
    </row>
    <row r="2785" spans="1:5">
      <c r="A2785" t="s">
        <v>3224</v>
      </c>
      <c r="C2785" t="s">
        <v>3242</v>
      </c>
      <c r="D2785">
        <v>815694</v>
      </c>
      <c r="E2785" t="s">
        <v>718</v>
      </c>
    </row>
    <row r="2786" spans="1:5">
      <c r="A2786" t="s">
        <v>3224</v>
      </c>
      <c r="C2786" t="s">
        <v>3243</v>
      </c>
      <c r="D2786">
        <v>209946</v>
      </c>
      <c r="E2786" t="s">
        <v>274</v>
      </c>
    </row>
    <row r="2787" spans="1:5">
      <c r="A2787" t="s">
        <v>3224</v>
      </c>
      <c r="C2787" t="s">
        <v>3244</v>
      </c>
      <c r="D2787">
        <v>923674</v>
      </c>
      <c r="E2787" t="s">
        <v>663</v>
      </c>
    </row>
    <row r="2788" spans="1:5">
      <c r="A2788" t="s">
        <v>3224</v>
      </c>
      <c r="C2788" t="s">
        <v>3245</v>
      </c>
      <c r="D2788">
        <v>829843</v>
      </c>
      <c r="E2788" t="s">
        <v>792</v>
      </c>
    </row>
    <row r="2789" spans="1:5">
      <c r="A2789" t="s">
        <v>3224</v>
      </c>
      <c r="C2789" t="s">
        <v>3246</v>
      </c>
      <c r="D2789">
        <v>755301</v>
      </c>
      <c r="E2789" t="s">
        <v>192</v>
      </c>
    </row>
    <row r="2790" spans="1:5">
      <c r="A2790" t="s">
        <v>3224</v>
      </c>
      <c r="C2790" t="s">
        <v>3247</v>
      </c>
      <c r="D2790">
        <v>209946</v>
      </c>
      <c r="E2790" t="s">
        <v>274</v>
      </c>
    </row>
    <row r="2791" spans="1:5">
      <c r="A2791" t="s">
        <v>3224</v>
      </c>
      <c r="C2791" t="s">
        <v>3248</v>
      </c>
      <c r="D2791">
        <v>621900</v>
      </c>
      <c r="E2791" t="s">
        <v>254</v>
      </c>
    </row>
    <row r="2792" spans="1:5">
      <c r="A2792" t="s">
        <v>3224</v>
      </c>
      <c r="C2792" t="s">
        <v>3249</v>
      </c>
      <c r="D2792">
        <v>170071</v>
      </c>
      <c r="E2792" t="s">
        <v>468</v>
      </c>
    </row>
    <row r="2793" spans="1:5">
      <c r="A2793" t="s">
        <v>3224</v>
      </c>
      <c r="C2793" t="s">
        <v>3250</v>
      </c>
      <c r="D2793">
        <v>572589</v>
      </c>
      <c r="E2793" t="s">
        <v>302</v>
      </c>
    </row>
    <row r="2794" spans="1:5">
      <c r="A2794" t="s">
        <v>3224</v>
      </c>
      <c r="C2794" t="s">
        <v>3251</v>
      </c>
      <c r="D2794">
        <v>572589</v>
      </c>
      <c r="E2794" t="s">
        <v>302</v>
      </c>
    </row>
    <row r="2795" spans="1:5">
      <c r="A2795" t="s">
        <v>3224</v>
      </c>
      <c r="C2795" t="s">
        <v>3252</v>
      </c>
      <c r="D2795">
        <v>449352</v>
      </c>
      <c r="E2795" t="s">
        <v>503</v>
      </c>
    </row>
    <row r="2796" spans="1:5">
      <c r="A2796" t="s">
        <v>3224</v>
      </c>
      <c r="C2796" t="s">
        <v>3253</v>
      </c>
      <c r="D2796">
        <v>170071</v>
      </c>
      <c r="E2796" t="s">
        <v>468</v>
      </c>
    </row>
    <row r="2797" spans="1:5">
      <c r="A2797" t="s">
        <v>3224</v>
      </c>
      <c r="C2797" t="s">
        <v>3254</v>
      </c>
      <c r="D2797">
        <v>755301</v>
      </c>
      <c r="E2797" t="s">
        <v>192</v>
      </c>
    </row>
    <row r="2798" spans="1:5">
      <c r="A2798" t="s">
        <v>3255</v>
      </c>
      <c r="C2798" t="s">
        <v>3185</v>
      </c>
      <c r="D2798">
        <v>150669</v>
      </c>
      <c r="E2798" t="s">
        <v>789</v>
      </c>
    </row>
    <row r="2799" spans="1:5">
      <c r="A2799" t="s">
        <v>3255</v>
      </c>
      <c r="C2799" t="s">
        <v>3097</v>
      </c>
      <c r="D2799">
        <v>593512</v>
      </c>
      <c r="E2799" t="s">
        <v>120</v>
      </c>
    </row>
    <row r="2800" spans="1:5">
      <c r="A2800" t="s">
        <v>3255</v>
      </c>
      <c r="C2800" t="s">
        <v>3256</v>
      </c>
      <c r="D2800">
        <v>554842</v>
      </c>
      <c r="E2800" t="s">
        <v>588</v>
      </c>
    </row>
    <row r="2801" spans="1:5">
      <c r="A2801" t="s">
        <v>3255</v>
      </c>
      <c r="C2801" t="s">
        <v>3257</v>
      </c>
      <c r="D2801">
        <v>183984</v>
      </c>
      <c r="E2801" t="s">
        <v>580</v>
      </c>
    </row>
    <row r="2802" spans="1:5">
      <c r="A2802" t="s">
        <v>3255</v>
      </c>
      <c r="C2802" t="s">
        <v>3258</v>
      </c>
      <c r="D2802">
        <v>302687</v>
      </c>
      <c r="E2802" t="s">
        <v>560</v>
      </c>
    </row>
    <row r="2803" spans="1:5">
      <c r="A2803" t="s">
        <v>3255</v>
      </c>
      <c r="C2803" t="s">
        <v>3259</v>
      </c>
      <c r="D2803">
        <v>620294</v>
      </c>
      <c r="E2803" t="s">
        <v>482</v>
      </c>
    </row>
    <row r="2804" spans="1:5">
      <c r="A2804" t="s">
        <v>3255</v>
      </c>
      <c r="C2804" t="s">
        <v>3085</v>
      </c>
      <c r="D2804">
        <v>593512</v>
      </c>
      <c r="E2804" t="s">
        <v>120</v>
      </c>
    </row>
    <row r="2805" spans="1:5">
      <c r="A2805" t="s">
        <v>3255</v>
      </c>
      <c r="C2805" t="s">
        <v>3187</v>
      </c>
      <c r="D2805">
        <v>216555</v>
      </c>
      <c r="E2805" t="s">
        <v>8</v>
      </c>
    </row>
    <row r="2806" spans="1:5">
      <c r="A2806" t="s">
        <v>3255</v>
      </c>
      <c r="C2806" t="s">
        <v>3086</v>
      </c>
      <c r="D2806">
        <v>477377</v>
      </c>
      <c r="E2806" t="s">
        <v>40</v>
      </c>
    </row>
    <row r="2807" spans="1:5">
      <c r="A2807" t="s">
        <v>3255</v>
      </c>
      <c r="C2807" t="s">
        <v>3260</v>
      </c>
      <c r="D2807">
        <v>554842</v>
      </c>
      <c r="E2807" t="s">
        <v>588</v>
      </c>
    </row>
    <row r="2808" spans="1:5">
      <c r="A2808" t="s">
        <v>3255</v>
      </c>
      <c r="C2808" t="s">
        <v>3261</v>
      </c>
      <c r="D2808">
        <v>568489</v>
      </c>
      <c r="E2808" t="s">
        <v>526</v>
      </c>
    </row>
    <row r="2809" spans="1:5">
      <c r="A2809" t="s">
        <v>3255</v>
      </c>
      <c r="C2809" t="s">
        <v>3262</v>
      </c>
      <c r="D2809">
        <v>585909</v>
      </c>
      <c r="E2809" t="s">
        <v>673</v>
      </c>
    </row>
    <row r="2810" spans="1:5">
      <c r="A2810" t="s">
        <v>3255</v>
      </c>
      <c r="C2810" t="s">
        <v>3087</v>
      </c>
      <c r="D2810">
        <v>105687</v>
      </c>
      <c r="E2810" t="s">
        <v>790</v>
      </c>
    </row>
    <row r="2811" spans="1:5">
      <c r="A2811" t="s">
        <v>3255</v>
      </c>
      <c r="C2811" t="s">
        <v>3088</v>
      </c>
      <c r="D2811">
        <v>554842</v>
      </c>
      <c r="E2811" t="s">
        <v>588</v>
      </c>
    </row>
    <row r="2812" spans="1:5">
      <c r="A2812" t="s">
        <v>3255</v>
      </c>
      <c r="C2812" t="s">
        <v>3189</v>
      </c>
      <c r="D2812">
        <v>888948</v>
      </c>
      <c r="E2812" t="s">
        <v>801</v>
      </c>
    </row>
    <row r="2813" spans="1:5">
      <c r="A2813" t="s">
        <v>3255</v>
      </c>
      <c r="C2813" t="s">
        <v>3089</v>
      </c>
      <c r="D2813">
        <v>477377</v>
      </c>
      <c r="E2813" t="s">
        <v>40</v>
      </c>
    </row>
    <row r="2814" spans="1:5">
      <c r="A2814" t="s">
        <v>3255</v>
      </c>
      <c r="C2814" t="s">
        <v>3263</v>
      </c>
      <c r="D2814">
        <v>914365</v>
      </c>
      <c r="E2814" t="s">
        <v>513</v>
      </c>
    </row>
    <row r="2815" spans="1:5">
      <c r="A2815" t="s">
        <v>3255</v>
      </c>
      <c r="C2815" t="s">
        <v>3264</v>
      </c>
      <c r="D2815">
        <v>302687</v>
      </c>
      <c r="E2815" t="s">
        <v>560</v>
      </c>
    </row>
    <row r="2816" spans="1:5">
      <c r="A2816" t="s">
        <v>3255</v>
      </c>
      <c r="C2816" t="s">
        <v>3265</v>
      </c>
      <c r="D2816">
        <v>585909</v>
      </c>
      <c r="E2816" t="s">
        <v>673</v>
      </c>
    </row>
    <row r="2817" spans="1:5">
      <c r="A2817" t="s">
        <v>3255</v>
      </c>
      <c r="C2817" t="s">
        <v>3090</v>
      </c>
      <c r="D2817">
        <v>496999</v>
      </c>
      <c r="E2817" t="s">
        <v>781</v>
      </c>
    </row>
    <row r="2818" spans="1:5">
      <c r="A2818" t="s">
        <v>3255</v>
      </c>
      <c r="C2818" t="s">
        <v>3092</v>
      </c>
      <c r="D2818">
        <v>554842</v>
      </c>
      <c r="E2818" t="s">
        <v>588</v>
      </c>
    </row>
    <row r="2819" spans="1:5">
      <c r="A2819" t="s">
        <v>3255</v>
      </c>
      <c r="C2819" t="s">
        <v>3191</v>
      </c>
      <c r="D2819">
        <v>514839</v>
      </c>
      <c r="E2819" t="s">
        <v>409</v>
      </c>
    </row>
    <row r="2820" spans="1:5">
      <c r="A2820" t="s">
        <v>3255</v>
      </c>
      <c r="C2820" t="s">
        <v>3093</v>
      </c>
      <c r="D2820">
        <v>888948</v>
      </c>
      <c r="E2820" t="s">
        <v>801</v>
      </c>
    </row>
    <row r="2821" spans="1:5">
      <c r="A2821" t="s">
        <v>3255</v>
      </c>
      <c r="C2821" t="s">
        <v>3266</v>
      </c>
      <c r="D2821">
        <v>772113</v>
      </c>
      <c r="E2821" t="s">
        <v>202</v>
      </c>
    </row>
    <row r="2822" spans="1:5">
      <c r="A2822" t="s">
        <v>3255</v>
      </c>
      <c r="C2822" t="s">
        <v>3267</v>
      </c>
      <c r="D2822">
        <v>772113</v>
      </c>
      <c r="E2822" t="s">
        <v>202</v>
      </c>
    </row>
    <row r="2823" spans="1:5">
      <c r="A2823" t="s">
        <v>3255</v>
      </c>
      <c r="C2823" t="s">
        <v>3268</v>
      </c>
      <c r="D2823">
        <v>729487</v>
      </c>
      <c r="E2823" t="s">
        <v>96</v>
      </c>
    </row>
    <row r="2824" spans="1:5">
      <c r="A2824" t="s">
        <v>3255</v>
      </c>
      <c r="C2824" t="s">
        <v>3094</v>
      </c>
      <c r="D2824">
        <v>554842</v>
      </c>
      <c r="E2824" t="s">
        <v>588</v>
      </c>
    </row>
    <row r="2825" spans="1:5">
      <c r="A2825" t="s">
        <v>3255</v>
      </c>
      <c r="C2825" t="s">
        <v>3095</v>
      </c>
      <c r="D2825">
        <v>809076</v>
      </c>
      <c r="E2825" t="s">
        <v>813</v>
      </c>
    </row>
    <row r="2826" spans="1:5">
      <c r="A2826" t="s">
        <v>3255</v>
      </c>
      <c r="C2826" t="s">
        <v>3193</v>
      </c>
      <c r="D2826">
        <v>514839</v>
      </c>
      <c r="E2826" t="s">
        <v>409</v>
      </c>
    </row>
    <row r="2827" spans="1:5">
      <c r="A2827" t="s">
        <v>3255</v>
      </c>
      <c r="C2827" t="s">
        <v>3098</v>
      </c>
      <c r="D2827">
        <v>772113</v>
      </c>
      <c r="E2827" t="s">
        <v>202</v>
      </c>
    </row>
    <row r="2828" spans="1:5">
      <c r="A2828" t="s">
        <v>3269</v>
      </c>
      <c r="C2828" t="s">
        <v>3270</v>
      </c>
      <c r="D2828">
        <v>960559</v>
      </c>
      <c r="E2828" t="s">
        <v>403</v>
      </c>
    </row>
    <row r="2829" spans="1:5">
      <c r="A2829" t="s">
        <v>3269</v>
      </c>
      <c r="C2829" t="s">
        <v>3271</v>
      </c>
      <c r="D2829">
        <v>386173</v>
      </c>
      <c r="E2829" t="s">
        <v>341</v>
      </c>
    </row>
    <row r="2830" spans="1:5">
      <c r="A2830" t="s">
        <v>3269</v>
      </c>
      <c r="C2830" t="s">
        <v>3272</v>
      </c>
      <c r="D2830">
        <v>960559</v>
      </c>
      <c r="E2830" t="s">
        <v>403</v>
      </c>
    </row>
    <row r="2831" spans="1:5">
      <c r="A2831" t="s">
        <v>3269</v>
      </c>
      <c r="C2831" t="s">
        <v>3272</v>
      </c>
      <c r="D2831">
        <v>804908</v>
      </c>
      <c r="E2831" t="s">
        <v>601</v>
      </c>
    </row>
    <row r="2832" spans="1:5">
      <c r="A2832" t="s">
        <v>3269</v>
      </c>
      <c r="C2832" t="s">
        <v>3273</v>
      </c>
      <c r="D2832">
        <v>136454</v>
      </c>
      <c r="E2832" t="s">
        <v>7</v>
      </c>
    </row>
    <row r="2833" spans="1:5">
      <c r="A2833" t="s">
        <v>3269</v>
      </c>
      <c r="C2833" t="s">
        <v>3274</v>
      </c>
      <c r="D2833">
        <v>620545</v>
      </c>
      <c r="E2833" t="s">
        <v>126</v>
      </c>
    </row>
    <row r="2834" spans="1:5">
      <c r="A2834" t="s">
        <v>3269</v>
      </c>
      <c r="C2834" t="s">
        <v>3274</v>
      </c>
      <c r="D2834">
        <v>873907</v>
      </c>
      <c r="E2834" t="s">
        <v>2103</v>
      </c>
    </row>
    <row r="2835" spans="1:5">
      <c r="A2835" t="s">
        <v>3269</v>
      </c>
      <c r="C2835" t="s">
        <v>3275</v>
      </c>
      <c r="D2835">
        <v>597830</v>
      </c>
      <c r="E2835" t="s">
        <v>134</v>
      </c>
    </row>
    <row r="2836" spans="1:5">
      <c r="A2836" t="s">
        <v>3269</v>
      </c>
      <c r="C2836" t="s">
        <v>3276</v>
      </c>
      <c r="D2836">
        <v>366232</v>
      </c>
      <c r="E2836" t="s">
        <v>152</v>
      </c>
    </row>
    <row r="2837" spans="1:5">
      <c r="A2837" t="s">
        <v>3269</v>
      </c>
      <c r="C2837" t="s">
        <v>3277</v>
      </c>
      <c r="D2837">
        <v>586919</v>
      </c>
      <c r="E2837" t="s">
        <v>715</v>
      </c>
    </row>
    <row r="2838" spans="1:5">
      <c r="A2838" t="s">
        <v>3269</v>
      </c>
      <c r="C2838" t="s">
        <v>3278</v>
      </c>
      <c r="D2838">
        <v>986554</v>
      </c>
      <c r="E2838" t="s">
        <v>860</v>
      </c>
    </row>
    <row r="2839" spans="1:5">
      <c r="A2839" t="s">
        <v>3269</v>
      </c>
      <c r="C2839" t="s">
        <v>3279</v>
      </c>
      <c r="D2839">
        <v>916985</v>
      </c>
      <c r="E2839" t="s">
        <v>2609</v>
      </c>
    </row>
    <row r="2840" spans="1:5">
      <c r="A2840" t="s">
        <v>3269</v>
      </c>
      <c r="C2840" t="s">
        <v>3280</v>
      </c>
      <c r="D2840">
        <v>821407</v>
      </c>
      <c r="E2840" t="s">
        <v>169</v>
      </c>
    </row>
    <row r="2841" spans="1:5">
      <c r="A2841" t="s">
        <v>3269</v>
      </c>
      <c r="C2841" t="s">
        <v>3281</v>
      </c>
      <c r="D2841">
        <v>620545</v>
      </c>
      <c r="E2841" t="s">
        <v>126</v>
      </c>
    </row>
    <row r="2842" spans="1:5">
      <c r="A2842" t="s">
        <v>3269</v>
      </c>
      <c r="C2842" t="s">
        <v>3282</v>
      </c>
      <c r="D2842">
        <v>661416</v>
      </c>
      <c r="E2842" t="s">
        <v>211</v>
      </c>
    </row>
    <row r="2843" spans="1:5">
      <c r="A2843" t="s">
        <v>3269</v>
      </c>
      <c r="C2843" t="s">
        <v>3283</v>
      </c>
      <c r="D2843">
        <v>413594</v>
      </c>
      <c r="E2843" t="s">
        <v>782</v>
      </c>
    </row>
    <row r="2844" spans="1:5">
      <c r="A2844" t="s">
        <v>3269</v>
      </c>
      <c r="C2844" t="s">
        <v>3283</v>
      </c>
      <c r="D2844">
        <v>447184</v>
      </c>
      <c r="E2844" t="s">
        <v>153</v>
      </c>
    </row>
    <row r="2845" spans="1:5">
      <c r="A2845" t="s">
        <v>3269</v>
      </c>
      <c r="C2845" t="s">
        <v>3284</v>
      </c>
      <c r="D2845">
        <v>136454</v>
      </c>
      <c r="E2845" t="s">
        <v>7</v>
      </c>
    </row>
    <row r="2846" spans="1:5">
      <c r="A2846" t="s">
        <v>3269</v>
      </c>
      <c r="C2846" t="s">
        <v>3285</v>
      </c>
      <c r="D2846">
        <v>267370</v>
      </c>
      <c r="E2846" t="s">
        <v>371</v>
      </c>
    </row>
    <row r="2847" spans="1:5">
      <c r="A2847" t="s">
        <v>3269</v>
      </c>
      <c r="C2847" t="s">
        <v>3286</v>
      </c>
      <c r="D2847">
        <v>872540</v>
      </c>
      <c r="E2847" t="s">
        <v>733</v>
      </c>
    </row>
    <row r="2848" spans="1:5">
      <c r="A2848" t="s">
        <v>3269</v>
      </c>
      <c r="C2848" t="s">
        <v>3287</v>
      </c>
      <c r="D2848">
        <v>960559</v>
      </c>
      <c r="E2848" t="s">
        <v>403</v>
      </c>
    </row>
    <row r="2849" spans="1:5">
      <c r="A2849" t="s">
        <v>3269</v>
      </c>
      <c r="C2849" t="s">
        <v>3288</v>
      </c>
      <c r="D2849">
        <v>136454</v>
      </c>
      <c r="E2849" t="s">
        <v>7</v>
      </c>
    </row>
    <row r="2850" spans="1:5">
      <c r="A2850" t="s">
        <v>3269</v>
      </c>
      <c r="C2850" t="s">
        <v>3289</v>
      </c>
      <c r="D2850">
        <v>974730</v>
      </c>
      <c r="E2850" t="s">
        <v>93</v>
      </c>
    </row>
    <row r="2851" spans="1:5">
      <c r="A2851" t="s">
        <v>3269</v>
      </c>
      <c r="C2851" t="s">
        <v>3290</v>
      </c>
      <c r="D2851">
        <v>898849</v>
      </c>
      <c r="E2851" t="s">
        <v>301</v>
      </c>
    </row>
    <row r="2852" spans="1:5">
      <c r="A2852" t="s">
        <v>3269</v>
      </c>
      <c r="C2852" t="s">
        <v>3291</v>
      </c>
      <c r="D2852">
        <v>552077</v>
      </c>
      <c r="E2852" t="s">
        <v>245</v>
      </c>
    </row>
    <row r="2853" spans="1:5">
      <c r="A2853" t="s">
        <v>3269</v>
      </c>
      <c r="C2853" t="s">
        <v>3292</v>
      </c>
      <c r="D2853">
        <v>916985</v>
      </c>
      <c r="E2853" t="s">
        <v>2609</v>
      </c>
    </row>
    <row r="2854" spans="1:5">
      <c r="A2854" t="s">
        <v>3269</v>
      </c>
      <c r="C2854" t="s">
        <v>3293</v>
      </c>
      <c r="D2854">
        <v>266487</v>
      </c>
      <c r="E2854" t="s">
        <v>255</v>
      </c>
    </row>
    <row r="2855" spans="1:5">
      <c r="A2855" t="s">
        <v>3269</v>
      </c>
      <c r="C2855" t="s">
        <v>3293</v>
      </c>
      <c r="D2855">
        <v>872540</v>
      </c>
      <c r="E2855" t="s">
        <v>733</v>
      </c>
    </row>
    <row r="2856" spans="1:5">
      <c r="A2856" t="s">
        <v>3269</v>
      </c>
      <c r="C2856" t="s">
        <v>3294</v>
      </c>
      <c r="D2856">
        <v>745275</v>
      </c>
      <c r="E2856" t="s">
        <v>288</v>
      </c>
    </row>
    <row r="2857" spans="1:5">
      <c r="A2857" t="s">
        <v>3269</v>
      </c>
      <c r="C2857" t="s">
        <v>3295</v>
      </c>
      <c r="D2857">
        <v>136454</v>
      </c>
      <c r="E2857" t="s">
        <v>7</v>
      </c>
    </row>
    <row r="2858" spans="1:5">
      <c r="A2858" t="s">
        <v>3269</v>
      </c>
      <c r="C2858" t="s">
        <v>3296</v>
      </c>
      <c r="D2858">
        <v>413594</v>
      </c>
      <c r="E2858" t="s">
        <v>782</v>
      </c>
    </row>
    <row r="2859" spans="1:5">
      <c r="A2859" t="s">
        <v>3269</v>
      </c>
      <c r="C2859" t="s">
        <v>3296</v>
      </c>
      <c r="D2859">
        <v>447184</v>
      </c>
      <c r="E2859" t="s">
        <v>153</v>
      </c>
    </row>
    <row r="2860" spans="1:5">
      <c r="A2860" t="s">
        <v>3269</v>
      </c>
      <c r="C2860" t="s">
        <v>3297</v>
      </c>
      <c r="D2860">
        <v>974730</v>
      </c>
      <c r="E2860" t="s">
        <v>93</v>
      </c>
    </row>
    <row r="2861" spans="1:5">
      <c r="A2861" t="s">
        <v>3269</v>
      </c>
      <c r="C2861" t="s">
        <v>3298</v>
      </c>
      <c r="D2861">
        <v>586919</v>
      </c>
      <c r="E2861" t="s">
        <v>715</v>
      </c>
    </row>
    <row r="2862" spans="1:5">
      <c r="A2862" t="s">
        <v>3269</v>
      </c>
      <c r="C2862" t="s">
        <v>3299</v>
      </c>
      <c r="D2862">
        <v>136454</v>
      </c>
      <c r="E2862" t="s">
        <v>7</v>
      </c>
    </row>
    <row r="2863" spans="1:5">
      <c r="A2863" t="s">
        <v>3300</v>
      </c>
      <c r="C2863" t="s">
        <v>3301</v>
      </c>
      <c r="D2863">
        <v>394805</v>
      </c>
      <c r="E2863" t="s">
        <v>323</v>
      </c>
    </row>
    <row r="2864" spans="1:5">
      <c r="A2864" t="s">
        <v>3300</v>
      </c>
      <c r="C2864" t="s">
        <v>3302</v>
      </c>
      <c r="D2864">
        <v>709830</v>
      </c>
      <c r="E2864" t="s">
        <v>679</v>
      </c>
    </row>
    <row r="2865" spans="1:5">
      <c r="A2865" t="s">
        <v>3300</v>
      </c>
      <c r="C2865" t="s">
        <v>3303</v>
      </c>
      <c r="D2865">
        <v>847686</v>
      </c>
      <c r="E2865" t="s">
        <v>343</v>
      </c>
    </row>
    <row r="2866" spans="1:5">
      <c r="A2866" t="s">
        <v>3300</v>
      </c>
      <c r="C2866" t="s">
        <v>3304</v>
      </c>
      <c r="D2866">
        <v>887315</v>
      </c>
      <c r="E2866" t="s">
        <v>725</v>
      </c>
    </row>
    <row r="2867" spans="1:5">
      <c r="A2867" t="s">
        <v>3300</v>
      </c>
      <c r="C2867" t="s">
        <v>3305</v>
      </c>
      <c r="D2867">
        <v>174416</v>
      </c>
      <c r="E2867" t="s">
        <v>921</v>
      </c>
    </row>
    <row r="2868" spans="1:5">
      <c r="A2868" t="s">
        <v>3300</v>
      </c>
      <c r="C2868" t="s">
        <v>3306</v>
      </c>
      <c r="D2868">
        <v>804250</v>
      </c>
      <c r="E2868" t="s">
        <v>145</v>
      </c>
    </row>
    <row r="2869" spans="1:5">
      <c r="A2869" t="s">
        <v>3300</v>
      </c>
      <c r="C2869" t="s">
        <v>3307</v>
      </c>
      <c r="D2869">
        <v>748316</v>
      </c>
      <c r="E2869" t="s">
        <v>861</v>
      </c>
    </row>
    <row r="2870" spans="1:5">
      <c r="A2870" t="s">
        <v>3300</v>
      </c>
      <c r="C2870" t="s">
        <v>3308</v>
      </c>
      <c r="D2870">
        <v>709830</v>
      </c>
      <c r="E2870" t="s">
        <v>679</v>
      </c>
    </row>
    <row r="2871" spans="1:5">
      <c r="A2871" t="s">
        <v>3300</v>
      </c>
      <c r="C2871" t="s">
        <v>3309</v>
      </c>
      <c r="D2871">
        <v>927352</v>
      </c>
      <c r="E2871" t="s">
        <v>110</v>
      </c>
    </row>
    <row r="2872" spans="1:5">
      <c r="A2872" t="s">
        <v>3300</v>
      </c>
      <c r="C2872" t="s">
        <v>3310</v>
      </c>
      <c r="D2872">
        <v>830884</v>
      </c>
      <c r="E2872" t="s">
        <v>587</v>
      </c>
    </row>
    <row r="2873" spans="1:5">
      <c r="A2873" t="s">
        <v>3300</v>
      </c>
      <c r="C2873" t="s">
        <v>3010</v>
      </c>
      <c r="D2873">
        <v>262000</v>
      </c>
      <c r="E2873" t="s">
        <v>275</v>
      </c>
    </row>
    <row r="2874" spans="1:5">
      <c r="A2874" t="s">
        <v>3300</v>
      </c>
      <c r="C2874" t="s">
        <v>3311</v>
      </c>
      <c r="D2874">
        <v>577220</v>
      </c>
      <c r="E2874" t="s">
        <v>665</v>
      </c>
    </row>
    <row r="2875" spans="1:5">
      <c r="A2875" t="s">
        <v>3300</v>
      </c>
      <c r="C2875" t="s">
        <v>3312</v>
      </c>
      <c r="D2875">
        <v>709830</v>
      </c>
      <c r="E2875" t="s">
        <v>679</v>
      </c>
    </row>
    <row r="2876" spans="1:5">
      <c r="A2876" t="s">
        <v>3300</v>
      </c>
      <c r="C2876" t="s">
        <v>3313</v>
      </c>
      <c r="D2876">
        <v>1003583</v>
      </c>
      <c r="E2876" t="s">
        <v>3027</v>
      </c>
    </row>
    <row r="2877" spans="1:5">
      <c r="A2877" t="s">
        <v>3300</v>
      </c>
      <c r="C2877" t="s">
        <v>3016</v>
      </c>
      <c r="D2877">
        <v>921659</v>
      </c>
      <c r="E2877" t="s">
        <v>356</v>
      </c>
    </row>
    <row r="2878" spans="1:5">
      <c r="A2878" t="s">
        <v>3300</v>
      </c>
      <c r="C2878" t="s">
        <v>3314</v>
      </c>
      <c r="D2878">
        <v>804250</v>
      </c>
      <c r="E2878" t="s">
        <v>145</v>
      </c>
    </row>
    <row r="2879" spans="1:5">
      <c r="A2879" t="s">
        <v>3315</v>
      </c>
      <c r="C2879" t="s">
        <v>3316</v>
      </c>
      <c r="D2879">
        <v>707649</v>
      </c>
      <c r="E2879" t="s">
        <v>746</v>
      </c>
    </row>
    <row r="2880" spans="1:5">
      <c r="A2880" t="s">
        <v>3315</v>
      </c>
      <c r="C2880" t="s">
        <v>3156</v>
      </c>
      <c r="D2880">
        <v>707444</v>
      </c>
      <c r="E2880" t="s">
        <v>623</v>
      </c>
    </row>
    <row r="2881" spans="1:5">
      <c r="A2881" t="s">
        <v>3315</v>
      </c>
      <c r="C2881" t="s">
        <v>3317</v>
      </c>
      <c r="D2881">
        <v>829985</v>
      </c>
      <c r="E2881" t="s">
        <v>806</v>
      </c>
    </row>
    <row r="2882" spans="1:5">
      <c r="A2882" t="s">
        <v>3315</v>
      </c>
      <c r="C2882" t="s">
        <v>3271</v>
      </c>
      <c r="D2882">
        <v>269049</v>
      </c>
      <c r="E2882" t="s">
        <v>632</v>
      </c>
    </row>
    <row r="2883" spans="1:5">
      <c r="A2883" t="s">
        <v>3315</v>
      </c>
      <c r="C2883" t="s">
        <v>3273</v>
      </c>
      <c r="D2883">
        <v>959536</v>
      </c>
      <c r="E2883" t="s">
        <v>796</v>
      </c>
    </row>
    <row r="2884" spans="1:5">
      <c r="A2884" t="s">
        <v>3315</v>
      </c>
      <c r="C2884" t="s">
        <v>3318</v>
      </c>
      <c r="D2884">
        <v>269049</v>
      </c>
      <c r="E2884" t="s">
        <v>632</v>
      </c>
    </row>
    <row r="2885" spans="1:5">
      <c r="A2885" t="s">
        <v>3315</v>
      </c>
      <c r="C2885" t="s">
        <v>3276</v>
      </c>
      <c r="D2885">
        <v>707649</v>
      </c>
      <c r="E2885" t="s">
        <v>746</v>
      </c>
    </row>
    <row r="2886" spans="1:5">
      <c r="A2886" t="s">
        <v>3315</v>
      </c>
      <c r="C2886" t="s">
        <v>3319</v>
      </c>
      <c r="D2886">
        <v>707444</v>
      </c>
      <c r="E2886" t="s">
        <v>623</v>
      </c>
    </row>
    <row r="2887" spans="1:5">
      <c r="A2887" t="s">
        <v>3315</v>
      </c>
      <c r="C2887" t="s">
        <v>3277</v>
      </c>
      <c r="D2887">
        <v>864086</v>
      </c>
      <c r="E2887" t="s">
        <v>866</v>
      </c>
    </row>
    <row r="2888" spans="1:5">
      <c r="A2888" t="s">
        <v>3315</v>
      </c>
      <c r="C2888" t="s">
        <v>3278</v>
      </c>
      <c r="D2888">
        <v>480346</v>
      </c>
      <c r="E2888" t="s">
        <v>741</v>
      </c>
    </row>
    <row r="2889" spans="1:5">
      <c r="A2889" t="s">
        <v>3315</v>
      </c>
      <c r="C2889" t="s">
        <v>3279</v>
      </c>
      <c r="D2889">
        <v>959536</v>
      </c>
      <c r="E2889" t="s">
        <v>796</v>
      </c>
    </row>
    <row r="2890" spans="1:5">
      <c r="A2890" t="s">
        <v>3315</v>
      </c>
      <c r="C2890" t="s">
        <v>3280</v>
      </c>
      <c r="D2890">
        <v>829985</v>
      </c>
      <c r="E2890" t="s">
        <v>806</v>
      </c>
    </row>
    <row r="2891" spans="1:5">
      <c r="A2891" t="s">
        <v>3315</v>
      </c>
      <c r="C2891" t="s">
        <v>3320</v>
      </c>
      <c r="D2891">
        <v>269049</v>
      </c>
      <c r="E2891" t="s">
        <v>632</v>
      </c>
    </row>
    <row r="2892" spans="1:5">
      <c r="A2892" t="s">
        <v>3315</v>
      </c>
      <c r="C2892" t="s">
        <v>3321</v>
      </c>
      <c r="D2892">
        <v>480346</v>
      </c>
      <c r="E2892" t="s">
        <v>741</v>
      </c>
    </row>
    <row r="2893" spans="1:5">
      <c r="A2893" t="s">
        <v>3315</v>
      </c>
      <c r="C2893" t="s">
        <v>3283</v>
      </c>
      <c r="D2893">
        <v>331144</v>
      </c>
      <c r="E2893" t="s">
        <v>273</v>
      </c>
    </row>
    <row r="2894" spans="1:5">
      <c r="A2894" t="s">
        <v>3315</v>
      </c>
      <c r="C2894" t="s">
        <v>3163</v>
      </c>
      <c r="D2894">
        <v>959536</v>
      </c>
      <c r="E2894" t="s">
        <v>796</v>
      </c>
    </row>
    <row r="2895" spans="1:5">
      <c r="A2895" t="s">
        <v>3315</v>
      </c>
      <c r="C2895" t="s">
        <v>3284</v>
      </c>
      <c r="D2895">
        <v>871845</v>
      </c>
      <c r="E2895" t="s">
        <v>19</v>
      </c>
    </row>
    <row r="2896" spans="1:5">
      <c r="A2896" t="s">
        <v>3315</v>
      </c>
      <c r="C2896" t="s">
        <v>3164</v>
      </c>
      <c r="D2896">
        <v>355365</v>
      </c>
      <c r="E2896" t="s">
        <v>316</v>
      </c>
    </row>
    <row r="2897" spans="1:5">
      <c r="A2897" t="s">
        <v>3315</v>
      </c>
      <c r="C2897" t="s">
        <v>3285</v>
      </c>
      <c r="D2897">
        <v>693099</v>
      </c>
      <c r="E2897" t="s">
        <v>461</v>
      </c>
    </row>
    <row r="2898" spans="1:5">
      <c r="A2898" t="s">
        <v>3315</v>
      </c>
      <c r="C2898" t="s">
        <v>3165</v>
      </c>
      <c r="D2898">
        <v>269049</v>
      </c>
      <c r="E2898" t="s">
        <v>632</v>
      </c>
    </row>
    <row r="2899" spans="1:5">
      <c r="A2899" t="s">
        <v>3315</v>
      </c>
      <c r="C2899" t="s">
        <v>3286</v>
      </c>
      <c r="D2899">
        <v>955121</v>
      </c>
      <c r="E2899" t="s">
        <v>611</v>
      </c>
    </row>
    <row r="2900" spans="1:5">
      <c r="A2900" t="s">
        <v>3315</v>
      </c>
      <c r="C2900" t="s">
        <v>3322</v>
      </c>
      <c r="D2900">
        <v>898849</v>
      </c>
      <c r="E2900" t="s">
        <v>301</v>
      </c>
    </row>
    <row r="2901" spans="1:5">
      <c r="A2901" t="s">
        <v>3315</v>
      </c>
      <c r="C2901" t="s">
        <v>3323</v>
      </c>
      <c r="D2901">
        <v>829985</v>
      </c>
      <c r="E2901" t="s">
        <v>806</v>
      </c>
    </row>
    <row r="2902" spans="1:5">
      <c r="A2902" t="s">
        <v>3315</v>
      </c>
      <c r="C2902" t="s">
        <v>3324</v>
      </c>
      <c r="D2902">
        <v>177147</v>
      </c>
      <c r="E2902" t="s">
        <v>263</v>
      </c>
    </row>
    <row r="2903" spans="1:5">
      <c r="A2903" t="s">
        <v>3315</v>
      </c>
      <c r="C2903" t="s">
        <v>3289</v>
      </c>
      <c r="D2903">
        <v>959536</v>
      </c>
      <c r="E2903" t="s">
        <v>796</v>
      </c>
    </row>
    <row r="2904" spans="1:5">
      <c r="A2904" t="s">
        <v>3315</v>
      </c>
      <c r="C2904" t="s">
        <v>3166</v>
      </c>
      <c r="D2904">
        <v>613604</v>
      </c>
      <c r="E2904" t="s">
        <v>219</v>
      </c>
    </row>
    <row r="2905" spans="1:5">
      <c r="A2905" t="s">
        <v>3315</v>
      </c>
      <c r="C2905" t="s">
        <v>3290</v>
      </c>
      <c r="D2905">
        <v>707649</v>
      </c>
      <c r="E2905" t="s">
        <v>746</v>
      </c>
    </row>
    <row r="2906" spans="1:5">
      <c r="A2906" t="s">
        <v>3315</v>
      </c>
      <c r="C2906" t="s">
        <v>3167</v>
      </c>
      <c r="D2906">
        <v>847592</v>
      </c>
      <c r="E2906" t="s">
        <v>989</v>
      </c>
    </row>
    <row r="2907" spans="1:5">
      <c r="A2907" t="s">
        <v>3315</v>
      </c>
      <c r="C2907" t="s">
        <v>3291</v>
      </c>
      <c r="D2907">
        <v>269049</v>
      </c>
      <c r="E2907" t="s">
        <v>632</v>
      </c>
    </row>
    <row r="2908" spans="1:5">
      <c r="A2908" t="s">
        <v>3315</v>
      </c>
      <c r="C2908" t="s">
        <v>3168</v>
      </c>
      <c r="D2908">
        <v>480346</v>
      </c>
      <c r="E2908" t="s">
        <v>741</v>
      </c>
    </row>
    <row r="2909" spans="1:5">
      <c r="A2909" t="s">
        <v>3315</v>
      </c>
      <c r="C2909" t="s">
        <v>3292</v>
      </c>
      <c r="D2909">
        <v>554842</v>
      </c>
      <c r="E2909" t="s">
        <v>588</v>
      </c>
    </row>
    <row r="2910" spans="1:5">
      <c r="A2910" t="s">
        <v>3315</v>
      </c>
      <c r="C2910" t="s">
        <v>3293</v>
      </c>
      <c r="D2910">
        <v>959536</v>
      </c>
      <c r="E2910" t="s">
        <v>796</v>
      </c>
    </row>
    <row r="2911" spans="1:5">
      <c r="A2911" t="s">
        <v>3315</v>
      </c>
      <c r="C2911" t="s">
        <v>3170</v>
      </c>
      <c r="D2911">
        <v>1003583</v>
      </c>
      <c r="E2911" t="s">
        <v>3027</v>
      </c>
    </row>
    <row r="2912" spans="1:5">
      <c r="A2912" t="s">
        <v>3315</v>
      </c>
      <c r="C2912" t="s">
        <v>3325</v>
      </c>
      <c r="D2912">
        <v>864086</v>
      </c>
      <c r="E2912" t="s">
        <v>866</v>
      </c>
    </row>
    <row r="2913" spans="1:5">
      <c r="A2913" t="s">
        <v>3315</v>
      </c>
      <c r="C2913" t="s">
        <v>3296</v>
      </c>
      <c r="D2913">
        <v>299942</v>
      </c>
      <c r="E2913" t="s">
        <v>39</v>
      </c>
    </row>
    <row r="2914" spans="1:5">
      <c r="A2914" t="s">
        <v>3315</v>
      </c>
      <c r="C2914" t="s">
        <v>3171</v>
      </c>
      <c r="D2914">
        <v>583731</v>
      </c>
      <c r="E2914" t="s">
        <v>740</v>
      </c>
    </row>
    <row r="2915" spans="1:5">
      <c r="A2915" t="s">
        <v>3315</v>
      </c>
      <c r="C2915" t="s">
        <v>3297</v>
      </c>
      <c r="D2915">
        <v>269049</v>
      </c>
      <c r="E2915" t="s">
        <v>632</v>
      </c>
    </row>
    <row r="2916" spans="1:5">
      <c r="A2916" t="s">
        <v>3315</v>
      </c>
      <c r="C2916" t="s">
        <v>3172</v>
      </c>
      <c r="D2916">
        <v>480346</v>
      </c>
      <c r="E2916" t="s">
        <v>741</v>
      </c>
    </row>
    <row r="2917" spans="1:5">
      <c r="A2917" t="s">
        <v>3315</v>
      </c>
      <c r="C2917" t="s">
        <v>3298</v>
      </c>
      <c r="D2917">
        <v>871845</v>
      </c>
      <c r="E2917" t="s">
        <v>19</v>
      </c>
    </row>
    <row r="2918" spans="1:5">
      <c r="A2918" t="s">
        <v>3315</v>
      </c>
      <c r="C2918" t="s">
        <v>3326</v>
      </c>
      <c r="D2918">
        <v>898849</v>
      </c>
      <c r="E2918" t="s">
        <v>301</v>
      </c>
    </row>
    <row r="2919" spans="1:5">
      <c r="A2919" t="s">
        <v>3315</v>
      </c>
      <c r="C2919" t="s">
        <v>3299</v>
      </c>
      <c r="D2919">
        <v>871845</v>
      </c>
      <c r="E2919" t="s">
        <v>19</v>
      </c>
    </row>
    <row r="2920" spans="1:5">
      <c r="A2920" t="s">
        <v>3315</v>
      </c>
      <c r="C2920" t="s">
        <v>3173</v>
      </c>
      <c r="D2920">
        <v>959536</v>
      </c>
      <c r="E2920" t="s">
        <v>796</v>
      </c>
    </row>
    <row r="2921" spans="1:5">
      <c r="A2921" t="s">
        <v>3327</v>
      </c>
      <c r="C2921" t="s">
        <v>3185</v>
      </c>
      <c r="D2921">
        <v>480346</v>
      </c>
      <c r="E2921" t="s">
        <v>741</v>
      </c>
    </row>
    <row r="2922" spans="1:5">
      <c r="A2922" t="s">
        <v>3327</v>
      </c>
      <c r="C2922" t="s">
        <v>3097</v>
      </c>
      <c r="D2922">
        <v>294548</v>
      </c>
      <c r="E2922" t="s">
        <v>1683</v>
      </c>
    </row>
    <row r="2923" spans="1:5">
      <c r="A2923" t="s">
        <v>3327</v>
      </c>
      <c r="C2923" t="s">
        <v>3328</v>
      </c>
      <c r="D2923">
        <v>624638</v>
      </c>
      <c r="E2923" t="s">
        <v>421</v>
      </c>
    </row>
    <row r="2924" spans="1:5">
      <c r="A2924" t="s">
        <v>3327</v>
      </c>
      <c r="C2924" t="s">
        <v>3329</v>
      </c>
      <c r="D2924">
        <v>676235</v>
      </c>
      <c r="E2924" t="s">
        <v>524</v>
      </c>
    </row>
    <row r="2925" spans="1:5">
      <c r="A2925" t="s">
        <v>3327</v>
      </c>
      <c r="C2925" t="s">
        <v>3330</v>
      </c>
      <c r="D2925">
        <v>676235</v>
      </c>
      <c r="E2925" t="s">
        <v>524</v>
      </c>
    </row>
    <row r="2926" spans="1:5">
      <c r="A2926" t="s">
        <v>3327</v>
      </c>
      <c r="C2926" t="s">
        <v>3331</v>
      </c>
      <c r="D2926">
        <v>816531</v>
      </c>
      <c r="E2926" t="s">
        <v>102</v>
      </c>
    </row>
    <row r="2927" spans="1:5">
      <c r="A2927" t="s">
        <v>3327</v>
      </c>
      <c r="C2927" t="s">
        <v>3085</v>
      </c>
      <c r="D2927">
        <v>482778</v>
      </c>
      <c r="E2927" t="s">
        <v>512</v>
      </c>
    </row>
    <row r="2928" spans="1:5">
      <c r="A2928" t="s">
        <v>3327</v>
      </c>
      <c r="C2928" t="s">
        <v>3187</v>
      </c>
      <c r="D2928">
        <v>480346</v>
      </c>
      <c r="E2928" t="s">
        <v>741</v>
      </c>
    </row>
    <row r="2929" spans="1:5">
      <c r="A2929" t="s">
        <v>3327</v>
      </c>
      <c r="C2929" t="s">
        <v>3086</v>
      </c>
      <c r="D2929">
        <v>721932</v>
      </c>
      <c r="E2929" t="s">
        <v>451</v>
      </c>
    </row>
    <row r="2930" spans="1:5">
      <c r="A2930" t="s">
        <v>3327</v>
      </c>
      <c r="C2930" t="s">
        <v>2999</v>
      </c>
      <c r="D2930">
        <v>22091</v>
      </c>
      <c r="E2930" t="s">
        <v>2028</v>
      </c>
    </row>
    <row r="2931" spans="1:5">
      <c r="A2931" t="s">
        <v>3327</v>
      </c>
      <c r="C2931" t="s">
        <v>3332</v>
      </c>
      <c r="D2931">
        <v>294548</v>
      </c>
      <c r="E2931" t="s">
        <v>1683</v>
      </c>
    </row>
    <row r="2932" spans="1:5">
      <c r="A2932" t="s">
        <v>3327</v>
      </c>
      <c r="C2932" t="s">
        <v>3087</v>
      </c>
      <c r="D2932">
        <v>480346</v>
      </c>
      <c r="E2932" t="s">
        <v>741</v>
      </c>
    </row>
    <row r="2933" spans="1:5">
      <c r="A2933" t="s">
        <v>3327</v>
      </c>
      <c r="C2933" t="s">
        <v>3088</v>
      </c>
      <c r="D2933">
        <v>294548</v>
      </c>
      <c r="E2933" t="s">
        <v>1683</v>
      </c>
    </row>
    <row r="2934" spans="1:5">
      <c r="A2934" t="s">
        <v>3327</v>
      </c>
      <c r="C2934" t="s">
        <v>3189</v>
      </c>
      <c r="D2934">
        <v>355365</v>
      </c>
      <c r="E2934" t="s">
        <v>316</v>
      </c>
    </row>
    <row r="2935" spans="1:5">
      <c r="A2935" t="s">
        <v>3327</v>
      </c>
      <c r="C2935" t="s">
        <v>3089</v>
      </c>
      <c r="D2935">
        <v>373149</v>
      </c>
      <c r="E2935" t="s">
        <v>653</v>
      </c>
    </row>
    <row r="2936" spans="1:5">
      <c r="A2936" t="s">
        <v>3327</v>
      </c>
      <c r="C2936" t="s">
        <v>3263</v>
      </c>
      <c r="D2936">
        <v>294548</v>
      </c>
      <c r="E2936" t="s">
        <v>1683</v>
      </c>
    </row>
    <row r="2937" spans="1:5">
      <c r="A2937" t="s">
        <v>3327</v>
      </c>
      <c r="C2937" t="s">
        <v>3090</v>
      </c>
      <c r="D2937">
        <v>480346</v>
      </c>
      <c r="E2937" t="s">
        <v>741</v>
      </c>
    </row>
    <row r="2938" spans="1:5">
      <c r="A2938" t="s">
        <v>3327</v>
      </c>
      <c r="C2938" t="s">
        <v>3092</v>
      </c>
      <c r="D2938">
        <v>22091</v>
      </c>
      <c r="E2938" t="s">
        <v>2028</v>
      </c>
    </row>
    <row r="2939" spans="1:5">
      <c r="A2939" t="s">
        <v>3327</v>
      </c>
      <c r="C2939" t="s">
        <v>3191</v>
      </c>
      <c r="D2939">
        <v>721932</v>
      </c>
      <c r="E2939" t="s">
        <v>451</v>
      </c>
    </row>
    <row r="2940" spans="1:5">
      <c r="A2940" t="s">
        <v>3327</v>
      </c>
      <c r="C2940" t="s">
        <v>3093</v>
      </c>
      <c r="D2940">
        <v>676235</v>
      </c>
      <c r="E2940" t="s">
        <v>524</v>
      </c>
    </row>
    <row r="2941" spans="1:5">
      <c r="A2941" t="s">
        <v>3327</v>
      </c>
      <c r="C2941" t="s">
        <v>3266</v>
      </c>
      <c r="D2941">
        <v>294548</v>
      </c>
      <c r="E2941" t="s">
        <v>1683</v>
      </c>
    </row>
    <row r="2942" spans="1:5">
      <c r="A2942" t="s">
        <v>3327</v>
      </c>
      <c r="C2942" t="s">
        <v>3333</v>
      </c>
      <c r="D2942">
        <v>480346</v>
      </c>
      <c r="E2942" t="s">
        <v>741</v>
      </c>
    </row>
    <row r="2943" spans="1:5">
      <c r="A2943" t="s">
        <v>3327</v>
      </c>
      <c r="C2943" t="s">
        <v>3094</v>
      </c>
      <c r="D2943">
        <v>480346</v>
      </c>
      <c r="E2943" t="s">
        <v>741</v>
      </c>
    </row>
    <row r="2944" spans="1:5">
      <c r="A2944" t="s">
        <v>3327</v>
      </c>
      <c r="C2944" t="s">
        <v>3095</v>
      </c>
      <c r="D2944">
        <v>294548</v>
      </c>
      <c r="E2944" t="s">
        <v>1683</v>
      </c>
    </row>
    <row r="2945" spans="1:5">
      <c r="A2945" t="s">
        <v>3327</v>
      </c>
      <c r="C2945" t="s">
        <v>3193</v>
      </c>
      <c r="D2945">
        <v>149668</v>
      </c>
      <c r="E2945" t="s">
        <v>148</v>
      </c>
    </row>
    <row r="2946" spans="1:5">
      <c r="A2946" t="s">
        <v>3334</v>
      </c>
      <c r="C2946" t="s">
        <v>3335</v>
      </c>
      <c r="D2946">
        <v>210824</v>
      </c>
      <c r="E2946" t="s">
        <v>600</v>
      </c>
    </row>
    <row r="2947" spans="1:5">
      <c r="A2947" t="s">
        <v>3334</v>
      </c>
      <c r="C2947" t="s">
        <v>3190</v>
      </c>
      <c r="D2947">
        <v>729156</v>
      </c>
      <c r="E2947" t="s">
        <v>1686</v>
      </c>
    </row>
    <row r="2948" spans="1:5">
      <c r="A2948" t="s">
        <v>3334</v>
      </c>
      <c r="C2948" t="s">
        <v>3192</v>
      </c>
      <c r="D2948">
        <v>210824</v>
      </c>
      <c r="E2948" t="s">
        <v>600</v>
      </c>
    </row>
    <row r="2949" spans="1:5">
      <c r="A2949" t="s">
        <v>3334</v>
      </c>
      <c r="C2949" t="s">
        <v>3336</v>
      </c>
      <c r="D2949">
        <v>729156</v>
      </c>
      <c r="E2949" t="s">
        <v>1686</v>
      </c>
    </row>
    <row r="2950" spans="1:5">
      <c r="A2950" t="s">
        <v>3337</v>
      </c>
      <c r="C2950" t="s">
        <v>3202</v>
      </c>
      <c r="D2950">
        <v>470624</v>
      </c>
      <c r="E2950" t="s">
        <v>525</v>
      </c>
    </row>
    <row r="2951" spans="1:5">
      <c r="A2951" t="s">
        <v>3337</v>
      </c>
      <c r="C2951" t="s">
        <v>3202</v>
      </c>
      <c r="D2951">
        <v>267168</v>
      </c>
      <c r="E2951" t="s">
        <v>206</v>
      </c>
    </row>
    <row r="2952" spans="1:5">
      <c r="A2952" t="s">
        <v>3337</v>
      </c>
      <c r="C2952" t="s">
        <v>3338</v>
      </c>
      <c r="D2952">
        <v>707444</v>
      </c>
      <c r="E2952" t="s">
        <v>623</v>
      </c>
    </row>
    <row r="2953" spans="1:5">
      <c r="A2953" t="s">
        <v>3337</v>
      </c>
      <c r="C2953" t="s">
        <v>3338</v>
      </c>
      <c r="D2953">
        <v>707649</v>
      </c>
      <c r="E2953" t="s">
        <v>746</v>
      </c>
    </row>
    <row r="2954" spans="1:5">
      <c r="A2954" t="s">
        <v>3337</v>
      </c>
      <c r="C2954" t="s">
        <v>3205</v>
      </c>
      <c r="D2954">
        <v>411764</v>
      </c>
      <c r="E2954" t="s">
        <v>682</v>
      </c>
    </row>
    <row r="2955" spans="1:5">
      <c r="A2955" t="s">
        <v>3337</v>
      </c>
      <c r="C2955" t="s">
        <v>3205</v>
      </c>
      <c r="D2955">
        <v>944892</v>
      </c>
      <c r="E2955" t="s">
        <v>948</v>
      </c>
    </row>
    <row r="2956" spans="1:5">
      <c r="A2956" t="s">
        <v>3337</v>
      </c>
      <c r="C2956" t="s">
        <v>3206</v>
      </c>
      <c r="D2956">
        <v>678974</v>
      </c>
      <c r="E2956" t="s">
        <v>69</v>
      </c>
    </row>
    <row r="2957" spans="1:5">
      <c r="A2957" t="s">
        <v>3337</v>
      </c>
      <c r="C2957" t="s">
        <v>3206</v>
      </c>
      <c r="D2957">
        <v>523551</v>
      </c>
      <c r="E2957" t="s">
        <v>522</v>
      </c>
    </row>
    <row r="2958" spans="1:5">
      <c r="A2958" t="s">
        <v>3337</v>
      </c>
      <c r="C2958" t="s">
        <v>3339</v>
      </c>
      <c r="D2958">
        <v>829723</v>
      </c>
      <c r="E2958" t="s">
        <v>735</v>
      </c>
    </row>
    <row r="2959" spans="1:5">
      <c r="A2959" t="s">
        <v>3337</v>
      </c>
      <c r="C2959" t="s">
        <v>3339</v>
      </c>
      <c r="D2959">
        <v>914365</v>
      </c>
      <c r="E2959" t="s">
        <v>513</v>
      </c>
    </row>
    <row r="2960" spans="1:5">
      <c r="A2960" t="s">
        <v>3337</v>
      </c>
      <c r="C2960" t="s">
        <v>3210</v>
      </c>
      <c r="D2960">
        <v>239819</v>
      </c>
      <c r="E2960" t="s">
        <v>336</v>
      </c>
    </row>
    <row r="2961" spans="1:5">
      <c r="A2961" t="s">
        <v>3337</v>
      </c>
      <c r="C2961" t="s">
        <v>3210</v>
      </c>
      <c r="D2961">
        <v>411764</v>
      </c>
      <c r="E2961" t="s">
        <v>682</v>
      </c>
    </row>
    <row r="2962" spans="1:5">
      <c r="A2962" t="s">
        <v>3337</v>
      </c>
      <c r="C2962" t="s">
        <v>3212</v>
      </c>
      <c r="D2962">
        <v>866328</v>
      </c>
      <c r="E2962" t="s">
        <v>583</v>
      </c>
    </row>
    <row r="2963" spans="1:5">
      <c r="A2963" t="s">
        <v>3337</v>
      </c>
      <c r="C2963" t="s">
        <v>3212</v>
      </c>
      <c r="D2963">
        <v>210824</v>
      </c>
      <c r="E2963" t="s">
        <v>600</v>
      </c>
    </row>
    <row r="2964" spans="1:5">
      <c r="A2964" t="s">
        <v>3337</v>
      </c>
      <c r="C2964" t="s">
        <v>3199</v>
      </c>
      <c r="D2964">
        <v>967920</v>
      </c>
      <c r="E2964" t="s">
        <v>499</v>
      </c>
    </row>
    <row r="2965" spans="1:5">
      <c r="A2965" t="s">
        <v>3337</v>
      </c>
      <c r="C2965" t="s">
        <v>3199</v>
      </c>
      <c r="D2965">
        <v>729487</v>
      </c>
      <c r="E2965" t="s">
        <v>96</v>
      </c>
    </row>
    <row r="2966" spans="1:5">
      <c r="A2966" t="s">
        <v>3337</v>
      </c>
      <c r="C2966" t="s">
        <v>3216</v>
      </c>
      <c r="D2966">
        <v>964211</v>
      </c>
      <c r="E2966" t="s">
        <v>1379</v>
      </c>
    </row>
    <row r="2967" spans="1:5">
      <c r="A2967" t="s">
        <v>3337</v>
      </c>
      <c r="C2967" t="s">
        <v>3216</v>
      </c>
      <c r="D2967">
        <v>613604</v>
      </c>
      <c r="E2967" t="s">
        <v>219</v>
      </c>
    </row>
    <row r="2968" spans="1:5">
      <c r="A2968" t="s">
        <v>3337</v>
      </c>
      <c r="C2968" t="s">
        <v>3218</v>
      </c>
      <c r="D2968">
        <v>707649</v>
      </c>
      <c r="E2968" t="s">
        <v>746</v>
      </c>
    </row>
    <row r="2969" spans="1:5">
      <c r="A2969" t="s">
        <v>3337</v>
      </c>
      <c r="C2969" t="s">
        <v>3218</v>
      </c>
      <c r="D2969">
        <v>707444</v>
      </c>
      <c r="E2969" t="s">
        <v>623</v>
      </c>
    </row>
    <row r="2970" spans="1:5">
      <c r="A2970" t="s">
        <v>3337</v>
      </c>
      <c r="C2970" t="s">
        <v>3340</v>
      </c>
      <c r="D2970">
        <v>936159</v>
      </c>
      <c r="E2970" t="s">
        <v>834</v>
      </c>
    </row>
    <row r="2971" spans="1:5">
      <c r="A2971" t="s">
        <v>3337</v>
      </c>
      <c r="C2971" t="s">
        <v>3221</v>
      </c>
      <c r="D2971">
        <v>899316</v>
      </c>
      <c r="E2971" t="s">
        <v>589</v>
      </c>
    </row>
    <row r="2972" spans="1:5">
      <c r="A2972" t="s">
        <v>3337</v>
      </c>
      <c r="C2972" t="s">
        <v>3221</v>
      </c>
      <c r="D2972">
        <v>866328</v>
      </c>
      <c r="E2972" t="s">
        <v>583</v>
      </c>
    </row>
    <row r="2973" spans="1:5">
      <c r="A2973" t="s">
        <v>3337</v>
      </c>
      <c r="C2973" t="s">
        <v>3341</v>
      </c>
      <c r="D2973">
        <v>831512</v>
      </c>
      <c r="E2973" t="s">
        <v>81</v>
      </c>
    </row>
    <row r="2974" spans="1:5">
      <c r="A2974" t="s">
        <v>3337</v>
      </c>
      <c r="C2974" t="s">
        <v>3341</v>
      </c>
      <c r="D2974">
        <v>960559</v>
      </c>
      <c r="E2974" t="s">
        <v>403</v>
      </c>
    </row>
    <row r="2975" spans="1:5">
      <c r="A2975" t="s">
        <v>3337</v>
      </c>
      <c r="C2975" t="s">
        <v>3223</v>
      </c>
      <c r="D2975">
        <v>623934</v>
      </c>
      <c r="E2975" t="s">
        <v>364</v>
      </c>
    </row>
    <row r="2976" spans="1:5">
      <c r="A2976" t="s">
        <v>3337</v>
      </c>
      <c r="C2976" t="s">
        <v>3223</v>
      </c>
      <c r="D2976">
        <v>967920</v>
      </c>
      <c r="E2976" t="s">
        <v>499</v>
      </c>
    </row>
    <row r="2977" spans="1:5">
      <c r="A2977" t="s">
        <v>3342</v>
      </c>
      <c r="C2977" t="s">
        <v>3343</v>
      </c>
      <c r="D2977">
        <v>869668</v>
      </c>
      <c r="E2977" t="s">
        <v>1388</v>
      </c>
    </row>
    <row r="2978" spans="1:5">
      <c r="A2978" t="s">
        <v>3342</v>
      </c>
      <c r="C2978" t="s">
        <v>3343</v>
      </c>
      <c r="D2978">
        <v>844290</v>
      </c>
      <c r="E2978" t="s">
        <v>476</v>
      </c>
    </row>
    <row r="2979" spans="1:5">
      <c r="A2979" t="s">
        <v>3342</v>
      </c>
      <c r="C2979" t="s">
        <v>3335</v>
      </c>
      <c r="D2979">
        <v>844290</v>
      </c>
      <c r="E2979" t="s">
        <v>476</v>
      </c>
    </row>
    <row r="2980" spans="1:5">
      <c r="A2980" t="s">
        <v>3342</v>
      </c>
      <c r="C2980" t="s">
        <v>3344</v>
      </c>
      <c r="D2980">
        <v>864086</v>
      </c>
      <c r="E2980" t="s">
        <v>866</v>
      </c>
    </row>
    <row r="2981" spans="1:5">
      <c r="A2981" t="s">
        <v>3342</v>
      </c>
      <c r="C2981" t="s">
        <v>3344</v>
      </c>
      <c r="D2981">
        <v>900975</v>
      </c>
      <c r="E2981" t="s">
        <v>412</v>
      </c>
    </row>
    <row r="2982" spans="1:5">
      <c r="A2982" t="s">
        <v>3342</v>
      </c>
      <c r="C2982" t="s">
        <v>3345</v>
      </c>
      <c r="D2982">
        <v>191302</v>
      </c>
      <c r="E2982" t="s">
        <v>314</v>
      </c>
    </row>
    <row r="2983" spans="1:5">
      <c r="A2983" t="s">
        <v>3342</v>
      </c>
      <c r="C2983" t="s">
        <v>3346</v>
      </c>
      <c r="D2983">
        <v>935091</v>
      </c>
      <c r="E2983" t="s">
        <v>771</v>
      </c>
    </row>
    <row r="2984" spans="1:5">
      <c r="A2984" t="s">
        <v>3342</v>
      </c>
      <c r="C2984" t="s">
        <v>3347</v>
      </c>
      <c r="D2984">
        <v>964211</v>
      </c>
      <c r="E2984" t="s">
        <v>1379</v>
      </c>
    </row>
    <row r="2985" spans="1:5">
      <c r="A2985" t="s">
        <v>3342</v>
      </c>
      <c r="C2985" t="s">
        <v>3347</v>
      </c>
      <c r="D2985">
        <v>479121</v>
      </c>
      <c r="E2985" t="s">
        <v>38</v>
      </c>
    </row>
    <row r="2986" spans="1:5">
      <c r="A2986" t="s">
        <v>3342</v>
      </c>
      <c r="C2986" t="s">
        <v>3188</v>
      </c>
      <c r="D2986">
        <v>479121</v>
      </c>
      <c r="E2986" t="s">
        <v>38</v>
      </c>
    </row>
    <row r="2987" spans="1:5">
      <c r="A2987" t="s">
        <v>3342</v>
      </c>
      <c r="C2987" t="s">
        <v>3188</v>
      </c>
      <c r="D2987">
        <v>828379</v>
      </c>
      <c r="E2987" t="s">
        <v>287</v>
      </c>
    </row>
    <row r="2988" spans="1:5">
      <c r="A2988" t="s">
        <v>3342</v>
      </c>
      <c r="C2988" t="s">
        <v>3348</v>
      </c>
      <c r="D2988">
        <v>900975</v>
      </c>
      <c r="E2988" t="s">
        <v>412</v>
      </c>
    </row>
    <row r="2989" spans="1:5">
      <c r="A2989" t="s">
        <v>3342</v>
      </c>
      <c r="C2989" t="s">
        <v>3348</v>
      </c>
      <c r="D2989">
        <v>466400</v>
      </c>
      <c r="E2989" t="s">
        <v>304</v>
      </c>
    </row>
    <row r="2990" spans="1:5">
      <c r="A2990" t="s">
        <v>3342</v>
      </c>
      <c r="C2990" t="s">
        <v>3349</v>
      </c>
      <c r="D2990">
        <v>479121</v>
      </c>
      <c r="E2990" t="s">
        <v>38</v>
      </c>
    </row>
    <row r="2991" spans="1:5">
      <c r="A2991" t="s">
        <v>3342</v>
      </c>
      <c r="C2991" t="s">
        <v>3349</v>
      </c>
      <c r="D2991">
        <v>935091</v>
      </c>
      <c r="E2991" t="s">
        <v>771</v>
      </c>
    </row>
    <row r="2992" spans="1:5">
      <c r="A2992" t="s">
        <v>3342</v>
      </c>
      <c r="C2992" t="s">
        <v>3350</v>
      </c>
      <c r="D2992">
        <v>401614</v>
      </c>
      <c r="E2992" t="s">
        <v>49</v>
      </c>
    </row>
    <row r="2993" spans="1:5">
      <c r="A2993" t="s">
        <v>3342</v>
      </c>
      <c r="C2993" t="s">
        <v>3351</v>
      </c>
      <c r="D2993">
        <v>574333</v>
      </c>
      <c r="E2993" t="s">
        <v>630</v>
      </c>
    </row>
    <row r="2994" spans="1:5">
      <c r="A2994" t="s">
        <v>3342</v>
      </c>
      <c r="C2994" t="s">
        <v>3351</v>
      </c>
      <c r="D2994">
        <v>542923</v>
      </c>
      <c r="E2994" t="s">
        <v>32</v>
      </c>
    </row>
    <row r="2995" spans="1:5">
      <c r="A2995" t="s">
        <v>3342</v>
      </c>
      <c r="C2995" t="s">
        <v>3352</v>
      </c>
      <c r="D2995">
        <v>872540</v>
      </c>
      <c r="E2995" t="s">
        <v>733</v>
      </c>
    </row>
    <row r="2996" spans="1:5">
      <c r="A2996" t="s">
        <v>3342</v>
      </c>
      <c r="C2996" t="s">
        <v>3352</v>
      </c>
      <c r="D2996">
        <v>479121</v>
      </c>
      <c r="E2996" t="s">
        <v>38</v>
      </c>
    </row>
    <row r="2997" spans="1:5">
      <c r="A2997" t="s">
        <v>3342</v>
      </c>
      <c r="C2997" t="s">
        <v>3190</v>
      </c>
      <c r="D2997">
        <v>542923</v>
      </c>
      <c r="E2997" t="s">
        <v>32</v>
      </c>
    </row>
    <row r="2998" spans="1:5">
      <c r="A2998" t="s">
        <v>3342</v>
      </c>
      <c r="C2998" t="s">
        <v>3353</v>
      </c>
      <c r="D2998">
        <v>900975</v>
      </c>
      <c r="E2998" t="s">
        <v>412</v>
      </c>
    </row>
    <row r="2999" spans="1:5">
      <c r="A2999" t="s">
        <v>3342</v>
      </c>
      <c r="C2999" t="s">
        <v>3353</v>
      </c>
      <c r="D2999">
        <v>635374</v>
      </c>
      <c r="E2999" t="s">
        <v>450</v>
      </c>
    </row>
    <row r="3000" spans="1:5">
      <c r="A3000" t="s">
        <v>3342</v>
      </c>
      <c r="C3000" t="s">
        <v>3354</v>
      </c>
      <c r="D3000">
        <v>775465</v>
      </c>
      <c r="E3000" t="s">
        <v>571</v>
      </c>
    </row>
    <row r="3001" spans="1:5">
      <c r="A3001" t="s">
        <v>3342</v>
      </c>
      <c r="C3001" t="s">
        <v>3354</v>
      </c>
      <c r="D3001">
        <v>479121</v>
      </c>
      <c r="E3001" t="s">
        <v>38</v>
      </c>
    </row>
    <row r="3002" spans="1:5">
      <c r="A3002" t="s">
        <v>3342</v>
      </c>
      <c r="C3002" t="s">
        <v>3355</v>
      </c>
      <c r="D3002">
        <v>401614</v>
      </c>
      <c r="E3002" t="s">
        <v>49</v>
      </c>
    </row>
    <row r="3003" spans="1:5">
      <c r="A3003" t="s">
        <v>3342</v>
      </c>
      <c r="C3003" t="s">
        <v>3355</v>
      </c>
      <c r="D3003">
        <v>542923</v>
      </c>
      <c r="E3003" t="s">
        <v>32</v>
      </c>
    </row>
    <row r="3004" spans="1:5">
      <c r="A3004" t="s">
        <v>3342</v>
      </c>
      <c r="C3004" t="s">
        <v>3356</v>
      </c>
      <c r="D3004">
        <v>425464</v>
      </c>
      <c r="E3004" t="s">
        <v>235</v>
      </c>
    </row>
    <row r="3005" spans="1:5">
      <c r="A3005" t="s">
        <v>3342</v>
      </c>
      <c r="C3005" t="s">
        <v>3357</v>
      </c>
      <c r="D3005">
        <v>574333</v>
      </c>
      <c r="E3005" t="s">
        <v>630</v>
      </c>
    </row>
    <row r="3006" spans="1:5">
      <c r="A3006" t="s">
        <v>3342</v>
      </c>
      <c r="C3006" t="s">
        <v>3357</v>
      </c>
      <c r="D3006">
        <v>542923</v>
      </c>
      <c r="E3006" t="s">
        <v>32</v>
      </c>
    </row>
    <row r="3007" spans="1:5">
      <c r="A3007" t="s">
        <v>3342</v>
      </c>
      <c r="C3007" t="s">
        <v>3192</v>
      </c>
      <c r="D3007">
        <v>935091</v>
      </c>
      <c r="E3007" t="s">
        <v>771</v>
      </c>
    </row>
    <row r="3008" spans="1:5">
      <c r="A3008" t="s">
        <v>3342</v>
      </c>
      <c r="C3008" t="s">
        <v>3192</v>
      </c>
      <c r="D3008">
        <v>844290</v>
      </c>
      <c r="E3008" t="s">
        <v>476</v>
      </c>
    </row>
    <row r="3009" spans="1:5">
      <c r="A3009" t="s">
        <v>3342</v>
      </c>
      <c r="C3009" t="s">
        <v>3358</v>
      </c>
      <c r="D3009">
        <v>710236</v>
      </c>
      <c r="E3009" t="s">
        <v>103</v>
      </c>
    </row>
    <row r="3010" spans="1:5">
      <c r="A3010" t="s">
        <v>3342</v>
      </c>
      <c r="C3010" t="s">
        <v>3358</v>
      </c>
      <c r="D3010">
        <v>900975</v>
      </c>
      <c r="E3010" t="s">
        <v>412</v>
      </c>
    </row>
    <row r="3011" spans="1:5">
      <c r="A3011" t="s">
        <v>3342</v>
      </c>
      <c r="C3011" t="s">
        <v>3359</v>
      </c>
      <c r="D3011">
        <v>574333</v>
      </c>
      <c r="E3011" t="s">
        <v>630</v>
      </c>
    </row>
    <row r="3012" spans="1:5">
      <c r="A3012" t="s">
        <v>3342</v>
      </c>
      <c r="C3012" t="s">
        <v>3359</v>
      </c>
      <c r="D3012">
        <v>542923</v>
      </c>
      <c r="E3012" t="s">
        <v>32</v>
      </c>
    </row>
    <row r="3013" spans="1:5">
      <c r="A3013" t="s">
        <v>3342</v>
      </c>
      <c r="C3013" t="s">
        <v>3360</v>
      </c>
      <c r="D3013">
        <v>191302</v>
      </c>
      <c r="E3013" t="s">
        <v>314</v>
      </c>
    </row>
    <row r="3014" spans="1:5">
      <c r="A3014" t="s">
        <v>3342</v>
      </c>
      <c r="C3014" t="s">
        <v>3360</v>
      </c>
      <c r="D3014">
        <v>778500</v>
      </c>
      <c r="E3014" t="s">
        <v>345</v>
      </c>
    </row>
    <row r="3015" spans="1:5">
      <c r="A3015" t="s">
        <v>3342</v>
      </c>
      <c r="C3015" t="s">
        <v>3361</v>
      </c>
      <c r="D3015">
        <v>864086</v>
      </c>
      <c r="E3015" t="s">
        <v>866</v>
      </c>
    </row>
    <row r="3016" spans="1:5">
      <c r="A3016" t="s">
        <v>3342</v>
      </c>
      <c r="C3016" t="s">
        <v>3336</v>
      </c>
      <c r="D3016">
        <v>869668</v>
      </c>
      <c r="E3016" t="s">
        <v>1388</v>
      </c>
    </row>
    <row r="3017" spans="1:5">
      <c r="A3017" t="s">
        <v>3342</v>
      </c>
      <c r="C3017" t="s">
        <v>3336</v>
      </c>
      <c r="D3017">
        <v>479121</v>
      </c>
      <c r="E3017" t="s">
        <v>38</v>
      </c>
    </row>
    <row r="3018" spans="1:5">
      <c r="A3018" t="s">
        <v>3362</v>
      </c>
      <c r="C3018" t="s">
        <v>3363</v>
      </c>
      <c r="D3018">
        <v>500961</v>
      </c>
      <c r="E3018" t="s">
        <v>572</v>
      </c>
    </row>
    <row r="3019" spans="1:5">
      <c r="A3019" t="s">
        <v>3362</v>
      </c>
      <c r="C3019" t="s">
        <v>3364</v>
      </c>
      <c r="D3019">
        <v>131287</v>
      </c>
      <c r="E3019" t="s">
        <v>610</v>
      </c>
    </row>
    <row r="3020" spans="1:5">
      <c r="A3020" t="s">
        <v>3362</v>
      </c>
      <c r="C3020" t="s">
        <v>3365</v>
      </c>
      <c r="D3020">
        <v>915243</v>
      </c>
      <c r="E3020" t="s">
        <v>871</v>
      </c>
    </row>
    <row r="3021" spans="1:5">
      <c r="A3021" t="s">
        <v>3362</v>
      </c>
      <c r="C3021" t="s">
        <v>3366</v>
      </c>
      <c r="D3021">
        <v>802419</v>
      </c>
      <c r="E3021" t="s">
        <v>647</v>
      </c>
    </row>
    <row r="3022" spans="1:5">
      <c r="A3022" t="s">
        <v>3362</v>
      </c>
      <c r="C3022" t="s">
        <v>3367</v>
      </c>
      <c r="D3022">
        <v>985544</v>
      </c>
      <c r="E3022" t="s">
        <v>844</v>
      </c>
    </row>
    <row r="3023" spans="1:5">
      <c r="A3023" t="s">
        <v>3368</v>
      </c>
      <c r="C3023" t="s">
        <v>3369</v>
      </c>
      <c r="D3023">
        <v>686974</v>
      </c>
      <c r="E3023" t="s">
        <v>712</v>
      </c>
    </row>
    <row r="3024" spans="1:5">
      <c r="A3024" t="s">
        <v>3368</v>
      </c>
      <c r="C3024" t="s">
        <v>3370</v>
      </c>
      <c r="D3024">
        <v>277668</v>
      </c>
      <c r="E3024" t="s">
        <v>656</v>
      </c>
    </row>
    <row r="3025" spans="1:5">
      <c r="A3025" t="s">
        <v>3368</v>
      </c>
      <c r="C3025" t="s">
        <v>3371</v>
      </c>
      <c r="D3025">
        <v>277668</v>
      </c>
      <c r="E3025" t="s">
        <v>656</v>
      </c>
    </row>
    <row r="3026" spans="1:5">
      <c r="A3026" t="s">
        <v>3368</v>
      </c>
      <c r="C3026" t="s">
        <v>3372</v>
      </c>
      <c r="D3026">
        <v>871845</v>
      </c>
      <c r="E3026" t="s">
        <v>19</v>
      </c>
    </row>
    <row r="3027" spans="1:5">
      <c r="A3027" t="s">
        <v>3368</v>
      </c>
      <c r="C3027" t="s">
        <v>3373</v>
      </c>
      <c r="D3027">
        <v>871845</v>
      </c>
      <c r="E3027" t="s">
        <v>19</v>
      </c>
    </row>
    <row r="3028" spans="1:5">
      <c r="A3028" t="s">
        <v>3368</v>
      </c>
      <c r="C3028" t="s">
        <v>3374</v>
      </c>
      <c r="D3028">
        <v>686974</v>
      </c>
      <c r="E3028" t="s">
        <v>712</v>
      </c>
    </row>
    <row r="3029" spans="1:5">
      <c r="A3029" t="s">
        <v>3368</v>
      </c>
      <c r="C3029" t="s">
        <v>3375</v>
      </c>
      <c r="D3029">
        <v>721932</v>
      </c>
      <c r="E3029" t="s">
        <v>451</v>
      </c>
    </row>
    <row r="3030" spans="1:5">
      <c r="A3030" t="s">
        <v>3368</v>
      </c>
      <c r="C3030" t="s">
        <v>3376</v>
      </c>
      <c r="D3030">
        <v>716693</v>
      </c>
      <c r="E3030" t="s">
        <v>551</v>
      </c>
    </row>
    <row r="3031" spans="1:5">
      <c r="A3031" t="s">
        <v>3368</v>
      </c>
      <c r="C3031" t="s">
        <v>3377</v>
      </c>
      <c r="D3031">
        <v>686972</v>
      </c>
      <c r="E3031" t="s">
        <v>417</v>
      </c>
    </row>
    <row r="3032" spans="1:5">
      <c r="A3032" t="s">
        <v>3368</v>
      </c>
      <c r="C3032" t="s">
        <v>3378</v>
      </c>
      <c r="D3032">
        <v>686974</v>
      </c>
      <c r="E3032" t="s">
        <v>712</v>
      </c>
    </row>
    <row r="3033" spans="1:5">
      <c r="A3033" t="s">
        <v>3368</v>
      </c>
      <c r="C3033" t="s">
        <v>3379</v>
      </c>
      <c r="D3033">
        <v>277668</v>
      </c>
      <c r="E3033" t="s">
        <v>656</v>
      </c>
    </row>
    <row r="3034" spans="1:5">
      <c r="A3034" t="s">
        <v>3380</v>
      </c>
      <c r="C3034" t="s">
        <v>3381</v>
      </c>
      <c r="D3034">
        <v>660626</v>
      </c>
      <c r="E3034" t="s">
        <v>495</v>
      </c>
    </row>
    <row r="3035" spans="1:5">
      <c r="A3035" t="s">
        <v>3380</v>
      </c>
      <c r="C3035" t="s">
        <v>3382</v>
      </c>
      <c r="D3035">
        <v>11467</v>
      </c>
      <c r="E3035" t="s">
        <v>756</v>
      </c>
    </row>
    <row r="3036" spans="1:5">
      <c r="A3036" t="s">
        <v>3380</v>
      </c>
      <c r="C3036" t="s">
        <v>3383</v>
      </c>
      <c r="D3036">
        <v>831512</v>
      </c>
      <c r="E3036" t="s">
        <v>81</v>
      </c>
    </row>
    <row r="3037" spans="1:5">
      <c r="A3037" t="s">
        <v>3380</v>
      </c>
      <c r="C3037" t="s">
        <v>3384</v>
      </c>
      <c r="D3037">
        <v>789902</v>
      </c>
      <c r="E3037" t="s">
        <v>485</v>
      </c>
    </row>
    <row r="3038" spans="1:5">
      <c r="A3038" t="s">
        <v>3380</v>
      </c>
      <c r="C3038" t="s">
        <v>3385</v>
      </c>
      <c r="D3038">
        <v>803118</v>
      </c>
      <c r="E3038" t="s">
        <v>590</v>
      </c>
    </row>
    <row r="3039" spans="1:5">
      <c r="A3039" t="s">
        <v>3380</v>
      </c>
      <c r="C3039" t="s">
        <v>3386</v>
      </c>
      <c r="D3039">
        <v>797989</v>
      </c>
      <c r="E3039" t="s">
        <v>337</v>
      </c>
    </row>
    <row r="3040" spans="1:5">
      <c r="A3040" t="s">
        <v>3380</v>
      </c>
      <c r="C3040" t="s">
        <v>3387</v>
      </c>
      <c r="D3040">
        <v>574299</v>
      </c>
      <c r="E3040" t="s">
        <v>609</v>
      </c>
    </row>
    <row r="3041" spans="1:5">
      <c r="A3041" t="s">
        <v>3380</v>
      </c>
      <c r="C3041" t="s">
        <v>3388</v>
      </c>
      <c r="D3041">
        <v>11467</v>
      </c>
      <c r="E3041" t="s">
        <v>756</v>
      </c>
    </row>
    <row r="3042" spans="1:5">
      <c r="A3042" t="s">
        <v>3380</v>
      </c>
      <c r="C3042" t="s">
        <v>3389</v>
      </c>
      <c r="D3042">
        <v>789902</v>
      </c>
      <c r="E3042" t="s">
        <v>485</v>
      </c>
    </row>
    <row r="3043" spans="1:5">
      <c r="A3043" t="s">
        <v>3380</v>
      </c>
      <c r="C3043" t="s">
        <v>3390</v>
      </c>
      <c r="D3043">
        <v>803535</v>
      </c>
      <c r="E3043" t="s">
        <v>729</v>
      </c>
    </row>
    <row r="3044" spans="1:5">
      <c r="A3044" t="s">
        <v>3380</v>
      </c>
      <c r="C3044" t="s">
        <v>3391</v>
      </c>
      <c r="D3044">
        <v>789902</v>
      </c>
      <c r="E3044" t="s">
        <v>485</v>
      </c>
    </row>
    <row r="3045" spans="1:5">
      <c r="A3045" t="s">
        <v>3380</v>
      </c>
      <c r="C3045" t="s">
        <v>3392</v>
      </c>
      <c r="D3045">
        <v>803118</v>
      </c>
      <c r="E3045" t="s">
        <v>590</v>
      </c>
    </row>
    <row r="3046" spans="1:5">
      <c r="A3046" t="s">
        <v>3380</v>
      </c>
      <c r="C3046" t="s">
        <v>3393</v>
      </c>
      <c r="D3046">
        <v>11467</v>
      </c>
      <c r="E3046" t="s">
        <v>756</v>
      </c>
    </row>
    <row r="3047" spans="1:5">
      <c r="A3047" t="s">
        <v>3380</v>
      </c>
      <c r="C3047" t="s">
        <v>3394</v>
      </c>
      <c r="D3047">
        <v>774526</v>
      </c>
      <c r="E3047" t="s">
        <v>772</v>
      </c>
    </row>
    <row r="3048" spans="1:5">
      <c r="A3048" t="s">
        <v>3380</v>
      </c>
      <c r="C3048" t="s">
        <v>3395</v>
      </c>
      <c r="D3048">
        <v>803118</v>
      </c>
      <c r="E3048" t="s">
        <v>590</v>
      </c>
    </row>
    <row r="3049" spans="1:5">
      <c r="A3049" t="s">
        <v>3380</v>
      </c>
      <c r="C3049" t="s">
        <v>3396</v>
      </c>
      <c r="D3049">
        <v>583731</v>
      </c>
      <c r="E3049" t="s">
        <v>740</v>
      </c>
    </row>
    <row r="3050" spans="1:5">
      <c r="A3050" t="s">
        <v>3380</v>
      </c>
      <c r="C3050" t="s">
        <v>3397</v>
      </c>
      <c r="D3050">
        <v>803118</v>
      </c>
      <c r="E3050" t="s">
        <v>590</v>
      </c>
    </row>
    <row r="3051" spans="1:5">
      <c r="A3051" t="s">
        <v>3380</v>
      </c>
      <c r="C3051" t="s">
        <v>3398</v>
      </c>
      <c r="D3051">
        <v>574299</v>
      </c>
      <c r="E3051" t="s">
        <v>609</v>
      </c>
    </row>
    <row r="3052" spans="1:5">
      <c r="A3052" t="s">
        <v>3380</v>
      </c>
      <c r="C3052" t="s">
        <v>3399</v>
      </c>
      <c r="D3052">
        <v>774526</v>
      </c>
      <c r="E3052" t="s">
        <v>772</v>
      </c>
    </row>
    <row r="3053" spans="1:5">
      <c r="A3053" t="s">
        <v>3400</v>
      </c>
      <c r="C3053" t="s">
        <v>3401</v>
      </c>
      <c r="D3053">
        <v>755301</v>
      </c>
      <c r="E3053" t="s">
        <v>192</v>
      </c>
    </row>
    <row r="3054" spans="1:5">
      <c r="A3054" t="s">
        <v>3400</v>
      </c>
      <c r="C3054" t="s">
        <v>3402</v>
      </c>
      <c r="D3054">
        <v>348165</v>
      </c>
      <c r="E3054" t="s">
        <v>35</v>
      </c>
    </row>
    <row r="3055" spans="1:5">
      <c r="A3055" t="s">
        <v>3400</v>
      </c>
      <c r="C3055" t="s">
        <v>3403</v>
      </c>
      <c r="D3055">
        <v>891376</v>
      </c>
      <c r="E3055" t="s">
        <v>770</v>
      </c>
    </row>
    <row r="3056" spans="1:5">
      <c r="A3056" t="s">
        <v>3400</v>
      </c>
      <c r="C3056" t="s">
        <v>3404</v>
      </c>
      <c r="D3056">
        <v>948789</v>
      </c>
      <c r="E3056" t="s">
        <v>212</v>
      </c>
    </row>
    <row r="3057" spans="1:5">
      <c r="A3057" t="s">
        <v>3400</v>
      </c>
      <c r="C3057" t="s">
        <v>3405</v>
      </c>
      <c r="D3057">
        <v>755301</v>
      </c>
      <c r="E3057" t="s">
        <v>192</v>
      </c>
    </row>
    <row r="3058" spans="1:5">
      <c r="A3058" t="s">
        <v>3400</v>
      </c>
      <c r="C3058" t="s">
        <v>3406</v>
      </c>
      <c r="D3058">
        <v>723096</v>
      </c>
      <c r="E3058" t="s">
        <v>768</v>
      </c>
    </row>
    <row r="3059" spans="1:5">
      <c r="A3059" t="s">
        <v>3400</v>
      </c>
      <c r="C3059" t="s">
        <v>3407</v>
      </c>
      <c r="D3059">
        <v>854317</v>
      </c>
      <c r="E3059" t="s">
        <v>734</v>
      </c>
    </row>
    <row r="3060" spans="1:5">
      <c r="A3060" t="s">
        <v>3400</v>
      </c>
      <c r="C3060" t="s">
        <v>3408</v>
      </c>
      <c r="D3060">
        <v>261486</v>
      </c>
      <c r="E3060" t="s">
        <v>357</v>
      </c>
    </row>
    <row r="3061" spans="1:5">
      <c r="A3061" t="s">
        <v>3400</v>
      </c>
      <c r="C3061" t="s">
        <v>3409</v>
      </c>
      <c r="D3061">
        <v>348165</v>
      </c>
      <c r="E3061" t="s">
        <v>35</v>
      </c>
    </row>
    <row r="3062" spans="1:5">
      <c r="A3062" t="s">
        <v>3400</v>
      </c>
      <c r="C3062" t="s">
        <v>3410</v>
      </c>
      <c r="D3062">
        <v>726889</v>
      </c>
      <c r="E3062" t="s">
        <v>505</v>
      </c>
    </row>
    <row r="3063" spans="1:5">
      <c r="A3063" t="s">
        <v>3400</v>
      </c>
      <c r="C3063" t="s">
        <v>3411</v>
      </c>
      <c r="D3063">
        <v>755301</v>
      </c>
      <c r="E3063" t="s">
        <v>192</v>
      </c>
    </row>
    <row r="3064" spans="1:5">
      <c r="A3064" t="s">
        <v>3400</v>
      </c>
      <c r="C3064" t="s">
        <v>3412</v>
      </c>
      <c r="D3064">
        <v>891376</v>
      </c>
      <c r="E3064" t="s">
        <v>770</v>
      </c>
    </row>
    <row r="3065" spans="1:5">
      <c r="A3065" t="s">
        <v>3400</v>
      </c>
      <c r="C3065" t="s">
        <v>3190</v>
      </c>
      <c r="D3065">
        <v>854317</v>
      </c>
      <c r="E3065" t="s">
        <v>734</v>
      </c>
    </row>
    <row r="3066" spans="1:5">
      <c r="A3066" t="s">
        <v>3400</v>
      </c>
      <c r="C3066" t="s">
        <v>3413</v>
      </c>
      <c r="D3066">
        <v>348165</v>
      </c>
      <c r="E3066" t="s">
        <v>35</v>
      </c>
    </row>
    <row r="3067" spans="1:5">
      <c r="A3067" t="s">
        <v>3400</v>
      </c>
      <c r="C3067" t="s">
        <v>3355</v>
      </c>
      <c r="D3067">
        <v>593512</v>
      </c>
      <c r="E3067" t="s">
        <v>120</v>
      </c>
    </row>
    <row r="3068" spans="1:5">
      <c r="A3068" t="s">
        <v>3400</v>
      </c>
      <c r="C3068" t="s">
        <v>3414</v>
      </c>
      <c r="D3068">
        <v>755301</v>
      </c>
      <c r="E3068" t="s">
        <v>192</v>
      </c>
    </row>
    <row r="3069" spans="1:5">
      <c r="A3069" t="s">
        <v>3400</v>
      </c>
      <c r="C3069" t="s">
        <v>3415</v>
      </c>
      <c r="D3069">
        <v>891376</v>
      </c>
      <c r="E3069" t="s">
        <v>770</v>
      </c>
    </row>
    <row r="3070" spans="1:5">
      <c r="A3070" t="s">
        <v>3400</v>
      </c>
      <c r="C3070" t="s">
        <v>3192</v>
      </c>
      <c r="D3070">
        <v>854317</v>
      </c>
      <c r="E3070" t="s">
        <v>734</v>
      </c>
    </row>
    <row r="3071" spans="1:5">
      <c r="A3071" t="s">
        <v>3400</v>
      </c>
      <c r="C3071" t="s">
        <v>3416</v>
      </c>
      <c r="D3071">
        <v>231210</v>
      </c>
      <c r="E3071" t="s">
        <v>278</v>
      </c>
    </row>
    <row r="3072" spans="1:5">
      <c r="A3072" t="s">
        <v>3400</v>
      </c>
      <c r="C3072" t="s">
        <v>3359</v>
      </c>
      <c r="D3072">
        <v>854317</v>
      </c>
      <c r="E3072" t="s">
        <v>734</v>
      </c>
    </row>
    <row r="3073" spans="1:5">
      <c r="A3073" t="s">
        <v>3400</v>
      </c>
      <c r="C3073" t="s">
        <v>3360</v>
      </c>
      <c r="D3073">
        <v>809076</v>
      </c>
      <c r="E3073" t="s">
        <v>813</v>
      </c>
    </row>
    <row r="3074" spans="1:5">
      <c r="A3074" t="s">
        <v>3400</v>
      </c>
      <c r="C3074" t="s">
        <v>3361</v>
      </c>
      <c r="D3074">
        <v>755301</v>
      </c>
      <c r="E3074" t="s">
        <v>192</v>
      </c>
    </row>
    <row r="3075" spans="1:5">
      <c r="A3075" t="s">
        <v>3400</v>
      </c>
      <c r="C3075" t="s">
        <v>3417</v>
      </c>
      <c r="D3075">
        <v>854317</v>
      </c>
      <c r="E3075" t="s">
        <v>734</v>
      </c>
    </row>
    <row r="3076" spans="1:5">
      <c r="A3076" t="s">
        <v>3418</v>
      </c>
      <c r="C3076" t="s">
        <v>3419</v>
      </c>
      <c r="D3076">
        <v>635374</v>
      </c>
      <c r="E3076" t="s">
        <v>450</v>
      </c>
    </row>
    <row r="3077" spans="1:5">
      <c r="A3077" t="s">
        <v>3418</v>
      </c>
      <c r="C3077" t="s">
        <v>3420</v>
      </c>
      <c r="D3077">
        <v>610944</v>
      </c>
      <c r="E3077" t="s">
        <v>1210</v>
      </c>
    </row>
    <row r="3078" spans="1:5">
      <c r="A3078" t="s">
        <v>3418</v>
      </c>
      <c r="C3078" t="s">
        <v>3303</v>
      </c>
      <c r="D3078">
        <v>948789</v>
      </c>
      <c r="E3078" t="s">
        <v>212</v>
      </c>
    </row>
    <row r="3079" spans="1:5">
      <c r="A3079" t="s">
        <v>3418</v>
      </c>
      <c r="C3079" t="s">
        <v>3421</v>
      </c>
      <c r="D3079">
        <v>481387</v>
      </c>
      <c r="E3079" t="s">
        <v>448</v>
      </c>
    </row>
    <row r="3080" spans="1:5">
      <c r="A3080" t="s">
        <v>3418</v>
      </c>
      <c r="C3080" t="s">
        <v>3421</v>
      </c>
      <c r="D3080">
        <v>957687</v>
      </c>
      <c r="E3080" t="s">
        <v>867</v>
      </c>
    </row>
    <row r="3081" spans="1:5">
      <c r="A3081" t="s">
        <v>3418</v>
      </c>
      <c r="C3081" t="s">
        <v>3422</v>
      </c>
      <c r="D3081">
        <v>261486</v>
      </c>
      <c r="E3081" t="s">
        <v>357</v>
      </c>
    </row>
    <row r="3082" spans="1:5">
      <c r="A3082" t="s">
        <v>3418</v>
      </c>
      <c r="C3082" t="s">
        <v>3423</v>
      </c>
      <c r="D3082">
        <v>610944</v>
      </c>
      <c r="E3082" t="s">
        <v>1210</v>
      </c>
    </row>
    <row r="3083" spans="1:5">
      <c r="A3083" t="s">
        <v>3418</v>
      </c>
      <c r="C3083" t="s">
        <v>3424</v>
      </c>
      <c r="D3083">
        <v>610944</v>
      </c>
      <c r="E3083" t="s">
        <v>1210</v>
      </c>
    </row>
    <row r="3084" spans="1:5">
      <c r="A3084" t="s">
        <v>3418</v>
      </c>
      <c r="C3084" t="s">
        <v>3425</v>
      </c>
      <c r="D3084">
        <v>948789</v>
      </c>
      <c r="E3084" t="s">
        <v>212</v>
      </c>
    </row>
    <row r="3085" spans="1:5">
      <c r="A3085" t="s">
        <v>3418</v>
      </c>
      <c r="C3085" t="s">
        <v>3426</v>
      </c>
      <c r="D3085">
        <v>667491</v>
      </c>
      <c r="E3085" t="s">
        <v>3427</v>
      </c>
    </row>
    <row r="3086" spans="1:5">
      <c r="A3086" t="s">
        <v>3418</v>
      </c>
      <c r="C3086" t="s">
        <v>3428</v>
      </c>
      <c r="D3086">
        <v>584071</v>
      </c>
      <c r="E3086" t="s">
        <v>3057</v>
      </c>
    </row>
    <row r="3087" spans="1:5">
      <c r="A3087" t="s">
        <v>3418</v>
      </c>
      <c r="C3087" t="s">
        <v>3429</v>
      </c>
      <c r="D3087">
        <v>681494</v>
      </c>
      <c r="E3087" t="s">
        <v>535</v>
      </c>
    </row>
    <row r="3088" spans="1:5">
      <c r="A3088" t="s">
        <v>3418</v>
      </c>
      <c r="C3088" t="s">
        <v>3430</v>
      </c>
      <c r="D3088">
        <v>872540</v>
      </c>
      <c r="E3088" t="s">
        <v>733</v>
      </c>
    </row>
    <row r="3089" spans="1:5">
      <c r="A3089" t="s">
        <v>3418</v>
      </c>
      <c r="C3089" t="s">
        <v>3308</v>
      </c>
      <c r="D3089">
        <v>495533</v>
      </c>
      <c r="E3089" t="s">
        <v>147</v>
      </c>
    </row>
    <row r="3090" spans="1:5">
      <c r="A3090" t="s">
        <v>3418</v>
      </c>
      <c r="C3090" t="s">
        <v>3431</v>
      </c>
      <c r="D3090">
        <v>495533</v>
      </c>
      <c r="E3090" t="s">
        <v>147</v>
      </c>
    </row>
    <row r="3091" spans="1:5">
      <c r="A3091" t="s">
        <v>3418</v>
      </c>
      <c r="C3091" t="s">
        <v>3432</v>
      </c>
      <c r="D3091">
        <v>832249</v>
      </c>
      <c r="E3091" t="s">
        <v>85</v>
      </c>
    </row>
    <row r="3092" spans="1:5">
      <c r="A3092" t="s">
        <v>3418</v>
      </c>
      <c r="C3092" t="s">
        <v>3433</v>
      </c>
      <c r="D3092">
        <v>261486</v>
      </c>
      <c r="E3092" t="s">
        <v>357</v>
      </c>
    </row>
    <row r="3093" spans="1:5">
      <c r="A3093" t="s">
        <v>3418</v>
      </c>
      <c r="C3093" t="s">
        <v>3434</v>
      </c>
      <c r="D3093">
        <v>844290</v>
      </c>
      <c r="E3093" t="s">
        <v>476</v>
      </c>
    </row>
    <row r="3094" spans="1:5">
      <c r="A3094" t="s">
        <v>3418</v>
      </c>
      <c r="C3094" t="s">
        <v>3435</v>
      </c>
      <c r="D3094">
        <v>635374</v>
      </c>
      <c r="E3094" t="s">
        <v>450</v>
      </c>
    </row>
    <row r="3095" spans="1:5">
      <c r="A3095" t="s">
        <v>3418</v>
      </c>
      <c r="C3095" t="s">
        <v>3312</v>
      </c>
      <c r="D3095">
        <v>495533</v>
      </c>
      <c r="E3095" t="s">
        <v>147</v>
      </c>
    </row>
    <row r="3096" spans="1:5">
      <c r="A3096" t="s">
        <v>3418</v>
      </c>
      <c r="C3096" t="s">
        <v>3436</v>
      </c>
      <c r="D3096">
        <v>610944</v>
      </c>
      <c r="E3096" t="s">
        <v>1210</v>
      </c>
    </row>
    <row r="3097" spans="1:5">
      <c r="A3097" t="s">
        <v>3418</v>
      </c>
      <c r="C3097" t="s">
        <v>3437</v>
      </c>
      <c r="D3097">
        <v>667491</v>
      </c>
      <c r="E3097" t="s">
        <v>3427</v>
      </c>
    </row>
    <row r="3098" spans="1:5">
      <c r="A3098" t="s">
        <v>3418</v>
      </c>
      <c r="C3098" t="s">
        <v>3438</v>
      </c>
      <c r="D3098">
        <v>978517</v>
      </c>
      <c r="E3098" t="s">
        <v>846</v>
      </c>
    </row>
    <row r="3099" spans="1:5">
      <c r="A3099" t="s">
        <v>3418</v>
      </c>
      <c r="C3099" t="s">
        <v>3439</v>
      </c>
      <c r="D3099">
        <v>495533</v>
      </c>
      <c r="E3099" t="s">
        <v>147</v>
      </c>
    </row>
    <row r="3100" spans="1:5">
      <c r="A3100" t="s">
        <v>3440</v>
      </c>
      <c r="C3100" t="s">
        <v>3441</v>
      </c>
      <c r="D3100">
        <v>614883</v>
      </c>
      <c r="E3100" t="s">
        <v>340</v>
      </c>
    </row>
    <row r="3101" spans="1:5">
      <c r="A3101" t="s">
        <v>3440</v>
      </c>
      <c r="C3101" t="s">
        <v>3050</v>
      </c>
      <c r="D3101">
        <v>314692</v>
      </c>
      <c r="E3101" t="s">
        <v>516</v>
      </c>
    </row>
    <row r="3102" spans="1:5">
      <c r="A3102" t="s">
        <v>3440</v>
      </c>
      <c r="C3102" t="s">
        <v>2992</v>
      </c>
      <c r="D3102">
        <v>202505</v>
      </c>
      <c r="E3102" t="s">
        <v>686</v>
      </c>
    </row>
    <row r="3103" spans="1:5">
      <c r="A3103" t="s">
        <v>3440</v>
      </c>
      <c r="C3103" t="s">
        <v>3052</v>
      </c>
      <c r="D3103">
        <v>959536</v>
      </c>
      <c r="E3103" t="s">
        <v>796</v>
      </c>
    </row>
    <row r="3104" spans="1:5">
      <c r="A3104" t="s">
        <v>3440</v>
      </c>
      <c r="C3104" t="s">
        <v>3442</v>
      </c>
      <c r="D3104">
        <v>343330</v>
      </c>
      <c r="E3104" t="s">
        <v>117</v>
      </c>
    </row>
    <row r="3105" spans="1:5">
      <c r="A3105" t="s">
        <v>3440</v>
      </c>
      <c r="C3105" t="s">
        <v>3053</v>
      </c>
      <c r="D3105">
        <v>988224</v>
      </c>
      <c r="E3105" t="s">
        <v>857</v>
      </c>
    </row>
    <row r="3106" spans="1:5">
      <c r="A3106" t="s">
        <v>3440</v>
      </c>
      <c r="C3106" t="s">
        <v>3443</v>
      </c>
      <c r="D3106">
        <v>314692</v>
      </c>
      <c r="E3106" t="s">
        <v>516</v>
      </c>
    </row>
    <row r="3107" spans="1:5">
      <c r="A3107" t="s">
        <v>3440</v>
      </c>
      <c r="C3107" t="s">
        <v>3054</v>
      </c>
      <c r="D3107">
        <v>985317</v>
      </c>
      <c r="E3107" t="s">
        <v>849</v>
      </c>
    </row>
    <row r="3108" spans="1:5">
      <c r="A3108" t="s">
        <v>3440</v>
      </c>
      <c r="C3108" t="s">
        <v>3444</v>
      </c>
      <c r="D3108">
        <v>955121</v>
      </c>
      <c r="E3108" t="s">
        <v>611</v>
      </c>
    </row>
    <row r="3109" spans="1:5">
      <c r="A3109" t="s">
        <v>3440</v>
      </c>
      <c r="C3109" t="s">
        <v>3444</v>
      </c>
      <c r="D3109">
        <v>343175</v>
      </c>
      <c r="E3109" t="s">
        <v>313</v>
      </c>
    </row>
    <row r="3110" spans="1:5">
      <c r="A3110" t="s">
        <v>3440</v>
      </c>
      <c r="C3110" t="s">
        <v>3056</v>
      </c>
      <c r="D3110">
        <v>801886</v>
      </c>
      <c r="E3110" t="s">
        <v>167</v>
      </c>
    </row>
    <row r="3111" spans="1:5">
      <c r="A3111" t="s">
        <v>3440</v>
      </c>
      <c r="C3111" t="s">
        <v>3445</v>
      </c>
      <c r="D3111">
        <v>75350</v>
      </c>
      <c r="E3111" t="s">
        <v>391</v>
      </c>
    </row>
    <row r="3112" spans="1:5">
      <c r="A3112" t="s">
        <v>3440</v>
      </c>
      <c r="C3112" t="s">
        <v>3058</v>
      </c>
      <c r="D3112">
        <v>237426</v>
      </c>
      <c r="E3112" t="s">
        <v>708</v>
      </c>
    </row>
    <row r="3113" spans="1:5">
      <c r="A3113" t="s">
        <v>3440</v>
      </c>
      <c r="C3113" t="s">
        <v>3446</v>
      </c>
      <c r="D3113">
        <v>314692</v>
      </c>
      <c r="E3113" t="s">
        <v>516</v>
      </c>
    </row>
    <row r="3114" spans="1:5">
      <c r="A3114" t="s">
        <v>3440</v>
      </c>
      <c r="C3114" t="s">
        <v>3059</v>
      </c>
      <c r="D3114">
        <v>1003583</v>
      </c>
      <c r="E3114" t="s">
        <v>3027</v>
      </c>
    </row>
    <row r="3115" spans="1:5">
      <c r="A3115" t="s">
        <v>3440</v>
      </c>
      <c r="C3115" t="s">
        <v>3447</v>
      </c>
      <c r="D3115">
        <v>970202</v>
      </c>
      <c r="E3115" t="s">
        <v>836</v>
      </c>
    </row>
    <row r="3116" spans="1:5">
      <c r="A3116" t="s">
        <v>3440</v>
      </c>
      <c r="C3116" t="s">
        <v>3447</v>
      </c>
      <c r="D3116">
        <v>864086</v>
      </c>
      <c r="E3116" t="s">
        <v>866</v>
      </c>
    </row>
    <row r="3117" spans="1:5">
      <c r="A3117" t="s">
        <v>3440</v>
      </c>
      <c r="C3117" t="s">
        <v>3060</v>
      </c>
      <c r="D3117">
        <v>1003583</v>
      </c>
      <c r="E3117" t="s">
        <v>3027</v>
      </c>
    </row>
    <row r="3118" spans="1:5">
      <c r="A3118" t="s">
        <v>3440</v>
      </c>
      <c r="C3118" t="s">
        <v>3448</v>
      </c>
      <c r="D3118">
        <v>988224</v>
      </c>
      <c r="E3118" t="s">
        <v>857</v>
      </c>
    </row>
    <row r="3119" spans="1:5">
      <c r="A3119" t="s">
        <v>3440</v>
      </c>
      <c r="C3119" t="s">
        <v>3011</v>
      </c>
      <c r="D3119">
        <v>973988</v>
      </c>
      <c r="E3119" t="s">
        <v>842</v>
      </c>
    </row>
    <row r="3120" spans="1:5">
      <c r="A3120" t="s">
        <v>3440</v>
      </c>
      <c r="C3120" t="s">
        <v>3449</v>
      </c>
      <c r="D3120">
        <v>314692</v>
      </c>
      <c r="E3120" t="s">
        <v>516</v>
      </c>
    </row>
    <row r="3121" spans="1:5">
      <c r="A3121" t="s">
        <v>3440</v>
      </c>
      <c r="C3121" t="s">
        <v>3061</v>
      </c>
      <c r="D3121">
        <v>614883</v>
      </c>
      <c r="E3121" t="s">
        <v>340</v>
      </c>
    </row>
    <row r="3122" spans="1:5">
      <c r="A3122" t="s">
        <v>3440</v>
      </c>
      <c r="C3122" t="s">
        <v>3450</v>
      </c>
      <c r="D3122">
        <v>384287</v>
      </c>
      <c r="E3122" t="s">
        <v>236</v>
      </c>
    </row>
    <row r="3123" spans="1:5">
      <c r="A3123" t="s">
        <v>3440</v>
      </c>
      <c r="C3123" t="s">
        <v>3063</v>
      </c>
      <c r="D3123">
        <v>452434</v>
      </c>
      <c r="E3123" t="s">
        <v>554</v>
      </c>
    </row>
    <row r="3124" spans="1:5">
      <c r="A3124" t="s">
        <v>3440</v>
      </c>
      <c r="C3124" t="s">
        <v>3451</v>
      </c>
      <c r="D3124">
        <v>970202</v>
      </c>
      <c r="E3124" t="s">
        <v>836</v>
      </c>
    </row>
    <row r="3125" spans="1:5">
      <c r="A3125" t="s">
        <v>3440</v>
      </c>
      <c r="C3125" t="s">
        <v>3017</v>
      </c>
      <c r="D3125">
        <v>661416</v>
      </c>
      <c r="E3125" t="s">
        <v>211</v>
      </c>
    </row>
    <row r="3126" spans="1:5">
      <c r="A3126" t="s">
        <v>3452</v>
      </c>
      <c r="C3126" t="s">
        <v>3218</v>
      </c>
      <c r="D3126">
        <v>638067</v>
      </c>
      <c r="E3126" t="s">
        <v>182</v>
      </c>
    </row>
    <row r="3127" spans="1:5">
      <c r="A3127" t="s">
        <v>3452</v>
      </c>
      <c r="C3127" t="s">
        <v>3218</v>
      </c>
      <c r="D3127">
        <v>267168</v>
      </c>
      <c r="E3127" t="s">
        <v>206</v>
      </c>
    </row>
    <row r="3128" spans="1:5">
      <c r="A3128" t="s">
        <v>3453</v>
      </c>
      <c r="C3128" t="s">
        <v>3454</v>
      </c>
      <c r="D3128">
        <v>127590</v>
      </c>
      <c r="E3128" t="s">
        <v>162</v>
      </c>
    </row>
    <row r="3129" spans="1:5">
      <c r="A3129" t="s">
        <v>3453</v>
      </c>
      <c r="C3129" t="s">
        <v>3455</v>
      </c>
      <c r="D3129">
        <v>127590</v>
      </c>
      <c r="E3129" t="s">
        <v>162</v>
      </c>
    </row>
    <row r="3130" spans="1:5">
      <c r="A3130" t="s">
        <v>3456</v>
      </c>
      <c r="C3130" t="s">
        <v>3457</v>
      </c>
      <c r="D3130">
        <v>267168</v>
      </c>
      <c r="E3130" t="s">
        <v>206</v>
      </c>
    </row>
    <row r="3131" spans="1:5">
      <c r="A3131" t="s">
        <v>3456</v>
      </c>
      <c r="C3131" t="s">
        <v>3457</v>
      </c>
      <c r="D3131">
        <v>855449</v>
      </c>
      <c r="E3131" t="s">
        <v>70</v>
      </c>
    </row>
    <row r="3132" spans="1:5">
      <c r="A3132" t="s">
        <v>3456</v>
      </c>
      <c r="C3132" t="s">
        <v>3458</v>
      </c>
      <c r="D3132">
        <v>873907</v>
      </c>
      <c r="E3132" t="s">
        <v>2103</v>
      </c>
    </row>
    <row r="3133" spans="1:5">
      <c r="A3133" t="s">
        <v>3456</v>
      </c>
      <c r="C3133" t="s">
        <v>3459</v>
      </c>
      <c r="D3133">
        <v>267168</v>
      </c>
      <c r="E3133" t="s">
        <v>206</v>
      </c>
    </row>
    <row r="3134" spans="1:5">
      <c r="A3134" t="s">
        <v>3456</v>
      </c>
      <c r="C3134" t="s">
        <v>3459</v>
      </c>
      <c r="D3134">
        <v>620545</v>
      </c>
      <c r="E3134" t="s">
        <v>126</v>
      </c>
    </row>
    <row r="3135" spans="1:5">
      <c r="A3135" t="s">
        <v>3456</v>
      </c>
      <c r="C3135" t="s">
        <v>3459</v>
      </c>
      <c r="D3135">
        <v>845124</v>
      </c>
      <c r="E3135" t="s">
        <v>474</v>
      </c>
    </row>
    <row r="3136" spans="1:5">
      <c r="A3136" t="s">
        <v>3460</v>
      </c>
      <c r="C3136" t="s">
        <v>3441</v>
      </c>
      <c r="D3136">
        <v>262000</v>
      </c>
      <c r="E3136" t="s">
        <v>275</v>
      </c>
    </row>
    <row r="3137" spans="1:5">
      <c r="A3137" t="s">
        <v>3460</v>
      </c>
      <c r="C3137" t="s">
        <v>3050</v>
      </c>
      <c r="D3137">
        <v>748316</v>
      </c>
      <c r="E3137" t="s">
        <v>861</v>
      </c>
    </row>
    <row r="3138" spans="1:5">
      <c r="A3138" t="s">
        <v>3460</v>
      </c>
      <c r="C3138" t="s">
        <v>3461</v>
      </c>
      <c r="D3138">
        <v>725703</v>
      </c>
      <c r="E3138" t="s">
        <v>427</v>
      </c>
    </row>
    <row r="3139" spans="1:5">
      <c r="A3139" t="s">
        <v>3460</v>
      </c>
      <c r="C3139" t="s">
        <v>3462</v>
      </c>
      <c r="D3139">
        <v>887315</v>
      </c>
      <c r="E3139" t="s">
        <v>725</v>
      </c>
    </row>
    <row r="3140" spans="1:5">
      <c r="A3140" t="s">
        <v>3460</v>
      </c>
      <c r="C3140" t="s">
        <v>3052</v>
      </c>
      <c r="D3140">
        <v>875441</v>
      </c>
      <c r="E3140" t="s">
        <v>160</v>
      </c>
    </row>
    <row r="3141" spans="1:5">
      <c r="A3141" t="s">
        <v>3460</v>
      </c>
      <c r="C3141" t="s">
        <v>3442</v>
      </c>
      <c r="D3141">
        <v>1003583</v>
      </c>
      <c r="E3141" t="s">
        <v>3027</v>
      </c>
    </row>
    <row r="3142" spans="1:5">
      <c r="A3142" t="s">
        <v>3460</v>
      </c>
      <c r="C3142" t="s">
        <v>3463</v>
      </c>
      <c r="D3142">
        <v>792959</v>
      </c>
      <c r="E3142" t="s">
        <v>1454</v>
      </c>
    </row>
    <row r="3143" spans="1:5">
      <c r="A3143" t="s">
        <v>3460</v>
      </c>
      <c r="C3143" t="s">
        <v>3056</v>
      </c>
      <c r="D3143">
        <v>1003583</v>
      </c>
      <c r="E3143" t="s">
        <v>3027</v>
      </c>
    </row>
    <row r="3144" spans="1:5">
      <c r="A3144" t="s">
        <v>3460</v>
      </c>
      <c r="C3144" t="s">
        <v>3058</v>
      </c>
      <c r="D3144">
        <v>990225</v>
      </c>
      <c r="E3144" t="s">
        <v>858</v>
      </c>
    </row>
    <row r="3145" spans="1:5">
      <c r="A3145" t="s">
        <v>3460</v>
      </c>
      <c r="C3145" t="s">
        <v>3446</v>
      </c>
      <c r="D3145">
        <v>1003583</v>
      </c>
      <c r="E3145" t="s">
        <v>3027</v>
      </c>
    </row>
    <row r="3146" spans="1:5">
      <c r="A3146" t="s">
        <v>3460</v>
      </c>
      <c r="C3146" t="s">
        <v>3464</v>
      </c>
      <c r="D3146">
        <v>887315</v>
      </c>
      <c r="E3146" t="s">
        <v>725</v>
      </c>
    </row>
    <row r="3147" spans="1:5">
      <c r="A3147" t="s">
        <v>3460</v>
      </c>
      <c r="C3147" t="s">
        <v>3465</v>
      </c>
      <c r="D3147">
        <v>340877</v>
      </c>
      <c r="E3147" t="s">
        <v>299</v>
      </c>
    </row>
    <row r="3148" spans="1:5">
      <c r="A3148" t="s">
        <v>3460</v>
      </c>
      <c r="C3148" t="s">
        <v>3447</v>
      </c>
      <c r="D3148">
        <v>803704</v>
      </c>
      <c r="E3148" t="s">
        <v>727</v>
      </c>
    </row>
    <row r="3149" spans="1:5">
      <c r="A3149" t="s">
        <v>3460</v>
      </c>
      <c r="C3149" t="s">
        <v>3060</v>
      </c>
      <c r="D3149">
        <v>887315</v>
      </c>
      <c r="E3149" t="s">
        <v>725</v>
      </c>
    </row>
    <row r="3150" spans="1:5">
      <c r="A3150" t="s">
        <v>3460</v>
      </c>
      <c r="C3150" t="s">
        <v>3448</v>
      </c>
      <c r="D3150">
        <v>746046</v>
      </c>
      <c r="E3150" t="s">
        <v>818</v>
      </c>
    </row>
    <row r="3151" spans="1:5">
      <c r="A3151" t="s">
        <v>3460</v>
      </c>
      <c r="C3151" t="s">
        <v>3011</v>
      </c>
      <c r="D3151">
        <v>725703</v>
      </c>
      <c r="E3151" t="s">
        <v>427</v>
      </c>
    </row>
    <row r="3152" spans="1:5">
      <c r="A3152" t="s">
        <v>3460</v>
      </c>
      <c r="C3152" t="s">
        <v>3449</v>
      </c>
      <c r="D3152">
        <v>1003583</v>
      </c>
      <c r="E3152" t="s">
        <v>3027</v>
      </c>
    </row>
    <row r="3153" spans="1:5">
      <c r="A3153" t="s">
        <v>3460</v>
      </c>
      <c r="C3153" t="s">
        <v>3466</v>
      </c>
      <c r="D3153">
        <v>792959</v>
      </c>
      <c r="E3153" t="s">
        <v>1454</v>
      </c>
    </row>
    <row r="3154" spans="1:5">
      <c r="A3154" t="s">
        <v>3460</v>
      </c>
      <c r="C3154" t="s">
        <v>3450</v>
      </c>
      <c r="D3154">
        <v>648771</v>
      </c>
      <c r="E3154" t="s">
        <v>619</v>
      </c>
    </row>
    <row r="3155" spans="1:5">
      <c r="A3155" t="s">
        <v>3460</v>
      </c>
      <c r="C3155" t="s">
        <v>3063</v>
      </c>
      <c r="D3155">
        <v>1003583</v>
      </c>
      <c r="E3155" t="s">
        <v>3027</v>
      </c>
    </row>
    <row r="3156" spans="1:5">
      <c r="A3156" t="s">
        <v>3460</v>
      </c>
      <c r="C3156" t="s">
        <v>3451</v>
      </c>
      <c r="D3156">
        <v>748316</v>
      </c>
      <c r="E3156" t="s">
        <v>861</v>
      </c>
    </row>
    <row r="3157" spans="1:5">
      <c r="A3157" t="s">
        <v>3460</v>
      </c>
      <c r="C3157" t="s">
        <v>3017</v>
      </c>
      <c r="D3157">
        <v>340877</v>
      </c>
      <c r="E3157" t="s">
        <v>299</v>
      </c>
    </row>
    <row r="3158" spans="1:5">
      <c r="A3158" t="s">
        <v>3467</v>
      </c>
      <c r="C3158" t="s">
        <v>3468</v>
      </c>
      <c r="D3158">
        <v>872540</v>
      </c>
      <c r="E3158" t="s">
        <v>733</v>
      </c>
    </row>
    <row r="3159" spans="1:5">
      <c r="A3159" t="s">
        <v>3467</v>
      </c>
      <c r="C3159" t="s">
        <v>3469</v>
      </c>
      <c r="D3159">
        <v>584071</v>
      </c>
      <c r="E3159" t="s">
        <v>3057</v>
      </c>
    </row>
    <row r="3160" spans="1:5">
      <c r="A3160" t="s">
        <v>3467</v>
      </c>
      <c r="C3160" t="s">
        <v>2995</v>
      </c>
      <c r="D3160">
        <v>664967</v>
      </c>
      <c r="E3160" t="s">
        <v>812</v>
      </c>
    </row>
    <row r="3161" spans="1:5">
      <c r="A3161" t="s">
        <v>3467</v>
      </c>
      <c r="C3161" t="s">
        <v>3470</v>
      </c>
      <c r="D3161">
        <v>584071</v>
      </c>
      <c r="E3161" t="s">
        <v>3057</v>
      </c>
    </row>
    <row r="3162" spans="1:5">
      <c r="A3162" t="s">
        <v>3467</v>
      </c>
      <c r="C3162" t="s">
        <v>3471</v>
      </c>
      <c r="D3162">
        <v>872540</v>
      </c>
      <c r="E3162" t="s">
        <v>733</v>
      </c>
    </row>
    <row r="3163" spans="1:5">
      <c r="A3163" t="s">
        <v>3467</v>
      </c>
      <c r="C3163" t="s">
        <v>3472</v>
      </c>
      <c r="D3163">
        <v>584071</v>
      </c>
      <c r="E3163" t="s">
        <v>3057</v>
      </c>
    </row>
    <row r="3164" spans="1:5">
      <c r="A3164" t="s">
        <v>3467</v>
      </c>
      <c r="C3164" t="s">
        <v>3473</v>
      </c>
      <c r="D3164">
        <v>384287</v>
      </c>
      <c r="E3164" t="s">
        <v>236</v>
      </c>
    </row>
    <row r="3165" spans="1:5">
      <c r="A3165" t="s">
        <v>3467</v>
      </c>
      <c r="C3165" t="s">
        <v>3000</v>
      </c>
      <c r="D3165">
        <v>496999</v>
      </c>
      <c r="E3165" t="s">
        <v>781</v>
      </c>
    </row>
    <row r="3166" spans="1:5">
      <c r="A3166" t="s">
        <v>3467</v>
      </c>
      <c r="C3166" t="s">
        <v>3474</v>
      </c>
      <c r="D3166">
        <v>872540</v>
      </c>
      <c r="E3166" t="s">
        <v>733</v>
      </c>
    </row>
    <row r="3167" spans="1:5">
      <c r="A3167" t="s">
        <v>3467</v>
      </c>
      <c r="C3167" t="s">
        <v>3475</v>
      </c>
      <c r="D3167">
        <v>597806</v>
      </c>
      <c r="E3167" t="s">
        <v>23</v>
      </c>
    </row>
    <row r="3168" spans="1:5">
      <c r="A3168" t="s">
        <v>3467</v>
      </c>
      <c r="C3168" t="s">
        <v>3476</v>
      </c>
      <c r="D3168">
        <v>584071</v>
      </c>
      <c r="E3168" t="s">
        <v>3057</v>
      </c>
    </row>
    <row r="3169" spans="1:5">
      <c r="A3169" t="s">
        <v>3467</v>
      </c>
      <c r="C3169" t="s">
        <v>3477</v>
      </c>
      <c r="D3169">
        <v>814017</v>
      </c>
      <c r="E3169" t="s">
        <v>696</v>
      </c>
    </row>
    <row r="3170" spans="1:5">
      <c r="A3170" t="s">
        <v>3467</v>
      </c>
      <c r="C3170" t="s">
        <v>3007</v>
      </c>
      <c r="D3170">
        <v>872540</v>
      </c>
      <c r="E3170" t="s">
        <v>733</v>
      </c>
    </row>
    <row r="3171" spans="1:5">
      <c r="A3171" t="s">
        <v>3467</v>
      </c>
      <c r="C3171" t="s">
        <v>3478</v>
      </c>
      <c r="D3171">
        <v>872540</v>
      </c>
      <c r="E3171" t="s">
        <v>733</v>
      </c>
    </row>
    <row r="3172" spans="1:5">
      <c r="A3172" t="s">
        <v>3467</v>
      </c>
      <c r="C3172" t="s">
        <v>3479</v>
      </c>
      <c r="D3172">
        <v>175002</v>
      </c>
      <c r="E3172" t="s">
        <v>197</v>
      </c>
    </row>
    <row r="3173" spans="1:5">
      <c r="A3173" t="s">
        <v>3467</v>
      </c>
      <c r="C3173" t="s">
        <v>3480</v>
      </c>
      <c r="D3173">
        <v>872540</v>
      </c>
      <c r="E3173" t="s">
        <v>733</v>
      </c>
    </row>
    <row r="3174" spans="1:5">
      <c r="A3174" t="s">
        <v>3467</v>
      </c>
      <c r="C3174" t="s">
        <v>3481</v>
      </c>
      <c r="D3174">
        <v>584071</v>
      </c>
      <c r="E3174" t="s">
        <v>3057</v>
      </c>
    </row>
    <row r="3175" spans="1:5">
      <c r="A3175" t="s">
        <v>3467</v>
      </c>
      <c r="C3175" t="s">
        <v>3482</v>
      </c>
      <c r="D3175">
        <v>682082</v>
      </c>
      <c r="E3175" t="s">
        <v>444</v>
      </c>
    </row>
    <row r="3176" spans="1:5">
      <c r="A3176" t="s">
        <v>3467</v>
      </c>
      <c r="C3176" t="s">
        <v>3483</v>
      </c>
      <c r="D3176">
        <v>343175</v>
      </c>
      <c r="E3176" t="s">
        <v>313</v>
      </c>
    </row>
    <row r="3177" spans="1:5">
      <c r="A3177" t="s">
        <v>3467</v>
      </c>
      <c r="C3177" t="s">
        <v>3484</v>
      </c>
      <c r="D3177">
        <v>872540</v>
      </c>
      <c r="E3177" t="s">
        <v>733</v>
      </c>
    </row>
    <row r="3178" spans="1:5">
      <c r="A3178" t="s">
        <v>3467</v>
      </c>
      <c r="C3178" t="s">
        <v>3485</v>
      </c>
      <c r="D3178">
        <v>682082</v>
      </c>
      <c r="E3178" t="s">
        <v>444</v>
      </c>
    </row>
    <row r="3179" spans="1:5">
      <c r="A3179" t="s">
        <v>3467</v>
      </c>
      <c r="C3179" t="s">
        <v>3486</v>
      </c>
      <c r="D3179">
        <v>496999</v>
      </c>
      <c r="E3179" t="s">
        <v>781</v>
      </c>
    </row>
    <row r="3180" spans="1:5">
      <c r="A3180" t="s">
        <v>3487</v>
      </c>
      <c r="C3180" t="s">
        <v>3488</v>
      </c>
      <c r="D3180">
        <v>588433</v>
      </c>
      <c r="E3180" t="s">
        <v>581</v>
      </c>
    </row>
    <row r="3181" spans="1:5">
      <c r="A3181" t="s">
        <v>3487</v>
      </c>
      <c r="C3181" t="s">
        <v>3489</v>
      </c>
      <c r="D3181">
        <v>588433</v>
      </c>
      <c r="E3181" t="s">
        <v>581</v>
      </c>
    </row>
    <row r="3182" spans="1:5">
      <c r="A3182" t="s">
        <v>3487</v>
      </c>
      <c r="C3182" t="s">
        <v>3490</v>
      </c>
      <c r="D3182">
        <v>510212</v>
      </c>
      <c r="E3182" t="s">
        <v>293</v>
      </c>
    </row>
    <row r="3183" spans="1:5">
      <c r="A3183" t="s">
        <v>3491</v>
      </c>
      <c r="C3183" t="s">
        <v>3492</v>
      </c>
      <c r="D3183">
        <v>237426</v>
      </c>
      <c r="E3183" t="s">
        <v>708</v>
      </c>
    </row>
    <row r="3184" spans="1:5">
      <c r="A3184" t="s">
        <v>3491</v>
      </c>
      <c r="C3184" t="s">
        <v>3492</v>
      </c>
      <c r="D3184">
        <v>803118</v>
      </c>
      <c r="E3184" t="s">
        <v>590</v>
      </c>
    </row>
    <row r="3185" spans="1:5">
      <c r="A3185" t="s">
        <v>3491</v>
      </c>
      <c r="C3185" t="s">
        <v>3493</v>
      </c>
      <c r="D3185">
        <v>898849</v>
      </c>
      <c r="E3185" t="s">
        <v>301</v>
      </c>
    </row>
    <row r="3186" spans="1:5">
      <c r="A3186" t="s">
        <v>3491</v>
      </c>
      <c r="C3186" t="s">
        <v>3493</v>
      </c>
      <c r="D3186">
        <v>562264</v>
      </c>
      <c r="E3186" t="s">
        <v>276</v>
      </c>
    </row>
    <row r="3187" spans="1:5">
      <c r="A3187" t="s">
        <v>3491</v>
      </c>
      <c r="C3187" t="s">
        <v>3494</v>
      </c>
      <c r="D3187">
        <v>803118</v>
      </c>
      <c r="E3187" t="s">
        <v>590</v>
      </c>
    </row>
    <row r="3188" spans="1:5">
      <c r="A3188" t="s">
        <v>3491</v>
      </c>
      <c r="C3188" t="s">
        <v>3494</v>
      </c>
      <c r="D3188">
        <v>978517</v>
      </c>
      <c r="E3188" t="s">
        <v>846</v>
      </c>
    </row>
    <row r="3189" spans="1:5">
      <c r="A3189" t="s">
        <v>3491</v>
      </c>
      <c r="C3189" t="s">
        <v>3495</v>
      </c>
      <c r="D3189">
        <v>866328</v>
      </c>
      <c r="E3189" t="s">
        <v>583</v>
      </c>
    </row>
    <row r="3190" spans="1:5">
      <c r="A3190" t="s">
        <v>3491</v>
      </c>
      <c r="C3190" t="s">
        <v>3496</v>
      </c>
      <c r="D3190">
        <v>898849</v>
      </c>
      <c r="E3190" t="s">
        <v>301</v>
      </c>
    </row>
    <row r="3191" spans="1:5">
      <c r="A3191" t="s">
        <v>3491</v>
      </c>
      <c r="C3191" t="s">
        <v>3496</v>
      </c>
      <c r="D3191">
        <v>613604</v>
      </c>
      <c r="E3191" t="s">
        <v>219</v>
      </c>
    </row>
    <row r="3192" spans="1:5">
      <c r="A3192" t="s">
        <v>3491</v>
      </c>
      <c r="C3192" t="s">
        <v>3497</v>
      </c>
      <c r="D3192">
        <v>964211</v>
      </c>
      <c r="E3192" t="s">
        <v>1379</v>
      </c>
    </row>
    <row r="3193" spans="1:5">
      <c r="A3193" t="s">
        <v>3491</v>
      </c>
      <c r="C3193" t="s">
        <v>3498</v>
      </c>
      <c r="D3193">
        <v>803118</v>
      </c>
      <c r="E3193" t="s">
        <v>590</v>
      </c>
    </row>
    <row r="3194" spans="1:5">
      <c r="A3194" t="s">
        <v>3491</v>
      </c>
      <c r="C3194" t="s">
        <v>3498</v>
      </c>
      <c r="D3194">
        <v>331144</v>
      </c>
      <c r="E3194" t="s">
        <v>273</v>
      </c>
    </row>
    <row r="3195" spans="1:5">
      <c r="A3195" t="s">
        <v>3491</v>
      </c>
      <c r="C3195" t="s">
        <v>3499</v>
      </c>
      <c r="D3195">
        <v>803118</v>
      </c>
      <c r="E3195" t="s">
        <v>590</v>
      </c>
    </row>
    <row r="3196" spans="1:5">
      <c r="A3196" t="s">
        <v>3491</v>
      </c>
      <c r="C3196" t="s">
        <v>3499</v>
      </c>
      <c r="D3196">
        <v>331144</v>
      </c>
      <c r="E3196" t="s">
        <v>273</v>
      </c>
    </row>
    <row r="3197" spans="1:5">
      <c r="A3197" t="s">
        <v>3491</v>
      </c>
      <c r="C3197" t="s">
        <v>3500</v>
      </c>
      <c r="D3197">
        <v>866328</v>
      </c>
      <c r="E3197" t="s">
        <v>583</v>
      </c>
    </row>
    <row r="3198" spans="1:5">
      <c r="A3198" t="s">
        <v>3491</v>
      </c>
      <c r="C3198" t="s">
        <v>3501</v>
      </c>
      <c r="D3198">
        <v>542923</v>
      </c>
      <c r="E3198" t="s">
        <v>32</v>
      </c>
    </row>
    <row r="3199" spans="1:5">
      <c r="A3199" t="s">
        <v>3491</v>
      </c>
      <c r="C3199" t="s">
        <v>3502</v>
      </c>
      <c r="D3199">
        <v>974730</v>
      </c>
      <c r="E3199" t="s">
        <v>93</v>
      </c>
    </row>
    <row r="3200" spans="1:5">
      <c r="A3200" t="s">
        <v>3491</v>
      </c>
      <c r="C3200" t="s">
        <v>3502</v>
      </c>
      <c r="D3200">
        <v>571329</v>
      </c>
      <c r="E3200" t="s">
        <v>319</v>
      </c>
    </row>
    <row r="3201" spans="1:5">
      <c r="A3201" t="s">
        <v>3491</v>
      </c>
      <c r="C3201" t="s">
        <v>3503</v>
      </c>
      <c r="D3201">
        <v>803118</v>
      </c>
      <c r="E3201" t="s">
        <v>590</v>
      </c>
    </row>
    <row r="3202" spans="1:5">
      <c r="A3202" t="s">
        <v>3491</v>
      </c>
      <c r="C3202" t="s">
        <v>3504</v>
      </c>
      <c r="D3202">
        <v>678974</v>
      </c>
      <c r="E3202" t="s">
        <v>69</v>
      </c>
    </row>
    <row r="3203" spans="1:5">
      <c r="A3203" t="s">
        <v>3491</v>
      </c>
      <c r="C3203" t="s">
        <v>3505</v>
      </c>
      <c r="D3203">
        <v>237426</v>
      </c>
      <c r="E3203" t="s">
        <v>708</v>
      </c>
    </row>
    <row r="3204" spans="1:5">
      <c r="A3204" t="s">
        <v>3491</v>
      </c>
      <c r="C3204" t="s">
        <v>3505</v>
      </c>
      <c r="D3204">
        <v>542923</v>
      </c>
      <c r="E3204" t="s">
        <v>32</v>
      </c>
    </row>
    <row r="3205" spans="1:5">
      <c r="A3205" t="s">
        <v>3491</v>
      </c>
      <c r="C3205" t="s">
        <v>3506</v>
      </c>
      <c r="D3205">
        <v>921659</v>
      </c>
      <c r="E3205" t="s">
        <v>356</v>
      </c>
    </row>
    <row r="3206" spans="1:5">
      <c r="A3206" t="s">
        <v>3491</v>
      </c>
      <c r="C3206" t="s">
        <v>3506</v>
      </c>
      <c r="D3206">
        <v>970202</v>
      </c>
      <c r="E3206" t="s">
        <v>836</v>
      </c>
    </row>
    <row r="3207" spans="1:5">
      <c r="A3207" t="s">
        <v>3491</v>
      </c>
      <c r="C3207" t="s">
        <v>3507</v>
      </c>
      <c r="D3207">
        <v>552211</v>
      </c>
      <c r="E3207" t="s">
        <v>75</v>
      </c>
    </row>
    <row r="3208" spans="1:5">
      <c r="A3208" t="s">
        <v>3491</v>
      </c>
      <c r="C3208" t="s">
        <v>3507</v>
      </c>
      <c r="D3208">
        <v>974730</v>
      </c>
      <c r="E3208" t="s">
        <v>93</v>
      </c>
    </row>
    <row r="3209" spans="1:5">
      <c r="A3209" t="s">
        <v>3491</v>
      </c>
      <c r="C3209" t="s">
        <v>3508</v>
      </c>
      <c r="D3209">
        <v>803535</v>
      </c>
      <c r="E3209" t="s">
        <v>729</v>
      </c>
    </row>
    <row r="3210" spans="1:5">
      <c r="A3210" t="s">
        <v>3491</v>
      </c>
      <c r="C3210" t="s">
        <v>3509</v>
      </c>
      <c r="D3210">
        <v>866328</v>
      </c>
      <c r="E3210" t="s">
        <v>583</v>
      </c>
    </row>
    <row r="3211" spans="1:5">
      <c r="A3211" t="s">
        <v>3491</v>
      </c>
      <c r="C3211" t="s">
        <v>3510</v>
      </c>
      <c r="D3211">
        <v>803118</v>
      </c>
      <c r="E3211" t="s">
        <v>590</v>
      </c>
    </row>
    <row r="3212" spans="1:5">
      <c r="A3212" t="s">
        <v>3491</v>
      </c>
      <c r="C3212" t="s">
        <v>3511</v>
      </c>
      <c r="D3212">
        <v>542923</v>
      </c>
      <c r="E3212" t="s">
        <v>32</v>
      </c>
    </row>
    <row r="3213" spans="1:5">
      <c r="A3213" t="s">
        <v>3512</v>
      </c>
      <c r="C3213" t="s">
        <v>3185</v>
      </c>
      <c r="D3213">
        <v>610944</v>
      </c>
      <c r="E3213" t="s">
        <v>1210</v>
      </c>
    </row>
    <row r="3214" spans="1:5">
      <c r="A3214" t="s">
        <v>3512</v>
      </c>
      <c r="C3214" t="s">
        <v>3185</v>
      </c>
      <c r="D3214">
        <v>875441</v>
      </c>
      <c r="E3214" t="s">
        <v>160</v>
      </c>
    </row>
    <row r="3215" spans="1:5">
      <c r="A3215" t="s">
        <v>3512</v>
      </c>
      <c r="C3215" t="s">
        <v>3097</v>
      </c>
      <c r="D3215">
        <v>239594</v>
      </c>
      <c r="E3215" t="s">
        <v>119</v>
      </c>
    </row>
    <row r="3216" spans="1:5">
      <c r="A3216" t="s">
        <v>3512</v>
      </c>
      <c r="C3216" t="s">
        <v>3097</v>
      </c>
      <c r="D3216">
        <v>987543</v>
      </c>
      <c r="E3216" t="s">
        <v>223</v>
      </c>
    </row>
    <row r="3217" spans="1:5">
      <c r="A3217" t="s">
        <v>3512</v>
      </c>
      <c r="C3217" t="s">
        <v>3087</v>
      </c>
      <c r="D3217">
        <v>872540</v>
      </c>
      <c r="E3217" t="s">
        <v>733</v>
      </c>
    </row>
    <row r="3218" spans="1:5">
      <c r="A3218" t="s">
        <v>3512</v>
      </c>
      <c r="C3218" t="s">
        <v>3087</v>
      </c>
      <c r="D3218">
        <v>532833</v>
      </c>
      <c r="E3218" t="s">
        <v>325</v>
      </c>
    </row>
    <row r="3219" spans="1:5">
      <c r="A3219" t="s">
        <v>3512</v>
      </c>
      <c r="C3219" t="s">
        <v>3513</v>
      </c>
      <c r="D3219">
        <v>960559</v>
      </c>
      <c r="E3219" t="s">
        <v>403</v>
      </c>
    </row>
    <row r="3220" spans="1:5">
      <c r="A3220" t="s">
        <v>3512</v>
      </c>
      <c r="C3220" t="s">
        <v>3088</v>
      </c>
      <c r="D3220">
        <v>340877</v>
      </c>
      <c r="E3220" t="s">
        <v>299</v>
      </c>
    </row>
    <row r="3221" spans="1:5">
      <c r="A3221" t="s">
        <v>3512</v>
      </c>
      <c r="C3221" t="s">
        <v>3445</v>
      </c>
      <c r="D3221">
        <v>562264</v>
      </c>
      <c r="E3221" t="s">
        <v>276</v>
      </c>
    </row>
    <row r="3222" spans="1:5">
      <c r="A3222" t="s">
        <v>3512</v>
      </c>
      <c r="C3222" t="s">
        <v>3514</v>
      </c>
      <c r="D3222">
        <v>960559</v>
      </c>
      <c r="E3222" t="s">
        <v>403</v>
      </c>
    </row>
    <row r="3223" spans="1:5">
      <c r="A3223" t="s">
        <v>3512</v>
      </c>
      <c r="C3223" t="s">
        <v>3515</v>
      </c>
      <c r="D3223">
        <v>970202</v>
      </c>
      <c r="E3223" t="s">
        <v>836</v>
      </c>
    </row>
    <row r="3224" spans="1:5">
      <c r="A3224" t="s">
        <v>3512</v>
      </c>
      <c r="C3224" t="s">
        <v>3089</v>
      </c>
      <c r="D3224">
        <v>162003</v>
      </c>
      <c r="E3224" t="s">
        <v>797</v>
      </c>
    </row>
    <row r="3225" spans="1:5">
      <c r="A3225" t="s">
        <v>3512</v>
      </c>
      <c r="C3225" t="s">
        <v>3089</v>
      </c>
      <c r="D3225">
        <v>466400</v>
      </c>
      <c r="E3225" t="s">
        <v>304</v>
      </c>
    </row>
    <row r="3226" spans="1:5">
      <c r="A3226" t="s">
        <v>3512</v>
      </c>
      <c r="C3226" t="s">
        <v>3374</v>
      </c>
      <c r="D3226">
        <v>267168</v>
      </c>
      <c r="E3226" t="s">
        <v>206</v>
      </c>
    </row>
    <row r="3227" spans="1:5">
      <c r="A3227" t="s">
        <v>3512</v>
      </c>
      <c r="C3227" t="s">
        <v>3516</v>
      </c>
      <c r="D3227">
        <v>987543</v>
      </c>
      <c r="E3227" t="s">
        <v>223</v>
      </c>
    </row>
    <row r="3228" spans="1:5">
      <c r="A3228" t="s">
        <v>3512</v>
      </c>
      <c r="C3228" t="s">
        <v>3092</v>
      </c>
      <c r="D3228">
        <v>466400</v>
      </c>
      <c r="E3228" t="s">
        <v>304</v>
      </c>
    </row>
    <row r="3229" spans="1:5">
      <c r="A3229" t="s">
        <v>3512</v>
      </c>
      <c r="C3229" t="s">
        <v>3092</v>
      </c>
      <c r="D3229">
        <v>175002</v>
      </c>
      <c r="E3229" t="s">
        <v>197</v>
      </c>
    </row>
    <row r="3230" spans="1:5">
      <c r="A3230" t="s">
        <v>3512</v>
      </c>
      <c r="C3230" t="s">
        <v>3517</v>
      </c>
      <c r="D3230">
        <v>773189</v>
      </c>
      <c r="E3230" t="s">
        <v>618</v>
      </c>
    </row>
    <row r="3231" spans="1:5">
      <c r="A3231" t="s">
        <v>3512</v>
      </c>
      <c r="C3231" t="s">
        <v>3093</v>
      </c>
      <c r="D3231">
        <v>229379</v>
      </c>
      <c r="E3231" t="s">
        <v>124</v>
      </c>
    </row>
    <row r="3232" spans="1:5">
      <c r="A3232" t="s">
        <v>3512</v>
      </c>
      <c r="C3232" t="s">
        <v>3518</v>
      </c>
      <c r="D3232">
        <v>944892</v>
      </c>
      <c r="E3232" t="s">
        <v>948</v>
      </c>
    </row>
    <row r="3233" spans="1:5">
      <c r="A3233" t="s">
        <v>3512</v>
      </c>
      <c r="C3233" t="s">
        <v>3094</v>
      </c>
      <c r="D3233">
        <v>875441</v>
      </c>
      <c r="E3233" t="s">
        <v>160</v>
      </c>
    </row>
    <row r="3234" spans="1:5">
      <c r="A3234" t="s">
        <v>3512</v>
      </c>
      <c r="C3234" t="s">
        <v>3094</v>
      </c>
      <c r="D3234">
        <v>693215</v>
      </c>
      <c r="E3234" t="s">
        <v>201</v>
      </c>
    </row>
    <row r="3235" spans="1:5">
      <c r="A3235" t="s">
        <v>3519</v>
      </c>
      <c r="C3235" t="s">
        <v>3520</v>
      </c>
      <c r="D3235">
        <v>468423</v>
      </c>
      <c r="E3235" t="s">
        <v>393</v>
      </c>
    </row>
    <row r="3236" spans="1:5">
      <c r="A3236" t="s">
        <v>3519</v>
      </c>
      <c r="C3236" t="s">
        <v>3521</v>
      </c>
      <c r="D3236">
        <v>872540</v>
      </c>
      <c r="E3236" t="s">
        <v>733</v>
      </c>
    </row>
    <row r="3237" spans="1:5">
      <c r="A3237" t="s">
        <v>3519</v>
      </c>
      <c r="C3237" t="s">
        <v>3522</v>
      </c>
      <c r="D3237">
        <v>571329</v>
      </c>
      <c r="E3237" t="s">
        <v>319</v>
      </c>
    </row>
    <row r="3238" spans="1:5">
      <c r="A3238" t="s">
        <v>3519</v>
      </c>
      <c r="C3238" t="s">
        <v>3523</v>
      </c>
      <c r="D3238">
        <v>571329</v>
      </c>
      <c r="E3238" t="s">
        <v>319</v>
      </c>
    </row>
    <row r="3239" spans="1:5">
      <c r="A3239" t="s">
        <v>3519</v>
      </c>
      <c r="C3239" t="s">
        <v>3524</v>
      </c>
      <c r="D3239">
        <v>872540</v>
      </c>
      <c r="E3239" t="s">
        <v>733</v>
      </c>
    </row>
    <row r="3240" spans="1:5">
      <c r="A3240" t="s">
        <v>3519</v>
      </c>
      <c r="C3240" t="s">
        <v>3525</v>
      </c>
      <c r="D3240">
        <v>571329</v>
      </c>
      <c r="E3240" t="s">
        <v>319</v>
      </c>
    </row>
    <row r="3241" spans="1:5">
      <c r="A3241" t="s">
        <v>3519</v>
      </c>
      <c r="C3241" t="s">
        <v>3526</v>
      </c>
      <c r="D3241">
        <v>904795</v>
      </c>
      <c r="E3241" t="s">
        <v>971</v>
      </c>
    </row>
    <row r="3242" spans="1:5">
      <c r="A3242" t="s">
        <v>3519</v>
      </c>
      <c r="C3242" t="s">
        <v>3385</v>
      </c>
      <c r="D3242">
        <v>571329</v>
      </c>
      <c r="E3242" t="s">
        <v>319</v>
      </c>
    </row>
    <row r="3243" spans="1:5">
      <c r="A3243" t="s">
        <v>3519</v>
      </c>
      <c r="C3243" t="s">
        <v>3527</v>
      </c>
      <c r="D3243">
        <v>904795</v>
      </c>
      <c r="E3243" t="s">
        <v>971</v>
      </c>
    </row>
    <row r="3244" spans="1:5">
      <c r="A3244" t="s">
        <v>3519</v>
      </c>
      <c r="C3244" t="s">
        <v>3528</v>
      </c>
      <c r="D3244">
        <v>948789</v>
      </c>
      <c r="E3244" t="s">
        <v>212</v>
      </c>
    </row>
    <row r="3245" spans="1:5">
      <c r="A3245" t="s">
        <v>3519</v>
      </c>
      <c r="C3245" t="s">
        <v>3529</v>
      </c>
      <c r="D3245">
        <v>571329</v>
      </c>
      <c r="E3245" t="s">
        <v>319</v>
      </c>
    </row>
    <row r="3246" spans="1:5">
      <c r="A3246" t="s">
        <v>3519</v>
      </c>
      <c r="C3246" t="s">
        <v>3530</v>
      </c>
      <c r="D3246">
        <v>571329</v>
      </c>
      <c r="E3246" t="s">
        <v>319</v>
      </c>
    </row>
    <row r="3247" spans="1:5">
      <c r="A3247" t="s">
        <v>3519</v>
      </c>
      <c r="C3247" t="s">
        <v>3390</v>
      </c>
      <c r="D3247">
        <v>872540</v>
      </c>
      <c r="E3247" t="s">
        <v>733</v>
      </c>
    </row>
    <row r="3248" spans="1:5">
      <c r="A3248" t="s">
        <v>3519</v>
      </c>
      <c r="C3248" t="s">
        <v>3531</v>
      </c>
      <c r="D3248">
        <v>571329</v>
      </c>
      <c r="E3248" t="s">
        <v>319</v>
      </c>
    </row>
    <row r="3249" spans="1:5">
      <c r="A3249" t="s">
        <v>3519</v>
      </c>
      <c r="C3249" t="s">
        <v>3532</v>
      </c>
      <c r="D3249">
        <v>571329</v>
      </c>
      <c r="E3249" t="s">
        <v>319</v>
      </c>
    </row>
    <row r="3250" spans="1:5">
      <c r="A3250" t="s">
        <v>3519</v>
      </c>
      <c r="C3250" t="s">
        <v>3533</v>
      </c>
      <c r="D3250">
        <v>872540</v>
      </c>
      <c r="E3250" t="s">
        <v>733</v>
      </c>
    </row>
    <row r="3251" spans="1:5">
      <c r="A3251" t="s">
        <v>3519</v>
      </c>
      <c r="C3251" t="s">
        <v>3534</v>
      </c>
      <c r="D3251">
        <v>571329</v>
      </c>
      <c r="E3251" t="s">
        <v>319</v>
      </c>
    </row>
    <row r="3252" spans="1:5">
      <c r="A3252" t="s">
        <v>3519</v>
      </c>
      <c r="C3252" t="s">
        <v>3395</v>
      </c>
      <c r="D3252">
        <v>571329</v>
      </c>
      <c r="E3252" t="s">
        <v>319</v>
      </c>
    </row>
    <row r="3253" spans="1:5">
      <c r="A3253" t="s">
        <v>3519</v>
      </c>
      <c r="C3253" t="s">
        <v>3535</v>
      </c>
      <c r="D3253">
        <v>571329</v>
      </c>
      <c r="E3253" t="s">
        <v>319</v>
      </c>
    </row>
    <row r="3254" spans="1:5">
      <c r="A3254" t="s">
        <v>3519</v>
      </c>
      <c r="C3254" t="s">
        <v>3536</v>
      </c>
      <c r="D3254">
        <v>571329</v>
      </c>
      <c r="E3254" t="s">
        <v>319</v>
      </c>
    </row>
    <row r="3255" spans="1:5">
      <c r="A3255" t="s">
        <v>3519</v>
      </c>
      <c r="C3255" t="s">
        <v>3537</v>
      </c>
      <c r="D3255">
        <v>618122</v>
      </c>
      <c r="E3255" t="s">
        <v>783</v>
      </c>
    </row>
    <row r="3256" spans="1:5">
      <c r="A3256" t="s">
        <v>3519</v>
      </c>
      <c r="C3256" t="s">
        <v>3538</v>
      </c>
      <c r="D3256">
        <v>571329</v>
      </c>
      <c r="E3256" t="s">
        <v>319</v>
      </c>
    </row>
  </sheetData>
  <autoFilter ref="A1:E2487" xr:uid="{00000000-0009-0000-0000-000004000000}"/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0"/>
  <sheetViews>
    <sheetView topLeftCell="A3" zoomScaleNormal="100" workbookViewId="0">
      <selection activeCell="F65" sqref="F65"/>
    </sheetView>
  </sheetViews>
  <sheetFormatPr baseColWidth="10" defaultColWidth="10.8984375" defaultRowHeight="13.8"/>
  <cols>
    <col min="1" max="1" width="26.19921875" customWidth="1"/>
    <col min="2" max="2" width="23" customWidth="1"/>
    <col min="1024" max="1024" width="11" customWidth="1"/>
  </cols>
  <sheetData>
    <row r="1" spans="1:5" s="3" customFormat="1" ht="17.399999999999999">
      <c r="A1" s="3" t="s">
        <v>883</v>
      </c>
      <c r="C1" s="3" t="s">
        <v>884</v>
      </c>
      <c r="D1" s="3" t="s">
        <v>1</v>
      </c>
      <c r="E1" s="3" t="s">
        <v>0</v>
      </c>
    </row>
    <row r="52" spans="1:5">
      <c r="A52" s="56"/>
      <c r="B52" s="57"/>
      <c r="C52" s="57"/>
      <c r="D52" s="57"/>
      <c r="E52" s="58"/>
    </row>
    <row r="53" spans="1:5">
      <c r="A53" s="59"/>
      <c r="B53" s="60"/>
      <c r="C53" s="60"/>
      <c r="D53" s="60"/>
      <c r="E53" s="61"/>
    </row>
    <row r="54" spans="1:5">
      <c r="A54" s="56"/>
      <c r="B54" s="57"/>
      <c r="C54" s="57"/>
      <c r="D54" s="57"/>
      <c r="E54" s="58"/>
    </row>
    <row r="55" spans="1:5">
      <c r="A55" s="59"/>
      <c r="B55" s="60"/>
      <c r="C55" s="60"/>
      <c r="D55" s="60"/>
      <c r="E55" s="61"/>
    </row>
    <row r="56" spans="1:5">
      <c r="A56" s="56"/>
      <c r="B56" s="57"/>
      <c r="C56" s="57"/>
      <c r="D56" s="57"/>
      <c r="E56" s="58"/>
    </row>
    <row r="57" spans="1:5">
      <c r="A57" s="59"/>
      <c r="B57" s="60"/>
      <c r="C57" s="60"/>
      <c r="D57" s="60"/>
      <c r="E57" s="61"/>
    </row>
    <row r="58" spans="1:5">
      <c r="A58" s="56"/>
      <c r="B58" s="57"/>
      <c r="C58" s="57"/>
      <c r="D58" s="57"/>
      <c r="E58" s="58"/>
    </row>
    <row r="59" spans="1:5">
      <c r="A59" s="59"/>
      <c r="B59" s="60"/>
      <c r="C59" s="60"/>
      <c r="D59" s="60"/>
      <c r="E59" s="61"/>
    </row>
    <row r="60" spans="1:5">
      <c r="A60" s="56"/>
      <c r="B60" s="57"/>
      <c r="C60" s="57"/>
      <c r="D60" s="57"/>
      <c r="E60" s="58"/>
    </row>
  </sheetData>
  <pageMargins left="0" right="0" top="1.1583333333333301" bottom="1.1583333333333301" header="0" footer="0"/>
  <pageSetup paperSize="9" orientation="portrait" horizontalDpi="300" verticalDpi="300"/>
  <headerFooter>
    <oddHeader>&amp;C&amp;10&amp;A</oddHeader>
    <oddFooter>&amp;C&amp;10Page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7"/>
  <sheetViews>
    <sheetView topLeftCell="A30" zoomScaleNormal="100" workbookViewId="0">
      <selection activeCell="A42" sqref="A42:E57"/>
    </sheetView>
  </sheetViews>
  <sheetFormatPr baseColWidth="10" defaultColWidth="10.8984375" defaultRowHeight="13.8"/>
  <cols>
    <col min="1" max="1" width="46.09765625" customWidth="1"/>
    <col min="2" max="2" width="20" customWidth="1"/>
    <col min="1024" max="1024" width="11" customWidth="1"/>
  </cols>
  <sheetData>
    <row r="1" spans="1:5" s="3" customFormat="1" ht="17.399999999999999">
      <c r="A1" s="3" t="s">
        <v>883</v>
      </c>
      <c r="C1" s="3" t="s">
        <v>884</v>
      </c>
      <c r="D1" s="3" t="s">
        <v>1</v>
      </c>
      <c r="E1" s="3" t="s">
        <v>0</v>
      </c>
    </row>
    <row r="2" spans="1:5">
      <c r="A2" t="s">
        <v>2829</v>
      </c>
      <c r="B2" t="s">
        <v>896</v>
      </c>
      <c r="C2" s="62" t="s">
        <v>1008</v>
      </c>
      <c r="D2">
        <v>597434</v>
      </c>
      <c r="E2" t="s">
        <v>47</v>
      </c>
    </row>
    <row r="3" spans="1:5">
      <c r="A3" t="s">
        <v>2829</v>
      </c>
      <c r="B3" t="s">
        <v>896</v>
      </c>
      <c r="C3" s="62" t="s">
        <v>1008</v>
      </c>
      <c r="D3">
        <v>829843</v>
      </c>
      <c r="E3" t="s">
        <v>792</v>
      </c>
    </row>
    <row r="4" spans="1:5">
      <c r="A4" t="s">
        <v>2829</v>
      </c>
      <c r="B4" t="s">
        <v>896</v>
      </c>
      <c r="C4" s="62" t="s">
        <v>1008</v>
      </c>
      <c r="D4">
        <v>302414</v>
      </c>
      <c r="E4" t="s">
        <v>577</v>
      </c>
    </row>
    <row r="5" spans="1:5">
      <c r="A5" t="s">
        <v>2829</v>
      </c>
      <c r="B5" t="s">
        <v>896</v>
      </c>
      <c r="C5" s="62" t="s">
        <v>1015</v>
      </c>
      <c r="D5">
        <v>302414</v>
      </c>
      <c r="E5" t="s">
        <v>577</v>
      </c>
    </row>
    <row r="6" spans="1:5">
      <c r="A6" t="s">
        <v>2829</v>
      </c>
      <c r="B6" t="s">
        <v>896</v>
      </c>
      <c r="C6" s="62" t="s">
        <v>1015</v>
      </c>
      <c r="D6">
        <v>597434</v>
      </c>
      <c r="E6" t="s">
        <v>47</v>
      </c>
    </row>
    <row r="7" spans="1:5">
      <c r="A7" t="s">
        <v>2829</v>
      </c>
      <c r="B7" t="s">
        <v>896</v>
      </c>
      <c r="C7" s="62" t="s">
        <v>1015</v>
      </c>
      <c r="D7">
        <v>829843</v>
      </c>
      <c r="E7" t="s">
        <v>792</v>
      </c>
    </row>
    <row r="8" spans="1:5">
      <c r="A8" t="s">
        <v>2829</v>
      </c>
      <c r="B8" t="s">
        <v>896</v>
      </c>
      <c r="C8" s="62" t="s">
        <v>1022</v>
      </c>
      <c r="D8">
        <v>597434</v>
      </c>
      <c r="E8" t="s">
        <v>47</v>
      </c>
    </row>
    <row r="9" spans="1:5">
      <c r="A9" t="s">
        <v>2829</v>
      </c>
      <c r="B9" t="s">
        <v>896</v>
      </c>
      <c r="C9" s="62" t="s">
        <v>1022</v>
      </c>
      <c r="D9">
        <v>500961</v>
      </c>
      <c r="E9" t="s">
        <v>572</v>
      </c>
    </row>
    <row r="10" spans="1:5">
      <c r="A10" t="s">
        <v>2829</v>
      </c>
      <c r="B10" t="s">
        <v>896</v>
      </c>
      <c r="C10" s="62" t="s">
        <v>1030</v>
      </c>
      <c r="D10">
        <v>597434</v>
      </c>
      <c r="E10" t="s">
        <v>47</v>
      </c>
    </row>
    <row r="11" spans="1:5">
      <c r="A11" t="s">
        <v>2829</v>
      </c>
      <c r="B11" t="s">
        <v>896</v>
      </c>
      <c r="C11" s="62" t="s">
        <v>1030</v>
      </c>
      <c r="D11">
        <v>914365</v>
      </c>
      <c r="E11" t="s">
        <v>513</v>
      </c>
    </row>
    <row r="12" spans="1:5">
      <c r="A12" t="s">
        <v>2830</v>
      </c>
      <c r="B12" t="s">
        <v>896</v>
      </c>
      <c r="C12" s="62" t="s">
        <v>1315</v>
      </c>
      <c r="D12">
        <v>597434</v>
      </c>
      <c r="E12" t="s">
        <v>47</v>
      </c>
    </row>
    <row r="13" spans="1:5">
      <c r="A13" t="s">
        <v>2830</v>
      </c>
      <c r="B13" t="s">
        <v>896</v>
      </c>
      <c r="C13" s="62" t="s">
        <v>1315</v>
      </c>
      <c r="D13">
        <v>302414</v>
      </c>
      <c r="E13" t="s">
        <v>577</v>
      </c>
    </row>
    <row r="14" spans="1:5">
      <c r="A14" t="s">
        <v>2830</v>
      </c>
      <c r="B14" t="s">
        <v>896</v>
      </c>
      <c r="C14" s="62" t="s">
        <v>1329</v>
      </c>
      <c r="D14">
        <v>597434</v>
      </c>
      <c r="E14" t="s">
        <v>47</v>
      </c>
    </row>
    <row r="15" spans="1:5">
      <c r="A15" t="s">
        <v>2830</v>
      </c>
      <c r="B15" t="s">
        <v>896</v>
      </c>
      <c r="C15" s="62" t="s">
        <v>1329</v>
      </c>
      <c r="D15">
        <v>302414</v>
      </c>
      <c r="E15" t="s">
        <v>577</v>
      </c>
    </row>
    <row r="16" spans="1:5">
      <c r="A16" t="s">
        <v>2830</v>
      </c>
      <c r="B16" t="s">
        <v>896</v>
      </c>
      <c r="C16" s="62" t="s">
        <v>1329</v>
      </c>
      <c r="D16">
        <v>500961</v>
      </c>
      <c r="E16" t="s">
        <v>572</v>
      </c>
    </row>
    <row r="17" spans="1:5">
      <c r="A17" t="s">
        <v>2830</v>
      </c>
      <c r="B17" t="s">
        <v>896</v>
      </c>
      <c r="C17" s="62" t="s">
        <v>1336</v>
      </c>
      <c r="D17">
        <v>597434</v>
      </c>
      <c r="E17" t="s">
        <v>47</v>
      </c>
    </row>
    <row r="18" spans="1:5">
      <c r="A18" t="s">
        <v>2830</v>
      </c>
      <c r="B18" t="s">
        <v>896</v>
      </c>
      <c r="C18" s="62" t="s">
        <v>1336</v>
      </c>
      <c r="D18">
        <v>302414</v>
      </c>
      <c r="E18" t="s">
        <v>577</v>
      </c>
    </row>
    <row r="19" spans="1:5">
      <c r="A19" t="s">
        <v>2830</v>
      </c>
      <c r="B19" t="s">
        <v>896</v>
      </c>
      <c r="C19" s="62" t="s">
        <v>1342</v>
      </c>
      <c r="D19">
        <v>597434</v>
      </c>
      <c r="E19" t="s">
        <v>47</v>
      </c>
    </row>
    <row r="20" spans="1:5">
      <c r="A20" t="s">
        <v>2830</v>
      </c>
      <c r="B20" t="s">
        <v>896</v>
      </c>
      <c r="C20" t="s">
        <v>1342</v>
      </c>
      <c r="D20">
        <v>302414</v>
      </c>
      <c r="E20" t="s">
        <v>577</v>
      </c>
    </row>
    <row r="21" spans="1:5">
      <c r="A21" t="s">
        <v>2831</v>
      </c>
      <c r="B21" t="s">
        <v>896</v>
      </c>
      <c r="C21" t="s">
        <v>2832</v>
      </c>
      <c r="D21">
        <v>905187</v>
      </c>
      <c r="E21" t="s">
        <v>767</v>
      </c>
    </row>
    <row r="22" spans="1:5">
      <c r="A22" t="s">
        <v>2831</v>
      </c>
      <c r="B22" t="s">
        <v>896</v>
      </c>
      <c r="C22" t="s">
        <v>2832</v>
      </c>
      <c r="D22">
        <v>132132</v>
      </c>
      <c r="E22" t="s">
        <v>460</v>
      </c>
    </row>
    <row r="23" spans="1:5">
      <c r="A23" t="s">
        <v>2831</v>
      </c>
      <c r="B23" t="s">
        <v>896</v>
      </c>
      <c r="C23" t="s">
        <v>2833</v>
      </c>
      <c r="D23">
        <v>869668</v>
      </c>
      <c r="E23" t="s">
        <v>1388</v>
      </c>
    </row>
    <row r="24" spans="1:5">
      <c r="A24" t="s">
        <v>2831</v>
      </c>
      <c r="B24" t="s">
        <v>896</v>
      </c>
      <c r="C24" t="s">
        <v>2833</v>
      </c>
      <c r="D24">
        <v>936159</v>
      </c>
      <c r="E24" t="s">
        <v>834</v>
      </c>
    </row>
    <row r="25" spans="1:5">
      <c r="A25" t="s">
        <v>2831</v>
      </c>
      <c r="B25" t="s">
        <v>896</v>
      </c>
      <c r="C25" t="s">
        <v>2834</v>
      </c>
      <c r="D25">
        <v>869668</v>
      </c>
      <c r="E25" t="s">
        <v>1388</v>
      </c>
    </row>
    <row r="26" spans="1:5">
      <c r="A26" t="s">
        <v>2831</v>
      </c>
      <c r="B26" t="s">
        <v>896</v>
      </c>
      <c r="C26" t="s">
        <v>2834</v>
      </c>
      <c r="D26">
        <v>797989</v>
      </c>
      <c r="E26" t="s">
        <v>337</v>
      </c>
    </row>
    <row r="27" spans="1:5">
      <c r="A27" t="s">
        <v>2831</v>
      </c>
      <c r="B27" t="s">
        <v>896</v>
      </c>
      <c r="C27" t="s">
        <v>2835</v>
      </c>
      <c r="D27">
        <v>831512</v>
      </c>
      <c r="E27" t="s">
        <v>81</v>
      </c>
    </row>
    <row r="28" spans="1:5">
      <c r="A28" t="s">
        <v>2831</v>
      </c>
      <c r="B28" t="s">
        <v>896</v>
      </c>
      <c r="C28" t="s">
        <v>2835</v>
      </c>
      <c r="D28">
        <v>729487</v>
      </c>
      <c r="E28" t="s">
        <v>96</v>
      </c>
    </row>
    <row r="29" spans="1:5">
      <c r="A29" t="s">
        <v>2836</v>
      </c>
      <c r="B29" t="s">
        <v>896</v>
      </c>
      <c r="C29" t="s">
        <v>1363</v>
      </c>
      <c r="D29">
        <v>974730</v>
      </c>
      <c r="E29" t="s">
        <v>93</v>
      </c>
    </row>
    <row r="30" spans="1:5">
      <c r="A30" t="s">
        <v>2247</v>
      </c>
      <c r="B30" t="s">
        <v>896</v>
      </c>
      <c r="C30" t="s">
        <v>1160</v>
      </c>
      <c r="D30">
        <v>597434</v>
      </c>
      <c r="E30" t="s">
        <v>47</v>
      </c>
    </row>
    <row r="31" spans="1:5">
      <c r="A31" t="s">
        <v>2247</v>
      </c>
      <c r="B31" t="s">
        <v>896</v>
      </c>
      <c r="C31" t="s">
        <v>1160</v>
      </c>
      <c r="D31">
        <v>302414</v>
      </c>
      <c r="E31" t="s">
        <v>577</v>
      </c>
    </row>
    <row r="32" spans="1:5">
      <c r="A32" t="s">
        <v>2247</v>
      </c>
      <c r="B32" t="s">
        <v>896</v>
      </c>
      <c r="C32" t="s">
        <v>1167</v>
      </c>
      <c r="D32">
        <v>597434</v>
      </c>
      <c r="E32" t="s">
        <v>47</v>
      </c>
    </row>
    <row r="33" spans="1:5">
      <c r="A33" t="s">
        <v>2247</v>
      </c>
      <c r="B33" t="s">
        <v>896</v>
      </c>
      <c r="C33" t="s">
        <v>1167</v>
      </c>
      <c r="D33">
        <v>500961</v>
      </c>
      <c r="E33" t="s">
        <v>572</v>
      </c>
    </row>
    <row r="34" spans="1:5">
      <c r="A34" t="s">
        <v>2247</v>
      </c>
      <c r="B34" t="s">
        <v>896</v>
      </c>
      <c r="C34" t="s">
        <v>1167</v>
      </c>
      <c r="D34">
        <v>302414</v>
      </c>
      <c r="E34" t="s">
        <v>577</v>
      </c>
    </row>
    <row r="35" spans="1:5">
      <c r="A35" t="s">
        <v>2247</v>
      </c>
      <c r="B35" t="s">
        <v>896</v>
      </c>
      <c r="C35" t="s">
        <v>1174</v>
      </c>
      <c r="D35">
        <v>597434</v>
      </c>
      <c r="E35" t="s">
        <v>47</v>
      </c>
    </row>
    <row r="36" spans="1:5">
      <c r="A36" t="s">
        <v>2247</v>
      </c>
      <c r="B36" t="s">
        <v>896</v>
      </c>
      <c r="C36" t="s">
        <v>1174</v>
      </c>
      <c r="D36">
        <v>302414</v>
      </c>
      <c r="E36" t="s">
        <v>577</v>
      </c>
    </row>
    <row r="37" spans="1:5">
      <c r="A37" t="s">
        <v>2247</v>
      </c>
      <c r="B37" t="s">
        <v>896</v>
      </c>
      <c r="C37" t="s">
        <v>1181</v>
      </c>
      <c r="D37">
        <v>597434</v>
      </c>
      <c r="E37" t="s">
        <v>47</v>
      </c>
    </row>
    <row r="38" spans="1:5">
      <c r="A38" t="s">
        <v>2247</v>
      </c>
      <c r="B38" t="s">
        <v>896</v>
      </c>
      <c r="C38" t="s">
        <v>1181</v>
      </c>
      <c r="D38">
        <v>302414</v>
      </c>
      <c r="E38" t="s">
        <v>577</v>
      </c>
    </row>
    <row r="39" spans="1:5">
      <c r="A39" t="s">
        <v>2247</v>
      </c>
      <c r="B39" t="s">
        <v>896</v>
      </c>
      <c r="C39" t="s">
        <v>1181</v>
      </c>
      <c r="D39">
        <v>266487</v>
      </c>
      <c r="E39" t="s">
        <v>255</v>
      </c>
    </row>
    <row r="40" spans="1:5">
      <c r="A40" t="s">
        <v>2293</v>
      </c>
      <c r="B40" t="s">
        <v>896</v>
      </c>
      <c r="C40" t="s">
        <v>2294</v>
      </c>
      <c r="D40">
        <v>806909</v>
      </c>
      <c r="E40" t="s">
        <v>769</v>
      </c>
    </row>
    <row r="41" spans="1:5">
      <c r="A41" t="s">
        <v>2293</v>
      </c>
      <c r="B41" t="s">
        <v>896</v>
      </c>
      <c r="C41" t="s">
        <v>2294</v>
      </c>
      <c r="D41">
        <v>905187</v>
      </c>
      <c r="E41" t="s">
        <v>767</v>
      </c>
    </row>
    <row r="42" spans="1:5">
      <c r="A42" t="s">
        <v>3595</v>
      </c>
      <c r="B42" t="s">
        <v>3596</v>
      </c>
      <c r="C42" t="s">
        <v>3470</v>
      </c>
      <c r="D42">
        <v>597434</v>
      </c>
      <c r="E42" t="s">
        <v>47</v>
      </c>
    </row>
    <row r="43" spans="1:5">
      <c r="A43" t="s">
        <v>3595</v>
      </c>
      <c r="B43" t="s">
        <v>3596</v>
      </c>
      <c r="C43" t="s">
        <v>3470</v>
      </c>
      <c r="D43">
        <v>829843</v>
      </c>
      <c r="E43" t="s">
        <v>792</v>
      </c>
    </row>
    <row r="44" spans="1:5">
      <c r="A44" t="s">
        <v>3595</v>
      </c>
      <c r="B44" t="s">
        <v>3596</v>
      </c>
      <c r="C44" t="s">
        <v>3474</v>
      </c>
      <c r="D44">
        <v>914365</v>
      </c>
      <c r="E44" t="s">
        <v>513</v>
      </c>
    </row>
    <row r="45" spans="1:5">
      <c r="A45" t="s">
        <v>3595</v>
      </c>
      <c r="B45" t="s">
        <v>3596</v>
      </c>
      <c r="C45" t="s">
        <v>3474</v>
      </c>
      <c r="D45">
        <v>597434</v>
      </c>
      <c r="E45" t="s">
        <v>47</v>
      </c>
    </row>
    <row r="46" spans="1:5">
      <c r="A46" t="s">
        <v>3595</v>
      </c>
      <c r="B46" t="s">
        <v>3596</v>
      </c>
      <c r="C46" t="s">
        <v>3474</v>
      </c>
      <c r="D46">
        <v>829843</v>
      </c>
      <c r="E46" t="s">
        <v>792</v>
      </c>
    </row>
    <row r="47" spans="1:5">
      <c r="A47" t="s">
        <v>3595</v>
      </c>
      <c r="B47" t="s">
        <v>3596</v>
      </c>
      <c r="C47" t="s">
        <v>3479</v>
      </c>
      <c r="D47">
        <v>302414</v>
      </c>
      <c r="E47" t="s">
        <v>577</v>
      </c>
    </row>
    <row r="48" spans="1:5">
      <c r="A48" t="s">
        <v>3595</v>
      </c>
      <c r="B48" t="s">
        <v>3596</v>
      </c>
      <c r="C48" t="s">
        <v>3479</v>
      </c>
      <c r="D48">
        <v>829843</v>
      </c>
      <c r="E48" t="s">
        <v>792</v>
      </c>
    </row>
    <row r="49" spans="1:5">
      <c r="A49" t="s">
        <v>3595</v>
      </c>
      <c r="B49" t="s">
        <v>3596</v>
      </c>
      <c r="C49" t="s">
        <v>3484</v>
      </c>
      <c r="D49">
        <v>829843</v>
      </c>
      <c r="E49" t="s">
        <v>792</v>
      </c>
    </row>
    <row r="50" spans="1:5">
      <c r="A50" t="s">
        <v>3595</v>
      </c>
      <c r="B50" t="s">
        <v>3596</v>
      </c>
      <c r="C50" t="s">
        <v>3484</v>
      </c>
      <c r="D50">
        <v>597434</v>
      </c>
      <c r="E50" t="s">
        <v>47</v>
      </c>
    </row>
    <row r="51" spans="1:5">
      <c r="A51" t="s">
        <v>3595</v>
      </c>
      <c r="B51" t="s">
        <v>3596</v>
      </c>
      <c r="C51" t="s">
        <v>3484</v>
      </c>
      <c r="D51">
        <v>266487</v>
      </c>
      <c r="E51" t="s">
        <v>255</v>
      </c>
    </row>
    <row r="52" spans="1:5">
      <c r="A52" t="s">
        <v>3597</v>
      </c>
      <c r="B52" t="s">
        <v>3596</v>
      </c>
      <c r="C52" t="s">
        <v>3598</v>
      </c>
      <c r="D52">
        <v>703541</v>
      </c>
      <c r="E52" t="s">
        <v>523</v>
      </c>
    </row>
    <row r="53" spans="1:5">
      <c r="A53" t="s">
        <v>3597</v>
      </c>
      <c r="B53" t="s">
        <v>3596</v>
      </c>
      <c r="C53" t="s">
        <v>3598</v>
      </c>
      <c r="D53">
        <v>967920</v>
      </c>
      <c r="E53" t="s">
        <v>499</v>
      </c>
    </row>
    <row r="54" spans="1:5">
      <c r="A54" t="s">
        <v>3597</v>
      </c>
      <c r="B54" t="s">
        <v>3596</v>
      </c>
      <c r="C54" t="s">
        <v>3599</v>
      </c>
      <c r="D54">
        <v>789902</v>
      </c>
      <c r="E54" t="s">
        <v>485</v>
      </c>
    </row>
    <row r="55" spans="1:5">
      <c r="A55" t="s">
        <v>3597</v>
      </c>
      <c r="B55" t="s">
        <v>3596</v>
      </c>
      <c r="C55" t="s">
        <v>3600</v>
      </c>
      <c r="D55">
        <v>869668</v>
      </c>
      <c r="E55" t="s">
        <v>1388</v>
      </c>
    </row>
    <row r="56" spans="1:5">
      <c r="A56" t="s">
        <v>3597</v>
      </c>
      <c r="B56" t="s">
        <v>3596</v>
      </c>
      <c r="C56" t="s">
        <v>3600</v>
      </c>
      <c r="D56">
        <v>905187</v>
      </c>
      <c r="E56" t="s">
        <v>767</v>
      </c>
    </row>
    <row r="57" spans="1:5">
      <c r="A57" t="s">
        <v>3601</v>
      </c>
      <c r="B57" t="s">
        <v>3596</v>
      </c>
    </row>
  </sheetData>
  <autoFilter ref="A1:E1" xr:uid="{00000000-0009-0000-0000-000006000000}"/>
  <pageMargins left="0" right="0" top="1.1583333333333301" bottom="1.1583333333333301" header="0" footer="0"/>
  <pageSetup paperSize="9" orientation="portrait" horizontalDpi="300" verticalDpi="300"/>
  <headerFooter>
    <oddHeader>&amp;C&amp;10&amp;A</oddHeader>
    <oddFooter>&amp;C&amp;10Page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4"/>
  <sheetViews>
    <sheetView topLeftCell="A73" zoomScaleNormal="100" workbookViewId="0">
      <selection activeCell="A76" sqref="A76"/>
    </sheetView>
  </sheetViews>
  <sheetFormatPr baseColWidth="10" defaultColWidth="10.59765625" defaultRowHeight="13.8"/>
  <cols>
    <col min="3" max="3" width="21.19921875" customWidth="1"/>
    <col min="1024" max="1024" width="11" customWidth="1"/>
  </cols>
  <sheetData>
    <row r="1" spans="1:3" s="28" customFormat="1" ht="17.399999999999999">
      <c r="A1" s="28" t="s">
        <v>2837</v>
      </c>
      <c r="B1" s="28" t="s">
        <v>1</v>
      </c>
      <c r="C1" s="28" t="s">
        <v>0</v>
      </c>
    </row>
    <row r="2" spans="1:3">
      <c r="A2" t="s">
        <v>2838</v>
      </c>
      <c r="B2" s="8">
        <v>479121</v>
      </c>
      <c r="C2" s="8" t="s">
        <v>38</v>
      </c>
    </row>
    <row r="3" spans="1:3">
      <c r="A3" t="s">
        <v>2838</v>
      </c>
      <c r="B3" s="8">
        <v>831512</v>
      </c>
      <c r="C3" s="8" t="s">
        <v>81</v>
      </c>
    </row>
    <row r="4" spans="1:3">
      <c r="A4" t="s">
        <v>2838</v>
      </c>
      <c r="B4" s="8">
        <v>635374</v>
      </c>
      <c r="C4" s="8" t="s">
        <v>450</v>
      </c>
    </row>
    <row r="5" spans="1:3">
      <c r="A5" t="s">
        <v>2838</v>
      </c>
      <c r="B5" s="8">
        <v>636064</v>
      </c>
      <c r="C5" s="8" t="s">
        <v>518</v>
      </c>
    </row>
    <row r="6" spans="1:3">
      <c r="A6" t="s">
        <v>2838</v>
      </c>
      <c r="B6" s="8">
        <v>162003</v>
      </c>
      <c r="C6" s="8" t="s">
        <v>797</v>
      </c>
    </row>
    <row r="7" spans="1:3">
      <c r="A7" t="s">
        <v>2838</v>
      </c>
      <c r="B7" s="8">
        <v>629424</v>
      </c>
      <c r="C7" s="8" t="s">
        <v>51</v>
      </c>
    </row>
    <row r="8" spans="1:3">
      <c r="A8" t="s">
        <v>2838</v>
      </c>
      <c r="B8" s="8">
        <v>267168</v>
      </c>
      <c r="C8" s="8" t="s">
        <v>206</v>
      </c>
    </row>
    <row r="9" spans="1:3">
      <c r="A9" t="s">
        <v>2838</v>
      </c>
      <c r="B9" s="8">
        <v>132132</v>
      </c>
      <c r="C9" s="8" t="s">
        <v>460</v>
      </c>
    </row>
    <row r="10" spans="1:3">
      <c r="A10" t="s">
        <v>2838</v>
      </c>
      <c r="B10" s="8">
        <v>903811</v>
      </c>
      <c r="C10" s="8" t="s">
        <v>320</v>
      </c>
    </row>
    <row r="11" spans="1:3">
      <c r="A11" t="s">
        <v>2838</v>
      </c>
      <c r="B11" s="8">
        <v>496044</v>
      </c>
      <c r="C11" s="8" t="s">
        <v>396</v>
      </c>
    </row>
    <row r="12" spans="1:3">
      <c r="A12" t="s">
        <v>2838</v>
      </c>
      <c r="B12" s="8">
        <v>803535</v>
      </c>
      <c r="C12" s="8" t="s">
        <v>729</v>
      </c>
    </row>
    <row r="13" spans="1:3">
      <c r="A13" t="s">
        <v>2838</v>
      </c>
      <c r="B13" s="8">
        <v>248981</v>
      </c>
      <c r="C13" s="8" t="s">
        <v>25</v>
      </c>
    </row>
    <row r="14" spans="1:3">
      <c r="A14" t="s">
        <v>2838</v>
      </c>
      <c r="B14" s="8">
        <v>803118</v>
      </c>
      <c r="C14" s="8" t="s">
        <v>590</v>
      </c>
    </row>
    <row r="15" spans="1:3">
      <c r="A15" t="s">
        <v>2838</v>
      </c>
      <c r="B15" s="8">
        <v>532833</v>
      </c>
      <c r="C15" s="8" t="s">
        <v>325</v>
      </c>
    </row>
    <row r="16" spans="1:3">
      <c r="A16" t="s">
        <v>2838</v>
      </c>
      <c r="B16" s="8">
        <v>629424</v>
      </c>
      <c r="C16" s="8" t="s">
        <v>51</v>
      </c>
    </row>
    <row r="17" spans="1:3">
      <c r="A17" t="s">
        <v>2838</v>
      </c>
      <c r="B17" s="8">
        <v>267168</v>
      </c>
      <c r="C17" s="8" t="s">
        <v>206</v>
      </c>
    </row>
    <row r="18" spans="1:3">
      <c r="A18" t="s">
        <v>2838</v>
      </c>
      <c r="B18" s="8">
        <v>132132</v>
      </c>
      <c r="C18" s="8" t="s">
        <v>460</v>
      </c>
    </row>
    <row r="19" spans="1:3">
      <c r="A19" t="s">
        <v>2838</v>
      </c>
      <c r="B19" s="8">
        <v>903811</v>
      </c>
      <c r="C19" s="8" t="s">
        <v>320</v>
      </c>
    </row>
    <row r="20" spans="1:3">
      <c r="A20" t="s">
        <v>2838</v>
      </c>
      <c r="B20" s="8">
        <v>496044</v>
      </c>
      <c r="C20" s="8" t="s">
        <v>396</v>
      </c>
    </row>
    <row r="21" spans="1:3">
      <c r="A21" t="s">
        <v>2838</v>
      </c>
      <c r="B21" s="8">
        <v>803535</v>
      </c>
      <c r="C21" s="8" t="s">
        <v>729</v>
      </c>
    </row>
    <row r="22" spans="1:3">
      <c r="A22" t="s">
        <v>2838</v>
      </c>
      <c r="B22" s="8">
        <v>248981</v>
      </c>
      <c r="C22" s="8" t="s">
        <v>25</v>
      </c>
    </row>
    <row r="23" spans="1:3">
      <c r="A23" t="s">
        <v>2838</v>
      </c>
      <c r="B23" s="8">
        <v>803118</v>
      </c>
      <c r="C23" s="8" t="s">
        <v>590</v>
      </c>
    </row>
    <row r="24" spans="1:3">
      <c r="A24" t="s">
        <v>2838</v>
      </c>
      <c r="B24" s="8">
        <v>532833</v>
      </c>
      <c r="C24" s="8" t="s">
        <v>325</v>
      </c>
    </row>
    <row r="25" spans="1:3">
      <c r="A25" t="s">
        <v>2838</v>
      </c>
      <c r="B25" s="8">
        <v>903811</v>
      </c>
      <c r="C25" s="8" t="s">
        <v>320</v>
      </c>
    </row>
    <row r="26" spans="1:3">
      <c r="A26" t="s">
        <v>2838</v>
      </c>
      <c r="B26" s="8">
        <v>496044</v>
      </c>
      <c r="C26" s="8" t="s">
        <v>396</v>
      </c>
    </row>
    <row r="27" spans="1:3">
      <c r="A27" t="s">
        <v>2838</v>
      </c>
      <c r="B27" s="8">
        <v>803535</v>
      </c>
      <c r="C27" s="8" t="s">
        <v>729</v>
      </c>
    </row>
    <row r="28" spans="1:3">
      <c r="A28" t="s">
        <v>2838</v>
      </c>
      <c r="B28" s="8">
        <v>248981</v>
      </c>
      <c r="C28" s="8" t="s">
        <v>25</v>
      </c>
    </row>
    <row r="29" spans="1:3">
      <c r="A29" t="s">
        <v>2838</v>
      </c>
      <c r="B29" s="8">
        <v>803118</v>
      </c>
      <c r="C29" s="8" t="s">
        <v>590</v>
      </c>
    </row>
    <row r="30" spans="1:3">
      <c r="A30" t="s">
        <v>2838</v>
      </c>
      <c r="B30" s="8">
        <v>532833</v>
      </c>
      <c r="C30" s="8" t="s">
        <v>325</v>
      </c>
    </row>
    <row r="31" spans="1:3">
      <c r="A31" t="s">
        <v>2838</v>
      </c>
      <c r="B31" s="8">
        <v>803535</v>
      </c>
      <c r="C31" s="8" t="s">
        <v>729</v>
      </c>
    </row>
    <row r="32" spans="1:3">
      <c r="A32" t="s">
        <v>2838</v>
      </c>
      <c r="B32" s="8">
        <v>248981</v>
      </c>
      <c r="C32" s="8" t="s">
        <v>25</v>
      </c>
    </row>
    <row r="33" spans="1:3">
      <c r="A33" t="s">
        <v>2838</v>
      </c>
      <c r="B33" s="8">
        <v>803118</v>
      </c>
      <c r="C33" s="8" t="s">
        <v>590</v>
      </c>
    </row>
    <row r="34" spans="1:3">
      <c r="A34" t="s">
        <v>2838</v>
      </c>
      <c r="B34" s="8">
        <v>532833</v>
      </c>
      <c r="C34" s="8" t="s">
        <v>325</v>
      </c>
    </row>
    <row r="35" spans="1:3">
      <c r="A35" t="s">
        <v>2838</v>
      </c>
      <c r="B35" s="8">
        <v>248981</v>
      </c>
      <c r="C35" s="8" t="s">
        <v>25</v>
      </c>
    </row>
    <row r="36" spans="1:3">
      <c r="A36" t="s">
        <v>2838</v>
      </c>
      <c r="B36" s="8">
        <v>803118</v>
      </c>
      <c r="C36" s="8" t="s">
        <v>590</v>
      </c>
    </row>
    <row r="37" spans="1:3">
      <c r="A37" t="s">
        <v>2838</v>
      </c>
      <c r="B37" s="8">
        <v>532833</v>
      </c>
      <c r="C37" s="8" t="s">
        <v>325</v>
      </c>
    </row>
    <row r="38" spans="1:3">
      <c r="A38" t="s">
        <v>2838</v>
      </c>
      <c r="B38" s="8">
        <v>532833</v>
      </c>
      <c r="C38" s="8" t="s">
        <v>325</v>
      </c>
    </row>
    <row r="39" spans="1:3">
      <c r="A39" t="s">
        <v>2838</v>
      </c>
      <c r="B39" s="8">
        <v>532833</v>
      </c>
      <c r="C39" s="8" t="s">
        <v>325</v>
      </c>
    </row>
    <row r="40" spans="1:3">
      <c r="A40" t="s">
        <v>2838</v>
      </c>
      <c r="B40" s="8">
        <v>532833</v>
      </c>
      <c r="C40" s="8" t="s">
        <v>325</v>
      </c>
    </row>
    <row r="41" spans="1:3">
      <c r="A41" t="s">
        <v>2838</v>
      </c>
      <c r="B41" s="8">
        <v>532833</v>
      </c>
      <c r="C41" s="8" t="s">
        <v>325</v>
      </c>
    </row>
    <row r="42" spans="1:3">
      <c r="A42" t="s">
        <v>2839</v>
      </c>
      <c r="B42" s="8">
        <v>248981</v>
      </c>
      <c r="C42" s="8" t="s">
        <v>25</v>
      </c>
    </row>
    <row r="43" spans="1:3">
      <c r="A43" t="s">
        <v>2839</v>
      </c>
      <c r="B43" s="8">
        <v>831512</v>
      </c>
      <c r="C43" s="8" t="s">
        <v>81</v>
      </c>
    </row>
    <row r="44" spans="1:3">
      <c r="A44" t="s">
        <v>2839</v>
      </c>
      <c r="B44" s="8">
        <v>693215</v>
      </c>
      <c r="C44" s="8" t="s">
        <v>201</v>
      </c>
    </row>
    <row r="45" spans="1:3">
      <c r="A45" t="s">
        <v>2839</v>
      </c>
      <c r="B45" s="8">
        <v>635374</v>
      </c>
      <c r="C45" s="8" t="s">
        <v>450</v>
      </c>
    </row>
    <row r="46" spans="1:3">
      <c r="A46" t="s">
        <v>2839</v>
      </c>
      <c r="B46" s="8">
        <v>322700</v>
      </c>
      <c r="C46" s="8" t="s">
        <v>651</v>
      </c>
    </row>
    <row r="47" spans="1:3">
      <c r="A47" t="s">
        <v>2839</v>
      </c>
      <c r="B47" s="8">
        <v>610944</v>
      </c>
      <c r="C47" s="8" t="s">
        <v>2840</v>
      </c>
    </row>
    <row r="48" spans="1:3">
      <c r="A48" t="s">
        <v>2839</v>
      </c>
      <c r="B48" s="8">
        <v>479121</v>
      </c>
      <c r="C48" s="8" t="s">
        <v>38</v>
      </c>
    </row>
    <row r="49" spans="1:3">
      <c r="A49" t="s">
        <v>2839</v>
      </c>
      <c r="B49" s="8">
        <v>453313</v>
      </c>
      <c r="C49" s="8" t="s">
        <v>71</v>
      </c>
    </row>
    <row r="50" spans="1:3">
      <c r="A50" t="s">
        <v>2839</v>
      </c>
      <c r="B50" s="8">
        <v>903811</v>
      </c>
      <c r="C50" s="8" t="s">
        <v>320</v>
      </c>
    </row>
    <row r="51" spans="1:3">
      <c r="A51" t="s">
        <v>2839</v>
      </c>
      <c r="B51" s="8">
        <v>132132</v>
      </c>
      <c r="C51" s="8" t="s">
        <v>460</v>
      </c>
    </row>
    <row r="52" spans="1:3">
      <c r="A52" t="s">
        <v>2839</v>
      </c>
      <c r="B52" s="8">
        <v>267168</v>
      </c>
      <c r="C52" s="8" t="s">
        <v>206</v>
      </c>
    </row>
    <row r="53" spans="1:3">
      <c r="A53" t="s">
        <v>2839</v>
      </c>
      <c r="B53" s="8">
        <v>803118</v>
      </c>
      <c r="C53" s="8" t="s">
        <v>590</v>
      </c>
    </row>
    <row r="54" spans="1:3">
      <c r="A54" t="s">
        <v>2839</v>
      </c>
      <c r="B54" s="8">
        <v>532833</v>
      </c>
      <c r="C54" s="8" t="s">
        <v>325</v>
      </c>
    </row>
    <row r="55" spans="1:3">
      <c r="A55" t="s">
        <v>2839</v>
      </c>
      <c r="B55" s="8">
        <v>200292</v>
      </c>
      <c r="C55" s="8" t="s">
        <v>367</v>
      </c>
    </row>
    <row r="56" spans="1:3">
      <c r="A56" t="s">
        <v>2839</v>
      </c>
      <c r="B56" s="8">
        <v>803535</v>
      </c>
      <c r="C56" s="8" t="s">
        <v>729</v>
      </c>
    </row>
    <row r="57" spans="1:3">
      <c r="A57" t="s">
        <v>2839</v>
      </c>
      <c r="B57" s="8">
        <v>479121</v>
      </c>
      <c r="C57" s="8" t="s">
        <v>38</v>
      </c>
    </row>
    <row r="58" spans="1:3">
      <c r="A58" t="s">
        <v>2839</v>
      </c>
      <c r="B58" s="8">
        <v>453313</v>
      </c>
      <c r="C58" s="8" t="s">
        <v>71</v>
      </c>
    </row>
    <row r="59" spans="1:3">
      <c r="A59" t="s">
        <v>2839</v>
      </c>
      <c r="B59" s="8">
        <v>903811</v>
      </c>
      <c r="C59" s="8" t="s">
        <v>320</v>
      </c>
    </row>
    <row r="60" spans="1:3">
      <c r="A60" t="s">
        <v>2839</v>
      </c>
      <c r="B60" s="8">
        <v>132132</v>
      </c>
      <c r="C60" s="8" t="s">
        <v>460</v>
      </c>
    </row>
    <row r="61" spans="1:3">
      <c r="A61" t="s">
        <v>2839</v>
      </c>
      <c r="B61" s="8">
        <v>267168</v>
      </c>
      <c r="C61" s="8" t="s">
        <v>206</v>
      </c>
    </row>
    <row r="62" spans="1:3">
      <c r="A62" t="s">
        <v>2839</v>
      </c>
      <c r="B62" s="8">
        <v>803118</v>
      </c>
      <c r="C62" s="8" t="s">
        <v>590</v>
      </c>
    </row>
    <row r="63" spans="1:3">
      <c r="A63" t="s">
        <v>2839</v>
      </c>
      <c r="B63" s="8">
        <v>532833</v>
      </c>
      <c r="C63" s="8" t="s">
        <v>325</v>
      </c>
    </row>
    <row r="64" spans="1:3">
      <c r="A64" t="s">
        <v>2839</v>
      </c>
      <c r="B64" s="8">
        <v>200292</v>
      </c>
      <c r="C64" s="8" t="s">
        <v>367</v>
      </c>
    </row>
    <row r="65" spans="1:3">
      <c r="A65" t="s">
        <v>2839</v>
      </c>
      <c r="B65" s="8">
        <v>803535</v>
      </c>
      <c r="C65" s="8" t="s">
        <v>729</v>
      </c>
    </row>
    <row r="66" spans="1:3">
      <c r="A66" t="s">
        <v>2839</v>
      </c>
      <c r="B66" s="8">
        <v>267168</v>
      </c>
      <c r="C66" s="8" t="s">
        <v>206</v>
      </c>
    </row>
    <row r="67" spans="1:3">
      <c r="A67" t="s">
        <v>2839</v>
      </c>
      <c r="B67" s="8">
        <v>803118</v>
      </c>
      <c r="C67" s="8" t="s">
        <v>590</v>
      </c>
    </row>
    <row r="68" spans="1:3">
      <c r="A68" t="s">
        <v>2839</v>
      </c>
      <c r="B68" s="8">
        <v>532833</v>
      </c>
      <c r="C68" s="8" t="s">
        <v>325</v>
      </c>
    </row>
    <row r="69" spans="1:3">
      <c r="A69" t="s">
        <v>2839</v>
      </c>
      <c r="B69" s="8">
        <v>200292</v>
      </c>
      <c r="C69" s="8" t="s">
        <v>367</v>
      </c>
    </row>
    <row r="70" spans="1:3">
      <c r="A70" t="s">
        <v>2839</v>
      </c>
      <c r="B70" s="8">
        <v>803535</v>
      </c>
      <c r="C70" s="8" t="s">
        <v>729</v>
      </c>
    </row>
    <row r="71" spans="1:3">
      <c r="A71" t="s">
        <v>2839</v>
      </c>
      <c r="B71" s="8">
        <v>532833</v>
      </c>
      <c r="C71" s="8" t="s">
        <v>325</v>
      </c>
    </row>
    <row r="72" spans="1:3">
      <c r="A72" t="s">
        <v>2839</v>
      </c>
      <c r="B72" s="8">
        <v>200292</v>
      </c>
      <c r="C72" s="8" t="s">
        <v>367</v>
      </c>
    </row>
    <row r="73" spans="1:3">
      <c r="A73" t="s">
        <v>2839</v>
      </c>
      <c r="B73" s="8">
        <v>803535</v>
      </c>
      <c r="C73" s="8" t="s">
        <v>729</v>
      </c>
    </row>
    <row r="74" spans="1:3">
      <c r="A74" t="s">
        <v>2839</v>
      </c>
      <c r="B74" s="8">
        <v>803535</v>
      </c>
      <c r="C74" s="8" t="s">
        <v>729</v>
      </c>
    </row>
    <row r="75" spans="1:3">
      <c r="A75" t="s">
        <v>2841</v>
      </c>
      <c r="B75" s="8">
        <v>629424</v>
      </c>
      <c r="C75" s="8" t="s">
        <v>51</v>
      </c>
    </row>
    <row r="76" spans="1:3">
      <c r="A76" t="s">
        <v>2841</v>
      </c>
      <c r="B76" s="8">
        <v>76997</v>
      </c>
      <c r="C76" s="8" t="s">
        <v>72</v>
      </c>
    </row>
    <row r="77" spans="1:3">
      <c r="A77" t="s">
        <v>2841</v>
      </c>
      <c r="B77" s="8">
        <v>693215</v>
      </c>
      <c r="C77" s="8" t="s">
        <v>201</v>
      </c>
    </row>
    <row r="78" spans="1:3">
      <c r="A78" t="s">
        <v>2841</v>
      </c>
      <c r="B78" s="8">
        <v>132132</v>
      </c>
      <c r="C78" s="8" t="s">
        <v>460</v>
      </c>
    </row>
    <row r="79" spans="1:3">
      <c r="A79" t="s">
        <v>2841</v>
      </c>
      <c r="B79" s="8">
        <v>574299</v>
      </c>
      <c r="C79" s="8" t="s">
        <v>609</v>
      </c>
    </row>
    <row r="80" spans="1:3">
      <c r="A80" t="s">
        <v>2841</v>
      </c>
      <c r="B80" s="8">
        <v>322700</v>
      </c>
      <c r="C80" s="8" t="s">
        <v>651</v>
      </c>
    </row>
    <row r="81" spans="1:3">
      <c r="A81" t="s">
        <v>2841</v>
      </c>
      <c r="B81" s="8">
        <v>610944</v>
      </c>
      <c r="C81" s="8" t="s">
        <v>2840</v>
      </c>
    </row>
    <row r="82" spans="1:3">
      <c r="A82" t="s">
        <v>2841</v>
      </c>
      <c r="B82" s="8">
        <v>322182</v>
      </c>
      <c r="C82" s="8" t="s">
        <v>751</v>
      </c>
    </row>
    <row r="83" spans="1:3">
      <c r="A83" t="s">
        <v>2841</v>
      </c>
      <c r="B83" s="8">
        <v>741443</v>
      </c>
      <c r="C83" s="8" t="s">
        <v>267</v>
      </c>
    </row>
    <row r="84" spans="1:3">
      <c r="A84" t="s">
        <v>2841</v>
      </c>
      <c r="B84" s="8">
        <v>636064</v>
      </c>
      <c r="C84" s="8" t="s">
        <v>518</v>
      </c>
    </row>
    <row r="85" spans="1:3">
      <c r="A85" t="s">
        <v>2841</v>
      </c>
      <c r="B85" s="8">
        <v>773189</v>
      </c>
      <c r="C85" s="8" t="s">
        <v>618</v>
      </c>
    </row>
    <row r="86" spans="1:3">
      <c r="A86" t="s">
        <v>2841</v>
      </c>
      <c r="B86" s="8">
        <v>496044</v>
      </c>
      <c r="C86" s="8" t="s">
        <v>396</v>
      </c>
    </row>
    <row r="87" spans="1:3">
      <c r="A87" t="s">
        <v>2841</v>
      </c>
      <c r="B87" s="8">
        <v>803118</v>
      </c>
      <c r="C87" s="8" t="s">
        <v>590</v>
      </c>
    </row>
    <row r="88" spans="1:3">
      <c r="A88" t="s">
        <v>2841</v>
      </c>
      <c r="B88" s="8">
        <v>803535</v>
      </c>
      <c r="C88" s="8" t="s">
        <v>729</v>
      </c>
    </row>
    <row r="89" spans="1:3">
      <c r="A89" t="s">
        <v>2841</v>
      </c>
      <c r="B89" s="8">
        <v>636064</v>
      </c>
      <c r="C89" s="8" t="s">
        <v>518</v>
      </c>
    </row>
    <row r="90" spans="1:3">
      <c r="A90" t="s">
        <v>2841</v>
      </c>
      <c r="B90" s="8">
        <v>773189</v>
      </c>
      <c r="C90" s="8" t="s">
        <v>618</v>
      </c>
    </row>
    <row r="91" spans="1:3">
      <c r="A91" t="s">
        <v>2841</v>
      </c>
      <c r="B91" s="8">
        <v>496044</v>
      </c>
      <c r="C91" s="8" t="s">
        <v>396</v>
      </c>
    </row>
    <row r="92" spans="1:3">
      <c r="A92" t="s">
        <v>2841</v>
      </c>
      <c r="B92" s="8">
        <v>803118</v>
      </c>
      <c r="C92" s="8" t="s">
        <v>590</v>
      </c>
    </row>
    <row r="93" spans="1:3">
      <c r="A93" t="s">
        <v>2841</v>
      </c>
      <c r="B93" s="8">
        <v>803535</v>
      </c>
      <c r="C93" s="8" t="s">
        <v>729</v>
      </c>
    </row>
    <row r="94" spans="1:3">
      <c r="A94" t="s">
        <v>2841</v>
      </c>
      <c r="B94" s="8">
        <v>496044</v>
      </c>
      <c r="C94" s="8" t="s">
        <v>396</v>
      </c>
    </row>
    <row r="95" spans="1:3">
      <c r="A95" t="s">
        <v>2841</v>
      </c>
      <c r="B95" s="8">
        <v>803118</v>
      </c>
      <c r="C95" s="8" t="s">
        <v>590</v>
      </c>
    </row>
    <row r="96" spans="1:3">
      <c r="A96" t="s">
        <v>2841</v>
      </c>
      <c r="B96" s="8">
        <v>803535</v>
      </c>
      <c r="C96" s="8" t="s">
        <v>729</v>
      </c>
    </row>
    <row r="97" spans="1:3">
      <c r="A97" t="s">
        <v>2841</v>
      </c>
      <c r="B97" s="8">
        <v>803118</v>
      </c>
      <c r="C97" s="8" t="s">
        <v>590</v>
      </c>
    </row>
    <row r="98" spans="1:3">
      <c r="A98" t="s">
        <v>2841</v>
      </c>
      <c r="B98" s="8">
        <v>803535</v>
      </c>
      <c r="C98" s="8" t="s">
        <v>729</v>
      </c>
    </row>
    <row r="99" spans="1:3">
      <c r="A99" t="s">
        <v>2841</v>
      </c>
      <c r="B99" s="8">
        <v>803118</v>
      </c>
      <c r="C99" s="8" t="s">
        <v>590</v>
      </c>
    </row>
    <row r="100" spans="1:3">
      <c r="A100" t="s">
        <v>2841</v>
      </c>
      <c r="B100" s="8">
        <v>803535</v>
      </c>
      <c r="C100" s="8" t="s">
        <v>729</v>
      </c>
    </row>
    <row r="101" spans="1:3">
      <c r="A101" t="s">
        <v>2841</v>
      </c>
      <c r="B101" s="8">
        <v>803118</v>
      </c>
      <c r="C101" s="8" t="s">
        <v>590</v>
      </c>
    </row>
    <row r="102" spans="1:3">
      <c r="A102" t="s">
        <v>2841</v>
      </c>
      <c r="B102" s="8">
        <v>803535</v>
      </c>
      <c r="C102" s="8" t="s">
        <v>729</v>
      </c>
    </row>
    <row r="103" spans="1:3">
      <c r="A103" t="s">
        <v>2841</v>
      </c>
      <c r="B103" s="8">
        <v>803535</v>
      </c>
      <c r="C103" s="8" t="s">
        <v>729</v>
      </c>
    </row>
    <row r="104" spans="1:3">
      <c r="A104" t="s">
        <v>2841</v>
      </c>
      <c r="B104" s="8">
        <v>803535</v>
      </c>
      <c r="C104" s="8" t="s">
        <v>729</v>
      </c>
    </row>
  </sheetData>
  <autoFilter ref="A1:C1" xr:uid="{00000000-0009-0000-0000-000007000000}"/>
  <pageMargins left="0.78749999999999998" right="0.78749999999999998" top="1.1513888888888899" bottom="1.1513888888888899" header="0.78749999999999998" footer="0.78749999999999998"/>
  <pageSetup paperSize="9" orientation="portrait" horizontalDpi="300" verticalDpi="300"/>
  <headerFooter>
    <oddHeader>&amp;C&amp;12&amp;Kffffff&amp;A</oddHeader>
    <oddFooter>&amp;C&amp;12&amp;KffffffPage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64"/>
  <sheetViews>
    <sheetView zoomScaleNormal="100" workbookViewId="0">
      <pane xSplit="1" ySplit="1" topLeftCell="B22" activePane="bottomRight" state="frozen"/>
      <selection pane="topRight" activeCell="B1" sqref="B1"/>
      <selection pane="bottomLeft" activeCell="A47" sqref="A47"/>
      <selection pane="bottomRight" activeCell="D30" sqref="D30"/>
    </sheetView>
  </sheetViews>
  <sheetFormatPr baseColWidth="10" defaultColWidth="10.8984375" defaultRowHeight="13.8"/>
  <cols>
    <col min="1" max="1" width="34.69921875" style="8" customWidth="1"/>
    <col min="2" max="2" width="38.8984375" hidden="1" customWidth="1"/>
    <col min="3" max="3" width="15.09765625" customWidth="1"/>
    <col min="4" max="4" width="7.3984375" style="63" customWidth="1"/>
    <col min="5" max="16" width="9.19921875" customWidth="1"/>
  </cols>
  <sheetData>
    <row r="1" spans="1:17" s="65" customFormat="1" ht="12.75" customHeight="1">
      <c r="A1" s="64" t="s">
        <v>2842</v>
      </c>
      <c r="B1" s="65" t="s">
        <v>2843</v>
      </c>
      <c r="C1" s="65" t="s">
        <v>2844</v>
      </c>
      <c r="D1" s="66" t="s">
        <v>1</v>
      </c>
      <c r="E1" s="64" t="s">
        <v>2838</v>
      </c>
      <c r="F1" s="64" t="s">
        <v>2839</v>
      </c>
      <c r="G1" s="64" t="s">
        <v>2841</v>
      </c>
      <c r="H1" s="64" t="s">
        <v>2845</v>
      </c>
      <c r="I1" s="64" t="s">
        <v>2846</v>
      </c>
      <c r="J1" s="64" t="s">
        <v>2847</v>
      </c>
      <c r="K1" s="64" t="s">
        <v>2848</v>
      </c>
      <c r="L1" s="64" t="s">
        <v>2849</v>
      </c>
      <c r="M1" s="64" t="s">
        <v>2850</v>
      </c>
      <c r="N1" s="64" t="s">
        <v>2851</v>
      </c>
      <c r="O1" s="64" t="s">
        <v>2852</v>
      </c>
      <c r="P1" s="64" t="s">
        <v>2853</v>
      </c>
      <c r="Q1" s="64"/>
    </row>
    <row r="2" spans="1:17">
      <c r="A2" s="8" t="s">
        <v>2854</v>
      </c>
      <c r="C2" t="s">
        <v>2855</v>
      </c>
      <c r="D2" s="63">
        <v>1121</v>
      </c>
      <c r="E2" s="67" t="s">
        <v>2856</v>
      </c>
      <c r="F2" s="67" t="s">
        <v>2856</v>
      </c>
      <c r="G2" s="67" t="s">
        <v>2856</v>
      </c>
      <c r="H2" s="67" t="s">
        <v>2856</v>
      </c>
      <c r="I2" s="68"/>
      <c r="J2" s="68"/>
      <c r="K2" s="68"/>
      <c r="L2" s="68"/>
      <c r="M2" s="68"/>
      <c r="N2" s="68"/>
      <c r="O2" s="68"/>
      <c r="P2" s="68"/>
    </row>
    <row r="3" spans="1:17">
      <c r="A3" s="8" t="s">
        <v>2857</v>
      </c>
      <c r="B3" s="69" t="s">
        <v>2858</v>
      </c>
      <c r="C3" t="s">
        <v>2855</v>
      </c>
      <c r="D3" s="70">
        <v>3738</v>
      </c>
      <c r="E3" s="67" t="s">
        <v>2856</v>
      </c>
      <c r="F3" s="67" t="s">
        <v>2856</v>
      </c>
      <c r="G3" s="67" t="s">
        <v>2856</v>
      </c>
      <c r="H3" s="67" t="s">
        <v>2856</v>
      </c>
      <c r="I3" s="68"/>
      <c r="J3" s="68"/>
      <c r="K3" s="68"/>
      <c r="L3" s="68"/>
      <c r="M3" s="68"/>
      <c r="N3" s="68"/>
      <c r="O3" s="68"/>
      <c r="P3" s="68"/>
    </row>
    <row r="4" spans="1:17">
      <c r="A4" s="8" t="s">
        <v>2859</v>
      </c>
      <c r="B4" s="69" t="s">
        <v>2860</v>
      </c>
      <c r="C4" t="s">
        <v>2855</v>
      </c>
      <c r="D4" s="70">
        <v>4061</v>
      </c>
      <c r="E4" s="67" t="s">
        <v>2856</v>
      </c>
      <c r="F4" s="67" t="s">
        <v>2856</v>
      </c>
      <c r="G4" s="67" t="s">
        <v>2856</v>
      </c>
      <c r="H4" s="67" t="s">
        <v>2856</v>
      </c>
      <c r="I4" s="68"/>
      <c r="J4" s="68"/>
      <c r="K4" s="68"/>
      <c r="L4" s="68"/>
      <c r="M4" s="68"/>
      <c r="N4" s="68"/>
      <c r="O4" s="68"/>
      <c r="P4" s="68"/>
    </row>
    <row r="5" spans="1:17">
      <c r="A5" s="8" t="s">
        <v>2861</v>
      </c>
      <c r="B5" s="8" t="s">
        <v>2862</v>
      </c>
      <c r="C5" t="s">
        <v>2855</v>
      </c>
      <c r="D5" s="71">
        <v>4995</v>
      </c>
      <c r="E5" s="67" t="s">
        <v>2856</v>
      </c>
      <c r="F5" s="67" t="s">
        <v>2856</v>
      </c>
      <c r="G5" s="67" t="s">
        <v>2856</v>
      </c>
      <c r="H5" s="67" t="s">
        <v>2856</v>
      </c>
      <c r="I5" s="68"/>
      <c r="J5" s="68"/>
      <c r="K5" s="68"/>
      <c r="L5" s="68"/>
      <c r="M5" s="68"/>
      <c r="N5" s="68"/>
      <c r="O5" s="68"/>
      <c r="P5" s="68"/>
    </row>
    <row r="6" spans="1:17" ht="22.5" customHeight="1">
      <c r="A6" s="8" t="s">
        <v>2863</v>
      </c>
      <c r="B6" s="8" t="s">
        <v>2864</v>
      </c>
      <c r="C6" t="s">
        <v>2855</v>
      </c>
      <c r="D6" s="71">
        <v>12483</v>
      </c>
      <c r="E6" s="67" t="s">
        <v>2856</v>
      </c>
      <c r="F6" s="67" t="s">
        <v>2856</v>
      </c>
      <c r="G6" s="67" t="s">
        <v>2856</v>
      </c>
      <c r="H6" s="67" t="s">
        <v>2856</v>
      </c>
      <c r="I6" s="68"/>
      <c r="J6" s="68"/>
      <c r="K6" s="68"/>
      <c r="L6" s="68"/>
      <c r="M6" s="68"/>
      <c r="N6" s="68"/>
      <c r="O6" s="68"/>
      <c r="P6" s="68"/>
    </row>
    <row r="7" spans="1:17">
      <c r="A7" s="8" t="s">
        <v>2865</v>
      </c>
      <c r="B7" s="8" t="s">
        <v>2866</v>
      </c>
      <c r="C7" t="s">
        <v>2855</v>
      </c>
      <c r="D7" s="71">
        <v>12530</v>
      </c>
      <c r="E7" s="67" t="s">
        <v>2856</v>
      </c>
      <c r="F7" s="67" t="s">
        <v>2856</v>
      </c>
      <c r="G7" s="67" t="s">
        <v>2856</v>
      </c>
      <c r="H7" s="67" t="s">
        <v>2856</v>
      </c>
      <c r="I7" s="68"/>
      <c r="J7" s="68"/>
      <c r="K7" s="68"/>
      <c r="L7" s="68"/>
      <c r="M7" s="68"/>
      <c r="N7" s="68"/>
      <c r="O7" s="68"/>
      <c r="P7" s="68"/>
    </row>
    <row r="8" spans="1:17">
      <c r="A8" s="8" t="s">
        <v>2867</v>
      </c>
      <c r="B8" s="8" t="s">
        <v>2868</v>
      </c>
      <c r="C8" t="s">
        <v>2855</v>
      </c>
      <c r="D8" s="71">
        <v>12984</v>
      </c>
      <c r="E8" s="67" t="s">
        <v>2856</v>
      </c>
      <c r="F8" s="67" t="s">
        <v>2856</v>
      </c>
      <c r="G8" s="67" t="s">
        <v>2856</v>
      </c>
      <c r="H8" s="67" t="s">
        <v>2856</v>
      </c>
      <c r="I8" s="68"/>
      <c r="J8" s="68"/>
      <c r="K8" s="68"/>
      <c r="L8" s="68"/>
      <c r="M8" s="68"/>
      <c r="N8" s="68"/>
      <c r="O8" s="68"/>
      <c r="P8" s="68"/>
    </row>
    <row r="9" spans="1:17" ht="22.5" customHeight="1">
      <c r="A9" s="8" t="s">
        <v>2869</v>
      </c>
      <c r="B9" t="s">
        <v>2870</v>
      </c>
      <c r="C9" t="s">
        <v>2855</v>
      </c>
      <c r="D9" s="63">
        <v>15150</v>
      </c>
      <c r="E9" s="67" t="s">
        <v>2856</v>
      </c>
      <c r="F9" s="67" t="s">
        <v>2856</v>
      </c>
      <c r="G9" s="67" t="s">
        <v>2856</v>
      </c>
      <c r="H9" s="67" t="s">
        <v>2856</v>
      </c>
      <c r="I9" s="68"/>
      <c r="J9" s="68"/>
      <c r="K9" s="68"/>
      <c r="L9" s="68"/>
      <c r="M9" s="68"/>
      <c r="N9" s="68"/>
      <c r="O9" s="68"/>
      <c r="P9" s="68"/>
    </row>
    <row r="10" spans="1:17" ht="22.5" customHeight="1">
      <c r="A10" s="8" t="s">
        <v>2871</v>
      </c>
      <c r="B10" s="8" t="s">
        <v>2872</v>
      </c>
      <c r="C10" t="s">
        <v>2855</v>
      </c>
      <c r="D10" s="71">
        <v>18561</v>
      </c>
      <c r="E10" s="67" t="s">
        <v>2856</v>
      </c>
      <c r="F10" s="67" t="s">
        <v>2856</v>
      </c>
      <c r="G10" s="67" t="s">
        <v>2856</v>
      </c>
      <c r="H10" s="67" t="s">
        <v>2856</v>
      </c>
      <c r="I10" s="68"/>
      <c r="J10" s="68"/>
      <c r="K10" s="68"/>
      <c r="L10" s="68"/>
      <c r="M10" s="68"/>
      <c r="N10" s="68"/>
      <c r="O10" s="68"/>
      <c r="P10" s="68"/>
    </row>
    <row r="11" spans="1:17">
      <c r="A11" s="8" t="s">
        <v>2873</v>
      </c>
      <c r="B11" s="8" t="s">
        <v>2874</v>
      </c>
      <c r="C11" t="s">
        <v>2855</v>
      </c>
      <c r="D11" s="71">
        <v>18862</v>
      </c>
      <c r="E11" s="67" t="s">
        <v>2856</v>
      </c>
      <c r="F11" s="67" t="s">
        <v>2856</v>
      </c>
      <c r="G11" s="67" t="s">
        <v>2856</v>
      </c>
      <c r="H11" s="67" t="s">
        <v>2856</v>
      </c>
      <c r="I11" s="68"/>
      <c r="J11" s="68"/>
      <c r="K11" s="68"/>
      <c r="L11" s="68"/>
      <c r="M11" s="68"/>
      <c r="N11" s="68"/>
      <c r="O11" s="68"/>
      <c r="P11" s="68"/>
    </row>
    <row r="12" spans="1:17" ht="29.25" customHeight="1">
      <c r="A12" s="8" t="s">
        <v>2875</v>
      </c>
      <c r="B12" s="8" t="s">
        <v>2876</v>
      </c>
      <c r="C12" t="s">
        <v>2855</v>
      </c>
      <c r="D12" s="71">
        <v>21728</v>
      </c>
      <c r="E12" s="67" t="s">
        <v>2856</v>
      </c>
      <c r="F12" s="67" t="s">
        <v>2856</v>
      </c>
      <c r="G12" s="67" t="s">
        <v>2856</v>
      </c>
      <c r="H12" s="67" t="s">
        <v>2856</v>
      </c>
      <c r="I12" s="68"/>
      <c r="J12" s="68"/>
      <c r="K12" s="68"/>
      <c r="L12" s="68"/>
      <c r="M12" s="68"/>
      <c r="N12" s="68"/>
      <c r="O12" s="68"/>
      <c r="P12" s="68"/>
    </row>
    <row r="13" spans="1:17" ht="25.5" customHeight="1">
      <c r="A13" s="8" t="s">
        <v>2877</v>
      </c>
      <c r="B13" t="s">
        <v>2878</v>
      </c>
      <c r="C13" t="s">
        <v>2855</v>
      </c>
      <c r="D13" s="63">
        <v>24590</v>
      </c>
      <c r="E13" s="67" t="s">
        <v>2856</v>
      </c>
      <c r="F13" s="67" t="s">
        <v>2856</v>
      </c>
      <c r="G13" s="67" t="s">
        <v>2856</v>
      </c>
      <c r="H13" s="67" t="s">
        <v>2856</v>
      </c>
      <c r="I13" s="68"/>
      <c r="J13" s="68"/>
      <c r="K13" s="68"/>
      <c r="L13" s="68"/>
      <c r="M13" s="68"/>
      <c r="N13" s="68"/>
      <c r="O13" s="68"/>
      <c r="P13" s="68"/>
    </row>
    <row r="14" spans="1:17" ht="27.75" customHeight="1">
      <c r="A14" s="8" t="s">
        <v>2879</v>
      </c>
      <c r="B14" s="8" t="s">
        <v>2880</v>
      </c>
      <c r="C14" t="s">
        <v>2855</v>
      </c>
      <c r="D14" s="71">
        <v>25330</v>
      </c>
      <c r="E14" s="67" t="s">
        <v>2856</v>
      </c>
      <c r="F14" s="67" t="s">
        <v>2856</v>
      </c>
      <c r="G14" s="67" t="s">
        <v>2856</v>
      </c>
      <c r="H14" s="67" t="s">
        <v>2856</v>
      </c>
      <c r="I14" s="68"/>
      <c r="J14" s="68"/>
      <c r="K14" s="68"/>
      <c r="L14" s="68"/>
      <c r="M14" s="68"/>
      <c r="N14" s="68"/>
      <c r="O14" s="68"/>
      <c r="P14" s="68"/>
    </row>
    <row r="15" spans="1:17" ht="27.75" customHeight="1">
      <c r="A15" s="8" t="s">
        <v>2881</v>
      </c>
      <c r="B15" s="8" t="s">
        <v>2882</v>
      </c>
      <c r="C15" t="s">
        <v>2855</v>
      </c>
      <c r="D15" s="71">
        <v>26379</v>
      </c>
      <c r="E15" s="67" t="s">
        <v>2856</v>
      </c>
      <c r="F15" s="67" t="s">
        <v>2856</v>
      </c>
      <c r="G15" s="67" t="s">
        <v>2856</v>
      </c>
      <c r="H15" s="67" t="s">
        <v>2856</v>
      </c>
      <c r="I15" s="68"/>
      <c r="J15" s="68"/>
      <c r="K15" s="68"/>
      <c r="L15" s="68"/>
      <c r="M15" s="68"/>
      <c r="N15" s="68"/>
      <c r="O15" s="68"/>
      <c r="P15" s="68"/>
    </row>
    <row r="16" spans="1:17" ht="32.25" customHeight="1">
      <c r="A16" s="8" t="s">
        <v>2883</v>
      </c>
      <c r="B16" s="8" t="s">
        <v>2884</v>
      </c>
      <c r="C16" t="s">
        <v>2855</v>
      </c>
      <c r="D16" s="71">
        <v>29222</v>
      </c>
      <c r="E16" s="67" t="s">
        <v>2856</v>
      </c>
      <c r="F16" s="67" t="s">
        <v>2856</v>
      </c>
      <c r="G16" s="67" t="s">
        <v>2856</v>
      </c>
      <c r="H16" s="67" t="s">
        <v>2856</v>
      </c>
      <c r="I16" s="68"/>
      <c r="J16" s="68"/>
      <c r="K16" s="68"/>
      <c r="L16" s="68"/>
      <c r="M16" s="68"/>
      <c r="N16" s="68"/>
      <c r="O16" s="68"/>
      <c r="P16" s="68"/>
    </row>
    <row r="17" spans="1:16" ht="32.25" customHeight="1">
      <c r="A17" s="8" t="s">
        <v>2885</v>
      </c>
      <c r="B17" s="8" t="s">
        <v>2886</v>
      </c>
      <c r="C17" t="s">
        <v>2855</v>
      </c>
      <c r="D17" s="71">
        <v>29931</v>
      </c>
      <c r="E17" s="67" t="s">
        <v>2856</v>
      </c>
      <c r="F17" s="67" t="s">
        <v>2856</v>
      </c>
      <c r="G17" s="67" t="s">
        <v>2856</v>
      </c>
      <c r="H17" s="83" t="s">
        <v>2905</v>
      </c>
      <c r="I17" s="68"/>
      <c r="J17" s="68"/>
      <c r="K17" s="68"/>
      <c r="L17" s="68"/>
      <c r="M17" s="68"/>
      <c r="N17" s="68"/>
      <c r="O17" s="68"/>
      <c r="P17" s="68"/>
    </row>
    <row r="18" spans="1:16" ht="30.75" customHeight="1">
      <c r="A18" s="8" t="s">
        <v>2887</v>
      </c>
      <c r="B18" s="8" t="s">
        <v>2888</v>
      </c>
      <c r="C18" t="s">
        <v>2855</v>
      </c>
      <c r="D18" s="71">
        <v>30001</v>
      </c>
      <c r="E18" s="67" t="s">
        <v>2856</v>
      </c>
      <c r="F18" s="67" t="s">
        <v>2856</v>
      </c>
      <c r="G18" s="67" t="s">
        <v>2856</v>
      </c>
      <c r="H18" s="67" t="s">
        <v>2856</v>
      </c>
      <c r="I18" s="68"/>
      <c r="J18" s="68"/>
      <c r="K18" s="68"/>
      <c r="L18" s="68"/>
      <c r="M18" s="68"/>
      <c r="N18" s="68"/>
      <c r="O18" s="68"/>
      <c r="P18" s="68"/>
    </row>
    <row r="19" spans="1:16" ht="30.75" customHeight="1">
      <c r="A19" s="8" t="s">
        <v>2889</v>
      </c>
      <c r="B19" s="8" t="s">
        <v>2890</v>
      </c>
      <c r="C19" t="s">
        <v>2855</v>
      </c>
      <c r="D19" s="71">
        <v>30003</v>
      </c>
      <c r="E19" s="67" t="s">
        <v>2856</v>
      </c>
      <c r="F19" s="67" t="s">
        <v>2856</v>
      </c>
      <c r="G19" s="67" t="s">
        <v>2856</v>
      </c>
      <c r="H19" s="67" t="s">
        <v>2856</v>
      </c>
      <c r="I19" s="68"/>
      <c r="J19" s="68"/>
      <c r="K19" s="68"/>
      <c r="L19" s="68"/>
      <c r="M19" s="68"/>
      <c r="N19" s="68"/>
      <c r="O19" s="68"/>
      <c r="P19" s="68"/>
    </row>
    <row r="20" spans="1:16" ht="30.75" customHeight="1">
      <c r="A20" s="8" t="s">
        <v>2891</v>
      </c>
      <c r="B20" s="8" t="s">
        <v>2892</v>
      </c>
      <c r="C20" t="s">
        <v>2855</v>
      </c>
      <c r="D20" s="71">
        <v>31069</v>
      </c>
      <c r="E20" s="67" t="s">
        <v>2856</v>
      </c>
      <c r="F20" s="67" t="s">
        <v>2856</v>
      </c>
      <c r="G20" s="67" t="s">
        <v>2856</v>
      </c>
      <c r="H20" s="83" t="s">
        <v>2905</v>
      </c>
      <c r="I20" s="68"/>
      <c r="J20" s="68"/>
      <c r="K20" s="72"/>
      <c r="L20" s="68"/>
      <c r="M20" s="68"/>
      <c r="N20" s="68"/>
      <c r="O20" s="68"/>
      <c r="P20" s="72"/>
    </row>
    <row r="21" spans="1:16" ht="27.6">
      <c r="A21" s="8" t="s">
        <v>2893</v>
      </c>
      <c r="B21" s="8" t="s">
        <v>2894</v>
      </c>
      <c r="C21" t="s">
        <v>2855</v>
      </c>
      <c r="D21" s="71">
        <v>31120</v>
      </c>
      <c r="E21" s="67" t="s">
        <v>2856</v>
      </c>
      <c r="F21" s="67" t="s">
        <v>2856</v>
      </c>
      <c r="G21" s="67" t="s">
        <v>2856</v>
      </c>
      <c r="H21" s="67" t="s">
        <v>2856</v>
      </c>
      <c r="I21" s="68"/>
      <c r="J21" s="68"/>
      <c r="K21" s="68"/>
      <c r="L21" s="68"/>
      <c r="M21" s="68"/>
      <c r="N21" s="68"/>
      <c r="O21" s="68"/>
      <c r="P21" s="68"/>
    </row>
    <row r="22" spans="1:16" ht="30.75" customHeight="1">
      <c r="A22" s="8" t="s">
        <v>2895</v>
      </c>
      <c r="B22" s="73" t="s">
        <v>2896</v>
      </c>
      <c r="C22" t="s">
        <v>2897</v>
      </c>
      <c r="D22" s="74">
        <v>32714</v>
      </c>
      <c r="E22" s="67" t="s">
        <v>2856</v>
      </c>
      <c r="F22" s="67" t="s">
        <v>2856</v>
      </c>
      <c r="G22" s="67" t="s">
        <v>2856</v>
      </c>
      <c r="H22" s="67" t="s">
        <v>2856</v>
      </c>
      <c r="I22" s="68"/>
      <c r="J22" s="68"/>
      <c r="K22" s="68"/>
      <c r="L22" s="68"/>
      <c r="M22" s="68"/>
      <c r="N22" s="68"/>
      <c r="O22" s="68"/>
      <c r="P22" s="68"/>
    </row>
    <row r="23" spans="1:16">
      <c r="A23" s="8" t="s">
        <v>2978</v>
      </c>
      <c r="C23" t="s">
        <v>2855</v>
      </c>
      <c r="D23" s="63">
        <v>32347</v>
      </c>
      <c r="E23" s="78" t="s">
        <v>2974</v>
      </c>
      <c r="F23" s="67" t="s">
        <v>2856</v>
      </c>
      <c r="G23" s="67" t="s">
        <v>2856</v>
      </c>
      <c r="H23" s="67" t="s">
        <v>2856</v>
      </c>
      <c r="I23" s="68"/>
      <c r="J23" s="68"/>
      <c r="K23" s="68"/>
      <c r="L23" s="68"/>
      <c r="M23" s="68"/>
      <c r="N23" s="68"/>
      <c r="O23" s="68"/>
      <c r="P23" s="68"/>
    </row>
    <row r="24" spans="1:16" ht="32.25" customHeight="1">
      <c r="A24" s="8" t="s">
        <v>2898</v>
      </c>
      <c r="B24" s="8" t="s">
        <v>2899</v>
      </c>
      <c r="C24" t="s">
        <v>2855</v>
      </c>
      <c r="D24" s="71">
        <v>33087</v>
      </c>
      <c r="E24" s="67" t="s">
        <v>2856</v>
      </c>
      <c r="F24" s="67" t="s">
        <v>2856</v>
      </c>
      <c r="G24" s="67" t="s">
        <v>2856</v>
      </c>
      <c r="H24" s="67" t="s">
        <v>2856</v>
      </c>
      <c r="I24" s="68"/>
      <c r="J24" s="68"/>
      <c r="K24" s="68"/>
      <c r="L24" s="68"/>
      <c r="M24" s="68"/>
      <c r="N24" s="68"/>
      <c r="O24" s="68"/>
      <c r="P24" s="68"/>
    </row>
    <row r="25" spans="1:16" ht="32.25" customHeight="1">
      <c r="A25" s="8" t="s">
        <v>2902</v>
      </c>
      <c r="B25" s="8" t="s">
        <v>2903</v>
      </c>
      <c r="C25" t="s">
        <v>2904</v>
      </c>
      <c r="D25" s="71">
        <v>39396</v>
      </c>
      <c r="E25" s="75" t="s">
        <v>2905</v>
      </c>
      <c r="F25" s="75" t="s">
        <v>2905</v>
      </c>
      <c r="G25" s="75" t="s">
        <v>2905</v>
      </c>
      <c r="H25" s="75" t="s">
        <v>2905</v>
      </c>
      <c r="I25" s="68"/>
      <c r="J25" s="68"/>
      <c r="K25" s="72"/>
      <c r="L25" s="72"/>
      <c r="M25" s="72"/>
      <c r="N25" s="72"/>
      <c r="O25" s="72"/>
      <c r="P25" s="72"/>
    </row>
    <row r="26" spans="1:16" ht="29.25" customHeight="1">
      <c r="A26" s="8" t="s">
        <v>2906</v>
      </c>
      <c r="B26" s="8" t="s">
        <v>2907</v>
      </c>
      <c r="C26" t="s">
        <v>2897</v>
      </c>
      <c r="D26" s="71">
        <v>40251</v>
      </c>
      <c r="E26" s="67" t="s">
        <v>2856</v>
      </c>
      <c r="F26" s="67" t="s">
        <v>2856</v>
      </c>
      <c r="G26" s="67" t="s">
        <v>2856</v>
      </c>
      <c r="H26" s="67" t="s">
        <v>2856</v>
      </c>
      <c r="I26" s="72"/>
      <c r="J26" s="68"/>
      <c r="K26" s="68"/>
      <c r="L26" s="68"/>
      <c r="M26" s="68"/>
      <c r="N26" s="68"/>
      <c r="O26" s="68"/>
      <c r="P26" s="68"/>
    </row>
    <row r="27" spans="1:16" ht="29.25" customHeight="1">
      <c r="A27" s="8" t="s">
        <v>2900</v>
      </c>
      <c r="B27" s="8" t="s">
        <v>2901</v>
      </c>
      <c r="C27" t="s">
        <v>2855</v>
      </c>
      <c r="D27" s="71">
        <v>34060</v>
      </c>
      <c r="E27" s="67" t="s">
        <v>2856</v>
      </c>
      <c r="F27" s="67" t="s">
        <v>2856</v>
      </c>
      <c r="G27" s="67" t="s">
        <v>2856</v>
      </c>
      <c r="H27" s="67" t="s">
        <v>2856</v>
      </c>
      <c r="I27" s="68"/>
      <c r="J27" s="68"/>
      <c r="K27" s="68"/>
      <c r="L27" s="68"/>
      <c r="M27" s="68"/>
      <c r="N27" s="68"/>
      <c r="O27" s="68"/>
      <c r="P27" s="68"/>
    </row>
    <row r="28" spans="1:16" ht="36" customHeight="1">
      <c r="A28" s="8" t="s">
        <v>2910</v>
      </c>
      <c r="B28" s="8" t="s">
        <v>2911</v>
      </c>
      <c r="C28" t="s">
        <v>2904</v>
      </c>
      <c r="D28" s="71">
        <v>42641</v>
      </c>
      <c r="E28" s="75" t="s">
        <v>2905</v>
      </c>
      <c r="F28" s="75" t="s">
        <v>2905</v>
      </c>
      <c r="G28" s="75" t="s">
        <v>2905</v>
      </c>
      <c r="H28" s="75" t="s">
        <v>2905</v>
      </c>
      <c r="I28" s="68"/>
      <c r="J28" s="68"/>
      <c r="K28" s="68"/>
      <c r="L28" s="68"/>
      <c r="M28" s="68"/>
      <c r="N28" s="68"/>
      <c r="O28" s="68"/>
      <c r="P28" s="68"/>
    </row>
    <row r="29" spans="1:16" ht="29.25" customHeight="1">
      <c r="A29" s="8" t="s">
        <v>2912</v>
      </c>
      <c r="B29" s="8" t="s">
        <v>2913</v>
      </c>
      <c r="C29" t="s">
        <v>2904</v>
      </c>
      <c r="D29" s="71">
        <v>42648</v>
      </c>
      <c r="E29" s="75" t="s">
        <v>2905</v>
      </c>
      <c r="F29" s="75" t="s">
        <v>2905</v>
      </c>
      <c r="G29" s="75" t="s">
        <v>2905</v>
      </c>
      <c r="H29" s="75" t="s">
        <v>2905</v>
      </c>
      <c r="I29" s="68"/>
      <c r="J29" s="68"/>
      <c r="K29" s="68"/>
      <c r="L29" s="68"/>
      <c r="M29" s="68"/>
      <c r="N29" s="68"/>
      <c r="O29" s="68"/>
      <c r="P29" s="68"/>
    </row>
    <row r="30" spans="1:16" ht="19.5" customHeight="1">
      <c r="A30" s="8" t="s">
        <v>2908</v>
      </c>
      <c r="B30" s="69" t="s">
        <v>2909</v>
      </c>
      <c r="C30" t="s">
        <v>2855</v>
      </c>
      <c r="D30" s="70">
        <v>41891</v>
      </c>
      <c r="E30" s="67" t="s">
        <v>2856</v>
      </c>
      <c r="F30" s="67" t="s">
        <v>2856</v>
      </c>
      <c r="G30" s="67" t="s">
        <v>2856</v>
      </c>
      <c r="H30" s="67" t="s">
        <v>2856</v>
      </c>
      <c r="I30" s="68"/>
      <c r="J30" s="68"/>
      <c r="K30" s="68"/>
      <c r="L30" s="68"/>
      <c r="M30" s="68"/>
      <c r="N30" s="68"/>
      <c r="O30" s="68"/>
      <c r="P30" s="68"/>
    </row>
    <row r="31" spans="1:16" ht="35.25" customHeight="1">
      <c r="A31" s="8" t="s">
        <v>2914</v>
      </c>
      <c r="B31" s="8" t="s">
        <v>2915</v>
      </c>
      <c r="C31" t="s">
        <v>2855</v>
      </c>
      <c r="D31" s="71">
        <v>45407</v>
      </c>
      <c r="E31" s="67" t="s">
        <v>2856</v>
      </c>
      <c r="F31" s="67" t="s">
        <v>2856</v>
      </c>
      <c r="G31" s="67" t="s">
        <v>2856</v>
      </c>
      <c r="H31" s="67" t="s">
        <v>2856</v>
      </c>
      <c r="I31" s="72"/>
      <c r="J31" s="68"/>
      <c r="K31" s="68"/>
      <c r="L31" s="68"/>
      <c r="M31" s="68"/>
      <c r="N31" s="68"/>
      <c r="O31" s="68"/>
      <c r="P31" s="68"/>
    </row>
    <row r="32" spans="1:16" ht="24" customHeight="1">
      <c r="A32" s="8" t="s">
        <v>2916</v>
      </c>
      <c r="B32" s="69" t="s">
        <v>2917</v>
      </c>
      <c r="C32" t="s">
        <v>2855</v>
      </c>
      <c r="D32" s="70">
        <v>45984</v>
      </c>
      <c r="E32" s="67" t="s">
        <v>2856</v>
      </c>
      <c r="F32" s="67" t="s">
        <v>2856</v>
      </c>
      <c r="G32" s="67" t="s">
        <v>2856</v>
      </c>
      <c r="H32" s="67" t="s">
        <v>2856</v>
      </c>
      <c r="I32" s="68"/>
      <c r="J32" s="68"/>
      <c r="K32" s="68"/>
      <c r="L32" s="68"/>
      <c r="M32" s="68"/>
      <c r="N32" s="68"/>
      <c r="O32" s="68"/>
      <c r="P32" s="68"/>
    </row>
    <row r="33" spans="1:17" ht="30.75" customHeight="1">
      <c r="A33" s="8" t="s">
        <v>2918</v>
      </c>
      <c r="C33" t="s">
        <v>2855</v>
      </c>
      <c r="D33" s="63">
        <v>46028</v>
      </c>
      <c r="E33" s="67" t="s">
        <v>2856</v>
      </c>
      <c r="F33" s="67" t="s">
        <v>2856</v>
      </c>
      <c r="G33" s="67" t="s">
        <v>2856</v>
      </c>
      <c r="H33" s="67" t="s">
        <v>2856</v>
      </c>
      <c r="I33" s="68"/>
      <c r="J33" s="68"/>
      <c r="K33" s="68"/>
      <c r="L33" s="68"/>
      <c r="M33" s="68"/>
      <c r="N33" s="68"/>
      <c r="O33" s="68"/>
      <c r="P33" s="68"/>
    </row>
    <row r="34" spans="1:17" ht="30.75" customHeight="1">
      <c r="A34" s="8" t="s">
        <v>2919</v>
      </c>
      <c r="B34" s="69" t="s">
        <v>2920</v>
      </c>
      <c r="C34" t="s">
        <v>2855</v>
      </c>
      <c r="D34" s="63">
        <v>47643</v>
      </c>
      <c r="E34" s="67" t="s">
        <v>2856</v>
      </c>
      <c r="F34" s="67" t="s">
        <v>2856</v>
      </c>
      <c r="G34" s="67" t="s">
        <v>2856</v>
      </c>
      <c r="H34" s="67" t="s">
        <v>2856</v>
      </c>
      <c r="I34" s="68"/>
      <c r="J34" s="68"/>
      <c r="K34" s="68"/>
      <c r="L34" s="68"/>
      <c r="M34" s="68"/>
      <c r="N34" s="68"/>
      <c r="O34" s="68"/>
      <c r="P34" s="68"/>
    </row>
    <row r="35" spans="1:17" ht="47.25" customHeight="1">
      <c r="A35" s="8" t="s">
        <v>2921</v>
      </c>
      <c r="B35" s="8" t="s">
        <v>2922</v>
      </c>
      <c r="C35" t="s">
        <v>2855</v>
      </c>
      <c r="D35" s="71">
        <v>49255</v>
      </c>
      <c r="E35" s="67" t="s">
        <v>2856</v>
      </c>
      <c r="F35" s="67" t="s">
        <v>2856</v>
      </c>
      <c r="G35" s="67" t="s">
        <v>2856</v>
      </c>
      <c r="H35" s="67" t="s">
        <v>2856</v>
      </c>
      <c r="I35" s="68"/>
      <c r="J35" s="68"/>
      <c r="K35" s="68"/>
      <c r="L35" s="68"/>
      <c r="M35" s="68"/>
      <c r="N35" s="68"/>
      <c r="O35" s="68"/>
      <c r="P35" s="68"/>
    </row>
    <row r="36" spans="1:17" ht="43.5" customHeight="1">
      <c r="A36" s="8" t="s">
        <v>2925</v>
      </c>
      <c r="B36" s="8" t="s">
        <v>2926</v>
      </c>
      <c r="C36" t="s">
        <v>2927</v>
      </c>
      <c r="D36" s="71">
        <v>52831</v>
      </c>
      <c r="E36" s="76" t="s">
        <v>2928</v>
      </c>
      <c r="F36" s="76" t="s">
        <v>2928</v>
      </c>
      <c r="G36" s="76" t="s">
        <v>2928</v>
      </c>
      <c r="H36" s="68"/>
      <c r="I36" s="68"/>
      <c r="J36" s="68"/>
      <c r="K36" s="68"/>
      <c r="L36" s="68"/>
      <c r="M36" s="68"/>
      <c r="N36" s="68"/>
      <c r="O36" s="68"/>
      <c r="P36" s="68"/>
    </row>
    <row r="37" spans="1:17">
      <c r="A37" s="8" t="s">
        <v>2929</v>
      </c>
      <c r="B37" s="8" t="s">
        <v>2930</v>
      </c>
      <c r="C37" t="s">
        <v>2897</v>
      </c>
      <c r="D37" s="71">
        <v>53812</v>
      </c>
      <c r="E37" s="67" t="s">
        <v>2856</v>
      </c>
      <c r="F37" s="67" t="s">
        <v>2856</v>
      </c>
      <c r="G37" s="67" t="s">
        <v>2856</v>
      </c>
      <c r="H37" s="67" t="s">
        <v>2856</v>
      </c>
      <c r="I37" s="68"/>
      <c r="J37" s="68"/>
      <c r="K37" s="68"/>
      <c r="L37" s="68"/>
      <c r="M37" s="68"/>
      <c r="N37" s="68"/>
      <c r="O37" s="68"/>
      <c r="P37" s="68"/>
    </row>
    <row r="38" spans="1:17" ht="17.25" customHeight="1">
      <c r="A38" s="8" t="s">
        <v>2923</v>
      </c>
      <c r="B38" s="8" t="s">
        <v>2924</v>
      </c>
      <c r="C38" t="s">
        <v>2855</v>
      </c>
      <c r="D38" s="71">
        <v>50404</v>
      </c>
      <c r="E38" s="67" t="s">
        <v>2856</v>
      </c>
      <c r="F38" s="67" t="s">
        <v>2856</v>
      </c>
      <c r="G38" s="67" t="s">
        <v>2856</v>
      </c>
      <c r="H38" s="67" t="s">
        <v>2856</v>
      </c>
      <c r="I38" s="68"/>
      <c r="J38" s="68"/>
      <c r="K38" s="68"/>
      <c r="L38" s="68"/>
      <c r="M38" s="68"/>
      <c r="N38" s="68"/>
      <c r="O38" s="68"/>
      <c r="P38" s="68"/>
    </row>
    <row r="39" spans="1:17" ht="40.5" customHeight="1">
      <c r="A39" s="8" t="s">
        <v>2933</v>
      </c>
      <c r="B39" s="8" t="s">
        <v>2934</v>
      </c>
      <c r="C39" t="s">
        <v>2897</v>
      </c>
      <c r="D39" s="71">
        <v>57579</v>
      </c>
      <c r="E39" s="67" t="s">
        <v>2856</v>
      </c>
      <c r="F39" s="67" t="s">
        <v>2856</v>
      </c>
      <c r="G39" s="67" t="s">
        <v>2856</v>
      </c>
      <c r="H39" s="67" t="s">
        <v>2856</v>
      </c>
      <c r="I39" s="72"/>
      <c r="J39" s="68"/>
      <c r="K39" s="68"/>
      <c r="L39" s="68"/>
      <c r="M39" s="68"/>
      <c r="N39" s="68"/>
      <c r="O39" s="68"/>
      <c r="P39" s="68"/>
    </row>
    <row r="40" spans="1:17" ht="30" customHeight="1">
      <c r="A40" s="8" t="s">
        <v>2969</v>
      </c>
      <c r="B40" s="69" t="s">
        <v>2970</v>
      </c>
      <c r="C40" t="s">
        <v>2855</v>
      </c>
      <c r="D40" s="63">
        <v>50487</v>
      </c>
      <c r="E40" s="67" t="s">
        <v>2856</v>
      </c>
      <c r="F40" s="67" t="s">
        <v>2856</v>
      </c>
      <c r="G40" s="67" t="s">
        <v>2856</v>
      </c>
      <c r="H40" s="67" t="s">
        <v>2856</v>
      </c>
      <c r="I40" s="68"/>
      <c r="J40" s="68"/>
      <c r="K40" s="68"/>
      <c r="L40" s="68"/>
      <c r="M40" s="68"/>
      <c r="N40" s="68"/>
      <c r="O40" s="68"/>
      <c r="P40" s="68"/>
    </row>
    <row r="41" spans="1:17" ht="30" customHeight="1">
      <c r="A41" s="8" t="s">
        <v>3602</v>
      </c>
      <c r="B41" s="69"/>
      <c r="C41" t="s">
        <v>2855</v>
      </c>
      <c r="D41" s="63">
        <v>50480</v>
      </c>
      <c r="E41" s="85"/>
      <c r="F41" s="85"/>
      <c r="G41" s="85"/>
      <c r="H41" s="85"/>
      <c r="I41" s="86" t="s">
        <v>3603</v>
      </c>
      <c r="J41" s="68"/>
      <c r="K41" s="68"/>
      <c r="L41" s="68"/>
      <c r="M41" s="68"/>
      <c r="N41" s="68"/>
      <c r="O41" s="68"/>
      <c r="P41" s="68"/>
    </row>
    <row r="42" spans="1:17" ht="22.5" customHeight="1">
      <c r="A42" s="8" t="s">
        <v>2973</v>
      </c>
      <c r="B42" s="69"/>
      <c r="C42" t="s">
        <v>2855</v>
      </c>
      <c r="D42" s="63">
        <v>51699</v>
      </c>
      <c r="E42" s="78" t="s">
        <v>2974</v>
      </c>
      <c r="F42" s="67" t="s">
        <v>2856</v>
      </c>
      <c r="G42" s="67" t="s">
        <v>2856</v>
      </c>
      <c r="H42" s="67" t="s">
        <v>2856</v>
      </c>
      <c r="I42" s="68"/>
      <c r="J42" s="68"/>
      <c r="K42" s="68"/>
      <c r="L42" s="68"/>
      <c r="M42" s="68"/>
      <c r="N42" s="68"/>
      <c r="O42" s="68"/>
      <c r="P42" s="68"/>
    </row>
    <row r="43" spans="1:17" ht="25.5" customHeight="1">
      <c r="A43" s="8" t="s">
        <v>2931</v>
      </c>
      <c r="B43" s="69" t="s">
        <v>2932</v>
      </c>
      <c r="C43" t="s">
        <v>2855</v>
      </c>
      <c r="D43" s="63">
        <v>57036</v>
      </c>
      <c r="E43" s="67" t="s">
        <v>2856</v>
      </c>
      <c r="F43" s="67" t="s">
        <v>2856</v>
      </c>
      <c r="G43" s="67" t="s">
        <v>2856</v>
      </c>
      <c r="H43" s="67" t="s">
        <v>2856</v>
      </c>
      <c r="I43" s="68"/>
      <c r="J43" s="68"/>
      <c r="K43" s="68"/>
      <c r="L43" s="68"/>
      <c r="M43" s="68"/>
      <c r="N43" s="68"/>
      <c r="O43" s="68"/>
      <c r="P43" s="68"/>
    </row>
    <row r="44" spans="1:17" ht="19.5" customHeight="1">
      <c r="A44" s="8" t="s">
        <v>2935</v>
      </c>
      <c r="B44" s="8" t="s">
        <v>2936</v>
      </c>
      <c r="C44" t="s">
        <v>2855</v>
      </c>
      <c r="D44" s="71">
        <v>57673</v>
      </c>
      <c r="E44" s="67" t="s">
        <v>2856</v>
      </c>
      <c r="F44" s="67" t="s">
        <v>2856</v>
      </c>
      <c r="G44" s="67" t="s">
        <v>2856</v>
      </c>
      <c r="H44" s="67" t="s">
        <v>2856</v>
      </c>
      <c r="I44" s="68"/>
      <c r="J44" s="68"/>
      <c r="K44" s="68"/>
      <c r="L44" s="72"/>
      <c r="M44" s="68"/>
      <c r="N44" s="68"/>
      <c r="O44" s="68"/>
      <c r="P44" s="68"/>
    </row>
    <row r="45" spans="1:17" ht="27.6">
      <c r="A45" s="8" t="s">
        <v>2937</v>
      </c>
      <c r="B45" s="8" t="s">
        <v>2938</v>
      </c>
      <c r="C45" t="s">
        <v>2855</v>
      </c>
      <c r="D45" s="71">
        <v>57964</v>
      </c>
      <c r="E45" s="67" t="s">
        <v>2856</v>
      </c>
      <c r="F45" s="67" t="s">
        <v>2856</v>
      </c>
      <c r="G45" s="67" t="s">
        <v>2856</v>
      </c>
      <c r="H45" s="67" t="s">
        <v>2856</v>
      </c>
      <c r="I45" s="68"/>
      <c r="J45" s="68"/>
      <c r="K45" s="68"/>
      <c r="L45" s="68"/>
      <c r="M45" s="68"/>
      <c r="N45" s="68"/>
      <c r="O45" s="68"/>
      <c r="P45" s="68"/>
    </row>
    <row r="46" spans="1:17" ht="27.6">
      <c r="A46" s="8" t="s">
        <v>2945</v>
      </c>
      <c r="B46" t="s">
        <v>2946</v>
      </c>
      <c r="C46" t="s">
        <v>2947</v>
      </c>
      <c r="D46" s="63">
        <v>59966</v>
      </c>
      <c r="E46" s="67" t="s">
        <v>2856</v>
      </c>
      <c r="F46" s="67" t="s">
        <v>2856</v>
      </c>
      <c r="G46" s="67" t="s">
        <v>2856</v>
      </c>
      <c r="H46" s="67" t="s">
        <v>2856</v>
      </c>
      <c r="I46" s="68"/>
      <c r="J46" s="68"/>
      <c r="K46" s="68"/>
      <c r="L46" s="68"/>
      <c r="M46" s="68"/>
      <c r="N46" s="68"/>
      <c r="O46" s="68"/>
      <c r="P46" s="68"/>
    </row>
    <row r="47" spans="1:17">
      <c r="A47" s="8" t="s">
        <v>2971</v>
      </c>
      <c r="B47" s="69" t="s">
        <v>2972</v>
      </c>
      <c r="C47" t="s">
        <v>2855</v>
      </c>
      <c r="D47" s="63">
        <v>58223</v>
      </c>
      <c r="E47" s="67" t="s">
        <v>2856</v>
      </c>
      <c r="F47" s="67" t="s">
        <v>2856</v>
      </c>
      <c r="G47" s="67" t="s">
        <v>2856</v>
      </c>
      <c r="H47" s="67" t="s">
        <v>2856</v>
      </c>
      <c r="I47" s="68"/>
      <c r="J47" s="68"/>
      <c r="K47" s="68"/>
      <c r="L47" s="68"/>
      <c r="M47" s="68"/>
      <c r="N47" s="68"/>
      <c r="O47" s="68"/>
      <c r="P47" s="68"/>
    </row>
    <row r="48" spans="1:17" ht="25.5" customHeight="1">
      <c r="A48" s="8" t="s">
        <v>2950</v>
      </c>
      <c r="B48" s="8" t="s">
        <v>2951</v>
      </c>
      <c r="C48" t="s">
        <v>2897</v>
      </c>
      <c r="D48" s="63">
        <v>61227</v>
      </c>
      <c r="E48" s="67" t="s">
        <v>2856</v>
      </c>
      <c r="F48" s="67" t="s">
        <v>2856</v>
      </c>
      <c r="G48" s="67" t="s">
        <v>2856</v>
      </c>
      <c r="H48" s="67" t="s">
        <v>2856</v>
      </c>
      <c r="I48" s="68"/>
      <c r="J48" s="68"/>
      <c r="K48" s="68"/>
      <c r="L48" s="68"/>
      <c r="M48" s="68"/>
      <c r="N48" s="68"/>
      <c r="O48" s="68"/>
      <c r="P48" s="68"/>
      <c r="Q48" s="8"/>
    </row>
    <row r="49" spans="1:17" ht="32.25" customHeight="1">
      <c r="A49" s="8" t="s">
        <v>2952</v>
      </c>
      <c r="B49" s="69"/>
      <c r="C49" t="s">
        <v>2904</v>
      </c>
      <c r="D49" s="63">
        <v>61924</v>
      </c>
      <c r="E49" s="75" t="s">
        <v>2905</v>
      </c>
      <c r="F49" s="75" t="s">
        <v>2905</v>
      </c>
      <c r="G49" s="75" t="s">
        <v>2905</v>
      </c>
      <c r="H49" s="75" t="s">
        <v>2905</v>
      </c>
      <c r="I49" s="68"/>
      <c r="J49" s="68"/>
      <c r="K49" s="68"/>
      <c r="L49" s="68"/>
      <c r="M49" s="72"/>
      <c r="N49" s="72"/>
      <c r="O49" s="72"/>
      <c r="P49" s="72"/>
      <c r="Q49" s="8"/>
    </row>
    <row r="50" spans="1:17" ht="30.75" customHeight="1">
      <c r="A50" s="8" t="s">
        <v>2953</v>
      </c>
      <c r="B50" s="69" t="s">
        <v>2954</v>
      </c>
      <c r="C50" t="s">
        <v>2904</v>
      </c>
      <c r="D50" s="63">
        <v>62767</v>
      </c>
      <c r="E50" s="75" t="s">
        <v>2905</v>
      </c>
      <c r="F50" s="75" t="s">
        <v>2905</v>
      </c>
      <c r="G50" s="75" t="s">
        <v>2905</v>
      </c>
      <c r="H50" s="75" t="s">
        <v>2905</v>
      </c>
      <c r="I50" s="68"/>
      <c r="J50" s="68"/>
      <c r="K50" s="68"/>
      <c r="L50" s="68"/>
      <c r="M50" s="68"/>
      <c r="N50" s="68"/>
      <c r="O50" s="72"/>
      <c r="P50" s="72"/>
      <c r="Q50" s="8"/>
    </row>
    <row r="51" spans="1:17" ht="27.75" customHeight="1">
      <c r="A51" s="8" t="s">
        <v>2939</v>
      </c>
      <c r="B51" t="s">
        <v>2940</v>
      </c>
      <c r="C51" t="s">
        <v>2855</v>
      </c>
      <c r="D51" s="63">
        <v>58669</v>
      </c>
      <c r="E51" s="67" t="s">
        <v>2856</v>
      </c>
      <c r="F51" s="67" t="s">
        <v>2856</v>
      </c>
      <c r="G51" s="67" t="s">
        <v>2856</v>
      </c>
      <c r="H51" s="67" t="s">
        <v>2856</v>
      </c>
      <c r="I51" s="68"/>
      <c r="J51" s="68"/>
      <c r="K51" s="68"/>
      <c r="L51" s="68"/>
      <c r="M51" s="68"/>
      <c r="N51" s="68"/>
      <c r="O51" s="68"/>
      <c r="P51" s="68"/>
    </row>
    <row r="52" spans="1:17">
      <c r="A52" s="8" t="s">
        <v>2957</v>
      </c>
      <c r="B52" s="69" t="s">
        <v>2958</v>
      </c>
      <c r="C52" t="s">
        <v>2904</v>
      </c>
      <c r="D52" s="63">
        <v>64376</v>
      </c>
      <c r="E52" s="75" t="s">
        <v>2905</v>
      </c>
      <c r="F52" s="75" t="s">
        <v>2905</v>
      </c>
      <c r="G52" s="75" t="s">
        <v>2905</v>
      </c>
      <c r="H52" s="75" t="s">
        <v>2905</v>
      </c>
      <c r="I52" s="68"/>
      <c r="J52" s="68"/>
      <c r="K52" s="68"/>
      <c r="L52" s="72"/>
      <c r="M52" s="72"/>
      <c r="N52" s="72"/>
      <c r="O52" s="72"/>
      <c r="P52" s="72"/>
    </row>
    <row r="53" spans="1:17" ht="22.5" customHeight="1">
      <c r="A53" s="8" t="s">
        <v>2941</v>
      </c>
      <c r="B53" s="8" t="s">
        <v>2942</v>
      </c>
      <c r="C53" t="s">
        <v>2855</v>
      </c>
      <c r="D53" s="71">
        <v>58671</v>
      </c>
      <c r="E53" s="67" t="s">
        <v>2856</v>
      </c>
      <c r="F53" s="67" t="s">
        <v>2856</v>
      </c>
      <c r="G53" s="67" t="s">
        <v>2856</v>
      </c>
      <c r="H53" s="67" t="s">
        <v>2856</v>
      </c>
      <c r="I53" s="68"/>
      <c r="J53" s="68"/>
      <c r="K53" s="68"/>
      <c r="L53" s="68"/>
      <c r="M53" s="68"/>
      <c r="N53" s="68"/>
      <c r="O53" s="68"/>
      <c r="P53" s="68"/>
    </row>
    <row r="54" spans="1:17" ht="22.5" customHeight="1">
      <c r="A54" s="8" t="s">
        <v>2961</v>
      </c>
      <c r="B54" s="69" t="s">
        <v>2962</v>
      </c>
      <c r="C54" t="s">
        <v>2897</v>
      </c>
      <c r="D54" s="63">
        <v>65213</v>
      </c>
      <c r="E54" s="67" t="s">
        <v>2856</v>
      </c>
      <c r="F54" s="67" t="s">
        <v>2856</v>
      </c>
      <c r="G54" s="67" t="s">
        <v>2856</v>
      </c>
      <c r="H54" s="67" t="s">
        <v>2856</v>
      </c>
      <c r="I54" s="68"/>
      <c r="J54" s="68"/>
      <c r="K54" s="68"/>
      <c r="L54" s="68"/>
      <c r="M54" s="68"/>
      <c r="N54" s="68"/>
      <c r="O54" s="68"/>
      <c r="P54" s="68"/>
    </row>
    <row r="55" spans="1:17" ht="22.5" customHeight="1">
      <c r="A55" s="8" t="s">
        <v>2963</v>
      </c>
      <c r="B55" s="69" t="s">
        <v>2964</v>
      </c>
      <c r="C55" t="s">
        <v>2897</v>
      </c>
      <c r="D55" s="63">
        <v>66763</v>
      </c>
      <c r="E55" s="67" t="s">
        <v>2856</v>
      </c>
      <c r="F55" s="67" t="s">
        <v>2856</v>
      </c>
      <c r="G55" s="67" t="s">
        <v>2856</v>
      </c>
      <c r="H55" s="67" t="s">
        <v>2856</v>
      </c>
      <c r="I55" s="68"/>
      <c r="J55" s="68"/>
      <c r="K55" s="68"/>
      <c r="L55" s="68"/>
      <c r="M55" s="68"/>
      <c r="N55" s="68"/>
      <c r="O55" s="68"/>
      <c r="P55" s="68"/>
    </row>
    <row r="56" spans="1:17" ht="22.5" customHeight="1">
      <c r="A56" s="8" t="s">
        <v>2965</v>
      </c>
      <c r="C56" t="s">
        <v>2966</v>
      </c>
      <c r="E56" s="77" t="s">
        <v>2928</v>
      </c>
      <c r="F56" s="77" t="s">
        <v>2928</v>
      </c>
      <c r="G56" s="77" t="s">
        <v>2928</v>
      </c>
      <c r="H56" s="68"/>
      <c r="I56" s="68"/>
      <c r="J56" s="68"/>
      <c r="K56" s="68"/>
      <c r="L56" s="68"/>
      <c r="M56" s="68"/>
      <c r="N56" s="68"/>
      <c r="O56" s="68"/>
      <c r="P56" s="68"/>
    </row>
    <row r="57" spans="1:17" ht="22.5" customHeight="1">
      <c r="A57" s="8" t="s">
        <v>830</v>
      </c>
      <c r="B57" s="8"/>
      <c r="C57" t="s">
        <v>830</v>
      </c>
      <c r="E57" s="77" t="s">
        <v>2928</v>
      </c>
      <c r="F57" s="77" t="s">
        <v>2928</v>
      </c>
      <c r="G57" s="77" t="s">
        <v>2928</v>
      </c>
      <c r="H57" s="72"/>
      <c r="I57" s="68"/>
      <c r="J57" s="68"/>
      <c r="K57" s="68"/>
      <c r="L57" s="68"/>
      <c r="M57" s="68"/>
      <c r="N57" s="68"/>
      <c r="O57" s="68"/>
      <c r="P57" s="68"/>
    </row>
    <row r="58" spans="1:17" ht="22.5" customHeight="1">
      <c r="A58" s="8" t="s">
        <v>2967</v>
      </c>
      <c r="B58" s="69" t="s">
        <v>2968</v>
      </c>
      <c r="C58" t="s">
        <v>2947</v>
      </c>
      <c r="D58" s="63">
        <v>67643</v>
      </c>
      <c r="E58" s="75" t="s">
        <v>2905</v>
      </c>
      <c r="F58" s="67" t="s">
        <v>2856</v>
      </c>
      <c r="G58" s="67" t="s">
        <v>2856</v>
      </c>
      <c r="H58" s="67" t="s">
        <v>2856</v>
      </c>
      <c r="I58" s="68"/>
      <c r="J58" s="68"/>
      <c r="K58" s="68"/>
      <c r="L58" s="68"/>
      <c r="M58" s="68"/>
      <c r="N58" s="68"/>
      <c r="O58" s="68"/>
      <c r="P58" s="68"/>
    </row>
    <row r="59" spans="1:17" ht="22.5" customHeight="1">
      <c r="A59" s="8" t="s">
        <v>2943</v>
      </c>
      <c r="B59" t="s">
        <v>2944</v>
      </c>
      <c r="C59" t="s">
        <v>2855</v>
      </c>
      <c r="D59" s="63">
        <v>59965</v>
      </c>
      <c r="E59" s="67" t="s">
        <v>2856</v>
      </c>
      <c r="F59" s="67" t="s">
        <v>2856</v>
      </c>
      <c r="G59" s="67" t="s">
        <v>2856</v>
      </c>
      <c r="H59" s="67" t="s">
        <v>2856</v>
      </c>
      <c r="I59" s="68"/>
      <c r="J59" s="68"/>
      <c r="K59" s="68"/>
      <c r="L59" s="68"/>
      <c r="M59" s="68"/>
      <c r="N59" s="68"/>
      <c r="O59" s="68"/>
      <c r="P59" s="68"/>
    </row>
    <row r="60" spans="1:17" ht="27" customHeight="1">
      <c r="A60" s="8" t="s">
        <v>2948</v>
      </c>
      <c r="B60" s="8" t="s">
        <v>2949</v>
      </c>
      <c r="C60" t="s">
        <v>2855</v>
      </c>
      <c r="D60" s="63">
        <v>60785</v>
      </c>
      <c r="E60" s="67" t="s">
        <v>2856</v>
      </c>
      <c r="F60" s="67" t="s">
        <v>2856</v>
      </c>
      <c r="G60" s="67" t="s">
        <v>2856</v>
      </c>
      <c r="H60" s="67" t="s">
        <v>2856</v>
      </c>
      <c r="I60" s="68"/>
      <c r="J60" s="68"/>
      <c r="K60" s="68"/>
      <c r="L60" s="68"/>
      <c r="M60" s="68"/>
      <c r="N60" s="68"/>
      <c r="O60" s="68"/>
      <c r="P60" s="68"/>
    </row>
    <row r="61" spans="1:17" ht="24" customHeight="1">
      <c r="A61" s="8" t="s">
        <v>2955</v>
      </c>
      <c r="B61" s="69" t="s">
        <v>2956</v>
      </c>
      <c r="C61" t="s">
        <v>2855</v>
      </c>
      <c r="D61" s="63">
        <v>63665</v>
      </c>
      <c r="E61" s="67" t="s">
        <v>2856</v>
      </c>
      <c r="F61" s="67" t="s">
        <v>2856</v>
      </c>
      <c r="G61" s="67" t="s">
        <v>2856</v>
      </c>
      <c r="H61" s="67" t="s">
        <v>2856</v>
      </c>
      <c r="I61" s="68"/>
      <c r="J61" s="68"/>
      <c r="K61" s="68"/>
      <c r="L61" s="68"/>
      <c r="M61" s="68"/>
      <c r="N61" s="68"/>
      <c r="O61" s="68"/>
      <c r="P61" s="68"/>
    </row>
    <row r="62" spans="1:17" ht="24" customHeight="1">
      <c r="A62" s="8" t="s">
        <v>2975</v>
      </c>
      <c r="B62" s="69"/>
      <c r="C62" t="s">
        <v>2947</v>
      </c>
      <c r="D62" s="63">
        <v>68127</v>
      </c>
      <c r="E62" s="79" t="s">
        <v>2976</v>
      </c>
      <c r="F62" s="75" t="s">
        <v>2905</v>
      </c>
      <c r="G62" s="67" t="s">
        <v>2856</v>
      </c>
      <c r="H62" s="75" t="s">
        <v>2905</v>
      </c>
      <c r="I62" s="68"/>
      <c r="J62" s="68"/>
      <c r="K62" s="68"/>
      <c r="L62" s="68"/>
      <c r="M62" s="68"/>
      <c r="N62" s="68"/>
      <c r="O62" s="68"/>
      <c r="P62" s="68"/>
    </row>
    <row r="63" spans="1:17" ht="24" customHeight="1">
      <c r="A63" s="8" t="s">
        <v>2977</v>
      </c>
      <c r="B63" s="69"/>
      <c r="C63" t="s">
        <v>2897</v>
      </c>
      <c r="D63" s="63">
        <v>67344</v>
      </c>
      <c r="E63" s="78" t="s">
        <v>2974</v>
      </c>
      <c r="F63" s="67" t="s">
        <v>2856</v>
      </c>
      <c r="G63" s="67" t="s">
        <v>2856</v>
      </c>
      <c r="H63" s="67" t="s">
        <v>2856</v>
      </c>
      <c r="I63" s="68"/>
      <c r="J63" s="68"/>
      <c r="K63" s="68"/>
      <c r="L63" s="68"/>
      <c r="M63" s="68"/>
      <c r="N63" s="68"/>
      <c r="O63" s="68"/>
      <c r="P63" s="68"/>
    </row>
    <row r="64" spans="1:17" ht="27.6">
      <c r="A64" s="8" t="s">
        <v>2959</v>
      </c>
      <c r="B64" s="69" t="s">
        <v>2960</v>
      </c>
      <c r="C64" t="s">
        <v>2855</v>
      </c>
      <c r="D64" s="63">
        <v>64491</v>
      </c>
      <c r="E64" s="84" t="s">
        <v>2856</v>
      </c>
      <c r="F64" s="67" t="s">
        <v>2856</v>
      </c>
      <c r="G64" s="67" t="s">
        <v>2856</v>
      </c>
      <c r="H64" s="67" t="s">
        <v>2856</v>
      </c>
      <c r="I64" s="68"/>
      <c r="J64" s="68"/>
      <c r="K64" s="68"/>
      <c r="L64" s="68"/>
      <c r="M64" s="68"/>
      <c r="N64" s="68"/>
      <c r="O64" s="68"/>
      <c r="P64" s="68"/>
    </row>
  </sheetData>
  <autoFilter ref="A1:P64" xr:uid="{00000000-0001-0000-0800-000000000000}">
    <sortState ref="A2:P64">
      <sortCondition ref="D1:D64"/>
    </sortState>
  </autoFilter>
  <hyperlinks>
    <hyperlink ref="B3" r:id="rId1" xr:uid="{00000000-0004-0000-0800-000000000000}"/>
    <hyperlink ref="B4" r:id="rId2" xr:uid="{00000000-0004-0000-0800-000001000000}"/>
    <hyperlink ref="B5" r:id="rId3" xr:uid="{00000000-0004-0000-0800-000002000000}"/>
    <hyperlink ref="B7" r:id="rId4" xr:uid="{00000000-0004-0000-0800-000003000000}"/>
    <hyperlink ref="B10" r:id="rId5" xr:uid="{00000000-0004-0000-0800-000004000000}"/>
    <hyperlink ref="B11" r:id="rId6" xr:uid="{00000000-0004-0000-0800-000005000000}"/>
    <hyperlink ref="B12" r:id="rId7" xr:uid="{00000000-0004-0000-0800-000006000000}"/>
    <hyperlink ref="B15" r:id="rId8" xr:uid="{00000000-0004-0000-0800-000007000000}"/>
    <hyperlink ref="B16" r:id="rId9" xr:uid="{00000000-0004-0000-0800-000008000000}"/>
    <hyperlink ref="B18" r:id="rId10" xr:uid="{00000000-0004-0000-0800-000009000000}"/>
    <hyperlink ref="B19" r:id="rId11" xr:uid="{00000000-0004-0000-0800-00000A000000}"/>
    <hyperlink ref="B20" r:id="rId12" xr:uid="{00000000-0004-0000-0800-00000B000000}"/>
    <hyperlink ref="B21" r:id="rId13" xr:uid="{00000000-0004-0000-0800-00000C000000}"/>
    <hyperlink ref="B22" r:id="rId14" xr:uid="{00000000-0004-0000-0800-00000D000000}"/>
    <hyperlink ref="B24" r:id="rId15" xr:uid="{00000000-0004-0000-0800-00000E000000}"/>
    <hyperlink ref="B27" r:id="rId16" xr:uid="{00000000-0004-0000-0800-00000F000000}"/>
    <hyperlink ref="B25" r:id="rId17" xr:uid="{00000000-0004-0000-0800-000010000000}"/>
    <hyperlink ref="B26" r:id="rId18" xr:uid="{00000000-0004-0000-0800-000011000000}"/>
    <hyperlink ref="B30" r:id="rId19" xr:uid="{00000000-0004-0000-0800-000012000000}"/>
    <hyperlink ref="B28" r:id="rId20" xr:uid="{00000000-0004-0000-0800-000013000000}"/>
    <hyperlink ref="B29" r:id="rId21" xr:uid="{00000000-0004-0000-0800-000014000000}"/>
    <hyperlink ref="B31" r:id="rId22" xr:uid="{00000000-0004-0000-0800-000015000000}"/>
    <hyperlink ref="B32" r:id="rId23" xr:uid="{00000000-0004-0000-0800-000016000000}"/>
    <hyperlink ref="B34" r:id="rId24" xr:uid="{00000000-0004-0000-0800-000017000000}"/>
    <hyperlink ref="B35" r:id="rId25" xr:uid="{00000000-0004-0000-0800-000018000000}"/>
    <hyperlink ref="B38" r:id="rId26" xr:uid="{00000000-0004-0000-0800-000019000000}"/>
    <hyperlink ref="B36" r:id="rId27" xr:uid="{00000000-0004-0000-0800-00001A000000}"/>
    <hyperlink ref="B37" r:id="rId28" xr:uid="{00000000-0004-0000-0800-00001B000000}"/>
    <hyperlink ref="B43" r:id="rId29" xr:uid="{00000000-0004-0000-0800-00001C000000}"/>
    <hyperlink ref="B50" r:id="rId30" xr:uid="{00000000-0004-0000-0800-00001D000000}"/>
    <hyperlink ref="B61" r:id="rId31" xr:uid="{00000000-0004-0000-0800-00001E000000}"/>
    <hyperlink ref="B52" r:id="rId32" xr:uid="{00000000-0004-0000-0800-00001F000000}"/>
    <hyperlink ref="B64" r:id="rId33" xr:uid="{00000000-0004-0000-0800-000020000000}"/>
    <hyperlink ref="B54" r:id="rId34" xr:uid="{00000000-0004-0000-0800-000021000000}"/>
    <hyperlink ref="B55" r:id="rId35" xr:uid="{00000000-0004-0000-0800-000022000000}"/>
    <hyperlink ref="B58" r:id="rId36" xr:uid="{00000000-0004-0000-0800-000023000000}"/>
    <hyperlink ref="B40" r:id="rId37" xr:uid="{00000000-0004-0000-0800-000024000000}"/>
    <hyperlink ref="B47" r:id="rId38" xr:uid="{00000000-0004-0000-0800-000025000000}"/>
  </hyperlinks>
  <pageMargins left="0" right="0" top="1.1583333333333301" bottom="1.1583333333333301" header="0" footer="0"/>
  <pageSetup paperSize="9" orientation="portrait" horizontalDpi="300" verticalDpi="300"/>
  <headerFooter>
    <oddHeader>&amp;C&amp;10&amp;A</oddHeader>
    <oddFooter>&amp;C&amp;10Page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6"/>
  <sheetViews>
    <sheetView zoomScaleNormal="100" workbookViewId="0">
      <selection activeCell="A3" sqref="A3"/>
    </sheetView>
  </sheetViews>
  <sheetFormatPr baseColWidth="10" defaultColWidth="10.09765625" defaultRowHeight="13.8"/>
  <cols>
    <col min="1" max="1" width="11" customWidth="1"/>
    <col min="1024" max="1024" width="11" customWidth="1"/>
  </cols>
  <sheetData>
    <row r="1" spans="1:1">
      <c r="A1" s="38" t="s">
        <v>2979</v>
      </c>
    </row>
    <row r="2" spans="1:1">
      <c r="A2" s="36" t="s">
        <v>833</v>
      </c>
    </row>
    <row r="3" spans="1:1">
      <c r="A3" s="11" t="s">
        <v>2980</v>
      </c>
    </row>
    <row r="4" spans="1:1">
      <c r="A4" s="31" t="s">
        <v>2981</v>
      </c>
    </row>
    <row r="6" spans="1:1">
      <c r="A6" s="80" t="s">
        <v>2982</v>
      </c>
    </row>
  </sheetData>
  <pageMargins left="0" right="0" top="1.1583333333333301" bottom="1.1583333333333301" header="0" footer="0"/>
  <pageSetup paperSize="9" orientation="portrait" horizontalDpi="300" verticalDpi="300"/>
  <headerFooter>
    <oddHeader>&amp;C&amp;10&amp;A</oddHeader>
    <oddFooter>&amp;C&amp;10Page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53DD1A-ADE2-46FD-91D6-E5BA7751B370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7c14d9e5-93cd-47e1-9cd8-fd00404a29a8}" enabled="1" method="Standard" siteId="{c98df534-5e36-459a-ac3f-8c2e449863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offen_aus_25</vt:lpstr>
      <vt:lpstr>Gesamtstunden_26</vt:lpstr>
      <vt:lpstr>Oeffentlichkeitsarbeit</vt:lpstr>
      <vt:lpstr>Fairteiler</vt:lpstr>
      <vt:lpstr>NP-Betrieb</vt:lpstr>
      <vt:lpstr>Fairteilungen</vt:lpstr>
      <vt:lpstr>Anlieferung</vt:lpstr>
      <vt:lpstr>Probeabholungen</vt:lpstr>
      <vt:lpstr>Betriebe</vt:lpstr>
      <vt:lpstr>Farbcodes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dc:description/>
  <cp:lastModifiedBy>Link Juliane (APO)</cp:lastModifiedBy>
  <cp:revision>416</cp:revision>
  <dcterms:created xsi:type="dcterms:W3CDTF">2024-07-06T07:33:39Z</dcterms:created>
  <dcterms:modified xsi:type="dcterms:W3CDTF">2026-05-23T17:38:21Z</dcterms:modified>
  <dc:language>de-DE</dc:language>
</cp:coreProperties>
</file>